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leid\Documents\Project\Desafio\"/>
    </mc:Choice>
  </mc:AlternateContent>
  <xr:revisionPtr revIDLastSave="0" documentId="13_ncr:1_{16774129-2B9B-45F0-9E41-A279857FCEB0}" xr6:coauthVersionLast="47" xr6:coauthVersionMax="47" xr10:uidLastSave="{00000000-0000-0000-0000-000000000000}"/>
  <bookViews>
    <workbookView xWindow="-120" yWindow="-120" windowWidth="57840" windowHeight="23640" xr2:uid="{00000000-000D-0000-FFFF-FFFF00000000}"/>
  </bookViews>
  <sheets>
    <sheet name="SOCIOS" sheetId="1" r:id="rId1"/>
    <sheet name="CATALOGO_PACOTES" sheetId="2" r:id="rId2"/>
    <sheet name="RECOMENDACOES" sheetId="7" r:id="rId3"/>
    <sheet name="ENTRADAS_CANAIS" sheetId="8" r:id="rId4"/>
    <sheet name="VENDAS_SAC" sheetId="14" r:id="rId5"/>
    <sheet name="VENDAS_LOJAS" sheetId="15" r:id="rId6"/>
    <sheet name="VENDAS_OUTBOUND" sheetId="16" r:id="rId7"/>
  </sheets>
  <definedNames>
    <definedName name="_xlnm._FilterDatabase" localSheetId="3" hidden="1">ENTRADAS_CANAIS!$A$1:$F$959</definedName>
    <definedName name="ExternalData_1" localSheetId="0" hidden="1">SOCIOS!$H$1:$I$6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" i="1" l="1" a="1"/>
  <c r="L7" i="1" s="1"/>
  <c r="K7" i="1"/>
  <c r="F4" i="1" a="1"/>
  <c r="F4" i="1"/>
  <c r="F2" i="1" a="1"/>
  <c r="F2" i="1" s="1"/>
  <c r="F3" i="1" a="1"/>
  <c r="F3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/>
  <c r="F471" i="1" a="1"/>
  <c r="F471" i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/>
  <c r="F481" i="1" a="1"/>
  <c r="F481" i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/>
  <c r="F491" i="1" a="1"/>
  <c r="F491" i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/>
  <c r="F501" i="1" a="1"/>
  <c r="F501" i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/>
  <c r="F511" i="1" a="1"/>
  <c r="F511" i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/>
  <c r="F521" i="1" a="1"/>
  <c r="F521" i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/>
  <c r="F531" i="1" a="1"/>
  <c r="F531" i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/>
  <c r="F541" i="1" a="1"/>
  <c r="F541" i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/>
  <c r="F551" i="1" a="1"/>
  <c r="F551" i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/>
  <c r="F561" i="1" a="1"/>
  <c r="F561" i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/>
  <c r="F571" i="1" a="1"/>
  <c r="F571" i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/>
  <c r="F581" i="1" a="1"/>
  <c r="F581" i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/>
  <c r="F591" i="1" a="1"/>
  <c r="F591" i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/>
  <c r="F611" i="1" a="1"/>
  <c r="F611" i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/>
  <c r="F740" i="1" a="1"/>
  <c r="F740" i="1"/>
  <c r="F741" i="1" a="1"/>
  <c r="F741" i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/>
  <c r="F760" i="1" a="1"/>
  <c r="F760" i="1"/>
  <c r="F761" i="1" a="1"/>
  <c r="F761" i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/>
  <c r="F780" i="1" a="1"/>
  <c r="F780" i="1"/>
  <c r="F781" i="1" a="1"/>
  <c r="F781" i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/>
  <c r="F800" i="1" a="1"/>
  <c r="F800" i="1"/>
  <c r="F801" i="1" a="1"/>
  <c r="F801" i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/>
  <c r="F821" i="1" a="1"/>
  <c r="F821" i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/>
  <c r="F841" i="1" a="1"/>
  <c r="F841" i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/>
  <c r="F857" i="1" a="1"/>
  <c r="F857" i="1"/>
  <c r="F858" i="1" a="1"/>
  <c r="F858" i="1"/>
  <c r="F859" i="1" a="1"/>
  <c r="F859" i="1"/>
  <c r="F860" i="1" a="1"/>
  <c r="F860" i="1"/>
  <c r="F861" i="1" a="1"/>
  <c r="F861" i="1"/>
  <c r="F862" i="1" a="1"/>
  <c r="F862" i="1"/>
  <c r="F863" i="1" a="1"/>
  <c r="F863" i="1" s="1"/>
  <c r="F864" i="1" a="1"/>
  <c r="F864" i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/>
  <c r="F877" i="1" a="1"/>
  <c r="F877" i="1"/>
  <c r="F878" i="1" a="1"/>
  <c r="F878" i="1"/>
  <c r="F879" i="1" a="1"/>
  <c r="F879" i="1"/>
  <c r="F880" i="1" a="1"/>
  <c r="F880" i="1"/>
  <c r="F881" i="1" a="1"/>
  <c r="F881" i="1"/>
  <c r="F882" i="1" a="1"/>
  <c r="F882" i="1"/>
  <c r="F883" i="1" a="1"/>
  <c r="F883" i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/>
  <c r="F897" i="1" a="1"/>
  <c r="F897" i="1"/>
  <c r="F898" i="1" a="1"/>
  <c r="F898" i="1"/>
  <c r="F899" i="1" a="1"/>
  <c r="F899" i="1"/>
  <c r="F900" i="1" a="1"/>
  <c r="F900" i="1"/>
  <c r="F901" i="1" a="1"/>
  <c r="F901" i="1"/>
  <c r="F902" i="1" a="1"/>
  <c r="F902" i="1"/>
  <c r="F903" i="1" a="1"/>
  <c r="F903" i="1"/>
  <c r="F904" i="1" a="1"/>
  <c r="F904" i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/>
  <c r="F918" i="1" a="1"/>
  <c r="F918" i="1"/>
  <c r="F919" i="1" a="1"/>
  <c r="F919" i="1"/>
  <c r="F920" i="1" a="1"/>
  <c r="F920" i="1"/>
  <c r="F921" i="1" a="1"/>
  <c r="F921" i="1"/>
  <c r="F922" i="1" a="1"/>
  <c r="F922" i="1"/>
  <c r="F923" i="1" a="1"/>
  <c r="F923" i="1"/>
  <c r="F924" i="1" a="1"/>
  <c r="F924" i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/>
  <c r="F937" i="1" a="1"/>
  <c r="F937" i="1" s="1"/>
  <c r="F938" i="1" a="1"/>
  <c r="F938" i="1"/>
  <c r="F939" i="1" a="1"/>
  <c r="F939" i="1"/>
  <c r="F940" i="1" a="1"/>
  <c r="F940" i="1"/>
  <c r="F941" i="1" a="1"/>
  <c r="F941" i="1"/>
  <c r="F942" i="1" a="1"/>
  <c r="F942" i="1"/>
  <c r="F943" i="1" a="1"/>
  <c r="F943" i="1"/>
  <c r="F944" i="1" a="1"/>
  <c r="F944" i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/>
  <c r="F957" i="1" a="1"/>
  <c r="F957" i="1"/>
  <c r="F958" i="1" a="1"/>
  <c r="F958" i="1" s="1"/>
  <c r="F959" i="1" a="1"/>
  <c r="F959" i="1"/>
  <c r="F960" i="1" a="1"/>
  <c r="F960" i="1"/>
  <c r="F961" i="1" a="1"/>
  <c r="F961" i="1"/>
  <c r="F962" i="1" a="1"/>
  <c r="F962" i="1"/>
  <c r="F963" i="1" a="1"/>
  <c r="F963" i="1"/>
  <c r="F964" i="1" a="1"/>
  <c r="F964" i="1"/>
  <c r="F965" i="1" a="1"/>
  <c r="F965" i="1" s="1"/>
  <c r="F966" i="1" a="1"/>
  <c r="F966" i="1" s="1"/>
  <c r="F967" i="1" a="1"/>
  <c r="F967" i="1" s="1"/>
  <c r="F968" i="1" a="1"/>
  <c r="F968" i="1" s="1"/>
  <c r="F969" i="1" a="1"/>
  <c r="F969" i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/>
  <c r="F977" i="1" a="1"/>
  <c r="F977" i="1"/>
  <c r="F978" i="1" a="1"/>
  <c r="F978" i="1"/>
  <c r="F979" i="1" a="1"/>
  <c r="F979" i="1" s="1"/>
  <c r="F980" i="1" a="1"/>
  <c r="F980" i="1"/>
  <c r="F981" i="1" a="1"/>
  <c r="F981" i="1"/>
  <c r="F982" i="1" a="1"/>
  <c r="F982" i="1"/>
  <c r="F983" i="1" a="1"/>
  <c r="F983" i="1"/>
  <c r="F984" i="1" a="1"/>
  <c r="F984" i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/>
  <c r="F997" i="1" a="1"/>
  <c r="F997" i="1"/>
  <c r="F998" i="1" a="1"/>
  <c r="F998" i="1"/>
  <c r="F999" i="1" a="1"/>
  <c r="F999" i="1"/>
  <c r="F1000" i="1" a="1"/>
  <c r="F1000" i="1" s="1"/>
  <c r="F1001" i="1" a="1"/>
  <c r="F1001" i="1"/>
  <c r="F1002" i="1" a="1"/>
  <c r="F1002" i="1"/>
  <c r="F1003" i="1" a="1"/>
  <c r="F1003" i="1"/>
  <c r="F1004" i="1" a="1"/>
  <c r="F1004" i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/>
  <c r="F1017" i="1" a="1"/>
  <c r="F1017" i="1"/>
  <c r="F1018" i="1" a="1"/>
  <c r="F1018" i="1"/>
  <c r="F1019" i="1" a="1"/>
  <c r="F1019" i="1"/>
  <c r="F1020" i="1" a="1"/>
  <c r="F1020" i="1"/>
  <c r="F1021" i="1" a="1"/>
  <c r="F1021" i="1" s="1"/>
  <c r="F1022" i="1" a="1"/>
  <c r="F1022" i="1"/>
  <c r="F1023" i="1" a="1"/>
  <c r="F1023" i="1"/>
  <c r="F1024" i="1" a="1"/>
  <c r="F1024" i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/>
  <c r="F1033" i="1" a="1"/>
  <c r="F1033" i="1" s="1"/>
  <c r="F1034" i="1" a="1"/>
  <c r="F1034" i="1" s="1"/>
  <c r="F1035" i="1" a="1"/>
  <c r="F1035" i="1" s="1"/>
  <c r="F1036" i="1" a="1"/>
  <c r="F1036" i="1"/>
  <c r="F1037" i="1" a="1"/>
  <c r="F1037" i="1"/>
  <c r="F1038" i="1" a="1"/>
  <c r="F1038" i="1"/>
  <c r="F1039" i="1" a="1"/>
  <c r="F1039" i="1"/>
  <c r="F1040" i="1" a="1"/>
  <c r="F1040" i="1"/>
  <c r="F1041" i="1" a="1"/>
  <c r="F1041" i="1"/>
  <c r="F1042" i="1" a="1"/>
  <c r="F1042" i="1" s="1"/>
  <c r="F1043" i="1" a="1"/>
  <c r="F1043" i="1"/>
  <c r="F1044" i="1" a="1"/>
  <c r="F1044" i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 s="1"/>
  <c r="F1052" i="1" a="1"/>
  <c r="F1052" i="1" s="1"/>
  <c r="F1053" i="1" a="1"/>
  <c r="F1053" i="1"/>
  <c r="F1054" i="1" a="1"/>
  <c r="F1054" i="1" s="1"/>
  <c r="F1055" i="1" a="1"/>
  <c r="F1055" i="1" s="1"/>
  <c r="F1056" i="1" a="1"/>
  <c r="F1056" i="1"/>
  <c r="F1057" i="1" a="1"/>
  <c r="F1057" i="1"/>
  <c r="F1058" i="1" a="1"/>
  <c r="F1058" i="1"/>
  <c r="F1059" i="1" a="1"/>
  <c r="F1059" i="1"/>
  <c r="F1060" i="1" a="1"/>
  <c r="F1060" i="1"/>
  <c r="F1061" i="1" a="1"/>
  <c r="F1061" i="1"/>
  <c r="F1062" i="1" a="1"/>
  <c r="F1062" i="1"/>
  <c r="F1063" i="1" a="1"/>
  <c r="F1063" i="1" s="1"/>
  <c r="F1064" i="1" a="1"/>
  <c r="F1064" i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/>
  <c r="F1075" i="1" a="1"/>
  <c r="F1075" i="1" s="1"/>
  <c r="F1076" i="1" a="1"/>
  <c r="F1076" i="1"/>
  <c r="F1077" i="1" a="1"/>
  <c r="F1077" i="1"/>
  <c r="F1078" i="1" a="1"/>
  <c r="F1078" i="1"/>
  <c r="F1079" i="1" a="1"/>
  <c r="F1079" i="1"/>
  <c r="F1080" i="1" a="1"/>
  <c r="F1080" i="1"/>
  <c r="F1081" i="1" a="1"/>
  <c r="F1081" i="1" s="1"/>
  <c r="F1082" i="1" a="1"/>
  <c r="F1082" i="1"/>
  <c r="F1083" i="1" a="1"/>
  <c r="F1083" i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/>
  <c r="F1097" i="1" a="1"/>
  <c r="F1097" i="1"/>
  <c r="F1098" i="1" a="1"/>
  <c r="F1098" i="1"/>
  <c r="F1099" i="1" a="1"/>
  <c r="F1099" i="1"/>
  <c r="F1100" i="1" a="1"/>
  <c r="F1100" i="1"/>
  <c r="F1101" i="1" a="1"/>
  <c r="F1101" i="1"/>
  <c r="F1102" i="1" a="1"/>
  <c r="F1102" i="1" s="1"/>
  <c r="F1103" i="1" a="1"/>
  <c r="F1103" i="1"/>
  <c r="F1104" i="1" a="1"/>
  <c r="F1104" i="1"/>
  <c r="F1105" i="1" a="1"/>
  <c r="F1105" i="1" s="1"/>
  <c r="F1106" i="1" a="1"/>
  <c r="F1106" i="1"/>
  <c r="F1107" i="1" a="1"/>
  <c r="F1107" i="1" s="1"/>
  <c r="F1108" i="1" a="1"/>
  <c r="F1108" i="1" s="1"/>
  <c r="F1109" i="1" a="1"/>
  <c r="F1109" i="1" s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/>
  <c r="F1118" i="1" a="1"/>
  <c r="F1118" i="1"/>
  <c r="F1119" i="1" a="1"/>
  <c r="F1119" i="1"/>
  <c r="F1120" i="1" a="1"/>
  <c r="F1120" i="1"/>
  <c r="F1121" i="1" a="1"/>
  <c r="F1121" i="1"/>
  <c r="F1122" i="1" a="1"/>
  <c r="F1122" i="1"/>
  <c r="F1123" i="1" a="1"/>
  <c r="F1123" i="1"/>
  <c r="F1124" i="1" a="1"/>
  <c r="F1124" i="1"/>
  <c r="F1125" i="1" a="1"/>
  <c r="F1125" i="1" s="1"/>
  <c r="F1126" i="1" a="1"/>
  <c r="F1126" i="1" s="1"/>
  <c r="F1127" i="1" a="1"/>
  <c r="F1127" i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/>
  <c r="F1137" i="1" a="1"/>
  <c r="F1137" i="1" s="1"/>
  <c r="F1138" i="1" a="1"/>
  <c r="F1138" i="1"/>
  <c r="F1139" i="1" a="1"/>
  <c r="F1139" i="1"/>
  <c r="F1140" i="1" a="1"/>
  <c r="F1140" i="1"/>
  <c r="F1141" i="1" a="1"/>
  <c r="F1141" i="1"/>
  <c r="F1142" i="1" a="1"/>
  <c r="F1142" i="1"/>
  <c r="F1143" i="1" a="1"/>
  <c r="F1143" i="1"/>
  <c r="F1144" i="1" a="1"/>
  <c r="F1144" i="1"/>
  <c r="F1145" i="1" a="1"/>
  <c r="F1145" i="1" s="1"/>
  <c r="F1146" i="1" a="1"/>
  <c r="F1146" i="1" s="1"/>
  <c r="F1147" i="1" a="1"/>
  <c r="F1147" i="1" s="1"/>
  <c r="F1148" i="1" a="1"/>
  <c r="F1148" i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 s="1"/>
  <c r="F1156" i="1" a="1"/>
  <c r="F1156" i="1"/>
  <c r="F1157" i="1" a="1"/>
  <c r="F1157" i="1"/>
  <c r="F1158" i="1" a="1"/>
  <c r="F1158" i="1" s="1"/>
  <c r="F1159" i="1" a="1"/>
  <c r="F1159" i="1"/>
  <c r="F1160" i="1" a="1"/>
  <c r="F1160" i="1"/>
  <c r="F1161" i="1" a="1"/>
  <c r="F1161" i="1"/>
  <c r="F1162" i="1" a="1"/>
  <c r="F1162" i="1"/>
  <c r="F1163" i="1" a="1"/>
  <c r="F1163" i="1"/>
  <c r="F1164" i="1" a="1"/>
  <c r="F1164" i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/>
  <c r="F1170" i="1" a="1"/>
  <c r="F1170" i="1" s="1"/>
  <c r="F1171" i="1" a="1"/>
  <c r="F1171" i="1" s="1"/>
  <c r="F1172" i="1" a="1"/>
  <c r="F1172" i="1" s="1"/>
  <c r="F1173" i="1" a="1"/>
  <c r="F1173" i="1" s="1"/>
  <c r="F1174" i="1" a="1"/>
  <c r="F1174" i="1" s="1"/>
  <c r="F1175" i="1" a="1"/>
  <c r="F1175" i="1" s="1"/>
  <c r="F1176" i="1" a="1"/>
  <c r="F1176" i="1"/>
  <c r="F1177" i="1" a="1"/>
  <c r="F1177" i="1"/>
  <c r="F1178" i="1" a="1"/>
  <c r="F1178" i="1"/>
  <c r="F1179" i="1" a="1"/>
  <c r="F1179" i="1" s="1"/>
  <c r="F1180" i="1" a="1"/>
  <c r="F1180" i="1"/>
  <c r="F1181" i="1" a="1"/>
  <c r="F1181" i="1"/>
  <c r="F1182" i="1" a="1"/>
  <c r="F1182" i="1"/>
  <c r="F1183" i="1" a="1"/>
  <c r="F1183" i="1"/>
  <c r="F1184" i="1" a="1"/>
  <c r="F1184" i="1"/>
  <c r="F1185" i="1" a="1"/>
  <c r="F1185" i="1" s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/>
  <c r="F1191" i="1" a="1"/>
  <c r="F1191" i="1" s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/>
  <c r="F1197" i="1" a="1"/>
  <c r="F1197" i="1"/>
  <c r="F1198" i="1" a="1"/>
  <c r="F1198" i="1"/>
  <c r="F1199" i="1" a="1"/>
  <c r="F1199" i="1"/>
  <c r="F1200" i="1" a="1"/>
  <c r="F1200" i="1" s="1"/>
  <c r="F1201" i="1" a="1"/>
  <c r="F1201" i="1"/>
  <c r="F1202" i="1" a="1"/>
  <c r="F1202" i="1"/>
  <c r="F1203" i="1" a="1"/>
  <c r="F1203" i="1"/>
  <c r="F1204" i="1" a="1"/>
  <c r="F1204" i="1"/>
  <c r="F1205" i="1" a="1"/>
  <c r="F1205" i="1" s="1"/>
  <c r="F1206" i="1" a="1"/>
  <c r="F1206" i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/>
  <c r="F1217" i="1" a="1"/>
  <c r="F1217" i="1"/>
  <c r="F1218" i="1" a="1"/>
  <c r="F1218" i="1"/>
  <c r="F1219" i="1" a="1"/>
  <c r="F1219" i="1"/>
  <c r="F1220" i="1" a="1"/>
  <c r="F1220" i="1"/>
  <c r="F1221" i="1" a="1"/>
  <c r="F1221" i="1" s="1"/>
  <c r="F1222" i="1" a="1"/>
  <c r="F1222" i="1"/>
  <c r="F1223" i="1" a="1"/>
  <c r="F1223" i="1"/>
  <c r="F1224" i="1" a="1"/>
  <c r="F1224" i="1"/>
  <c r="F1225" i="1" a="1"/>
  <c r="F1225" i="1" s="1"/>
  <c r="F1226" i="1" a="1"/>
  <c r="F1226" i="1" s="1"/>
  <c r="F1227" i="1" a="1"/>
  <c r="F1227" i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/>
  <c r="F1233" i="1" a="1"/>
  <c r="F1233" i="1" s="1"/>
  <c r="F1234" i="1" a="1"/>
  <c r="F1234" i="1" s="1"/>
  <c r="F1235" i="1" a="1"/>
  <c r="F1235" i="1" s="1"/>
  <c r="F1236" i="1" a="1"/>
  <c r="F1236" i="1"/>
  <c r="F1237" i="1" a="1"/>
  <c r="F1237" i="1"/>
  <c r="F1238" i="1" a="1"/>
  <c r="F1238" i="1"/>
  <c r="F1239" i="1" a="1"/>
  <c r="F1239" i="1"/>
  <c r="F1240" i="1" a="1"/>
  <c r="F1240" i="1"/>
  <c r="F1241" i="1" a="1"/>
  <c r="F1241" i="1"/>
  <c r="F1242" i="1" a="1"/>
  <c r="F1242" i="1" s="1"/>
  <c r="F1243" i="1" a="1"/>
  <c r="F1243" i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/>
  <c r="F1254" i="1" a="1"/>
  <c r="F1254" i="1" s="1"/>
  <c r="F1255" i="1" a="1"/>
  <c r="F1255" i="1" s="1"/>
  <c r="F1256" i="1" a="1"/>
  <c r="F1256" i="1"/>
  <c r="F1257" i="1" a="1"/>
  <c r="F1257" i="1"/>
  <c r="F1258" i="1" a="1"/>
  <c r="F1258" i="1"/>
  <c r="F1259" i="1" a="1"/>
  <c r="F1259" i="1"/>
  <c r="F1260" i="1" a="1"/>
  <c r="F1260" i="1"/>
  <c r="F1261" i="1" a="1"/>
  <c r="F1261" i="1"/>
  <c r="F1262" i="1" a="1"/>
  <c r="F1262" i="1"/>
  <c r="F1263" i="1" a="1"/>
  <c r="F1263" i="1" s="1"/>
  <c r="F1264" i="1" a="1"/>
  <c r="F1264" i="1"/>
  <c r="F1265" i="1" a="1"/>
  <c r="F1265" i="1" s="1"/>
  <c r="F1266" i="1" a="1"/>
  <c r="F1266" i="1" s="1"/>
  <c r="F1267" i="1" a="1"/>
  <c r="F1267" i="1" s="1"/>
  <c r="F1268" i="1" a="1"/>
  <c r="F1268" i="1" s="1"/>
  <c r="F1269" i="1" a="1"/>
  <c r="F1269" i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/>
  <c r="F1275" i="1" a="1"/>
  <c r="F1275" i="1" s="1"/>
  <c r="F1276" i="1" a="1"/>
  <c r="F1276" i="1"/>
  <c r="F1277" i="1" a="1"/>
  <c r="F1277" i="1"/>
  <c r="F1278" i="1" a="1"/>
  <c r="F1278" i="1"/>
  <c r="F1279" i="1" a="1"/>
  <c r="F1279" i="1"/>
  <c r="F1280" i="1" a="1"/>
  <c r="F1280" i="1"/>
  <c r="F1281" i="1" a="1"/>
  <c r="F1281" i="1"/>
  <c r="F1282" i="1" a="1"/>
  <c r="F1282" i="1"/>
  <c r="F1283" i="1" a="1"/>
  <c r="F1283" i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 s="1"/>
  <c r="F1296" i="1" a="1"/>
  <c r="F1296" i="1"/>
  <c r="F1297" i="1" a="1"/>
  <c r="F1297" i="1" s="1"/>
  <c r="F1298" i="1" a="1"/>
  <c r="F1298" i="1"/>
  <c r="F1299" i="1" a="1"/>
  <c r="F1299" i="1"/>
  <c r="F1300" i="1" a="1"/>
  <c r="F1300" i="1"/>
  <c r="F1301" i="1" a="1"/>
  <c r="F1301" i="1"/>
  <c r="F1302" i="1" a="1"/>
  <c r="F1302" i="1"/>
  <c r="F1303" i="1" a="1"/>
  <c r="F1303" i="1"/>
  <c r="F1304" i="1" a="1"/>
  <c r="F1304" i="1"/>
  <c r="F1305" i="1" a="1"/>
  <c r="F1305" i="1" s="1"/>
  <c r="F1306" i="1" a="1"/>
  <c r="F1306" i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/>
  <c r="F1312" i="1" a="1"/>
  <c r="F1312" i="1" s="1"/>
  <c r="F1313" i="1" a="1"/>
  <c r="F1313" i="1" s="1"/>
  <c r="F1314" i="1" a="1"/>
  <c r="F1314" i="1" s="1"/>
  <c r="F1315" i="1" a="1"/>
  <c r="F1315" i="1" s="1"/>
  <c r="F1316" i="1" a="1"/>
  <c r="F1316" i="1" s="1"/>
  <c r="F1317" i="1" a="1"/>
  <c r="F1317" i="1"/>
  <c r="F1318" i="1" a="1"/>
  <c r="F1318" i="1" s="1"/>
  <c r="F1319" i="1" a="1"/>
  <c r="F1319" i="1"/>
  <c r="F1320" i="1" a="1"/>
  <c r="F1320" i="1"/>
  <c r="F1321" i="1" a="1"/>
  <c r="F1321" i="1"/>
  <c r="F1322" i="1" a="1"/>
  <c r="F1322" i="1"/>
  <c r="F1323" i="1" a="1"/>
  <c r="F1323" i="1"/>
  <c r="F1324" i="1" a="1"/>
  <c r="F1324" i="1"/>
  <c r="F1325" i="1" a="1"/>
  <c r="F1325" i="1" s="1"/>
  <c r="F1326" i="1" a="1"/>
  <c r="F1326" i="1" s="1"/>
  <c r="F1327" i="1" a="1"/>
  <c r="F1327" i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/>
  <c r="F1333" i="1" a="1"/>
  <c r="F1333" i="1" s="1"/>
  <c r="F1334" i="1" a="1"/>
  <c r="F1334" i="1" s="1"/>
  <c r="F1335" i="1" a="1"/>
  <c r="F1335" i="1" s="1"/>
  <c r="F1336" i="1" a="1"/>
  <c r="F1336" i="1"/>
  <c r="F1337" i="1" a="1"/>
  <c r="F1337" i="1" s="1"/>
  <c r="F1338" i="1" a="1"/>
  <c r="F1338" i="1"/>
  <c r="F1339" i="1" a="1"/>
  <c r="F1339" i="1" s="1"/>
  <c r="F1340" i="1" a="1"/>
  <c r="F1340" i="1"/>
  <c r="F1341" i="1" a="1"/>
  <c r="F1341" i="1"/>
  <c r="F1342" i="1" a="1"/>
  <c r="F1342" i="1"/>
  <c r="F1343" i="1" a="1"/>
  <c r="F1343" i="1"/>
  <c r="F1344" i="1" a="1"/>
  <c r="F1344" i="1"/>
  <c r="F1345" i="1" a="1"/>
  <c r="F1345" i="1" s="1"/>
  <c r="F1346" i="1" a="1"/>
  <c r="F1346" i="1" s="1"/>
  <c r="F1347" i="1" a="1"/>
  <c r="F1347" i="1" s="1"/>
  <c r="F1348" i="1" a="1"/>
  <c r="F1348" i="1"/>
  <c r="F1349" i="1" a="1"/>
  <c r="F1349" i="1" s="1"/>
  <c r="F1350" i="1" a="1"/>
  <c r="F1350" i="1" s="1"/>
  <c r="F1351" i="1" a="1"/>
  <c r="F1351" i="1" s="1"/>
  <c r="F1352" i="1" a="1"/>
  <c r="F1352" i="1" s="1"/>
  <c r="F1353" i="1" a="1"/>
  <c r="F1353" i="1"/>
  <c r="F1354" i="1" a="1"/>
  <c r="F1354" i="1" s="1"/>
  <c r="F1355" i="1" a="1"/>
  <c r="F1355" i="1" s="1"/>
  <c r="F1356" i="1" a="1"/>
  <c r="F1356" i="1"/>
  <c r="F1357" i="1" a="1"/>
  <c r="F1357" i="1"/>
  <c r="F1358" i="1" a="1"/>
  <c r="F1358" i="1" s="1"/>
  <c r="F1359" i="1" a="1"/>
  <c r="F1359" i="1"/>
  <c r="F1360" i="1" a="1"/>
  <c r="F1360" i="1" s="1"/>
  <c r="F1361" i="1" a="1"/>
  <c r="F1361" i="1"/>
  <c r="F1362" i="1" a="1"/>
  <c r="F1362" i="1"/>
  <c r="F1363" i="1" a="1"/>
  <c r="F1363" i="1"/>
  <c r="F1364" i="1" a="1"/>
  <c r="F1364" i="1"/>
  <c r="F1365" i="1" a="1"/>
  <c r="F1365" i="1" s="1"/>
  <c r="F1366" i="1" a="1"/>
  <c r="F1366" i="1" s="1"/>
  <c r="F1367" i="1" a="1"/>
  <c r="F1367" i="1" s="1"/>
  <c r="F1368" i="1" a="1"/>
  <c r="F1368" i="1" s="1"/>
  <c r="F1369" i="1" a="1"/>
  <c r="F1369" i="1"/>
  <c r="F1370" i="1" a="1"/>
  <c r="F1370" i="1" s="1"/>
  <c r="F1371" i="1" a="1"/>
  <c r="F1371" i="1" s="1"/>
  <c r="F1372" i="1" a="1"/>
  <c r="F1372" i="1" s="1"/>
  <c r="F1373" i="1" a="1"/>
  <c r="F1373" i="1" s="1"/>
  <c r="F1374" i="1" a="1"/>
  <c r="F1374" i="1"/>
  <c r="F1375" i="1" a="1"/>
  <c r="F1375" i="1" s="1"/>
  <c r="F1376" i="1" a="1"/>
  <c r="F1376" i="1"/>
  <c r="F1377" i="1" a="1"/>
  <c r="F1377" i="1"/>
  <c r="F1378" i="1" a="1"/>
  <c r="F1378" i="1"/>
  <c r="F1379" i="1" a="1"/>
  <c r="F1379" i="1" s="1"/>
  <c r="F1380" i="1" a="1"/>
  <c r="F1380" i="1"/>
  <c r="F1381" i="1" a="1"/>
  <c r="F1381" i="1" s="1"/>
  <c r="F1382" i="1" a="1"/>
  <c r="F1382" i="1"/>
  <c r="F1383" i="1" a="1"/>
  <c r="F1383" i="1"/>
  <c r="F1384" i="1" a="1"/>
  <c r="F1384" i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/>
  <c r="F1397" i="1" a="1"/>
  <c r="F1397" i="1"/>
  <c r="F1398" i="1" a="1"/>
  <c r="F1398" i="1"/>
  <c r="F1399" i="1" a="1"/>
  <c r="F1399" i="1"/>
  <c r="F1400" i="1" a="1"/>
  <c r="F1400" i="1" s="1"/>
  <c r="F1401" i="1" a="1"/>
  <c r="F1401" i="1"/>
  <c r="F1402" i="1" a="1"/>
  <c r="F1402" i="1" s="1"/>
  <c r="F1403" i="1" a="1"/>
  <c r="F1403" i="1"/>
  <c r="F1404" i="1" a="1"/>
  <c r="F1404" i="1"/>
  <c r="F1405" i="1" a="1"/>
  <c r="F1405" i="1" s="1"/>
  <c r="F1406" i="1" a="1"/>
  <c r="F1406" i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/>
  <c r="F1417" i="1" a="1"/>
  <c r="F1417" i="1"/>
  <c r="F1418" i="1" a="1"/>
  <c r="F1418" i="1"/>
  <c r="F1419" i="1" a="1"/>
  <c r="F1419" i="1"/>
  <c r="F1420" i="1" a="1"/>
  <c r="F1420" i="1"/>
  <c r="F1421" i="1" a="1"/>
  <c r="F1421" i="1" s="1"/>
  <c r="F1422" i="1" a="1"/>
  <c r="F1422" i="1"/>
  <c r="F1423" i="1" a="1"/>
  <c r="F1423" i="1" s="1"/>
  <c r="F1424" i="1" a="1"/>
  <c r="F1424" i="1"/>
  <c r="F1425" i="1" a="1"/>
  <c r="F1425" i="1" s="1"/>
  <c r="F1426" i="1" a="1"/>
  <c r="F1426" i="1" s="1"/>
  <c r="F1427" i="1" a="1"/>
  <c r="F1427" i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/>
  <c r="F1433" i="1" a="1"/>
  <c r="F1433" i="1" s="1"/>
  <c r="F1434" i="1" a="1"/>
  <c r="F1434" i="1" s="1"/>
  <c r="F1435" i="1" a="1"/>
  <c r="F1435" i="1" s="1"/>
  <c r="F1436" i="1" a="1"/>
  <c r="F1436" i="1"/>
  <c r="F1437" i="1" a="1"/>
  <c r="F1437" i="1"/>
  <c r="F1438" i="1" a="1"/>
  <c r="F1438" i="1"/>
  <c r="F1439" i="1" a="1"/>
  <c r="F1439" i="1"/>
  <c r="F1440" i="1" a="1"/>
  <c r="F1440" i="1"/>
  <c r="F1441" i="1" a="1"/>
  <c r="F1441" i="1"/>
  <c r="F1442" i="1" a="1"/>
  <c r="F1442" i="1" s="1"/>
  <c r="F1443" i="1" a="1"/>
  <c r="F1443" i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/>
  <c r="F1449" i="1" a="1"/>
  <c r="F1449" i="1" s="1"/>
  <c r="F1450" i="1" a="1"/>
  <c r="F1450" i="1" s="1"/>
  <c r="F1451" i="1" a="1"/>
  <c r="F1451" i="1" s="1"/>
  <c r="F1452" i="1" a="1"/>
  <c r="F1452" i="1" s="1"/>
  <c r="F1453" i="1" a="1"/>
  <c r="F1453" i="1"/>
  <c r="F1454" i="1" a="1"/>
  <c r="F1454" i="1" s="1"/>
  <c r="F1455" i="1" a="1"/>
  <c r="F1455" i="1" s="1"/>
  <c r="F1456" i="1" a="1"/>
  <c r="F1456" i="1"/>
  <c r="F1457" i="1" a="1"/>
  <c r="F1457" i="1"/>
  <c r="F1458" i="1" a="1"/>
  <c r="F1458" i="1"/>
  <c r="F1459" i="1" a="1"/>
  <c r="F1459" i="1"/>
  <c r="F1460" i="1" a="1"/>
  <c r="F1460" i="1"/>
  <c r="F1461" i="1" a="1"/>
  <c r="F1461" i="1"/>
  <c r="F1462" i="1" a="1"/>
  <c r="F1462" i="1"/>
  <c r="F1463" i="1" a="1"/>
  <c r="F1463" i="1" s="1"/>
  <c r="F1464" i="1" a="1"/>
  <c r="F1464" i="1"/>
  <c r="F1465" i="1" a="1"/>
  <c r="F1465" i="1" s="1"/>
  <c r="F1466" i="1" a="1"/>
  <c r="F1466" i="1" s="1"/>
  <c r="F1467" i="1" a="1"/>
  <c r="F1467" i="1" s="1"/>
  <c r="F1468" i="1" a="1"/>
  <c r="F1468" i="1" s="1"/>
  <c r="F1469" i="1" a="1"/>
  <c r="F1469" i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/>
  <c r="F1475" i="1" a="1"/>
  <c r="F1475" i="1" s="1"/>
  <c r="F1476" i="1" a="1"/>
  <c r="F1476" i="1" s="1"/>
  <c r="F1477" i="1" a="1"/>
  <c r="F1477" i="1"/>
  <c r="F1478" i="1" a="1"/>
  <c r="F1478" i="1"/>
  <c r="F1479" i="1" a="1"/>
  <c r="F1479" i="1"/>
  <c r="F1480" i="1" a="1"/>
  <c r="F1480" i="1"/>
  <c r="F1481" i="1" a="1"/>
  <c r="F1481" i="1"/>
  <c r="F1482" i="1" a="1"/>
  <c r="F1482" i="1"/>
  <c r="F1483" i="1" a="1"/>
  <c r="F1483" i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/>
  <c r="F1491" i="1" a="1"/>
  <c r="F1491" i="1" s="1"/>
  <c r="F1492" i="1" a="1"/>
  <c r="F1492" i="1" s="1"/>
  <c r="F1493" i="1" a="1"/>
  <c r="F1493" i="1" s="1"/>
  <c r="F1494" i="1" a="1"/>
  <c r="F1494" i="1" s="1"/>
  <c r="F1495" i="1" a="1"/>
  <c r="F1495" i="1" s="1"/>
  <c r="F1496" i="1" a="1"/>
  <c r="F1496" i="1"/>
  <c r="F1497" i="1" a="1"/>
  <c r="F1497" i="1" s="1"/>
  <c r="F1498" i="1" a="1"/>
  <c r="F1498" i="1"/>
  <c r="F1499" i="1" a="1"/>
  <c r="F1499" i="1"/>
  <c r="F1500" i="1" a="1"/>
  <c r="F1500" i="1"/>
  <c r="F1501" i="1" a="1"/>
  <c r="F1501" i="1"/>
  <c r="F1502" i="1" a="1"/>
  <c r="F1502" i="1"/>
  <c r="F1503" i="1" a="1"/>
  <c r="F1503" i="1"/>
  <c r="F1504" i="1" a="1"/>
  <c r="F1504" i="1"/>
  <c r="F1505" i="1" a="1"/>
  <c r="F1505" i="1" s="1"/>
  <c r="F1506" i="1" a="1"/>
  <c r="F1506" i="1"/>
  <c r="F1507" i="1" a="1"/>
  <c r="F1507" i="1" s="1"/>
  <c r="F1508" i="1" a="1"/>
  <c r="F1508" i="1" s="1"/>
  <c r="F1509" i="1" a="1"/>
  <c r="F1509" i="1" s="1"/>
  <c r="F1510" i="1" a="1"/>
  <c r="F1510" i="1" s="1"/>
  <c r="F1511" i="1" a="1"/>
  <c r="F1511" i="1"/>
  <c r="F1512" i="1" a="1"/>
  <c r="F1512" i="1" s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/>
  <c r="F1518" i="1" a="1"/>
  <c r="F1518" i="1" s="1"/>
  <c r="F1519" i="1" a="1"/>
  <c r="F1519" i="1"/>
  <c r="F1520" i="1" a="1"/>
  <c r="F1520" i="1"/>
  <c r="F1521" i="1" a="1"/>
  <c r="F1521" i="1"/>
  <c r="F1522" i="1" a="1"/>
  <c r="F1522" i="1"/>
  <c r="F1523" i="1" a="1"/>
  <c r="F1523" i="1"/>
  <c r="F1524" i="1" a="1"/>
  <c r="F1524" i="1"/>
  <c r="F1525" i="1" a="1"/>
  <c r="F1525" i="1" s="1"/>
  <c r="F1526" i="1" a="1"/>
  <c r="F1526" i="1" s="1"/>
  <c r="F1527" i="1" a="1"/>
  <c r="F1527" i="1"/>
  <c r="F1528" i="1" a="1"/>
  <c r="F1528" i="1" s="1"/>
  <c r="F1529" i="1" a="1"/>
  <c r="F1529" i="1" s="1"/>
  <c r="F1530" i="1" a="1"/>
  <c r="F1530" i="1" s="1"/>
  <c r="F1531" i="1" a="1"/>
  <c r="F1531" i="1" s="1"/>
  <c r="F1532" i="1" a="1"/>
  <c r="F1532" i="1"/>
  <c r="F1533" i="1" a="1"/>
  <c r="F1533" i="1" s="1"/>
  <c r="F1534" i="1" a="1"/>
  <c r="F1534" i="1" s="1"/>
  <c r="F1535" i="1" a="1"/>
  <c r="F1535" i="1" s="1"/>
  <c r="F1536" i="1" a="1"/>
  <c r="F1536" i="1" s="1"/>
  <c r="F1537" i="1" a="1"/>
  <c r="F1537" i="1" s="1"/>
  <c r="F1538" i="1" a="1"/>
  <c r="F1538" i="1"/>
  <c r="F1539" i="1" a="1"/>
  <c r="F1539" i="1" s="1"/>
  <c r="F1540" i="1" a="1"/>
  <c r="F1540" i="1"/>
  <c r="F1541" i="1" a="1"/>
  <c r="F1541" i="1"/>
  <c r="F1542" i="1" a="1"/>
  <c r="F1542" i="1"/>
  <c r="F1543" i="1" a="1"/>
  <c r="F1543" i="1"/>
  <c r="F1544" i="1" a="1"/>
  <c r="F1544" i="1"/>
  <c r="F1545" i="1" a="1"/>
  <c r="F1545" i="1" s="1"/>
  <c r="F1546" i="1" a="1"/>
  <c r="F1546" i="1" s="1"/>
  <c r="F1547" i="1" a="1"/>
  <c r="F1547" i="1" s="1"/>
  <c r="F1548" i="1" a="1"/>
  <c r="F1548" i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/>
  <c r="F1554" i="1" a="1"/>
  <c r="F1554" i="1" s="1"/>
  <c r="F1555" i="1" a="1"/>
  <c r="F1555" i="1" s="1"/>
  <c r="F1556" i="1" a="1"/>
  <c r="F1556" i="1"/>
  <c r="F1557" i="1" a="1"/>
  <c r="F1557" i="1" s="1"/>
  <c r="F1558" i="1" a="1"/>
  <c r="F1558" i="1" s="1"/>
  <c r="F1559" i="1" a="1"/>
  <c r="F1559" i="1"/>
  <c r="F1560" i="1" a="1"/>
  <c r="F1560" i="1" s="1"/>
  <c r="F1561" i="1" a="1"/>
  <c r="F1561" i="1"/>
  <c r="F1562" i="1" a="1"/>
  <c r="F1562" i="1"/>
  <c r="F1563" i="1" a="1"/>
  <c r="F1563" i="1"/>
  <c r="F1564" i="1" a="1"/>
  <c r="F1564" i="1"/>
  <c r="F1565" i="1" a="1"/>
  <c r="F1565" i="1" s="1"/>
  <c r="F1566" i="1" a="1"/>
  <c r="F1566" i="1" s="1"/>
  <c r="F1567" i="1" a="1"/>
  <c r="F1567" i="1" s="1"/>
  <c r="F1568" i="1" a="1"/>
  <c r="F1568" i="1" s="1"/>
  <c r="F1569" i="1" a="1"/>
  <c r="F1569" i="1"/>
  <c r="F1570" i="1" a="1"/>
  <c r="F1570" i="1" s="1"/>
  <c r="F1571" i="1" a="1"/>
  <c r="F1571" i="1"/>
  <c r="F1572" i="1" a="1"/>
  <c r="F1572" i="1" s="1"/>
  <c r="F1573" i="1" a="1"/>
  <c r="F1573" i="1" s="1"/>
  <c r="F1574" i="1" a="1"/>
  <c r="F1574" i="1"/>
  <c r="F1575" i="1" a="1"/>
  <c r="F1575" i="1" s="1"/>
  <c r="F1576" i="1" a="1"/>
  <c r="F1576" i="1" s="1"/>
  <c r="F1577" i="1" a="1"/>
  <c r="F1577" i="1"/>
  <c r="F1578" i="1" a="1"/>
  <c r="F1578" i="1"/>
  <c r="F1579" i="1" a="1"/>
  <c r="F1579" i="1" s="1"/>
  <c r="F1580" i="1" a="1"/>
  <c r="F1580" i="1" s="1"/>
  <c r="F1581" i="1" a="1"/>
  <c r="F1581" i="1" s="1"/>
  <c r="F1582" i="1" a="1"/>
  <c r="F1582" i="1"/>
  <c r="F1583" i="1" a="1"/>
  <c r="F1583" i="1"/>
  <c r="F1584" i="1" a="1"/>
  <c r="F1584" i="1"/>
  <c r="F1585" i="1" a="1"/>
  <c r="F1585" i="1" s="1"/>
  <c r="F1586" i="1" a="1"/>
  <c r="F1586" i="1"/>
  <c r="F1587" i="1" a="1"/>
  <c r="F1587" i="1" s="1"/>
  <c r="F1588" i="1" a="1"/>
  <c r="F1588" i="1" s="1"/>
  <c r="F1589" i="1" a="1"/>
  <c r="F1589" i="1" s="1"/>
  <c r="F1590" i="1" a="1"/>
  <c r="F1590" i="1"/>
  <c r="F1591" i="1" a="1"/>
  <c r="F1591" i="1" s="1"/>
  <c r="F1592" i="1" a="1"/>
  <c r="F1592" i="1" s="1"/>
  <c r="F1593" i="1" a="1"/>
  <c r="F1593" i="1"/>
  <c r="F1594" i="1" a="1"/>
  <c r="F1594" i="1" s="1"/>
  <c r="F1595" i="1" a="1"/>
  <c r="F1595" i="1" s="1"/>
  <c r="F1596" i="1" a="1"/>
  <c r="F1596" i="1"/>
  <c r="F1597" i="1" a="1"/>
  <c r="F1597" i="1" s="1"/>
  <c r="F1598" i="1" a="1"/>
  <c r="F1598" i="1"/>
  <c r="F1599" i="1" a="1"/>
  <c r="F1599" i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/>
  <c r="F1617" i="1" a="1"/>
  <c r="F1617" i="1" s="1"/>
  <c r="F1618" i="1" a="1"/>
  <c r="F1618" i="1"/>
  <c r="F1619" i="1" a="1"/>
  <c r="F1619" i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/>
  <c r="F1630" i="1" a="1"/>
  <c r="F1630" i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 s="1"/>
  <c r="F1637" i="1" a="1"/>
  <c r="F1637" i="1"/>
  <c r="F1638" i="1" a="1"/>
  <c r="F1638" i="1" s="1"/>
  <c r="F1639" i="1" a="1"/>
  <c r="F1639" i="1"/>
  <c r="F1640" i="1" a="1"/>
  <c r="F1640" i="1" s="1"/>
  <c r="F1641" i="1" a="1"/>
  <c r="F1641" i="1"/>
  <c r="F1642" i="1" a="1"/>
  <c r="F1642" i="1"/>
  <c r="F1643" i="1" a="1"/>
  <c r="F1643" i="1"/>
  <c r="F1644" i="1" a="1"/>
  <c r="F1644" i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/>
  <c r="F1655" i="1" a="1"/>
  <c r="F1655" i="1" s="1"/>
  <c r="F1656" i="1" a="1"/>
  <c r="F1656" i="1"/>
  <c r="F1657" i="1" a="1"/>
  <c r="F1657" i="1" s="1"/>
  <c r="F1658" i="1" a="1"/>
  <c r="F1658" i="1"/>
  <c r="F1659" i="1" a="1"/>
  <c r="F1659" i="1"/>
  <c r="F1660" i="1" a="1"/>
  <c r="F1660" i="1" s="1"/>
  <c r="F1661" i="1" a="1"/>
  <c r="F1661" i="1"/>
  <c r="F1662" i="1" a="1"/>
  <c r="F1662" i="1"/>
  <c r="F1663" i="1" a="1"/>
  <c r="F1663" i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/>
  <c r="F1676" i="1" a="1"/>
  <c r="F1676" i="1" s="1"/>
  <c r="F1677" i="1" a="1"/>
  <c r="F1677" i="1" s="1"/>
  <c r="F1678" i="1" a="1"/>
  <c r="F1678" i="1" s="1"/>
  <c r="F1679" i="1" a="1"/>
  <c r="F1679" i="1"/>
  <c r="F1680" i="1" a="1"/>
  <c r="F1680" i="1"/>
  <c r="F1681" i="1" a="1"/>
  <c r="F1681" i="1" s="1"/>
  <c r="F1682" i="1" a="1"/>
  <c r="F1682" i="1"/>
  <c r="F1683" i="1" a="1"/>
  <c r="F1683" i="1"/>
  <c r="F1684" i="1" a="1"/>
  <c r="F1684" i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/>
  <c r="F1697" i="1" a="1"/>
  <c r="F1697" i="1" s="1"/>
  <c r="F1698" i="1" a="1"/>
  <c r="F1698" i="1" s="1"/>
  <c r="F1699" i="1" a="1"/>
  <c r="F1699" i="1" s="1"/>
  <c r="F1700" i="1" a="1"/>
  <c r="F1700" i="1"/>
  <c r="F1701" i="1" a="1"/>
  <c r="F1701" i="1"/>
  <c r="F1702" i="1" a="1"/>
  <c r="F1702" i="1" s="1"/>
  <c r="F1703" i="1" a="1"/>
  <c r="F1703" i="1"/>
  <c r="F1704" i="1" a="1"/>
  <c r="F1704" i="1"/>
  <c r="F1705" i="1" a="1"/>
  <c r="F1705" i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 s="1"/>
  <c r="F1720" i="1" a="1"/>
  <c r="F1720" i="1" s="1"/>
  <c r="F1721" i="1" a="1"/>
  <c r="F1721" i="1"/>
  <c r="F1722" i="1" a="1"/>
  <c r="F1722" i="1"/>
  <c r="F1723" i="1" a="1"/>
  <c r="F1723" i="1" s="1"/>
  <c r="F1724" i="1" a="1"/>
  <c r="F1724" i="1"/>
  <c r="F1725" i="1" a="1"/>
  <c r="F1725" i="1"/>
  <c r="F1726" i="1" a="1"/>
  <c r="F1726" i="1"/>
  <c r="F1727" i="1" a="1"/>
  <c r="F1727" i="1" s="1"/>
  <c r="F1728" i="1" a="1"/>
  <c r="F1728" i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 s="1"/>
  <c r="F1742" i="1" a="1"/>
  <c r="F1742" i="1"/>
  <c r="F1743" i="1" a="1"/>
  <c r="F1743" i="1"/>
  <c r="F1744" i="1" a="1"/>
  <c r="F1744" i="1" s="1"/>
  <c r="F1745" i="1" a="1"/>
  <c r="F1745" i="1"/>
  <c r="F1746" i="1" a="1"/>
  <c r="F1746" i="1"/>
  <c r="F1747" i="1" a="1"/>
  <c r="F1747" i="1" s="1"/>
  <c r="F1748" i="1" a="1"/>
  <c r="F1748" i="1" s="1"/>
  <c r="F1749" i="1" a="1"/>
  <c r="F1749" i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/>
  <c r="F1764" i="1" a="1"/>
  <c r="F1764" i="1"/>
  <c r="F1765" i="1" a="1"/>
  <c r="F1765" i="1" s="1"/>
  <c r="F1766" i="1" a="1"/>
  <c r="F1766" i="1"/>
  <c r="F1767" i="1" a="1"/>
  <c r="F1767" i="1" s="1"/>
  <c r="F1768" i="1" a="1"/>
  <c r="F1768" i="1" s="1"/>
  <c r="F1769" i="1" a="1"/>
  <c r="F1769" i="1" s="1"/>
  <c r="F1770" i="1" a="1"/>
  <c r="F1770" i="1"/>
  <c r="F1771" i="1" a="1"/>
  <c r="F1771" i="1" s="1"/>
  <c r="F1772" i="1" a="1"/>
  <c r="F1772" i="1" s="1"/>
  <c r="F1773" i="1" a="1"/>
  <c r="F1773" i="1" s="1"/>
  <c r="F1774" i="1" a="1"/>
  <c r="F1774" i="1" s="1"/>
  <c r="F1775" i="1" a="1"/>
  <c r="F1775" i="1" s="1"/>
  <c r="F1776" i="1" a="1"/>
  <c r="F1776" i="1" s="1"/>
  <c r="F1777" i="1" a="1"/>
  <c r="F1777" i="1" s="1"/>
  <c r="F1778" i="1" a="1"/>
  <c r="F1778" i="1"/>
  <c r="F1779" i="1" a="1"/>
  <c r="F1779" i="1" s="1"/>
  <c r="F1780" i="1" a="1"/>
  <c r="F1780" i="1" s="1"/>
  <c r="F1781" i="1" a="1"/>
  <c r="F1781" i="1" s="1"/>
  <c r="F1782" i="1" a="1"/>
  <c r="F1782" i="1"/>
  <c r="F1783" i="1" a="1"/>
  <c r="F1783" i="1" s="1"/>
  <c r="F1784" i="1" a="1"/>
  <c r="F1784" i="1"/>
  <c r="F1785" i="1" a="1"/>
  <c r="F1785" i="1"/>
  <c r="F1786" i="1" a="1"/>
  <c r="F1786" i="1" s="1"/>
  <c r="F1787" i="1" a="1"/>
  <c r="F1787" i="1" s="1"/>
  <c r="F1788" i="1" a="1"/>
  <c r="F1788" i="1" s="1"/>
  <c r="F1789" i="1" a="1"/>
  <c r="F1789" i="1" s="1"/>
  <c r="F1790" i="1" a="1"/>
  <c r="F1790" i="1" s="1"/>
  <c r="F1791" i="1" a="1"/>
  <c r="F1791" i="1"/>
  <c r="F1792" i="1" a="1"/>
  <c r="F1792" i="1" s="1"/>
  <c r="F1793" i="1" a="1"/>
  <c r="F1793" i="1" s="1"/>
  <c r="F1794" i="1" a="1"/>
  <c r="F1794" i="1" s="1"/>
  <c r="F1795" i="1" a="1"/>
  <c r="F1795" i="1" s="1"/>
  <c r="F1796" i="1" a="1"/>
  <c r="F1796" i="1" s="1"/>
  <c r="F1797" i="1" a="1"/>
  <c r="F1797" i="1" s="1"/>
  <c r="F1798" i="1" a="1"/>
  <c r="F1798" i="1"/>
  <c r="F1799" i="1" a="1"/>
  <c r="F1799" i="1"/>
  <c r="F1800" i="1" a="1"/>
  <c r="F1800" i="1" s="1"/>
  <c r="F1801" i="1" a="1"/>
  <c r="F1801" i="1" s="1"/>
  <c r="F1802" i="1" a="1"/>
  <c r="F1802" i="1" s="1"/>
  <c r="F1803" i="1" a="1"/>
  <c r="F1803" i="1" s="1"/>
  <c r="F1804" i="1" a="1"/>
  <c r="F1804" i="1" s="1"/>
  <c r="F1805" i="1" a="1"/>
  <c r="F1805" i="1"/>
  <c r="F1806" i="1" a="1"/>
  <c r="F1806" i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/>
  <c r="F1813" i="1" a="1"/>
  <c r="F1813" i="1" s="1"/>
  <c r="F1814" i="1" a="1"/>
  <c r="F1814" i="1"/>
  <c r="F1815" i="1" a="1"/>
  <c r="F1815" i="1" s="1"/>
  <c r="F1816" i="1" a="1"/>
  <c r="F1816" i="1" s="1"/>
  <c r="F1817" i="1" a="1"/>
  <c r="F1817" i="1" s="1"/>
  <c r="F1818" i="1" a="1"/>
  <c r="F1818" i="1" s="1"/>
  <c r="F1819" i="1" a="1"/>
  <c r="F1819" i="1"/>
  <c r="F1820" i="1" a="1"/>
  <c r="F1820" i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/>
  <c r="F1827" i="1" a="1"/>
  <c r="F1827" i="1" s="1"/>
  <c r="F1828" i="1" a="1"/>
  <c r="F1828" i="1" s="1"/>
  <c r="F1829" i="1" a="1"/>
  <c r="F1829" i="1" s="1"/>
  <c r="F1830" i="1" a="1"/>
  <c r="F1830" i="1" s="1"/>
  <c r="F1831" i="1" a="1"/>
  <c r="F1831" i="1" s="1"/>
  <c r="F1832" i="1" a="1"/>
  <c r="F1832" i="1"/>
  <c r="F1833" i="1" a="1"/>
  <c r="F1833" i="1"/>
  <c r="F1834" i="1" a="1"/>
  <c r="F1834" i="1" s="1"/>
  <c r="F1835" i="1" a="1"/>
  <c r="F1835" i="1"/>
  <c r="F1836" i="1" a="1"/>
  <c r="F1836" i="1" s="1"/>
  <c r="F1837" i="1" a="1"/>
  <c r="F1837" i="1" s="1"/>
  <c r="F1838" i="1" a="1"/>
  <c r="F1838" i="1"/>
  <c r="F1839" i="1" a="1"/>
  <c r="F1839" i="1" s="1"/>
  <c r="F1840" i="1" a="1"/>
  <c r="F1840" i="1"/>
  <c r="F1841" i="1" a="1"/>
  <c r="F1841" i="1"/>
  <c r="F1842" i="1" a="1"/>
  <c r="F1842" i="1" s="1"/>
  <c r="F1843" i="1" a="1"/>
  <c r="F1843" i="1" s="1"/>
  <c r="F1844" i="1" a="1"/>
  <c r="F1844" i="1" s="1"/>
  <c r="F1845" i="1" a="1"/>
  <c r="F1845" i="1"/>
  <c r="F1846" i="1" a="1"/>
  <c r="F1846" i="1" s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 s="1"/>
  <c r="F1852" i="1" a="1"/>
  <c r="F1852" i="1" s="1"/>
  <c r="F1853" i="1" a="1"/>
  <c r="F1853" i="1"/>
  <c r="F1854" i="1" a="1"/>
  <c r="F1854" i="1"/>
  <c r="F1855" i="1" a="1"/>
  <c r="F1855" i="1" s="1"/>
  <c r="F1856" i="1" a="1"/>
  <c r="F1856" i="1"/>
  <c r="F1857" i="1" a="1"/>
  <c r="F1857" i="1" s="1"/>
  <c r="F1858" i="1" a="1"/>
  <c r="F1858" i="1"/>
  <c r="F1859" i="1" a="1"/>
  <c r="F1859" i="1"/>
  <c r="F1860" i="1" a="1"/>
  <c r="F1860" i="1" s="1"/>
  <c r="F1861" i="1" a="1"/>
  <c r="F1861" i="1"/>
  <c r="F1862" i="1" a="1"/>
  <c r="F1862" i="1"/>
  <c r="F1863" i="1" a="1"/>
  <c r="F1863" i="1" s="1"/>
  <c r="F1864" i="1" a="1"/>
  <c r="F1864" i="1" s="1"/>
  <c r="F1865" i="1" a="1"/>
  <c r="F1865" i="1" s="1"/>
  <c r="F1866" i="1" a="1"/>
  <c r="F1866" i="1"/>
  <c r="F1867" i="1" a="1"/>
  <c r="F1867" i="1" s="1"/>
  <c r="F1868" i="1" a="1"/>
  <c r="F1868" i="1" s="1"/>
  <c r="F1869" i="1" a="1"/>
  <c r="F1869" i="1" s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/>
  <c r="F1875" i="1" a="1"/>
  <c r="F1875" i="1"/>
  <c r="F1876" i="1" a="1"/>
  <c r="F1876" i="1" s="1"/>
  <c r="F1877" i="1" a="1"/>
  <c r="F1877" i="1" s="1"/>
  <c r="F1878" i="1" a="1"/>
  <c r="F1878" i="1" s="1"/>
  <c r="F1879" i="1" a="1"/>
  <c r="F1879" i="1"/>
  <c r="F1880" i="1" a="1"/>
  <c r="F1880" i="1"/>
  <c r="F1881" i="1" a="1"/>
  <c r="F1881" i="1" s="1"/>
  <c r="F1882" i="1" a="1"/>
  <c r="F1882" i="1"/>
  <c r="F1883" i="1" a="1"/>
  <c r="F1883" i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/>
  <c r="F1896" i="1" a="1"/>
  <c r="F1896" i="1"/>
  <c r="F1897" i="1" a="1"/>
  <c r="F1897" i="1" s="1"/>
  <c r="F1898" i="1" a="1"/>
  <c r="F1898" i="1"/>
  <c r="F1899" i="1" a="1"/>
  <c r="F1899" i="1" s="1"/>
  <c r="F1900" i="1" a="1"/>
  <c r="F1900" i="1"/>
  <c r="F1901" i="1" a="1"/>
  <c r="F1901" i="1"/>
  <c r="F1902" i="1" a="1"/>
  <c r="F1902" i="1" s="1"/>
  <c r="F1903" i="1" a="1"/>
  <c r="F1903" i="1"/>
  <c r="F1904" i="1" a="1"/>
  <c r="F1904" i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/>
  <c r="F1910" i="1" a="1"/>
  <c r="F1910" i="1" s="1"/>
  <c r="F1911" i="1" a="1"/>
  <c r="F1911" i="1" s="1"/>
  <c r="F1912" i="1" a="1"/>
  <c r="F1912" i="1" s="1"/>
  <c r="F1913" i="1" a="1"/>
  <c r="F1913" i="1" s="1"/>
  <c r="F1914" i="1" a="1"/>
  <c r="F1914" i="1" s="1"/>
  <c r="F1915" i="1" a="1"/>
  <c r="F1915" i="1" s="1"/>
  <c r="F1916" i="1" a="1"/>
  <c r="F1916" i="1"/>
  <c r="F1917" i="1" a="1"/>
  <c r="F1917" i="1" s="1"/>
  <c r="F1918" i="1" a="1"/>
  <c r="F1918" i="1" s="1"/>
  <c r="F1919" i="1" a="1"/>
  <c r="F1919" i="1"/>
  <c r="F1920" i="1" a="1"/>
  <c r="F1920" i="1" s="1"/>
  <c r="F1921" i="1" a="1"/>
  <c r="F1921" i="1"/>
  <c r="F1922" i="1" a="1"/>
  <c r="F1922" i="1"/>
  <c r="F1923" i="1" a="1"/>
  <c r="F1923" i="1" s="1"/>
  <c r="F1924" i="1" a="1"/>
  <c r="F1924" i="1"/>
  <c r="F1925" i="1" a="1"/>
  <c r="F1925" i="1"/>
  <c r="F1926" i="1" a="1"/>
  <c r="F1926" i="1" s="1"/>
  <c r="F1927" i="1" a="1"/>
  <c r="F1927" i="1" s="1"/>
  <c r="F1928" i="1" a="1"/>
  <c r="F1928" i="1"/>
  <c r="F1929" i="1" a="1"/>
  <c r="F1929" i="1" s="1"/>
  <c r="F1930" i="1" a="1"/>
  <c r="F1930" i="1"/>
  <c r="F1931" i="1" a="1"/>
  <c r="F1931" i="1" s="1"/>
  <c r="F1932" i="1" a="1"/>
  <c r="F1932" i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/>
  <c r="F1941" i="1" a="1"/>
  <c r="F1941" i="1" s="1"/>
  <c r="F1942" i="1" a="1"/>
  <c r="F1942" i="1" s="1"/>
  <c r="F1943" i="1" a="1"/>
  <c r="F1943" i="1"/>
  <c r="F1944" i="1" a="1"/>
  <c r="F1944" i="1" s="1"/>
  <c r="F1945" i="1" a="1"/>
  <c r="F1945" i="1"/>
  <c r="F1946" i="1" a="1"/>
  <c r="F1946" i="1"/>
  <c r="F1947" i="1" a="1"/>
  <c r="F1947" i="1" s="1"/>
  <c r="F1948" i="1" a="1"/>
  <c r="F1948" i="1"/>
  <c r="F1949" i="1" a="1"/>
  <c r="F1949" i="1"/>
  <c r="F1950" i="1" a="1"/>
  <c r="F1950" i="1" s="1"/>
  <c r="F1951" i="1" a="1"/>
  <c r="F1951" i="1"/>
  <c r="F1952" i="1" a="1"/>
  <c r="F1952" i="1" s="1"/>
  <c r="F1953" i="1" a="1"/>
  <c r="F1953" i="1"/>
  <c r="F1954" i="1" a="1"/>
  <c r="F1954" i="1" s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 s="1"/>
  <c r="F1961" i="1" a="1"/>
  <c r="F1961" i="1"/>
  <c r="F1962" i="1" a="1"/>
  <c r="F1962" i="1" s="1"/>
  <c r="F1963" i="1" a="1"/>
  <c r="F1963" i="1" s="1"/>
  <c r="F1964" i="1" a="1"/>
  <c r="F1964" i="1"/>
  <c r="F1965" i="1" a="1"/>
  <c r="F1965" i="1" s="1"/>
  <c r="F1966" i="1" a="1"/>
  <c r="F1966" i="1"/>
  <c r="F1967" i="1" a="1"/>
  <c r="F1967" i="1" s="1"/>
  <c r="F1968" i="1" a="1"/>
  <c r="F1968" i="1" s="1"/>
  <c r="F1969" i="1" a="1"/>
  <c r="F1969" i="1"/>
  <c r="F1970" i="1" a="1"/>
  <c r="F1970" i="1"/>
  <c r="F1971" i="1" a="1"/>
  <c r="F1971" i="1" s="1"/>
  <c r="F1972" i="1" a="1"/>
  <c r="F1972" i="1" s="1"/>
  <c r="F1973" i="1" a="1"/>
  <c r="F1973" i="1" s="1"/>
  <c r="F1974" i="1" a="1"/>
  <c r="F1974" i="1"/>
  <c r="F1975" i="1" a="1"/>
  <c r="F1975" i="1" s="1"/>
  <c r="F1976" i="1" a="1"/>
  <c r="F1976" i="1" s="1"/>
  <c r="F1977" i="1" a="1"/>
  <c r="F1977" i="1" s="1"/>
  <c r="F1978" i="1" a="1"/>
  <c r="F1978" i="1"/>
  <c r="F1979" i="1" a="1"/>
  <c r="F1979" i="1" s="1"/>
  <c r="F1980" i="1" a="1"/>
  <c r="F1980" i="1" s="1"/>
  <c r="F1981" i="1" a="1"/>
  <c r="F1981" i="1" s="1"/>
  <c r="F1982" i="1" a="1"/>
  <c r="F1982" i="1"/>
  <c r="F1983" i="1" a="1"/>
  <c r="F1983" i="1" s="1"/>
  <c r="F1984" i="1" a="1"/>
  <c r="F1984" i="1" s="1"/>
  <c r="F1985" i="1" a="1"/>
  <c r="F1985" i="1"/>
  <c r="F1986" i="1" a="1"/>
  <c r="F1986" i="1" s="1"/>
  <c r="F1987" i="1" a="1"/>
  <c r="F1987" i="1" s="1"/>
  <c r="F1988" i="1" a="1"/>
  <c r="F1988" i="1" s="1"/>
  <c r="F1989" i="1" a="1"/>
  <c r="F1989" i="1" s="1"/>
  <c r="F1990" i="1" a="1"/>
  <c r="F1990" i="1"/>
  <c r="F1991" i="1" a="1"/>
  <c r="F1991" i="1"/>
  <c r="F1992" i="1" a="1"/>
  <c r="F1992" i="1" s="1"/>
  <c r="F1993" i="1" a="1"/>
  <c r="F1993" i="1"/>
  <c r="F1994" i="1" a="1"/>
  <c r="F1994" i="1" s="1"/>
  <c r="F1995" i="1" a="1"/>
  <c r="F1995" i="1"/>
  <c r="F1996" i="1" a="1"/>
  <c r="F1996" i="1" s="1"/>
  <c r="F1997" i="1" a="1"/>
  <c r="F1997" i="1" s="1"/>
  <c r="F1998" i="1" a="1"/>
  <c r="F1998" i="1"/>
  <c r="F1999" i="1" a="1"/>
  <c r="F1999" i="1"/>
  <c r="F2000" i="1" a="1"/>
  <c r="F2000" i="1" s="1"/>
  <c r="F2001" i="1" a="1"/>
  <c r="F2001" i="1" s="1"/>
  <c r="F2002" i="1" a="1"/>
  <c r="F2002" i="1" s="1"/>
  <c r="F2003" i="1" a="1"/>
  <c r="F2003" i="1"/>
  <c r="F2004" i="1" a="1"/>
  <c r="F2004" i="1" s="1"/>
  <c r="F2005" i="1" a="1"/>
  <c r="F2005" i="1" s="1"/>
  <c r="F2006" i="1" a="1"/>
  <c r="F2006" i="1"/>
  <c r="F2007" i="1" a="1"/>
  <c r="F2007" i="1" s="1"/>
  <c r="F2008" i="1" a="1"/>
  <c r="F2008" i="1" s="1"/>
  <c r="F2009" i="1" a="1"/>
  <c r="F2009" i="1" s="1"/>
  <c r="F2010" i="1" a="1"/>
  <c r="F2010" i="1" s="1"/>
  <c r="F2011" i="1" a="1"/>
  <c r="F2011" i="1"/>
  <c r="F2012" i="1" a="1"/>
  <c r="F2012" i="1"/>
  <c r="F2013" i="1" a="1"/>
  <c r="F2013" i="1" s="1"/>
  <c r="F2014" i="1" a="1"/>
  <c r="F2014" i="1" s="1"/>
  <c r="F2015" i="1" a="1"/>
  <c r="F2015" i="1" s="1"/>
  <c r="F2016" i="1" a="1"/>
  <c r="F2016" i="1"/>
  <c r="F2017" i="1" a="1"/>
  <c r="F2017" i="1" s="1"/>
  <c r="F2018" i="1" a="1"/>
  <c r="F2018" i="1" s="1"/>
  <c r="F2019" i="1" a="1"/>
  <c r="F2019" i="1"/>
  <c r="F2020" i="1" a="1"/>
  <c r="F2020" i="1"/>
  <c r="F2021" i="1" a="1"/>
  <c r="F2021" i="1" s="1"/>
  <c r="F2022" i="1" a="1"/>
  <c r="F2022" i="1" s="1"/>
  <c r="F2023" i="1" a="1"/>
  <c r="F2023" i="1" s="1"/>
  <c r="F2024" i="1" a="1"/>
  <c r="F2024" i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/>
  <c r="F2033" i="1" a="1"/>
  <c r="F2033" i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/>
  <c r="F2039" i="1" a="1"/>
  <c r="F2039" i="1"/>
  <c r="F2040" i="1" a="1"/>
  <c r="F2040" i="1"/>
  <c r="F2041" i="1" a="1"/>
  <c r="F2041" i="1"/>
  <c r="F2042" i="1" a="1"/>
  <c r="F2042" i="1" s="1"/>
  <c r="F2043" i="1" a="1"/>
  <c r="F2043" i="1" s="1"/>
  <c r="F2044" i="1" a="1"/>
  <c r="F2044" i="1" s="1"/>
  <c r="F2045" i="1" a="1"/>
  <c r="F2045" i="1"/>
  <c r="F2046" i="1" a="1"/>
  <c r="F2046" i="1" s="1"/>
  <c r="F2047" i="1" a="1"/>
  <c r="F2047" i="1" s="1"/>
  <c r="F2048" i="1" a="1"/>
  <c r="F2048" i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/>
  <c r="F2054" i="1" a="1"/>
  <c r="F2054" i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/>
  <c r="F2060" i="1" a="1"/>
  <c r="F2060" i="1"/>
  <c r="F2061" i="1" a="1"/>
  <c r="F2061" i="1"/>
  <c r="F2062" i="1" a="1"/>
  <c r="F2062" i="1"/>
  <c r="F2063" i="1" a="1"/>
  <c r="F2063" i="1" s="1"/>
  <c r="F2064" i="1" a="1"/>
  <c r="F2064" i="1" s="1"/>
  <c r="F2065" i="1" a="1"/>
  <c r="F2065" i="1" s="1"/>
  <c r="F2066" i="1" a="1"/>
  <c r="F2066" i="1"/>
  <c r="F2067" i="1" a="1"/>
  <c r="F2067" i="1" s="1"/>
  <c r="F2068" i="1" a="1"/>
  <c r="F2068" i="1" s="1"/>
  <c r="F2069" i="1" a="1"/>
  <c r="F2069" i="1"/>
  <c r="F2070" i="1" a="1"/>
  <c r="F2070" i="1" s="1"/>
  <c r="F2071" i="1" a="1"/>
  <c r="F2071" i="1" s="1"/>
  <c r="F2072" i="1" a="1"/>
  <c r="F2072" i="1" s="1"/>
  <c r="F2073" i="1" a="1"/>
  <c r="F2073" i="1" s="1"/>
  <c r="F2074" i="1" a="1"/>
  <c r="F2074" i="1"/>
  <c r="F2075" i="1" a="1"/>
  <c r="F2075" i="1"/>
  <c r="F2076" i="1" a="1"/>
  <c r="F2076" i="1" s="1"/>
  <c r="F2077" i="1" a="1"/>
  <c r="F2077" i="1" s="1"/>
  <c r="F2078" i="1" a="1"/>
  <c r="F2078" i="1"/>
  <c r="F2079" i="1" a="1"/>
  <c r="F2079" i="1" s="1"/>
  <c r="F2080" i="1" a="1"/>
  <c r="F2080" i="1"/>
  <c r="F2081" i="1" a="1"/>
  <c r="F2081" i="1"/>
  <c r="F2082" i="1" a="1"/>
  <c r="F2082" i="1"/>
  <c r="F2083" i="1" a="1"/>
  <c r="F2083" i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 s="1"/>
  <c r="F2089" i="1" a="1"/>
  <c r="F2089" i="1" s="1"/>
  <c r="F2090" i="1" a="1"/>
  <c r="F2090" i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/>
  <c r="F2096" i="1" a="1"/>
  <c r="F2096" i="1"/>
  <c r="F2097" i="1" a="1"/>
  <c r="F2097" i="1" s="1"/>
  <c r="F2098" i="1" a="1"/>
  <c r="F2098" i="1"/>
  <c r="F2099" i="1" a="1"/>
  <c r="F2099" i="1" s="1"/>
  <c r="F2100" i="1" a="1"/>
  <c r="F2100" i="1" s="1"/>
  <c r="F2101" i="1" a="1"/>
  <c r="F2101" i="1"/>
  <c r="F2102" i="1" a="1"/>
  <c r="F2102" i="1"/>
  <c r="F2103" i="1" a="1"/>
  <c r="F2103" i="1"/>
  <c r="F2104" i="1" a="1"/>
  <c r="F2104" i="1"/>
  <c r="F2105" i="1" a="1"/>
  <c r="F2105" i="1"/>
  <c r="F2106" i="1" a="1"/>
  <c r="F2106" i="1" s="1"/>
  <c r="F2107" i="1" a="1"/>
  <c r="F2107" i="1" s="1"/>
  <c r="F2108" i="1" a="1"/>
  <c r="F2108" i="1" s="1"/>
  <c r="F2109" i="1" a="1"/>
  <c r="F2109" i="1" s="1"/>
  <c r="F2110" i="1" a="1"/>
  <c r="F2110" i="1" s="1"/>
  <c r="F2111" i="1" a="1"/>
  <c r="F2111" i="1"/>
  <c r="F2112" i="1" a="1"/>
  <c r="F2112" i="1" s="1"/>
  <c r="F2113" i="1" a="1"/>
  <c r="F2113" i="1" s="1"/>
  <c r="F2114" i="1" a="1"/>
  <c r="F2114" i="1" s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/>
  <c r="F2120" i="1" a="1"/>
  <c r="F2120" i="1" s="1"/>
  <c r="F2121" i="1" a="1"/>
  <c r="F2121" i="1"/>
  <c r="F2122" i="1" a="1"/>
  <c r="F2122" i="1" s="1"/>
  <c r="F2123" i="1" a="1"/>
  <c r="F2123" i="1" s="1"/>
  <c r="F2124" i="1" a="1"/>
  <c r="F2124" i="1"/>
  <c r="F2125" i="1" a="1"/>
  <c r="F2125" i="1" s="1"/>
  <c r="F2126" i="1" a="1"/>
  <c r="F2126" i="1"/>
  <c r="F2127" i="1" a="1"/>
  <c r="F2127" i="1" s="1"/>
  <c r="F2128" i="1" a="1"/>
  <c r="F2128" i="1" s="1"/>
  <c r="F2129" i="1" a="1"/>
  <c r="F2129" i="1" s="1"/>
  <c r="F2130" i="1" a="1"/>
  <c r="F2130" i="1"/>
  <c r="F2131" i="1" a="1"/>
  <c r="F2131" i="1" s="1"/>
  <c r="F2132" i="1" a="1"/>
  <c r="F2132" i="1"/>
  <c r="F2133" i="1" a="1"/>
  <c r="F2133" i="1" s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/>
  <c r="F2141" i="1" a="1"/>
  <c r="F2141" i="1" s="1"/>
  <c r="F2142" i="1" a="1"/>
  <c r="F2142" i="1" s="1"/>
  <c r="F2143" i="1" a="1"/>
  <c r="F2143" i="1" s="1"/>
  <c r="F2144" i="1" a="1"/>
  <c r="F2144" i="1"/>
  <c r="F2145" i="1" a="1"/>
  <c r="F2145" i="1"/>
  <c r="F2146" i="1" a="1"/>
  <c r="F2146" i="1"/>
  <c r="F2147" i="1" a="1"/>
  <c r="F2147" i="1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/>
  <c r="F2166" i="1" a="1"/>
  <c r="F2166" i="1"/>
  <c r="F2167" i="1" a="1"/>
  <c r="F2167" i="1"/>
  <c r="F2168" i="1" a="1"/>
  <c r="F2168" i="1"/>
  <c r="F2169" i="1" a="1"/>
  <c r="F2169" i="1" s="1"/>
  <c r="F2170" i="1" a="1"/>
  <c r="F2170" i="1" s="1"/>
  <c r="F2171" i="1" a="1"/>
  <c r="F2171" i="1" s="1"/>
  <c r="F2172" i="1" a="1"/>
  <c r="F2172" i="1"/>
  <c r="F2173" i="1" a="1"/>
  <c r="F2173" i="1" s="1"/>
  <c r="F2174" i="1" a="1"/>
  <c r="F2174" i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/>
  <c r="F2187" i="1" a="1"/>
  <c r="F2187" i="1"/>
  <c r="F2188" i="1" a="1"/>
  <c r="F2188" i="1"/>
  <c r="F2189" i="1" a="1"/>
  <c r="F2189" i="1"/>
  <c r="F2190" i="1" a="1"/>
  <c r="F2190" i="1" s="1"/>
  <c r="F2191" i="1" a="1"/>
  <c r="F2191" i="1" s="1"/>
  <c r="F2192" i="1" a="1"/>
  <c r="F2192" i="1" s="1"/>
  <c r="F2193" i="1" a="1"/>
  <c r="F2193" i="1"/>
  <c r="F2194" i="1" a="1"/>
  <c r="F2194" i="1" s="1"/>
  <c r="F2195" i="1" a="1"/>
  <c r="F2195" i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/>
  <c r="F2201" i="1" a="1"/>
  <c r="F2201" i="1" s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/>
  <c r="F2208" i="1" a="1"/>
  <c r="F2208" i="1"/>
  <c r="F2209" i="1" a="1"/>
  <c r="F2209" i="1"/>
  <c r="F2210" i="1" a="1"/>
  <c r="F2210" i="1"/>
  <c r="F2211" i="1" a="1"/>
  <c r="F2211" i="1" s="1"/>
  <c r="F2212" i="1" a="1"/>
  <c r="F2212" i="1" s="1"/>
  <c r="F2213" i="1" a="1"/>
  <c r="F2213" i="1" s="1"/>
  <c r="F2214" i="1" a="1"/>
  <c r="F2214" i="1"/>
  <c r="F2215" i="1" a="1"/>
  <c r="F2215" i="1" s="1"/>
  <c r="F2216" i="1" a="1"/>
  <c r="F2216" i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/>
  <c r="F2229" i="1" a="1"/>
  <c r="F2229" i="1"/>
  <c r="F2230" i="1" a="1"/>
  <c r="F2230" i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/>
  <c r="F2236" i="1" a="1"/>
  <c r="F2236" i="1" s="1"/>
  <c r="F2237" i="1" a="1"/>
  <c r="F2237" i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/>
  <c r="F2250" i="1" a="1"/>
  <c r="F2250" i="1"/>
  <c r="F2251" i="1" a="1"/>
  <c r="F2251" i="1" s="1"/>
  <c r="F2252" i="1" a="1"/>
  <c r="F2252" i="1" s="1"/>
  <c r="F2253" i="1" a="1"/>
  <c r="F2253" i="1" s="1"/>
  <c r="F2254" i="1" a="1"/>
  <c r="F2254" i="1" s="1"/>
  <c r="F2255" i="1" a="1"/>
  <c r="F2255" i="1" s="1"/>
  <c r="F2256" i="1" a="1"/>
  <c r="F2256" i="1"/>
  <c r="F2257" i="1" a="1"/>
  <c r="F2257" i="1" s="1"/>
  <c r="F2258" i="1" a="1"/>
  <c r="F2258" i="1"/>
  <c r="F2259" i="1" a="1"/>
  <c r="F2259" i="1" s="1"/>
  <c r="F2260" i="1" a="1"/>
  <c r="F2260" i="1" s="1"/>
  <c r="F2261" i="1" a="1"/>
  <c r="F2261" i="1" s="1"/>
  <c r="F2262" i="1" a="1"/>
  <c r="F2262" i="1"/>
  <c r="F2263" i="1" a="1"/>
  <c r="F2263" i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/>
  <c r="F2271" i="1" a="1"/>
  <c r="F2271" i="1" s="1"/>
  <c r="F2272" i="1" a="1"/>
  <c r="F2272" i="1" s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/>
  <c r="F2278" i="1" a="1"/>
  <c r="F2278" i="1" s="1"/>
  <c r="F2279" i="1" a="1"/>
  <c r="F2279" i="1"/>
  <c r="F2280" i="1" a="1"/>
  <c r="F2280" i="1" s="1"/>
  <c r="F2281" i="1" a="1"/>
  <c r="F2281" i="1" s="1"/>
  <c r="F2282" i="1" a="1"/>
  <c r="F2282" i="1"/>
  <c r="F2283" i="1" a="1"/>
  <c r="F2283" i="1"/>
  <c r="F2284" i="1" a="1"/>
  <c r="F2284" i="1"/>
  <c r="F2285" i="1" a="1"/>
  <c r="F2285" i="1" s="1"/>
  <c r="F2286" i="1" a="1"/>
  <c r="F2286" i="1" s="1"/>
  <c r="F2287" i="1" a="1"/>
  <c r="F2287" i="1" s="1"/>
  <c r="F2288" i="1" a="1"/>
  <c r="F2288" i="1" s="1"/>
  <c r="F2289" i="1" a="1"/>
  <c r="F2289" i="1" s="1"/>
  <c r="F2290" i="1" a="1"/>
  <c r="F2290" i="1" s="1"/>
  <c r="F2291" i="1" a="1"/>
  <c r="F2291" i="1" s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/>
  <c r="F2299" i="1" a="1"/>
  <c r="F2299" i="1" s="1"/>
  <c r="F2300" i="1" a="1"/>
  <c r="F2300" i="1"/>
  <c r="F2301" i="1" a="1"/>
  <c r="F2301" i="1" s="1"/>
  <c r="F2302" i="1" a="1"/>
  <c r="F2302" i="1"/>
  <c r="F2303" i="1" a="1"/>
  <c r="F2303" i="1"/>
  <c r="F2304" i="1" a="1"/>
  <c r="F2304" i="1"/>
  <c r="F2305" i="1" a="1"/>
  <c r="F2305" i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/>
  <c r="F2317" i="1" a="1"/>
  <c r="F2317" i="1" s="1"/>
  <c r="F2318" i="1" a="1"/>
  <c r="F2318" i="1" s="1"/>
  <c r="F2319" i="1" a="1"/>
  <c r="F2319" i="1"/>
  <c r="F2320" i="1" a="1"/>
  <c r="F2320" i="1" s="1"/>
  <c r="F2321" i="1" a="1"/>
  <c r="F2321" i="1" s="1"/>
  <c r="F2322" i="1" a="1"/>
  <c r="F2322" i="1" s="1"/>
  <c r="F2323" i="1" a="1"/>
  <c r="F2323" i="1"/>
  <c r="F2324" i="1" a="1"/>
  <c r="F2324" i="1"/>
  <c r="F2325" i="1" a="1"/>
  <c r="F2325" i="1"/>
  <c r="F2326" i="1" a="1"/>
  <c r="F2326" i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/>
  <c r="F2333" i="1" a="1"/>
  <c r="F2333" i="1" s="1"/>
  <c r="F2334" i="1" a="1"/>
  <c r="F2334" i="1" s="1"/>
  <c r="F2335" i="1" a="1"/>
  <c r="F2335" i="1" s="1"/>
  <c r="F2336" i="1" a="1"/>
  <c r="F2336" i="1" s="1"/>
  <c r="F2337" i="1" a="1"/>
  <c r="F2337" i="1"/>
  <c r="F2338" i="1" a="1"/>
  <c r="F2338" i="1" s="1"/>
  <c r="F2339" i="1" a="1"/>
  <c r="F2339" i="1" s="1"/>
  <c r="F2340" i="1" a="1"/>
  <c r="F2340" i="1"/>
  <c r="F2341" i="1" a="1"/>
  <c r="F2341" i="1" s="1"/>
  <c r="F2342" i="1" a="1"/>
  <c r="F2342" i="1" s="1"/>
  <c r="F2343" i="1" a="1"/>
  <c r="F2343" i="1" s="1"/>
  <c r="F2344" i="1" a="1"/>
  <c r="F2344" i="1"/>
  <c r="F2345" i="1" a="1"/>
  <c r="F2345" i="1"/>
  <c r="F2346" i="1" a="1"/>
  <c r="F2346" i="1"/>
  <c r="F2347" i="1" a="1"/>
  <c r="F2347" i="1"/>
  <c r="F2348" i="1" a="1"/>
  <c r="F2348" i="1" s="1"/>
  <c r="F2349" i="1" a="1"/>
  <c r="F2349" i="1" s="1"/>
  <c r="F2350" i="1" a="1"/>
  <c r="F2350" i="1" s="1"/>
  <c r="F2351" i="1" a="1"/>
  <c r="F2351" i="1" s="1"/>
  <c r="F2352" i="1" a="1"/>
  <c r="F2352" i="1"/>
  <c r="F2353" i="1" a="1"/>
  <c r="F2353" i="1"/>
  <c r="F2354" i="1" a="1"/>
  <c r="F2354" i="1" s="1"/>
  <c r="F2355" i="1" a="1"/>
  <c r="F2355" i="1" s="1"/>
  <c r="F2356" i="1" a="1"/>
  <c r="F2356" i="1" s="1"/>
  <c r="F2357" i="1" a="1"/>
  <c r="F2357" i="1" s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 s="1"/>
  <c r="F2364" i="1" a="1"/>
  <c r="F2364" i="1"/>
  <c r="F2365" i="1" a="1"/>
  <c r="F2365" i="1"/>
  <c r="F2366" i="1" a="1"/>
  <c r="F2366" i="1"/>
  <c r="F2367" i="1" a="1"/>
  <c r="F2367" i="1"/>
  <c r="F2368" i="1" a="1"/>
  <c r="F2368" i="1"/>
  <c r="F2369" i="1" a="1"/>
  <c r="F2369" i="1" s="1"/>
  <c r="F2370" i="1" a="1"/>
  <c r="F2370" i="1" s="1"/>
  <c r="F2371" i="1" a="1"/>
  <c r="F2371" i="1" s="1"/>
  <c r="F2372" i="1" a="1"/>
  <c r="F2372" i="1"/>
  <c r="F2373" i="1" a="1"/>
  <c r="F2373" i="1" s="1"/>
  <c r="F2374" i="1" a="1"/>
  <c r="F2374" i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 s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 s="1"/>
  <c r="F2385" i="1" a="1"/>
  <c r="F2385" i="1"/>
  <c r="F2386" i="1" a="1"/>
  <c r="F2386" i="1"/>
  <c r="F2387" i="1" a="1"/>
  <c r="F2387" i="1"/>
  <c r="F2388" i="1" a="1"/>
  <c r="F2388" i="1"/>
  <c r="F2389" i="1" a="1"/>
  <c r="F2389" i="1"/>
  <c r="F2390" i="1" a="1"/>
  <c r="F2390" i="1" s="1"/>
  <c r="F2391" i="1" a="1"/>
  <c r="F2391" i="1" s="1"/>
  <c r="F2392" i="1" a="1"/>
  <c r="F2392" i="1" s="1"/>
  <c r="F2393" i="1" a="1"/>
  <c r="F2393" i="1"/>
  <c r="F2394" i="1" a="1"/>
  <c r="F2394" i="1" s="1"/>
  <c r="F2395" i="1" a="1"/>
  <c r="F2395" i="1" s="1"/>
  <c r="F2396" i="1" a="1"/>
  <c r="F2396" i="1" s="1"/>
  <c r="F2397" i="1" a="1"/>
  <c r="F2397" i="1" s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/>
  <c r="F2403" i="1" a="1"/>
  <c r="F2403" i="1" s="1"/>
  <c r="F2404" i="1" a="1"/>
  <c r="F2404" i="1" s="1"/>
  <c r="F2405" i="1" a="1"/>
  <c r="F2405" i="1" s="1"/>
  <c r="F2406" i="1" a="1"/>
  <c r="F2406" i="1"/>
  <c r="F2407" i="1" a="1"/>
  <c r="F2407" i="1"/>
  <c r="F2408" i="1" a="1"/>
  <c r="F2408" i="1"/>
  <c r="F2409" i="1" a="1"/>
  <c r="F2409" i="1"/>
  <c r="F2410" i="1" a="1"/>
  <c r="F2410" i="1"/>
  <c r="F2411" i="1" a="1"/>
  <c r="F2411" i="1" s="1"/>
  <c r="F2412" i="1" a="1"/>
  <c r="F2412" i="1" s="1"/>
  <c r="F2413" i="1" a="1"/>
  <c r="F2413" i="1" s="1"/>
  <c r="F2414" i="1" a="1"/>
  <c r="F2414" i="1"/>
  <c r="F2415" i="1" a="1"/>
  <c r="F2415" i="1" s="1"/>
  <c r="F2416" i="1" a="1"/>
  <c r="F2416" i="1" s="1"/>
  <c r="F2417" i="1" a="1"/>
  <c r="F2417" i="1" s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/>
  <c r="F2424" i="1" a="1"/>
  <c r="F2424" i="1" s="1"/>
  <c r="F2425" i="1" a="1"/>
  <c r="F2425" i="1" s="1"/>
  <c r="F2426" i="1" a="1"/>
  <c r="F2426" i="1" s="1"/>
  <c r="F2427" i="1" a="1"/>
  <c r="F2427" i="1"/>
  <c r="F2428" i="1" a="1"/>
  <c r="F2428" i="1"/>
  <c r="F2429" i="1" a="1"/>
  <c r="F2429" i="1"/>
  <c r="F2430" i="1" a="1"/>
  <c r="F2430" i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/>
  <c r="F2443" i="1" a="1"/>
  <c r="F2443" i="1" s="1"/>
  <c r="F2444" i="1" a="1"/>
  <c r="F2444" i="1"/>
  <c r="F2445" i="1" a="1"/>
  <c r="F2445" i="1" s="1"/>
  <c r="F2446" i="1" a="1"/>
  <c r="F2446" i="1" s="1"/>
  <c r="F2447" i="1" a="1"/>
  <c r="F2447" i="1" s="1"/>
  <c r="F2448" i="1" a="1"/>
  <c r="F2448" i="1"/>
  <c r="F2449" i="1" a="1"/>
  <c r="F2449" i="1"/>
  <c r="F2450" i="1" a="1"/>
  <c r="F2450" i="1"/>
  <c r="F2451" i="1" a="1"/>
  <c r="F2451" i="1" s="1"/>
  <c r="F2452" i="1" a="1"/>
  <c r="F2452" i="1" s="1"/>
  <c r="F2453" i="1" a="1"/>
  <c r="F2453" i="1" s="1"/>
  <c r="F2454" i="1" a="1"/>
  <c r="F2454" i="1" s="1"/>
  <c r="F2455" i="1" a="1"/>
  <c r="F2455" i="1" s="1"/>
  <c r="F2456" i="1" a="1"/>
  <c r="F2456" i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/>
  <c r="F2463" i="1" a="1"/>
  <c r="F2463" i="1"/>
  <c r="F2464" i="1" a="1"/>
  <c r="F2464" i="1" s="1"/>
  <c r="F2465" i="1" a="1"/>
  <c r="F2465" i="1"/>
  <c r="F2466" i="1" a="1"/>
  <c r="F2466" i="1" s="1"/>
  <c r="F2467" i="1" a="1"/>
  <c r="F2467" i="1" s="1"/>
  <c r="F2468" i="1" a="1"/>
  <c r="F2468" i="1" s="1"/>
  <c r="F2469" i="1" a="1"/>
  <c r="F2469" i="1"/>
  <c r="F2470" i="1" a="1"/>
  <c r="F2470" i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/>
  <c r="F2478" i="1" a="1"/>
  <c r="F2478" i="1"/>
  <c r="F2479" i="1" a="1"/>
  <c r="F2479" i="1" s="1"/>
  <c r="F2480" i="1" a="1"/>
  <c r="F2480" i="1" s="1"/>
  <c r="F2481" i="1" a="1"/>
  <c r="F2481" i="1" s="1"/>
  <c r="F2482" i="1" a="1"/>
  <c r="F2482" i="1"/>
  <c r="F2483" i="1" a="1"/>
  <c r="F2483" i="1"/>
  <c r="F2484" i="1" a="1"/>
  <c r="F2484" i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 s="1"/>
  <c r="F2497" i="1" a="1"/>
  <c r="F2497" i="1" s="1"/>
  <c r="F2498" i="1" a="1"/>
  <c r="F2498" i="1"/>
  <c r="F2499" i="1" a="1"/>
  <c r="F2499" i="1"/>
  <c r="F2500" i="1" a="1"/>
  <c r="F2500" i="1" s="1"/>
  <c r="F2501" i="1" a="1"/>
  <c r="F2501" i="1" s="1"/>
  <c r="F2502" i="1" a="1"/>
  <c r="F2502" i="1"/>
  <c r="F2503" i="1" a="1"/>
  <c r="F2503" i="1"/>
  <c r="F2504" i="1" a="1"/>
  <c r="F2504" i="1"/>
  <c r="F2505" i="1" a="1"/>
  <c r="F2505" i="1"/>
  <c r="F2506" i="1" a="1"/>
  <c r="F2506" i="1" s="1"/>
  <c r="F2507" i="1" a="1"/>
  <c r="F2507" i="1" s="1"/>
  <c r="F2508" i="1" a="1"/>
  <c r="F2508" i="1" s="1"/>
  <c r="F2509" i="1" a="1"/>
  <c r="F2509" i="1" s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/>
  <c r="F2520" i="1" a="1"/>
  <c r="F2520" i="1"/>
  <c r="F2521" i="1" a="1"/>
  <c r="F2521" i="1" s="1"/>
  <c r="F2522" i="1" a="1"/>
  <c r="F2522" i="1" s="1"/>
  <c r="F2523" i="1" a="1"/>
  <c r="F2523" i="1"/>
  <c r="F2524" i="1" a="1"/>
  <c r="F2524" i="1"/>
  <c r="F2525" i="1" a="1"/>
  <c r="F2525" i="1"/>
  <c r="F2526" i="1" a="1"/>
  <c r="F2526" i="1"/>
  <c r="F2527" i="1" a="1"/>
  <c r="F2527" i="1" s="1"/>
  <c r="F2528" i="1" a="1"/>
  <c r="F2528" i="1" s="1"/>
  <c r="F2529" i="1" a="1"/>
  <c r="F2529" i="1" s="1"/>
  <c r="F2530" i="1" a="1"/>
  <c r="F2530" i="1" s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/>
  <c r="F2541" i="1" a="1"/>
  <c r="F2541" i="1" s="1"/>
  <c r="F2542" i="1" a="1"/>
  <c r="F2542" i="1" s="1"/>
  <c r="F2543" i="1" a="1"/>
  <c r="F2543" i="1" s="1"/>
  <c r="F2544" i="1" a="1"/>
  <c r="F2544" i="1"/>
  <c r="F2545" i="1" a="1"/>
  <c r="F2545" i="1"/>
  <c r="F2546" i="1" a="1"/>
  <c r="F2546" i="1"/>
  <c r="F2547" i="1" a="1"/>
  <c r="F2547" i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 s="1"/>
  <c r="F2559" i="1" a="1"/>
  <c r="F2559" i="1" s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 s="1"/>
  <c r="F2565" i="1" a="1"/>
  <c r="F2565" i="1"/>
  <c r="F2566" i="1" a="1"/>
  <c r="F2566" i="1"/>
  <c r="F2567" i="1" a="1"/>
  <c r="F2567" i="1"/>
  <c r="F2568" i="1" a="1"/>
  <c r="F2568" i="1"/>
  <c r="F2569" i="1" a="1"/>
  <c r="F2569" i="1" s="1"/>
  <c r="F2570" i="1" a="1"/>
  <c r="F2570" i="1" s="1"/>
  <c r="F2571" i="1" a="1"/>
  <c r="F2571" i="1" s="1"/>
  <c r="F2572" i="1" a="1"/>
  <c r="F2572" i="1"/>
  <c r="F2573" i="1" a="1"/>
  <c r="F2573" i="1"/>
  <c r="F2574" i="1" a="1"/>
  <c r="F2574" i="1" s="1"/>
  <c r="F2575" i="1" a="1"/>
  <c r="F2575" i="1" s="1"/>
  <c r="F2576" i="1" a="1"/>
  <c r="F2576" i="1" s="1"/>
  <c r="F2577" i="1" a="1"/>
  <c r="F2577" i="1" s="1"/>
  <c r="F2578" i="1" a="1"/>
  <c r="F2578" i="1" s="1"/>
  <c r="F2579" i="1" a="1"/>
  <c r="F2579" i="1" s="1"/>
  <c r="F2580" i="1" a="1"/>
  <c r="F2580" i="1" s="1"/>
  <c r="F2581" i="1" a="1"/>
  <c r="F2581" i="1" s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/>
  <c r="F2587" i="1" a="1"/>
  <c r="F2587" i="1"/>
  <c r="F2588" i="1" a="1"/>
  <c r="F2588" i="1"/>
  <c r="F2589" i="1" a="1"/>
  <c r="F2589" i="1"/>
  <c r="F2590" i="1" a="1"/>
  <c r="F2590" i="1" s="1"/>
  <c r="F2591" i="1" a="1"/>
  <c r="F2591" i="1" s="1"/>
  <c r="F2592" i="1" a="1"/>
  <c r="F2592" i="1" s="1"/>
  <c r="F2593" i="1" a="1"/>
  <c r="F2593" i="1"/>
  <c r="F2594" i="1" a="1"/>
  <c r="F2594" i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 s="1"/>
  <c r="F2600" i="1" a="1"/>
  <c r="F2600" i="1" s="1"/>
  <c r="F2601" i="1" a="1"/>
  <c r="F2601" i="1" s="1"/>
  <c r="F2602" i="1" a="1"/>
  <c r="F2602" i="1" s="1"/>
  <c r="F2603" i="1" a="1"/>
  <c r="F2603" i="1" s="1"/>
  <c r="F2604" i="1" a="1"/>
  <c r="F2604" i="1" s="1"/>
  <c r="F2605" i="1" a="1"/>
  <c r="F2605" i="1" s="1"/>
  <c r="F2606" i="1" a="1"/>
  <c r="F2606" i="1" s="1"/>
  <c r="F2607" i="1" a="1"/>
  <c r="F2607" i="1"/>
  <c r="F2608" i="1" a="1"/>
  <c r="F2608" i="1"/>
  <c r="F2609" i="1" a="1"/>
  <c r="F2609" i="1"/>
  <c r="F2610" i="1" a="1"/>
  <c r="F2610" i="1"/>
  <c r="F2611" i="1" a="1"/>
  <c r="F2611" i="1" s="1"/>
  <c r="F2612" i="1" a="1"/>
  <c r="F2612" i="1" s="1"/>
  <c r="F2613" i="1" a="1"/>
  <c r="F2613" i="1" s="1"/>
  <c r="F2614" i="1" a="1"/>
  <c r="F2614" i="1"/>
  <c r="F2615" i="1" a="1"/>
  <c r="F2615" i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 s="1"/>
  <c r="F2621" i="1" a="1"/>
  <c r="F2621" i="1" s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/>
  <c r="F2627" i="1" a="1"/>
  <c r="F2627" i="1" s="1"/>
  <c r="F2628" i="1" a="1"/>
  <c r="F2628" i="1"/>
  <c r="F2629" i="1" a="1"/>
  <c r="F2629" i="1"/>
  <c r="F2630" i="1" a="1"/>
  <c r="F2630" i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/>
  <c r="F2636" i="1" a="1"/>
  <c r="F2636" i="1"/>
  <c r="F2637" i="1" a="1"/>
  <c r="F2637" i="1" s="1"/>
  <c r="F2638" i="1" a="1"/>
  <c r="F2638" i="1" s="1"/>
  <c r="F2639" i="1" a="1"/>
  <c r="F2639" i="1" s="1"/>
  <c r="F2640" i="1" a="1"/>
  <c r="F2640" i="1" s="1"/>
  <c r="F2641" i="1" a="1"/>
  <c r="F2641" i="1" s="1"/>
  <c r="F2642" i="1" a="1"/>
  <c r="F2642" i="1"/>
  <c r="F2643" i="1" a="1"/>
  <c r="F2643" i="1"/>
  <c r="F2644" i="1" a="1"/>
  <c r="F2644" i="1" s="1"/>
  <c r="F2645" i="1" a="1"/>
  <c r="F2645" i="1" s="1"/>
  <c r="F2646" i="1" a="1"/>
  <c r="F2646" i="1" s="1"/>
  <c r="F2647" i="1" a="1"/>
  <c r="F2647" i="1" s="1"/>
  <c r="F2648" i="1" a="1"/>
  <c r="F2648" i="1"/>
  <c r="F2649" i="1" a="1"/>
  <c r="F2649" i="1"/>
  <c r="F2650" i="1" a="1"/>
  <c r="F2650" i="1"/>
  <c r="F2651" i="1" a="1"/>
  <c r="F2651" i="1" s="1"/>
  <c r="F2652" i="1" a="1"/>
  <c r="F2652" i="1" s="1"/>
  <c r="F2653" i="1" a="1"/>
  <c r="F2653" i="1"/>
  <c r="F2654" i="1" a="1"/>
  <c r="F2654" i="1" s="1"/>
  <c r="F2655" i="1" a="1"/>
  <c r="F2655" i="1" s="1"/>
  <c r="F2656" i="1" a="1"/>
  <c r="F2656" i="1"/>
  <c r="F2657" i="1" a="1"/>
  <c r="F2657" i="1"/>
  <c r="F2658" i="1" a="1"/>
  <c r="F2658" i="1"/>
  <c r="F2659" i="1" a="1"/>
  <c r="F2659" i="1" s="1"/>
  <c r="F2660" i="1" a="1"/>
  <c r="F2660" i="1" s="1"/>
  <c r="F2661" i="1" a="1"/>
  <c r="F2661" i="1" s="1"/>
  <c r="F2662" i="1" a="1"/>
  <c r="F2662" i="1"/>
  <c r="F2663" i="1" a="1"/>
  <c r="F2663" i="1"/>
  <c r="F2664" i="1" a="1"/>
  <c r="F2664" i="1" s="1"/>
  <c r="F2665" i="1" a="1"/>
  <c r="F2665" i="1" s="1"/>
  <c r="F2666" i="1" a="1"/>
  <c r="F2666" i="1" s="1"/>
  <c r="F2667" i="1" a="1"/>
  <c r="F2667" i="1" s="1"/>
  <c r="F2668" i="1" a="1"/>
  <c r="F2668" i="1" s="1"/>
  <c r="F2669" i="1" a="1"/>
  <c r="F2669" i="1" s="1"/>
  <c r="F2670" i="1" a="1"/>
  <c r="F2670" i="1"/>
  <c r="F2671" i="1" a="1"/>
  <c r="F2671" i="1" s="1"/>
  <c r="F2672" i="1" a="1"/>
  <c r="F2672" i="1" s="1"/>
  <c r="F2673" i="1" a="1"/>
  <c r="F2673" i="1"/>
  <c r="F2674" i="1" a="1"/>
  <c r="F2674" i="1" s="1"/>
  <c r="F2675" i="1" a="1"/>
  <c r="F2675" i="1" s="1"/>
  <c r="F2676" i="1" a="1"/>
  <c r="F2676" i="1" s="1"/>
  <c r="F2677" i="1" a="1"/>
  <c r="F2677" i="1"/>
  <c r="F2678" i="1" a="1"/>
  <c r="F2678" i="1"/>
  <c r="F2679" i="1" a="1"/>
  <c r="F2679" i="1" s="1"/>
  <c r="F2680" i="1" a="1"/>
  <c r="F2680" i="1" s="1"/>
  <c r="F2681" i="1" a="1"/>
  <c r="F2681" i="1" s="1"/>
  <c r="F2682" i="1" a="1"/>
  <c r="F2682" i="1"/>
  <c r="F2683" i="1" a="1"/>
  <c r="F2683" i="1"/>
  <c r="F2684" i="1" a="1"/>
  <c r="F2684" i="1" s="1"/>
  <c r="F2685" i="1" a="1"/>
  <c r="F2685" i="1" s="1"/>
  <c r="F2686" i="1" a="1"/>
  <c r="F2686" i="1" s="1"/>
  <c r="F2687" i="1" a="1"/>
  <c r="F2687" i="1" s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/>
  <c r="F2694" i="1" a="1"/>
  <c r="F2694" i="1"/>
  <c r="F2695" i="1" a="1"/>
  <c r="F2695" i="1" s="1"/>
  <c r="F2696" i="1" a="1"/>
  <c r="F2696" i="1" s="1"/>
  <c r="F2697" i="1" a="1"/>
  <c r="F2697" i="1" s="1"/>
  <c r="F2698" i="1" a="1"/>
  <c r="F2698" i="1"/>
  <c r="F2699" i="1" a="1"/>
  <c r="F2699" i="1"/>
  <c r="F2700" i="1" a="1"/>
  <c r="F2700" i="1" s="1"/>
  <c r="F2701" i="1" a="1"/>
  <c r="F2701" i="1" s="1"/>
  <c r="F2702" i="1" a="1"/>
  <c r="F2702" i="1"/>
  <c r="F2703" i="1" a="1"/>
  <c r="F2703" i="1"/>
  <c r="F2704" i="1" a="1"/>
  <c r="F2704" i="1"/>
  <c r="F2705" i="1" a="1"/>
  <c r="F2705" i="1" s="1"/>
  <c r="F2706" i="1" a="1"/>
  <c r="F2706" i="1" s="1"/>
  <c r="F2707" i="1" a="1"/>
  <c r="F2707" i="1" s="1"/>
  <c r="F2708" i="1" a="1"/>
  <c r="F2708" i="1" s="1"/>
  <c r="F2709" i="1" a="1"/>
  <c r="F2709" i="1" s="1"/>
  <c r="F2710" i="1" a="1"/>
  <c r="F2710" i="1" s="1"/>
  <c r="F2711" i="1" a="1"/>
  <c r="F2711" i="1" s="1"/>
  <c r="F2712" i="1" a="1"/>
  <c r="F2712" i="1" s="1"/>
  <c r="F2713" i="1" a="1"/>
  <c r="F2713" i="1" s="1"/>
  <c r="F2714" i="1" a="1"/>
  <c r="F2714" i="1"/>
  <c r="F2715" i="1" a="1"/>
  <c r="F2715" i="1" s="1"/>
  <c r="F2716" i="1" a="1"/>
  <c r="F2716" i="1"/>
  <c r="F2717" i="1" a="1"/>
  <c r="F2717" i="1" s="1"/>
  <c r="F2718" i="1" a="1"/>
  <c r="F2718" i="1" s="1"/>
  <c r="F2719" i="1" a="1"/>
  <c r="F2719" i="1"/>
  <c r="F2720" i="1" a="1"/>
  <c r="F2720" i="1" s="1"/>
  <c r="F2721" i="1" a="1"/>
  <c r="F2721" i="1" s="1"/>
  <c r="F2722" i="1" a="1"/>
  <c r="F2722" i="1" s="1"/>
  <c r="F2723" i="1" a="1"/>
  <c r="F2723" i="1"/>
  <c r="F2724" i="1" a="1"/>
  <c r="F2724" i="1"/>
  <c r="F2725" i="1" a="1"/>
  <c r="F2725" i="1" s="1"/>
  <c r="F2726" i="1" a="1"/>
  <c r="F2726" i="1"/>
  <c r="F2727" i="1" a="1"/>
  <c r="F2727" i="1"/>
  <c r="F2728" i="1" a="1"/>
  <c r="F2728" i="1" s="1"/>
  <c r="F2729" i="1" a="1"/>
  <c r="F2729" i="1"/>
  <c r="F2730" i="1" a="1"/>
  <c r="F2730" i="1"/>
  <c r="F2731" i="1" a="1"/>
  <c r="F2731" i="1" s="1"/>
  <c r="F2732" i="1" a="1"/>
  <c r="F2732" i="1"/>
  <c r="F2733" i="1" a="1"/>
  <c r="F2733" i="1"/>
  <c r="F2734" i="1" a="1"/>
  <c r="F2734" i="1"/>
  <c r="F2735" i="1" a="1"/>
  <c r="F2735" i="1" s="1"/>
  <c r="F2736" i="1" a="1"/>
  <c r="F2736" i="1" s="1"/>
  <c r="F2737" i="1" a="1"/>
  <c r="F2737" i="1" s="1"/>
  <c r="F2738" i="1" a="1"/>
  <c r="F2738" i="1" s="1"/>
  <c r="F2739" i="1" a="1"/>
  <c r="F2739" i="1" s="1"/>
  <c r="F2740" i="1" a="1"/>
  <c r="F2740" i="1" s="1"/>
  <c r="F2741" i="1" a="1"/>
  <c r="F2741" i="1"/>
  <c r="F2742" i="1" a="1"/>
  <c r="F2742" i="1"/>
  <c r="F2743" i="1" a="1"/>
  <c r="F2743" i="1"/>
  <c r="F2744" i="1" a="1"/>
  <c r="F2744" i="1" s="1"/>
  <c r="F2745" i="1" a="1"/>
  <c r="F2745" i="1"/>
  <c r="F2746" i="1" a="1"/>
  <c r="F2746" i="1" s="1"/>
  <c r="F2747" i="1" a="1"/>
  <c r="F2747" i="1"/>
  <c r="F2748" i="1" a="1"/>
  <c r="F2748" i="1" s="1"/>
  <c r="F2749" i="1" a="1"/>
  <c r="F2749" i="1" s="1"/>
  <c r="F2750" i="1" a="1"/>
  <c r="F2750" i="1"/>
  <c r="F2751" i="1" a="1"/>
  <c r="F2751" i="1"/>
  <c r="F2752" i="1" a="1"/>
  <c r="F2752" i="1" s="1"/>
  <c r="F2753" i="1" a="1"/>
  <c r="F2753" i="1" s="1"/>
  <c r="F2754" i="1" a="1"/>
  <c r="F2754" i="1"/>
  <c r="F2755" i="1" a="1"/>
  <c r="F2755" i="1"/>
  <c r="F2756" i="1" a="1"/>
  <c r="F2756" i="1" s="1"/>
  <c r="F2757" i="1" a="1"/>
  <c r="F2757" i="1" s="1"/>
  <c r="F2758" i="1" a="1"/>
  <c r="F2758" i="1" s="1"/>
  <c r="F2759" i="1" a="1"/>
  <c r="F2759" i="1"/>
  <c r="F2760" i="1" a="1"/>
  <c r="F2760" i="1" s="1"/>
  <c r="F2761" i="1" a="1"/>
  <c r="F2761" i="1" s="1"/>
  <c r="F2762" i="1" a="1"/>
  <c r="F2762" i="1"/>
  <c r="F2763" i="1" a="1"/>
  <c r="F2763" i="1"/>
  <c r="F2764" i="1" a="1"/>
  <c r="F2764" i="1" s="1"/>
  <c r="F2765" i="1" a="1"/>
  <c r="F2765" i="1" s="1"/>
  <c r="F2766" i="1" a="1"/>
  <c r="F2766" i="1"/>
  <c r="F2767" i="1" a="1"/>
  <c r="F2767" i="1" s="1"/>
  <c r="F2768" i="1" a="1"/>
  <c r="F2768" i="1" s="1"/>
  <c r="F2769" i="1" a="1"/>
  <c r="F2769" i="1" s="1"/>
  <c r="F2770" i="1" a="1"/>
  <c r="F2770" i="1"/>
  <c r="F2771" i="1" a="1"/>
  <c r="F2771" i="1"/>
  <c r="F2772" i="1" a="1"/>
  <c r="F2772" i="1" s="1"/>
  <c r="F2773" i="1" a="1"/>
  <c r="F2773" i="1" s="1"/>
  <c r="F2774" i="1" a="1"/>
  <c r="F2774" i="1" s="1"/>
  <c r="F2775" i="1" a="1"/>
  <c r="F2775" i="1"/>
  <c r="F2776" i="1" a="1"/>
  <c r="F2776" i="1"/>
  <c r="F2777" i="1" a="1"/>
  <c r="F2777" i="1" s="1"/>
  <c r="F2778" i="1" a="1"/>
  <c r="F2778" i="1" s="1"/>
  <c r="F2779" i="1" a="1"/>
  <c r="F2779" i="1"/>
  <c r="F2780" i="1" a="1"/>
  <c r="F2780" i="1"/>
  <c r="F2781" i="1" a="1"/>
  <c r="F2781" i="1" s="1"/>
  <c r="F2782" i="1" a="1"/>
  <c r="F2782" i="1" s="1"/>
  <c r="F2783" i="1" a="1"/>
  <c r="F2783" i="1"/>
  <c r="F2784" i="1" a="1"/>
  <c r="F2784" i="1"/>
  <c r="F2785" i="1" a="1"/>
  <c r="F2785" i="1" s="1"/>
  <c r="F2786" i="1" a="1"/>
  <c r="F2786" i="1" s="1"/>
  <c r="F2787" i="1" a="1"/>
  <c r="F2787" i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/>
  <c r="F2793" i="1" a="1"/>
  <c r="F2793" i="1"/>
  <c r="F2794" i="1" a="1"/>
  <c r="F2794" i="1" s="1"/>
  <c r="F2795" i="1" a="1"/>
  <c r="F2795" i="1" s="1"/>
  <c r="F2796" i="1" a="1"/>
  <c r="F2796" i="1"/>
  <c r="F2797" i="1" a="1"/>
  <c r="F2797" i="1"/>
  <c r="F2798" i="1" a="1"/>
  <c r="F2798" i="1" s="1"/>
  <c r="F2799" i="1" a="1"/>
  <c r="F2799" i="1" s="1"/>
  <c r="F2800" i="1" a="1"/>
  <c r="F2800" i="1"/>
  <c r="F2801" i="1" a="1"/>
  <c r="F2801" i="1"/>
  <c r="F2802" i="1" a="1"/>
  <c r="F2802" i="1" s="1"/>
  <c r="F2803" i="1" a="1"/>
  <c r="F2803" i="1" s="1"/>
  <c r="F2804" i="1" a="1"/>
  <c r="F2804" i="1"/>
  <c r="F2805" i="1" a="1"/>
  <c r="F2805" i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 s="1"/>
  <c r="F2811" i="1" a="1"/>
  <c r="F2811" i="1" s="1"/>
  <c r="F2812" i="1" a="1"/>
  <c r="F2812" i="1"/>
  <c r="F2813" i="1" a="1"/>
  <c r="F2813" i="1"/>
  <c r="F2814" i="1" a="1"/>
  <c r="F2814" i="1" s="1"/>
  <c r="F2815" i="1" a="1"/>
  <c r="F2815" i="1" s="1"/>
  <c r="F2816" i="1" a="1"/>
  <c r="F2816" i="1" s="1"/>
  <c r="F2817" i="1" a="1"/>
  <c r="F2817" i="1"/>
  <c r="F2818" i="1" a="1"/>
  <c r="F2818" i="1" s="1"/>
  <c r="F2819" i="1" a="1"/>
  <c r="F2819" i="1"/>
  <c r="F2820" i="1" a="1"/>
  <c r="F2820" i="1" s="1"/>
  <c r="F2821" i="1" a="1"/>
  <c r="F2821" i="1"/>
  <c r="F2822" i="1" a="1"/>
  <c r="F2822" i="1"/>
  <c r="F2823" i="1" a="1"/>
  <c r="F2823" i="1" s="1"/>
  <c r="F2824" i="1" a="1"/>
  <c r="F2824" i="1" s="1"/>
  <c r="F2825" i="1" a="1"/>
  <c r="F2825" i="1" s="1"/>
  <c r="F2826" i="1" a="1"/>
  <c r="F2826" i="1"/>
  <c r="F2827" i="1" a="1"/>
  <c r="F2827" i="1" s="1"/>
  <c r="F2828" i="1" a="1"/>
  <c r="F2828" i="1" s="1"/>
  <c r="F2829" i="1" a="1"/>
  <c r="F2829" i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/>
  <c r="F2835" i="1" a="1"/>
  <c r="F2835" i="1"/>
  <c r="F2836" i="1" a="1"/>
  <c r="F2836" i="1" s="1"/>
  <c r="F2837" i="1" a="1"/>
  <c r="F2837" i="1" s="1"/>
  <c r="F2838" i="1" a="1"/>
  <c r="F2838" i="1" s="1"/>
  <c r="F2839" i="1" a="1"/>
  <c r="F2839" i="1" s="1"/>
  <c r="F2840" i="1" a="1"/>
  <c r="F2840" i="1" s="1"/>
  <c r="F2841" i="1" a="1"/>
  <c r="F2841" i="1" s="1"/>
  <c r="F2842" i="1" a="1"/>
  <c r="F2842" i="1"/>
  <c r="F2843" i="1" a="1"/>
  <c r="F2843" i="1"/>
  <c r="F2844" i="1" a="1"/>
  <c r="F2844" i="1" s="1"/>
  <c r="F2845" i="1" a="1"/>
  <c r="F2845" i="1" s="1"/>
  <c r="F2846" i="1" a="1"/>
  <c r="F2846" i="1"/>
  <c r="F2847" i="1" a="1"/>
  <c r="F2847" i="1"/>
  <c r="F2848" i="1" a="1"/>
  <c r="F2848" i="1" s="1"/>
  <c r="F2849" i="1" a="1"/>
  <c r="F2849" i="1"/>
  <c r="F2850" i="1" a="1"/>
  <c r="F2850" i="1"/>
  <c r="F2851" i="1" a="1"/>
  <c r="F2851" i="1" s="1"/>
  <c r="F2852" i="1" a="1"/>
  <c r="F2852" i="1" s="1"/>
  <c r="F2853" i="1" a="1"/>
  <c r="F2853" i="1" s="1"/>
  <c r="F2854" i="1" a="1"/>
  <c r="F2854" i="1" s="1"/>
  <c r="F2855" i="1" a="1"/>
  <c r="F2855" i="1"/>
  <c r="F2856" i="1" a="1"/>
  <c r="F2856" i="1"/>
  <c r="F2857" i="1" a="1"/>
  <c r="F2857" i="1" s="1"/>
  <c r="F2858" i="1" a="1"/>
  <c r="F2858" i="1" s="1"/>
  <c r="F2859" i="1" a="1"/>
  <c r="F2859" i="1" s="1"/>
  <c r="F2860" i="1" a="1"/>
  <c r="F2860" i="1" s="1"/>
  <c r="F2861" i="1" a="1"/>
  <c r="F2861" i="1"/>
  <c r="F2862" i="1" a="1"/>
  <c r="F2862" i="1" s="1"/>
  <c r="F2863" i="1" a="1"/>
  <c r="F2863" i="1"/>
  <c r="F2864" i="1" a="1"/>
  <c r="F2864" i="1"/>
  <c r="F2865" i="1" a="1"/>
  <c r="F2865" i="1" s="1"/>
  <c r="F2866" i="1" a="1"/>
  <c r="F2866" i="1" s="1"/>
  <c r="F2867" i="1" a="1"/>
  <c r="F2867" i="1"/>
  <c r="F2868" i="1" a="1"/>
  <c r="F2868" i="1" s="1"/>
  <c r="F2869" i="1" a="1"/>
  <c r="F2869" i="1" s="1"/>
  <c r="F2870" i="1" a="1"/>
  <c r="F2870" i="1"/>
  <c r="F2871" i="1" a="1"/>
  <c r="F2871" i="1"/>
  <c r="F2872" i="1" a="1"/>
  <c r="F2872" i="1" s="1"/>
  <c r="F2873" i="1" a="1"/>
  <c r="F2873" i="1" s="1"/>
  <c r="F2874" i="1" a="1"/>
  <c r="F2874" i="1" s="1"/>
  <c r="F2875" i="1" a="1"/>
  <c r="F2875" i="1" s="1"/>
  <c r="F2876" i="1" a="1"/>
  <c r="F2876" i="1"/>
  <c r="F2877" i="1" a="1"/>
  <c r="F2877" i="1"/>
  <c r="F2878" i="1" a="1"/>
  <c r="F2878" i="1" s="1"/>
  <c r="F2879" i="1" a="1"/>
  <c r="F2879" i="1"/>
  <c r="F2880" i="1" a="1"/>
  <c r="F2880" i="1" s="1"/>
  <c r="F2881" i="1" a="1"/>
  <c r="F2881" i="1" s="1"/>
  <c r="F2882" i="1" a="1"/>
  <c r="F2882" i="1" s="1"/>
  <c r="F2883" i="1" a="1"/>
  <c r="F2883" i="1" s="1"/>
  <c r="F2884" i="1" a="1"/>
  <c r="F2884" i="1"/>
  <c r="F2885" i="1" a="1"/>
  <c r="F2885" i="1"/>
  <c r="F2886" i="1" a="1"/>
  <c r="F2886" i="1" s="1"/>
  <c r="F2887" i="1" a="1"/>
  <c r="F2887" i="1" s="1"/>
  <c r="F2888" i="1" a="1"/>
  <c r="F2888" i="1" s="1"/>
  <c r="F2889" i="1" a="1"/>
  <c r="F2889" i="1" s="1"/>
  <c r="F2890" i="1" a="1"/>
  <c r="F2890" i="1" s="1"/>
  <c r="F2891" i="1" a="1"/>
  <c r="F2891" i="1"/>
  <c r="F2892" i="1" a="1"/>
  <c r="F2892" i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 s="1"/>
  <c r="F2899" i="1" a="1"/>
  <c r="F2899" i="1" s="1"/>
  <c r="F2900" i="1" a="1"/>
  <c r="F2900" i="1"/>
  <c r="F2901" i="1" a="1"/>
  <c r="F2901" i="1" s="1"/>
  <c r="F2902" i="1" a="1"/>
  <c r="F2902" i="1" s="1"/>
  <c r="F2903" i="1" a="1"/>
  <c r="F2903" i="1"/>
  <c r="F2904" i="1" a="1"/>
  <c r="F2904" i="1" s="1"/>
  <c r="F2905" i="1" a="1"/>
  <c r="F2905" i="1"/>
  <c r="F2906" i="1" a="1"/>
  <c r="F2906" i="1"/>
  <c r="F2907" i="1" a="1"/>
  <c r="F2907" i="1" s="1"/>
  <c r="F2908" i="1" a="1"/>
  <c r="F2908" i="1" s="1"/>
  <c r="F2909" i="1" a="1"/>
  <c r="F2909" i="1"/>
  <c r="F2910" i="1" a="1"/>
  <c r="F2910" i="1" s="1"/>
  <c r="F2911" i="1" a="1"/>
  <c r="F2911" i="1" s="1"/>
  <c r="F2912" i="1" a="1"/>
  <c r="F2912" i="1"/>
  <c r="F2913" i="1" a="1"/>
  <c r="F2913" i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 s="1"/>
  <c r="F2919" i="1" a="1"/>
  <c r="F2919" i="1" s="1"/>
  <c r="F2920" i="1" a="1"/>
  <c r="F2920" i="1" s="1"/>
  <c r="F2921" i="1" a="1"/>
  <c r="F2921" i="1"/>
  <c r="F2922" i="1" a="1"/>
  <c r="F2922" i="1" s="1"/>
  <c r="F2923" i="1" a="1"/>
  <c r="F2923" i="1" s="1"/>
  <c r="F2924" i="1" a="1"/>
  <c r="F2924" i="1"/>
  <c r="F2925" i="1" a="1"/>
  <c r="F2925" i="1" s="1"/>
  <c r="F2926" i="1" a="1"/>
  <c r="F2926" i="1"/>
  <c r="F2927" i="1" a="1"/>
  <c r="F2927" i="1"/>
  <c r="F2928" i="1" a="1"/>
  <c r="F2928" i="1" s="1"/>
  <c r="F2929" i="1" a="1"/>
  <c r="F2929" i="1"/>
  <c r="F2930" i="1" a="1"/>
  <c r="F2930" i="1"/>
  <c r="F2931" i="1" a="1"/>
  <c r="F2931" i="1" s="1"/>
  <c r="F2932" i="1" a="1"/>
  <c r="F2932" i="1" s="1"/>
  <c r="F2933" i="1" a="1"/>
  <c r="F2933" i="1"/>
  <c r="F2934" i="1" a="1"/>
  <c r="F2934" i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 s="1"/>
  <c r="F2941" i="1" a="1"/>
  <c r="F2941" i="1" s="1"/>
  <c r="F2942" i="1" a="1"/>
  <c r="F2942" i="1"/>
  <c r="F2943" i="1" a="1"/>
  <c r="F2943" i="1" s="1"/>
  <c r="F2944" i="1" a="1"/>
  <c r="F2944" i="1" s="1"/>
  <c r="F2945" i="1" a="1"/>
  <c r="F2945" i="1"/>
  <c r="F2946" i="1" a="1"/>
  <c r="F2946" i="1" s="1"/>
  <c r="F2947" i="1" a="1"/>
  <c r="F2947" i="1" s="1"/>
  <c r="F2948" i="1" a="1"/>
  <c r="F2948" i="1" s="1"/>
  <c r="F2949" i="1" a="1"/>
  <c r="F2949" i="1" s="1"/>
  <c r="F2950" i="1" a="1"/>
  <c r="F2950" i="1"/>
  <c r="F2951" i="1" a="1"/>
  <c r="F2951" i="1"/>
  <c r="F2952" i="1" a="1"/>
  <c r="F2952" i="1" s="1"/>
  <c r="F2953" i="1" a="1"/>
  <c r="F2953" i="1" s="1"/>
  <c r="F2954" i="1" a="1"/>
  <c r="F2954" i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/>
  <c r="F2960" i="1" a="1"/>
  <c r="F2960" i="1" s="1"/>
  <c r="F2961" i="1" a="1"/>
  <c r="F2961" i="1" s="1"/>
  <c r="F2962" i="1" a="1"/>
  <c r="F2962" i="1" s="1"/>
  <c r="F2963" i="1" a="1"/>
  <c r="F2963" i="1"/>
  <c r="F2964" i="1" a="1"/>
  <c r="F2964" i="1" s="1"/>
  <c r="F2965" i="1" a="1"/>
  <c r="F2965" i="1" s="1"/>
  <c r="F2966" i="1" a="1"/>
  <c r="F2966" i="1" s="1"/>
  <c r="F2967" i="1" a="1"/>
  <c r="F2967" i="1" s="1"/>
  <c r="F2968" i="1" a="1"/>
  <c r="F2968" i="1" s="1"/>
  <c r="F2969" i="1" a="1"/>
  <c r="F2969" i="1" s="1"/>
  <c r="F2970" i="1" a="1"/>
  <c r="F2970" i="1" s="1"/>
  <c r="F2971" i="1" a="1"/>
  <c r="F2971" i="1" s="1"/>
  <c r="F2972" i="1" a="1"/>
  <c r="F2972" i="1"/>
  <c r="F2973" i="1" a="1"/>
  <c r="F2973" i="1" s="1"/>
  <c r="F2974" i="1" a="1"/>
  <c r="F2974" i="1" s="1"/>
  <c r="F2975" i="1" a="1"/>
  <c r="F2975" i="1"/>
  <c r="F2976" i="1" a="1"/>
  <c r="F2976" i="1" s="1"/>
  <c r="F2977" i="1" a="1"/>
  <c r="F2977" i="1" s="1"/>
  <c r="F2978" i="1" a="1"/>
  <c r="F2978" i="1" s="1"/>
  <c r="F2979" i="1" a="1"/>
  <c r="F2979" i="1"/>
  <c r="F2980" i="1" a="1"/>
  <c r="F2980" i="1" s="1"/>
  <c r="F2981" i="1" a="1"/>
  <c r="F2981" i="1" s="1"/>
  <c r="F2982" i="1" a="1"/>
  <c r="F2982" i="1" s="1"/>
  <c r="F2983" i="1" a="1"/>
  <c r="F2983" i="1" s="1"/>
  <c r="F2984" i="1" a="1"/>
  <c r="F2984" i="1"/>
  <c r="F2985" i="1" a="1"/>
  <c r="F2985" i="1" s="1"/>
  <c r="F2986" i="1" a="1"/>
  <c r="F2986" i="1" s="1"/>
  <c r="F2987" i="1" a="1"/>
  <c r="F2987" i="1"/>
  <c r="F2988" i="1" a="1"/>
  <c r="F2988" i="1" s="1"/>
  <c r="F2989" i="1" a="1"/>
  <c r="F2989" i="1" s="1"/>
  <c r="F2990" i="1" a="1"/>
  <c r="F2990" i="1" s="1"/>
  <c r="F2991" i="1" a="1"/>
  <c r="F2991" i="1" s="1"/>
  <c r="F2992" i="1" a="1"/>
  <c r="F2992" i="1"/>
  <c r="F2993" i="1" a="1"/>
  <c r="F2993" i="1"/>
  <c r="F2994" i="1" a="1"/>
  <c r="F2994" i="1" s="1"/>
  <c r="F2995" i="1" a="1"/>
  <c r="F2995" i="1" s="1"/>
  <c r="F2996" i="1" a="1"/>
  <c r="F2996" i="1"/>
  <c r="F2997" i="1" a="1"/>
  <c r="F2997" i="1"/>
  <c r="F2998" i="1" a="1"/>
  <c r="F2998" i="1" s="1"/>
  <c r="F2999" i="1" a="1"/>
  <c r="F2999" i="1" s="1"/>
  <c r="F3000" i="1" a="1"/>
  <c r="F3000" i="1"/>
  <c r="F3001" i="1" a="1"/>
  <c r="F3001" i="1"/>
  <c r="F3002" i="1" a="1"/>
  <c r="F3002" i="1" s="1"/>
  <c r="F3003" i="1" a="1"/>
  <c r="F3003" i="1" s="1"/>
  <c r="F3004" i="1" a="1"/>
  <c r="F3004" i="1" s="1"/>
  <c r="F3005" i="1" a="1"/>
  <c r="F3005" i="1" s="1"/>
  <c r="F3006" i="1" a="1"/>
  <c r="F3006" i="1" s="1"/>
  <c r="F3007" i="1" a="1"/>
  <c r="F3007" i="1" s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/>
  <c r="F3014" i="1" a="1"/>
  <c r="F3014" i="1" s="1"/>
  <c r="F3015" i="1" a="1"/>
  <c r="F3015" i="1" s="1"/>
  <c r="F3016" i="1" a="1"/>
  <c r="F3016" i="1" s="1"/>
  <c r="F3017" i="1" a="1"/>
  <c r="F3017" i="1"/>
  <c r="F3018" i="1" a="1"/>
  <c r="F3018" i="1" s="1"/>
  <c r="F3019" i="1" a="1"/>
  <c r="F3019" i="1"/>
  <c r="F3020" i="1" a="1"/>
  <c r="F3020" i="1" s="1"/>
  <c r="F3021" i="1" a="1"/>
  <c r="F3021" i="1" s="1"/>
  <c r="F3022" i="1" a="1"/>
  <c r="F3022" i="1" s="1"/>
  <c r="F3023" i="1" a="1"/>
  <c r="F3023" i="1" s="1"/>
  <c r="F3024" i="1" a="1"/>
  <c r="F3024" i="1" s="1"/>
  <c r="F3025" i="1" a="1"/>
  <c r="F3025" i="1" s="1"/>
  <c r="F3026" i="1" a="1"/>
  <c r="F3026" i="1"/>
  <c r="F3027" i="1" a="1"/>
  <c r="F3027" i="1" s="1"/>
  <c r="F3028" i="1" a="1"/>
  <c r="F3028" i="1" s="1"/>
  <c r="F3029" i="1" a="1"/>
  <c r="F3029" i="1"/>
  <c r="F3030" i="1" a="1"/>
  <c r="F3030" i="1" s="1"/>
  <c r="F3031" i="1" a="1"/>
  <c r="F3031" i="1" s="1"/>
  <c r="F3032" i="1" a="1"/>
  <c r="F3032" i="1" s="1"/>
  <c r="F3033" i="1" a="1"/>
  <c r="F3033" i="1" s="1"/>
  <c r="F3034" i="1" a="1"/>
  <c r="F3034" i="1"/>
  <c r="F3035" i="1" a="1"/>
  <c r="F3035" i="1" s="1"/>
  <c r="F3036" i="1" a="1"/>
  <c r="F3036" i="1" s="1"/>
  <c r="F3037" i="1" a="1"/>
  <c r="F3037" i="1" s="1"/>
  <c r="F3038" i="1" a="1"/>
  <c r="F3038" i="1" s="1"/>
  <c r="F3039" i="1" a="1"/>
  <c r="F3039" i="1" s="1"/>
  <c r="F3040" i="1" a="1"/>
  <c r="F3040" i="1"/>
  <c r="F3041" i="1" a="1"/>
  <c r="F3041" i="1" s="1"/>
  <c r="F3042" i="1" a="1"/>
  <c r="F3042" i="1"/>
  <c r="F3043" i="1" a="1"/>
  <c r="F3043" i="1"/>
  <c r="F3044" i="1" a="1"/>
  <c r="F3044" i="1" s="1"/>
  <c r="F3045" i="1" a="1"/>
  <c r="F3045" i="1" s="1"/>
  <c r="F3046" i="1" a="1"/>
  <c r="F3046" i="1" s="1"/>
  <c r="F3047" i="1" a="1"/>
  <c r="F3047" i="1"/>
  <c r="F3048" i="1" a="1"/>
  <c r="F3048" i="1" s="1"/>
  <c r="F3049" i="1" a="1"/>
  <c r="F3049" i="1"/>
  <c r="F3050" i="1" a="1"/>
  <c r="F3050" i="1"/>
  <c r="F3051" i="1" a="1"/>
  <c r="F3051" i="1" s="1"/>
  <c r="F3052" i="1" a="1"/>
  <c r="F3052" i="1" s="1"/>
  <c r="F3053" i="1" a="1"/>
  <c r="F3053" i="1" s="1"/>
  <c r="F3054" i="1" a="1"/>
  <c r="F3054" i="1" s="1"/>
  <c r="F3055" i="1" a="1"/>
  <c r="F3055" i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/>
  <c r="F3063" i="1" a="1"/>
  <c r="F3063" i="1"/>
  <c r="F3064" i="1" a="1"/>
  <c r="F3064" i="1" s="1"/>
  <c r="F3065" i="1" a="1"/>
  <c r="F3065" i="1" s="1"/>
  <c r="F3066" i="1" a="1"/>
  <c r="F3066" i="1" s="1"/>
  <c r="F3067" i="1" a="1"/>
  <c r="F3067" i="1" s="1"/>
  <c r="F3068" i="1" a="1"/>
  <c r="F3068" i="1" s="1"/>
  <c r="F3069" i="1" a="1"/>
  <c r="F3069" i="1" s="1"/>
  <c r="F3070" i="1" a="1"/>
  <c r="F3070" i="1" s="1"/>
  <c r="F3071" i="1" a="1"/>
  <c r="F3071" i="1"/>
  <c r="F3072" i="1" a="1"/>
  <c r="F3072" i="1" s="1"/>
  <c r="F3073" i="1" a="1"/>
  <c r="F3073" i="1" s="1"/>
  <c r="F3074" i="1" a="1"/>
  <c r="F3074" i="1" s="1"/>
  <c r="F3075" i="1" a="1"/>
  <c r="F3075" i="1" s="1"/>
  <c r="F3076" i="1" a="1"/>
  <c r="F3076" i="1"/>
  <c r="F3077" i="1" a="1"/>
  <c r="F3077" i="1" s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/>
  <c r="F3084" i="1" a="1"/>
  <c r="F3084" i="1" s="1"/>
  <c r="F3085" i="1" a="1"/>
  <c r="F3085" i="1"/>
  <c r="F3086" i="1" a="1"/>
  <c r="F3086" i="1" s="1"/>
  <c r="F3087" i="1" a="1"/>
  <c r="F3087" i="1" s="1"/>
  <c r="F3088" i="1" a="1"/>
  <c r="F3088" i="1" s="1"/>
  <c r="F3089" i="1" a="1"/>
  <c r="F3089" i="1" s="1"/>
  <c r="F3090" i="1" a="1"/>
  <c r="F3090" i="1" s="1"/>
  <c r="F3091" i="1" a="1"/>
  <c r="F3091" i="1"/>
  <c r="F3092" i="1" a="1"/>
  <c r="F3092" i="1"/>
  <c r="F3093" i="1" a="1"/>
  <c r="F3093" i="1" s="1"/>
  <c r="F3094" i="1" a="1"/>
  <c r="F3094" i="1" s="1"/>
  <c r="F3095" i="1" a="1"/>
  <c r="F3095" i="1" s="1"/>
  <c r="F3096" i="1" a="1"/>
  <c r="F3096" i="1" s="1"/>
  <c r="F3097" i="1" a="1"/>
  <c r="F3097" i="1"/>
  <c r="F3098" i="1" a="1"/>
  <c r="F3098" i="1" s="1"/>
  <c r="F3099" i="1" a="1"/>
  <c r="F3099" i="1" s="1"/>
  <c r="F3100" i="1" a="1"/>
  <c r="F3100" i="1"/>
  <c r="F3101" i="1" a="1"/>
  <c r="F3101" i="1" s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 s="1"/>
  <c r="F3110" i="1" a="1"/>
  <c r="F3110" i="1" s="1"/>
  <c r="F3111" i="1" a="1"/>
  <c r="F3111" i="1" s="1"/>
  <c r="F3112" i="1" a="1"/>
  <c r="F3112" i="1"/>
  <c r="F3113" i="1" a="1"/>
  <c r="F3113" i="1"/>
  <c r="F3114" i="1" a="1"/>
  <c r="F3114" i="1" s="1"/>
  <c r="F3115" i="1" a="1"/>
  <c r="F3115" i="1" s="1"/>
  <c r="F3116" i="1" a="1"/>
  <c r="F3116" i="1" s="1"/>
  <c r="F3117" i="1" a="1"/>
  <c r="F3117" i="1" s="1"/>
  <c r="F3118" i="1" a="1"/>
  <c r="F3118" i="1" s="1"/>
  <c r="F3119" i="1" a="1"/>
  <c r="F3119" i="1" s="1"/>
  <c r="F3120" i="1" a="1"/>
  <c r="F3120" i="1"/>
  <c r="F3121" i="1" a="1"/>
  <c r="F3121" i="1"/>
  <c r="F3122" i="1" a="1"/>
  <c r="F3122" i="1" s="1"/>
  <c r="F3123" i="1" a="1"/>
  <c r="F3123" i="1" s="1"/>
  <c r="F3124" i="1" a="1"/>
  <c r="F3124" i="1"/>
  <c r="F3125" i="1" a="1"/>
  <c r="F3125" i="1" s="1"/>
  <c r="F3126" i="1" a="1"/>
  <c r="F3126" i="1"/>
  <c r="F3127" i="1" a="1"/>
  <c r="F3127" i="1" s="1"/>
  <c r="F3128" i="1" a="1"/>
  <c r="F3128" i="1" s="1"/>
  <c r="F3129" i="1" a="1"/>
  <c r="F3129" i="1"/>
  <c r="F3130" i="1" a="1"/>
  <c r="F3130" i="1" s="1"/>
  <c r="F3131" i="1" a="1"/>
  <c r="F3131" i="1" s="1"/>
  <c r="F3132" i="1" a="1"/>
  <c r="F3132" i="1" s="1"/>
  <c r="F3133" i="1" a="1"/>
  <c r="F3133" i="1" s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 s="1"/>
  <c r="F3139" i="1" a="1"/>
  <c r="F3139" i="1" s="1"/>
  <c r="F3140" i="1" a="1"/>
  <c r="F3140" i="1" s="1"/>
  <c r="F3141" i="1" a="1"/>
  <c r="F3141" i="1"/>
  <c r="F3142" i="1" a="1"/>
  <c r="F3142" i="1" s="1"/>
  <c r="F3143" i="1" a="1"/>
  <c r="F3143" i="1" s="1"/>
  <c r="F3144" i="1" a="1"/>
  <c r="F3144" i="1" s="1"/>
  <c r="F3145" i="1" a="1"/>
  <c r="F3145" i="1" s="1"/>
  <c r="F3146" i="1" a="1"/>
  <c r="F3146" i="1" s="1"/>
  <c r="F3147" i="1" a="1"/>
  <c r="F3147" i="1"/>
  <c r="F3148" i="1" a="1"/>
  <c r="F3148" i="1" s="1"/>
  <c r="F3149" i="1" a="1"/>
  <c r="F3149" i="1" s="1"/>
  <c r="F3150" i="1" a="1"/>
  <c r="F3150" i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/>
  <c r="F3156" i="1" a="1"/>
  <c r="F3156" i="1" s="1"/>
  <c r="F3157" i="1" a="1"/>
  <c r="F3157" i="1" s="1"/>
  <c r="F3158" i="1" a="1"/>
  <c r="F3158" i="1" s="1"/>
  <c r="F3159" i="1" a="1"/>
  <c r="F3159" i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 s="1"/>
  <c r="F3168" i="1" a="1"/>
  <c r="F3168" i="1" s="1"/>
  <c r="F3169" i="1" a="1"/>
  <c r="F3169" i="1" s="1"/>
  <c r="F3170" i="1" a="1"/>
  <c r="F3170" i="1" s="1"/>
  <c r="F3171" i="1" a="1"/>
  <c r="F3171" i="1" s="1"/>
  <c r="F3172" i="1" a="1"/>
  <c r="F3172" i="1" s="1"/>
  <c r="F3173" i="1" a="1"/>
  <c r="F3173" i="1" s="1"/>
  <c r="F3174" i="1" a="1"/>
  <c r="F3174" i="1" s="1"/>
  <c r="F3175" i="1" a="1"/>
  <c r="F3175" i="1"/>
  <c r="F3176" i="1" a="1"/>
  <c r="F3176" i="1"/>
  <c r="F3177" i="1" a="1"/>
  <c r="F3177" i="1" s="1"/>
  <c r="F3178" i="1" a="1"/>
  <c r="F3178" i="1" s="1"/>
  <c r="F3179" i="1" a="1"/>
  <c r="F3179" i="1"/>
  <c r="F3180" i="1" a="1"/>
  <c r="F3180" i="1"/>
  <c r="F3181" i="1" a="1"/>
  <c r="F3181" i="1" s="1"/>
  <c r="F3182" i="1" a="1"/>
  <c r="F3182" i="1" s="1"/>
  <c r="F3183" i="1" a="1"/>
  <c r="F3183" i="1" s="1"/>
  <c r="F3184" i="1" a="1"/>
  <c r="F3184" i="1"/>
  <c r="F3185" i="1" a="1"/>
  <c r="F3185" i="1" s="1"/>
  <c r="F3186" i="1" a="1"/>
  <c r="F3186" i="1" s="1"/>
  <c r="F3187" i="1" a="1"/>
  <c r="F3187" i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/>
  <c r="F3193" i="1" a="1"/>
  <c r="F3193" i="1" s="1"/>
  <c r="F3194" i="1" a="1"/>
  <c r="F3194" i="1" s="1"/>
  <c r="F3195" i="1" a="1"/>
  <c r="F3195" i="1" s="1"/>
  <c r="F3196" i="1" a="1"/>
  <c r="F3196" i="1" s="1"/>
  <c r="F3197" i="1" a="1"/>
  <c r="F3197" i="1" s="1"/>
  <c r="F3198" i="1" a="1"/>
  <c r="F3198" i="1" s="1"/>
  <c r="F3199" i="1" a="1"/>
  <c r="F3199" i="1" s="1"/>
  <c r="F3200" i="1" a="1"/>
  <c r="F3200" i="1" s="1"/>
  <c r="F3201" i="1" a="1"/>
  <c r="F3201" i="1"/>
  <c r="F3202" i="1" a="1"/>
  <c r="F3202" i="1" s="1"/>
  <c r="F3203" i="1" a="1"/>
  <c r="F3203" i="1"/>
  <c r="F3204" i="1" a="1"/>
  <c r="F3204" i="1" s="1"/>
  <c r="F3205" i="1" a="1"/>
  <c r="F3205" i="1" s="1"/>
  <c r="F3206" i="1" a="1"/>
  <c r="F3206" i="1" s="1"/>
  <c r="F3207" i="1" a="1"/>
  <c r="F3207" i="1" s="1"/>
  <c r="F3208" i="1" a="1"/>
  <c r="F3208" i="1" s="1"/>
  <c r="F3209" i="1" a="1"/>
  <c r="F3209" i="1" s="1"/>
  <c r="F3210" i="1" a="1"/>
  <c r="F3210" i="1" s="1"/>
  <c r="F3211" i="1" a="1"/>
  <c r="F3211" i="1" s="1"/>
  <c r="F3212" i="1" a="1"/>
  <c r="F3212" i="1" s="1"/>
  <c r="F3213" i="1" a="1"/>
  <c r="F3213" i="1"/>
  <c r="F3214" i="1" a="1"/>
  <c r="F3214" i="1" s="1"/>
  <c r="F3215" i="1" a="1"/>
  <c r="F3215" i="1" s="1"/>
  <c r="F3216" i="1" a="1"/>
  <c r="F3216" i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/>
  <c r="F3222" i="1" a="1"/>
  <c r="F3222" i="1"/>
  <c r="F3223" i="1" a="1"/>
  <c r="F3223" i="1" s="1"/>
  <c r="F3224" i="1" a="1"/>
  <c r="F3224" i="1" s="1"/>
  <c r="F3225" i="1" a="1"/>
  <c r="F3225" i="1" s="1"/>
  <c r="F3226" i="1" a="1"/>
  <c r="F3226" i="1"/>
  <c r="F3227" i="1" a="1"/>
  <c r="F3227" i="1" s="1"/>
  <c r="F3228" i="1" a="1"/>
  <c r="F3228" i="1" s="1"/>
  <c r="F3229" i="1" a="1"/>
  <c r="F3229" i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 s="1"/>
  <c r="F3240" i="1" a="1"/>
  <c r="F3240" i="1" s="1"/>
  <c r="F3241" i="1" a="1"/>
  <c r="F3241" i="1" s="1"/>
  <c r="F3242" i="1" a="1"/>
  <c r="F3242" i="1"/>
  <c r="F3243" i="1" a="1"/>
  <c r="F3243" i="1" s="1"/>
  <c r="F3244" i="1" a="1"/>
  <c r="F3244" i="1" s="1"/>
  <c r="F3245" i="1" a="1"/>
  <c r="F3245" i="1" s="1"/>
  <c r="F3246" i="1" a="1"/>
  <c r="F3246" i="1"/>
  <c r="F3247" i="1" a="1"/>
  <c r="F3247" i="1"/>
  <c r="F3248" i="1" a="1"/>
  <c r="F3248" i="1" s="1"/>
  <c r="F3249" i="1" a="1"/>
  <c r="F3249" i="1" s="1"/>
  <c r="F3250" i="1" a="1"/>
  <c r="F3250" i="1" s="1"/>
  <c r="F3251" i="1" a="1"/>
  <c r="F3251" i="1" s="1"/>
  <c r="F3252" i="1" a="1"/>
  <c r="F3252" i="1" s="1"/>
  <c r="F3253" i="1" a="1"/>
  <c r="F3253" i="1" s="1"/>
  <c r="F3254" i="1" a="1"/>
  <c r="F3254" i="1" s="1"/>
  <c r="F3255" i="1" a="1"/>
  <c r="F3255" i="1"/>
  <c r="F3256" i="1" a="1"/>
  <c r="F3256" i="1" s="1"/>
  <c r="F3257" i="1" a="1"/>
  <c r="F3257" i="1" s="1"/>
  <c r="F3258" i="1" a="1"/>
  <c r="F3258" i="1" s="1"/>
  <c r="F3259" i="1" a="1"/>
  <c r="F3259" i="1" s="1"/>
  <c r="F3260" i="1" a="1"/>
  <c r="F3260" i="1" s="1"/>
  <c r="F3261" i="1" a="1"/>
  <c r="F3261" i="1"/>
  <c r="F3262" i="1" a="1"/>
  <c r="F3262" i="1" s="1"/>
  <c r="F3263" i="1" a="1"/>
  <c r="F3263" i="1" s="1"/>
  <c r="F3264" i="1" a="1"/>
  <c r="F3264" i="1" s="1"/>
  <c r="F3265" i="1" a="1"/>
  <c r="F3265" i="1" s="1"/>
  <c r="F3266" i="1" a="1"/>
  <c r="F3266" i="1"/>
  <c r="F3267" i="1" a="1"/>
  <c r="F3267" i="1" s="1"/>
  <c r="F3268" i="1" a="1"/>
  <c r="F3268" i="1" s="1"/>
  <c r="F3269" i="1" a="1"/>
  <c r="F3269" i="1" s="1"/>
  <c r="F3270" i="1" a="1"/>
  <c r="F3270" i="1" s="1"/>
  <c r="F3271" i="1" a="1"/>
  <c r="F3271" i="1"/>
  <c r="F3272" i="1" a="1"/>
  <c r="F3272" i="1" s="1"/>
  <c r="F3273" i="1" a="1"/>
  <c r="F3273" i="1" s="1"/>
  <c r="F3274" i="1" a="1"/>
  <c r="F3274" i="1" s="1"/>
  <c r="F3275" i="1" a="1"/>
  <c r="F3275" i="1" s="1"/>
  <c r="F3276" i="1" a="1"/>
  <c r="F3276" i="1"/>
  <c r="F3277" i="1" a="1"/>
  <c r="F3277" i="1"/>
  <c r="F3278" i="1" a="1"/>
  <c r="F3278" i="1" s="1"/>
  <c r="F3279" i="1" a="1"/>
  <c r="F3279" i="1" s="1"/>
  <c r="F3280" i="1" a="1"/>
  <c r="F3280" i="1" s="1"/>
  <c r="F3281" i="1" a="1"/>
  <c r="F3281" i="1" s="1"/>
  <c r="F3282" i="1" a="1"/>
  <c r="F3282" i="1" s="1"/>
  <c r="F3283" i="1" a="1"/>
  <c r="F3283" i="1" s="1"/>
  <c r="F3284" i="1" a="1"/>
  <c r="F3284" i="1" s="1"/>
  <c r="F3285" i="1" a="1"/>
  <c r="F3285" i="1" s="1"/>
  <c r="F3286" i="1" a="1"/>
  <c r="F3286" i="1" s="1"/>
  <c r="F3287" i="1" a="1"/>
  <c r="F3287" i="1" s="1"/>
  <c r="F3288" i="1" a="1"/>
  <c r="F3288" i="1" s="1"/>
  <c r="F3289" i="1" a="1"/>
  <c r="F3289" i="1" s="1"/>
  <c r="F3290" i="1" a="1"/>
  <c r="F3290" i="1" s="1"/>
  <c r="F3291" i="1" a="1"/>
  <c r="F3291" i="1" s="1"/>
  <c r="F3292" i="1" a="1"/>
  <c r="F3292" i="1"/>
  <c r="F3293" i="1" a="1"/>
  <c r="F3293" i="1" s="1"/>
  <c r="F3294" i="1" a="1"/>
  <c r="F3294" i="1" s="1"/>
  <c r="F3295" i="1" a="1"/>
  <c r="F3295" i="1" s="1"/>
  <c r="F3296" i="1" a="1"/>
  <c r="F3296" i="1" s="1"/>
  <c r="F3297" i="1" a="1"/>
  <c r="F3297" i="1"/>
  <c r="F3298" i="1" a="1"/>
  <c r="F3298" i="1" s="1"/>
  <c r="F3299" i="1" a="1"/>
  <c r="F3299" i="1" s="1"/>
  <c r="F3300" i="1" a="1"/>
  <c r="F3300" i="1"/>
  <c r="F3301" i="1" a="1"/>
  <c r="F3301" i="1" s="1"/>
  <c r="F3302" i="1" a="1"/>
  <c r="F3302" i="1" s="1"/>
  <c r="F3303" i="1" a="1"/>
  <c r="F3303" i="1"/>
  <c r="F3304" i="1" a="1"/>
  <c r="F3304" i="1" s="1"/>
  <c r="F3305" i="1" a="1"/>
  <c r="F3305" i="1" s="1"/>
  <c r="F3306" i="1" a="1"/>
  <c r="F3306" i="1"/>
  <c r="F3307" i="1" a="1"/>
  <c r="F3307" i="1" s="1"/>
  <c r="F3308" i="1" a="1"/>
  <c r="F3308" i="1" s="1"/>
  <c r="F3309" i="1" a="1"/>
  <c r="F3309" i="1"/>
  <c r="F3310" i="1" a="1"/>
  <c r="F3310" i="1" s="1"/>
  <c r="F3311" i="1" a="1"/>
  <c r="F3311" i="1" s="1"/>
  <c r="F3312" i="1" a="1"/>
  <c r="F3312" i="1" s="1"/>
  <c r="F3313" i="1" a="1"/>
  <c r="F3313" i="1" s="1"/>
  <c r="F3314" i="1" a="1"/>
  <c r="F3314" i="1" s="1"/>
  <c r="F3315" i="1" a="1"/>
  <c r="F3315" i="1" s="1"/>
  <c r="F3316" i="1" a="1"/>
  <c r="F3316" i="1" s="1"/>
  <c r="F3317" i="1" a="1"/>
  <c r="F3317" i="1" s="1"/>
  <c r="F3318" i="1" a="1"/>
  <c r="F3318" i="1" s="1"/>
  <c r="F3319" i="1" a="1"/>
  <c r="F3319" i="1" s="1"/>
  <c r="F3320" i="1" a="1"/>
  <c r="F3320" i="1"/>
  <c r="F3321" i="1" a="1"/>
  <c r="F3321" i="1" s="1"/>
  <c r="F3322" i="1" a="1"/>
  <c r="F3322" i="1"/>
  <c r="F3323" i="1" a="1"/>
  <c r="F3323" i="1" s="1"/>
  <c r="F3324" i="1" a="1"/>
  <c r="F3324" i="1" s="1"/>
  <c r="F3325" i="1" a="1"/>
  <c r="F3325" i="1" s="1"/>
  <c r="F3326" i="1" a="1"/>
  <c r="F3326" i="1" s="1"/>
  <c r="F3327" i="1" a="1"/>
  <c r="F3327" i="1" s="1"/>
  <c r="F3328" i="1" a="1"/>
  <c r="F3328" i="1" s="1"/>
  <c r="F3329" i="1" a="1"/>
  <c r="F3329" i="1"/>
  <c r="F3330" i="1" a="1"/>
  <c r="F3330" i="1" s="1"/>
  <c r="F3331" i="1" a="1"/>
  <c r="F3331" i="1" s="1"/>
  <c r="F3332" i="1" a="1"/>
  <c r="F3332" i="1" s="1"/>
  <c r="F3333" i="1" a="1"/>
  <c r="F3333" i="1" s="1"/>
  <c r="F3334" i="1" a="1"/>
  <c r="F3334" i="1"/>
  <c r="F3335" i="1" a="1"/>
  <c r="F3335" i="1" s="1"/>
  <c r="F3336" i="1" a="1"/>
  <c r="F3336" i="1"/>
  <c r="F3337" i="1" a="1"/>
  <c r="F3337" i="1"/>
  <c r="F3338" i="1" a="1"/>
  <c r="F3338" i="1" s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/>
  <c r="F3344" i="1" a="1"/>
  <c r="F3344" i="1" s="1"/>
  <c r="F3345" i="1" a="1"/>
  <c r="F3345" i="1" s="1"/>
  <c r="F3346" i="1" a="1"/>
  <c r="F3346" i="1" s="1"/>
  <c r="F3347" i="1" a="1"/>
  <c r="F3347" i="1"/>
  <c r="F3348" i="1" a="1"/>
  <c r="F3348" i="1" s="1"/>
  <c r="F3349" i="1" a="1"/>
  <c r="F3349" i="1"/>
  <c r="F3350" i="1" a="1"/>
  <c r="F3350" i="1" s="1"/>
  <c r="F3351" i="1" a="1"/>
  <c r="F3351" i="1" s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 s="1"/>
  <c r="F3357" i="1" a="1"/>
  <c r="F3357" i="1" s="1"/>
  <c r="F3358" i="1" a="1"/>
  <c r="F3358" i="1" s="1"/>
  <c r="F3359" i="1" a="1"/>
  <c r="F3359" i="1" s="1"/>
  <c r="F3360" i="1" a="1"/>
  <c r="F3360" i="1" s="1"/>
  <c r="F3361" i="1" a="1"/>
  <c r="F3361" i="1" s="1"/>
  <c r="F3362" i="1" a="1"/>
  <c r="F3362" i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/>
  <c r="F3369" i="1" a="1"/>
  <c r="F3369" i="1"/>
  <c r="F3370" i="1" a="1"/>
  <c r="F3370" i="1"/>
  <c r="F3371" i="1" a="1"/>
  <c r="F3371" i="1" s="1"/>
  <c r="F3372" i="1" a="1"/>
  <c r="F3372" i="1" s="1"/>
  <c r="F3373" i="1" a="1"/>
  <c r="F3373" i="1" s="1"/>
  <c r="F3374" i="1" a="1"/>
  <c r="F3374" i="1" s="1"/>
  <c r="F3375" i="1" a="1"/>
  <c r="F3375" i="1"/>
  <c r="F3376" i="1" a="1"/>
  <c r="F3376" i="1" s="1"/>
  <c r="F3377" i="1" a="1"/>
  <c r="F3377" i="1"/>
  <c r="F3378" i="1" a="1"/>
  <c r="F3378" i="1" s="1"/>
  <c r="F3379" i="1" a="1"/>
  <c r="F3379" i="1" s="1"/>
  <c r="F3380" i="1" a="1"/>
  <c r="F3380" i="1" s="1"/>
  <c r="F3381" i="1" a="1"/>
  <c r="F3381" i="1" s="1"/>
  <c r="F3382" i="1" a="1"/>
  <c r="F3382" i="1"/>
  <c r="F3383" i="1" a="1"/>
  <c r="F3383" i="1" s="1"/>
  <c r="F3384" i="1" a="1"/>
  <c r="F3384" i="1" s="1"/>
  <c r="F3385" i="1" a="1"/>
  <c r="F3385" i="1" s="1"/>
  <c r="F3386" i="1" a="1"/>
  <c r="F3386" i="1" s="1"/>
  <c r="F3387" i="1" a="1"/>
  <c r="F3387" i="1" s="1"/>
  <c r="F3388" i="1" a="1"/>
  <c r="F3388" i="1" s="1"/>
  <c r="F3389" i="1" a="1"/>
  <c r="F3389" i="1"/>
  <c r="F3390" i="1" a="1"/>
  <c r="F3390" i="1"/>
  <c r="F3391" i="1" a="1"/>
  <c r="F3391" i="1"/>
  <c r="F3392" i="1" a="1"/>
  <c r="F3392" i="1" s="1"/>
  <c r="F3393" i="1" a="1"/>
  <c r="F3393" i="1" s="1"/>
  <c r="F3394" i="1" a="1"/>
  <c r="F3394" i="1" s="1"/>
  <c r="F3395" i="1" a="1"/>
  <c r="F3395" i="1" s="1"/>
  <c r="F3396" i="1" a="1"/>
  <c r="F3396" i="1"/>
  <c r="F3397" i="1" a="1"/>
  <c r="F3397" i="1" s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 s="1"/>
  <c r="F3408" i="1" a="1"/>
  <c r="F3408" i="1" s="1"/>
  <c r="F3409" i="1" a="1"/>
  <c r="F3409" i="1" s="1"/>
  <c r="F3410" i="1" a="1"/>
  <c r="F3410" i="1" s="1"/>
  <c r="F3411" i="1" a="1"/>
  <c r="F3411" i="1"/>
  <c r="F3412" i="1" a="1"/>
  <c r="F3412" i="1" s="1"/>
  <c r="F3413" i="1" a="1"/>
  <c r="F3413" i="1" s="1"/>
  <c r="F3414" i="1" a="1"/>
  <c r="F3414" i="1" s="1"/>
  <c r="F3415" i="1" a="1"/>
  <c r="F3415" i="1" s="1"/>
  <c r="F3416" i="1" a="1"/>
  <c r="F3416" i="1" s="1"/>
  <c r="F3417" i="1" a="1"/>
  <c r="F3417" i="1"/>
  <c r="F3418" i="1" a="1"/>
  <c r="F3418" i="1" s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 s="1"/>
  <c r="F3424" i="1" a="1"/>
  <c r="F3424" i="1" s="1"/>
  <c r="F3425" i="1" a="1"/>
  <c r="F3425" i="1" s="1"/>
  <c r="F3426" i="1" a="1"/>
  <c r="F3426" i="1" s="1"/>
  <c r="F3427" i="1" a="1"/>
  <c r="F3427" i="1" s="1"/>
  <c r="F3428" i="1" a="1"/>
  <c r="F3428" i="1" s="1"/>
  <c r="F3429" i="1" a="1"/>
  <c r="F3429" i="1" s="1"/>
  <c r="F3430" i="1" a="1"/>
  <c r="F3430" i="1" s="1"/>
  <c r="F3431" i="1" a="1"/>
  <c r="F3431" i="1"/>
  <c r="F3432" i="1" a="1"/>
  <c r="F3432" i="1"/>
  <c r="F3433" i="1" a="1"/>
  <c r="F3433" i="1"/>
  <c r="F3434" i="1" a="1"/>
  <c r="F3434" i="1" s="1"/>
  <c r="F3435" i="1" a="1"/>
  <c r="F3435" i="1" s="1"/>
  <c r="F3436" i="1" a="1"/>
  <c r="F3436" i="1" s="1"/>
  <c r="F3437" i="1" a="1"/>
  <c r="F3437" i="1" s="1"/>
  <c r="F3438" i="1" a="1"/>
  <c r="F3438" i="1"/>
  <c r="F3439" i="1" a="1"/>
  <c r="F3439" i="1" s="1"/>
  <c r="F3440" i="1" a="1"/>
  <c r="F3440" i="1"/>
  <c r="F3441" i="1" a="1"/>
  <c r="F3441" i="1" s="1"/>
  <c r="F3442" i="1" a="1"/>
  <c r="F3442" i="1" s="1"/>
  <c r="F3443" i="1" a="1"/>
  <c r="F3443" i="1" s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 s="1"/>
  <c r="F3450" i="1" a="1"/>
  <c r="F3450" i="1" s="1"/>
  <c r="F3451" i="1" a="1"/>
  <c r="F3451" i="1" s="1"/>
  <c r="F3452" i="1" a="1"/>
  <c r="F3452" i="1"/>
  <c r="F3453" i="1" a="1"/>
  <c r="F3453" i="1"/>
  <c r="F3454" i="1" a="1"/>
  <c r="F3454" i="1" s="1"/>
  <c r="F3455" i="1" a="1"/>
  <c r="F3455" i="1" s="1"/>
  <c r="F3456" i="1" a="1"/>
  <c r="F3456" i="1"/>
  <c r="F3457" i="1" a="1"/>
  <c r="F3457" i="1"/>
  <c r="F3458" i="1" a="1"/>
  <c r="F3458" i="1" s="1"/>
  <c r="F3459" i="1" a="1"/>
  <c r="F3459" i="1" s="1"/>
  <c r="F3460" i="1" a="1"/>
  <c r="F3460" i="1" s="1"/>
  <c r="F3461" i="1" a="1"/>
  <c r="F3461" i="1"/>
  <c r="F3462" i="1" a="1"/>
  <c r="F3462" i="1" s="1"/>
  <c r="F3463" i="1" a="1"/>
  <c r="F3463" i="1" s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 s="1"/>
  <c r="F3472" i="1" a="1"/>
  <c r="F3472" i="1" s="1"/>
  <c r="F3473" i="1" a="1"/>
  <c r="F3473" i="1"/>
  <c r="F3474" i="1" a="1"/>
  <c r="F3474" i="1" s="1"/>
  <c r="F3475" i="1" a="1"/>
  <c r="F3475" i="1" s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/>
  <c r="F3481" i="1" a="1"/>
  <c r="F3481" i="1" s="1"/>
  <c r="F3482" i="1" a="1"/>
  <c r="F3482" i="1" s="1"/>
  <c r="F3483" i="1" a="1"/>
  <c r="F3483" i="1" s="1"/>
  <c r="F3484" i="1" a="1"/>
  <c r="F3484" i="1" s="1"/>
  <c r="F3485" i="1" a="1"/>
  <c r="F3485" i="1" s="1"/>
  <c r="F3486" i="1" a="1"/>
  <c r="F3486" i="1"/>
  <c r="F3487" i="1" a="1"/>
  <c r="F3487" i="1"/>
  <c r="F3488" i="1" a="1"/>
  <c r="F3488" i="1" s="1"/>
  <c r="F3489" i="1" a="1"/>
  <c r="F3489" i="1" s="1"/>
  <c r="F3490" i="1" a="1"/>
  <c r="F3490" i="1" s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 s="1"/>
  <c r="F3496" i="1" a="1"/>
  <c r="F3496" i="1" s="1"/>
  <c r="F3497" i="1" a="1"/>
  <c r="F3497" i="1" s="1"/>
  <c r="F3498" i="1" a="1"/>
  <c r="F3498" i="1" s="1"/>
  <c r="F3499" i="1" a="1"/>
  <c r="F3499" i="1"/>
  <c r="F3500" i="1" a="1"/>
  <c r="F3500" i="1" s="1"/>
  <c r="F3501" i="1" a="1"/>
  <c r="F3501" i="1"/>
  <c r="F3502" i="1" a="1"/>
  <c r="F3502" i="1" s="1"/>
  <c r="F3503" i="1" a="1"/>
  <c r="F3503" i="1" s="1"/>
  <c r="F3504" i="1" a="1"/>
  <c r="F3504" i="1" s="1"/>
  <c r="F3505" i="1" a="1"/>
  <c r="F3505" i="1"/>
  <c r="F3506" i="1" a="1"/>
  <c r="F3506" i="1"/>
  <c r="F3507" i="1" a="1"/>
  <c r="F3507" i="1"/>
  <c r="F3508" i="1" a="1"/>
  <c r="F3508" i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 s="1"/>
  <c r="F3515" i="1" a="1"/>
  <c r="F3515" i="1" s="1"/>
  <c r="F3516" i="1" a="1"/>
  <c r="F3516" i="1" s="1"/>
  <c r="F3517" i="1" a="1"/>
  <c r="F3517" i="1" s="1"/>
  <c r="F3518" i="1" a="1"/>
  <c r="F3518" i="1" s="1"/>
  <c r="F3519" i="1" a="1"/>
  <c r="F3519" i="1"/>
  <c r="F3520" i="1" a="1"/>
  <c r="F3520" i="1"/>
  <c r="F3521" i="1" a="1"/>
  <c r="F3521" i="1" s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/>
  <c r="F3527" i="1" a="1"/>
  <c r="F3527" i="1"/>
  <c r="F3528" i="1" a="1"/>
  <c r="F3528" i="1"/>
  <c r="F3529" i="1" a="1"/>
  <c r="F3529" i="1"/>
  <c r="F3530" i="1" a="1"/>
  <c r="F3530" i="1" s="1"/>
  <c r="F3531" i="1" a="1"/>
  <c r="F3531" i="1" s="1"/>
  <c r="F3532" i="1" a="1"/>
  <c r="F3532" i="1" s="1"/>
  <c r="F3533" i="1" a="1"/>
  <c r="F3533" i="1" s="1"/>
  <c r="F3534" i="1" a="1"/>
  <c r="F3534" i="1" s="1"/>
  <c r="F3535" i="1" a="1"/>
  <c r="F3535" i="1" s="1"/>
  <c r="F3536" i="1" a="1"/>
  <c r="F3536" i="1" s="1"/>
  <c r="F3537" i="1" a="1"/>
  <c r="F3537" i="1" s="1"/>
  <c r="F3538" i="1" a="1"/>
  <c r="F3538" i="1" s="1"/>
  <c r="F3539" i="1" a="1"/>
  <c r="F3539" i="1" s="1"/>
  <c r="F3540" i="1" a="1"/>
  <c r="F3540" i="1" s="1"/>
  <c r="F3541" i="1" a="1"/>
  <c r="F3541" i="1" s="1"/>
  <c r="F3542" i="1" a="1"/>
  <c r="F3542" i="1" s="1"/>
  <c r="F3543" i="1" a="1"/>
  <c r="F3543" i="1"/>
  <c r="F3544" i="1" a="1"/>
  <c r="F3544" i="1" s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 s="1"/>
  <c r="F3552" i="1" a="1"/>
  <c r="F3552" i="1" s="1"/>
  <c r="F3553" i="1" a="1"/>
  <c r="F3553" i="1" s="1"/>
  <c r="F3554" i="1" a="1"/>
  <c r="F3554" i="1" s="1"/>
  <c r="F3555" i="1" a="1"/>
  <c r="F3555" i="1" s="1"/>
  <c r="F3556" i="1" a="1"/>
  <c r="F3556" i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/>
  <c r="F3562" i="1" a="1"/>
  <c r="F3562" i="1"/>
  <c r="F3563" i="1" a="1"/>
  <c r="F3563" i="1" s="1"/>
  <c r="F3564" i="1" a="1"/>
  <c r="F3564" i="1" s="1"/>
  <c r="F3565" i="1" a="1"/>
  <c r="F3565" i="1" s="1"/>
  <c r="F3566" i="1" a="1"/>
  <c r="F3566" i="1" s="1"/>
  <c r="F3567" i="1" a="1"/>
  <c r="F3567" i="1" s="1"/>
  <c r="F3568" i="1" a="1"/>
  <c r="F3568" i="1" s="1"/>
  <c r="F3569" i="1" a="1"/>
  <c r="F3569" i="1" s="1"/>
  <c r="F3570" i="1" a="1"/>
  <c r="F3570" i="1" s="1"/>
  <c r="F3571" i="1" a="1"/>
  <c r="F3571" i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 s="1"/>
  <c r="F3577" i="1" a="1"/>
  <c r="F3577" i="1" s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 s="1"/>
  <c r="F3587" i="1" a="1"/>
  <c r="F3587" i="1"/>
  <c r="F3588" i="1" a="1"/>
  <c r="F3588" i="1" s="1"/>
  <c r="F3589" i="1" a="1"/>
  <c r="F3589" i="1"/>
  <c r="F3590" i="1" a="1"/>
  <c r="F3590" i="1" s="1"/>
  <c r="F3591" i="1" a="1"/>
  <c r="F3591" i="1" s="1"/>
  <c r="F3592" i="1" a="1"/>
  <c r="F3592" i="1" s="1"/>
  <c r="F3593" i="1" a="1"/>
  <c r="F3593" i="1" s="1"/>
  <c r="F3594" i="1" a="1"/>
  <c r="F3594" i="1" s="1"/>
  <c r="F3595" i="1" a="1"/>
  <c r="F3595" i="1" s="1"/>
  <c r="F3596" i="1" a="1"/>
  <c r="F3596" i="1"/>
  <c r="F3597" i="1" a="1"/>
  <c r="F3597" i="1" s="1"/>
  <c r="F3598" i="1" a="1"/>
  <c r="F3598" i="1" s="1"/>
  <c r="F3599" i="1" a="1"/>
  <c r="F3599" i="1" s="1"/>
  <c r="F3600" i="1" a="1"/>
  <c r="F3600" i="1" s="1"/>
  <c r="F3601" i="1" a="1"/>
  <c r="F3601" i="1" s="1"/>
  <c r="F3602" i="1" a="1"/>
  <c r="F3602" i="1" s="1"/>
  <c r="F3603" i="1" a="1"/>
  <c r="F3603" i="1"/>
  <c r="F3604" i="1" a="1"/>
  <c r="F3604" i="1" s="1"/>
  <c r="F3605" i="1" a="1"/>
  <c r="F3605" i="1" s="1"/>
  <c r="F3606" i="1" a="1"/>
  <c r="F3606" i="1" s="1"/>
  <c r="F3607" i="1" a="1"/>
  <c r="F3607" i="1" s="1"/>
  <c r="F3608" i="1" a="1"/>
  <c r="F3608" i="1" s="1"/>
  <c r="F3609" i="1" a="1"/>
  <c r="F3609" i="1" s="1"/>
  <c r="F3610" i="1" a="1"/>
  <c r="F3610" i="1"/>
  <c r="F3611" i="1" a="1"/>
  <c r="F3611" i="1"/>
  <c r="F3612" i="1" a="1"/>
  <c r="F3612" i="1"/>
  <c r="F3613" i="1" a="1"/>
  <c r="F3613" i="1"/>
  <c r="F3614" i="1" a="1"/>
  <c r="F3614" i="1" s="1"/>
  <c r="F3615" i="1" a="1"/>
  <c r="F3615" i="1" s="1"/>
  <c r="F3616" i="1" a="1"/>
  <c r="F3616" i="1" s="1"/>
  <c r="F3617" i="1" a="1"/>
  <c r="F3617" i="1"/>
  <c r="F3618" i="1" a="1"/>
  <c r="F3618" i="1" s="1"/>
  <c r="F3619" i="1" a="1"/>
  <c r="F3619" i="1" s="1"/>
  <c r="F3620" i="1" a="1"/>
  <c r="F3620" i="1" s="1"/>
  <c r="F3621" i="1" a="1"/>
  <c r="F3621" i="1" s="1"/>
  <c r="F3622" i="1" a="1"/>
  <c r="F3622" i="1" s="1"/>
  <c r="F3623" i="1" a="1"/>
  <c r="F3623" i="1" s="1"/>
  <c r="F3624" i="1" a="1"/>
  <c r="F3624" i="1" s="1"/>
  <c r="F3625" i="1" a="1"/>
  <c r="F3625" i="1" s="1"/>
  <c r="F3626" i="1" a="1"/>
  <c r="F3626" i="1" s="1"/>
  <c r="F3627" i="1" a="1"/>
  <c r="F3627" i="1" s="1"/>
  <c r="F3628" i="1" a="1"/>
  <c r="F3628" i="1" s="1"/>
  <c r="F3629" i="1" a="1"/>
  <c r="F3629" i="1"/>
  <c r="F3630" i="1" a="1"/>
  <c r="F3630" i="1" s="1"/>
  <c r="F3631" i="1" a="1"/>
  <c r="F3631" i="1" s="1"/>
  <c r="F3632" i="1" a="1"/>
  <c r="F3632" i="1"/>
  <c r="F3633" i="1" a="1"/>
  <c r="F3633" i="1" s="1"/>
  <c r="F3634" i="1" a="1"/>
  <c r="F3634" i="1" s="1"/>
  <c r="F3635" i="1" a="1"/>
  <c r="F3635" i="1"/>
  <c r="F3636" i="1" a="1"/>
  <c r="F3636" i="1"/>
  <c r="F3637" i="1" a="1"/>
  <c r="F3637" i="1" s="1"/>
  <c r="F3638" i="1" a="1"/>
  <c r="F3638" i="1" s="1"/>
  <c r="F3639" i="1" a="1"/>
  <c r="F3639" i="1" s="1"/>
  <c r="F3640" i="1" a="1"/>
  <c r="F3640" i="1"/>
  <c r="F3641" i="1" a="1"/>
  <c r="F3641" i="1" s="1"/>
  <c r="F3642" i="1" a="1"/>
  <c r="F3642" i="1" s="1"/>
  <c r="F3643" i="1" a="1"/>
  <c r="F3643" i="1" s="1"/>
  <c r="F3644" i="1" a="1"/>
  <c r="F3644" i="1" s="1"/>
  <c r="F3645" i="1" a="1"/>
  <c r="F3645" i="1"/>
  <c r="F3646" i="1" a="1"/>
  <c r="F3646" i="1" s="1"/>
  <c r="F3647" i="1" a="1"/>
  <c r="F3647" i="1" s="1"/>
  <c r="F3648" i="1" a="1"/>
  <c r="F3648" i="1" s="1"/>
  <c r="F3649" i="1" a="1"/>
  <c r="F3649" i="1" s="1"/>
  <c r="F3650" i="1" a="1"/>
  <c r="F3650" i="1"/>
  <c r="F3651" i="1" a="1"/>
  <c r="F3651" i="1" s="1"/>
  <c r="F3652" i="1" a="1"/>
  <c r="F3652" i="1" s="1"/>
  <c r="F3653" i="1" a="1"/>
  <c r="F3653" i="1" s="1"/>
  <c r="F3654" i="1" a="1"/>
  <c r="F3654" i="1" s="1"/>
  <c r="F3655" i="1" a="1"/>
  <c r="F3655" i="1" s="1"/>
  <c r="F3656" i="1" a="1"/>
  <c r="F3656" i="1" s="1"/>
  <c r="F3657" i="1" a="1"/>
  <c r="F3657" i="1"/>
  <c r="F3658" i="1" a="1"/>
  <c r="F3658" i="1" s="1"/>
  <c r="F3659" i="1" a="1"/>
  <c r="F3659" i="1"/>
  <c r="F3660" i="1" a="1"/>
  <c r="F3660" i="1" s="1"/>
  <c r="F3661" i="1" a="1"/>
  <c r="F3661" i="1" s="1"/>
  <c r="F3662" i="1" a="1"/>
  <c r="F3662" i="1" s="1"/>
  <c r="F3663" i="1" a="1"/>
  <c r="F3663" i="1" s="1"/>
  <c r="F3664" i="1" a="1"/>
  <c r="F3664" i="1" s="1"/>
  <c r="F3665" i="1" a="1"/>
  <c r="F3665" i="1"/>
  <c r="F3666" i="1" a="1"/>
  <c r="F3666" i="1"/>
  <c r="F3667" i="1" a="1"/>
  <c r="F3667" i="1" s="1"/>
  <c r="F3668" i="1" a="1"/>
  <c r="F3668" i="1" s="1"/>
  <c r="F3669" i="1" a="1"/>
  <c r="F3669" i="1" s="1"/>
  <c r="F3670" i="1" a="1"/>
  <c r="F3670" i="1" s="1"/>
  <c r="F3671" i="1" a="1"/>
  <c r="F3671" i="1"/>
  <c r="F3672" i="1" a="1"/>
  <c r="F3672" i="1" s="1"/>
  <c r="F3673" i="1" a="1"/>
  <c r="F3673" i="1" s="1"/>
  <c r="F3674" i="1" a="1"/>
  <c r="F3674" i="1" s="1"/>
  <c r="F3675" i="1" a="1"/>
  <c r="F3675" i="1" s="1"/>
  <c r="F3676" i="1" a="1"/>
  <c r="F3676" i="1" s="1"/>
  <c r="F3677" i="1" a="1"/>
  <c r="F3677" i="1"/>
  <c r="F3678" i="1" a="1"/>
  <c r="F3678" i="1"/>
  <c r="F3679" i="1" a="1"/>
  <c r="F3679" i="1" s="1"/>
  <c r="F3680" i="1" a="1"/>
  <c r="F3680" i="1" s="1"/>
  <c r="F3681" i="1" a="1"/>
  <c r="F3681" i="1" s="1"/>
  <c r="F3682" i="1" a="1"/>
  <c r="F3682" i="1"/>
  <c r="F3683" i="1" a="1"/>
  <c r="F3683" i="1" s="1"/>
  <c r="F3684" i="1" a="1"/>
  <c r="F3684" i="1" s="1"/>
  <c r="F3685" i="1" a="1"/>
  <c r="F3685" i="1"/>
  <c r="F3686" i="1" a="1"/>
  <c r="F3686" i="1" s="1"/>
  <c r="F3687" i="1" a="1"/>
  <c r="F3687" i="1" s="1"/>
  <c r="F3688" i="1" a="1"/>
  <c r="F3688" i="1" s="1"/>
  <c r="F3689" i="1" a="1"/>
  <c r="F3689" i="1" s="1"/>
  <c r="F3690" i="1" a="1"/>
  <c r="F3690" i="1" s="1"/>
  <c r="F3691" i="1" a="1"/>
  <c r="F3691" i="1" s="1"/>
  <c r="F3692" i="1" a="1"/>
  <c r="F3692" i="1" s="1"/>
  <c r="F3693" i="1" a="1"/>
  <c r="F3693" i="1" s="1"/>
  <c r="F3694" i="1" a="1"/>
  <c r="F3694" i="1" s="1"/>
  <c r="F3695" i="1" a="1"/>
  <c r="F3695" i="1" s="1"/>
  <c r="F3696" i="1" a="1"/>
  <c r="F3696" i="1" s="1"/>
  <c r="F3697" i="1" a="1"/>
  <c r="F3697" i="1" s="1"/>
  <c r="F3698" i="1" a="1"/>
  <c r="F3698" i="1"/>
  <c r="F3699" i="1" a="1"/>
  <c r="F3699" i="1"/>
  <c r="F3700" i="1" a="1"/>
  <c r="F3700" i="1" s="1"/>
  <c r="F3701" i="1" a="1"/>
  <c r="F3701" i="1"/>
  <c r="F3702" i="1" a="1"/>
  <c r="F3702" i="1" s="1"/>
  <c r="F3703" i="1" a="1"/>
  <c r="F3703" i="1"/>
  <c r="F3704" i="1" a="1"/>
  <c r="F3704" i="1" s="1"/>
  <c r="F3705" i="1" a="1"/>
  <c r="F3705" i="1" s="1"/>
  <c r="F3706" i="1" a="1"/>
  <c r="F3706" i="1" s="1"/>
  <c r="F3707" i="1" a="1"/>
  <c r="F3707" i="1" s="1"/>
  <c r="F3708" i="1" a="1"/>
  <c r="F3708" i="1"/>
  <c r="F3709" i="1" a="1"/>
  <c r="F3709" i="1" s="1"/>
  <c r="F3710" i="1" a="1"/>
  <c r="F3710" i="1" s="1"/>
  <c r="F3711" i="1" a="1"/>
  <c r="F3711" i="1" s="1"/>
  <c r="F3712" i="1" a="1"/>
  <c r="F3712" i="1" s="1"/>
  <c r="F3713" i="1" a="1"/>
  <c r="F3713" i="1"/>
  <c r="F3714" i="1" a="1"/>
  <c r="F3714" i="1" s="1"/>
  <c r="F3715" i="1" a="1"/>
  <c r="F3715" i="1" s="1"/>
  <c r="F3716" i="1" a="1"/>
  <c r="F3716" i="1" s="1"/>
  <c r="F3717" i="1" a="1"/>
  <c r="F3717" i="1" s="1"/>
  <c r="F3718" i="1" a="1"/>
  <c r="F3718" i="1" s="1"/>
  <c r="F3719" i="1" a="1"/>
  <c r="F3719" i="1"/>
  <c r="F3720" i="1" a="1"/>
  <c r="F3720" i="1" s="1"/>
  <c r="F3721" i="1" a="1"/>
  <c r="F3721" i="1" s="1"/>
  <c r="F3722" i="1" a="1"/>
  <c r="F3722" i="1"/>
  <c r="F3723" i="1" a="1"/>
  <c r="F3723" i="1" s="1"/>
  <c r="F3724" i="1" a="1"/>
  <c r="F3724" i="1" s="1"/>
  <c r="F3725" i="1" a="1"/>
  <c r="F3725" i="1" s="1"/>
  <c r="F3726" i="1" a="1"/>
  <c r="F3726" i="1" s="1"/>
  <c r="F3727" i="1" a="1"/>
  <c r="F3727" i="1" s="1"/>
  <c r="F3728" i="1" a="1"/>
  <c r="F3728" i="1" s="1"/>
  <c r="F3729" i="1" a="1"/>
  <c r="F3729" i="1"/>
  <c r="F3730" i="1" a="1"/>
  <c r="F3730" i="1" s="1"/>
  <c r="F3731" i="1" a="1"/>
  <c r="F3731" i="1" s="1"/>
  <c r="F3732" i="1" a="1"/>
  <c r="F3732" i="1" s="1"/>
  <c r="F3733" i="1" a="1"/>
  <c r="F3733" i="1" s="1"/>
  <c r="F3734" i="1" a="1"/>
  <c r="F3734" i="1" s="1"/>
  <c r="F3735" i="1" a="1"/>
  <c r="F3735" i="1" s="1"/>
  <c r="F3736" i="1" a="1"/>
  <c r="F3736" i="1" s="1"/>
  <c r="F3737" i="1" a="1"/>
  <c r="F3737" i="1" s="1"/>
  <c r="F3738" i="1" a="1"/>
  <c r="F3738" i="1" s="1"/>
  <c r="F3739" i="1" a="1"/>
  <c r="F3739" i="1" s="1"/>
  <c r="F3740" i="1" a="1"/>
  <c r="F3740" i="1" s="1"/>
  <c r="F3741" i="1" a="1"/>
  <c r="F3741" i="1" s="1"/>
  <c r="F3742" i="1" a="1"/>
  <c r="F3742" i="1" s="1"/>
  <c r="F3743" i="1" a="1"/>
  <c r="F3743" i="1"/>
  <c r="F3744" i="1" a="1"/>
  <c r="F3744" i="1" s="1"/>
  <c r="F3745" i="1" a="1"/>
  <c r="F3745" i="1"/>
  <c r="F3746" i="1" a="1"/>
  <c r="F3746" i="1" s="1"/>
  <c r="F3747" i="1" a="1"/>
  <c r="F3747" i="1"/>
  <c r="F3748" i="1" a="1"/>
  <c r="F3748" i="1"/>
  <c r="F3749" i="1" a="1"/>
  <c r="F3749" i="1" s="1"/>
  <c r="F3750" i="1" a="1"/>
  <c r="F3750" i="1" s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/>
  <c r="F3757" i="1" a="1"/>
  <c r="F3757" i="1" s="1"/>
  <c r="F3758" i="1" a="1"/>
  <c r="F3758" i="1" s="1"/>
  <c r="F3759" i="1" a="1"/>
  <c r="F3759" i="1" s="1"/>
  <c r="F3760" i="1" a="1"/>
  <c r="F3760" i="1" s="1"/>
  <c r="F3761" i="1" a="1"/>
  <c r="F3761" i="1"/>
  <c r="F3762" i="1" a="1"/>
  <c r="F3762" i="1"/>
  <c r="F3763" i="1" a="1"/>
  <c r="F3763" i="1" s="1"/>
  <c r="F3764" i="1" a="1"/>
  <c r="F3764" i="1" s="1"/>
  <c r="F3765" i="1" a="1"/>
  <c r="F3765" i="1" s="1"/>
  <c r="F3766" i="1" a="1"/>
  <c r="F3766" i="1" s="1"/>
  <c r="F3767" i="1" a="1"/>
  <c r="F3767" i="1" s="1"/>
  <c r="F3768" i="1" a="1"/>
  <c r="F3768" i="1"/>
  <c r="F3769" i="1" a="1"/>
  <c r="F3769" i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/>
  <c r="F3776" i="1" a="1"/>
  <c r="F3776" i="1" s="1"/>
  <c r="F3777" i="1" a="1"/>
  <c r="F3777" i="1"/>
  <c r="F3778" i="1" a="1"/>
  <c r="F3778" i="1" s="1"/>
  <c r="F3779" i="1" a="1"/>
  <c r="F3779" i="1" s="1"/>
  <c r="F3780" i="1" a="1"/>
  <c r="F3780" i="1" s="1"/>
  <c r="F3781" i="1" a="1"/>
  <c r="F3781" i="1" s="1"/>
  <c r="F3782" i="1" a="1"/>
  <c r="F3782" i="1" s="1"/>
  <c r="F3783" i="1" a="1"/>
  <c r="F3783" i="1" s="1"/>
  <c r="F3784" i="1" a="1"/>
  <c r="F3784" i="1" s="1"/>
  <c r="F3785" i="1" a="1"/>
  <c r="F3785" i="1" s="1"/>
  <c r="F3786" i="1" a="1"/>
  <c r="F3786" i="1" s="1"/>
  <c r="F3787" i="1" a="1"/>
  <c r="F3787" i="1"/>
  <c r="F3788" i="1" a="1"/>
  <c r="F3788" i="1" s="1"/>
  <c r="F3789" i="1" a="1"/>
  <c r="F3789" i="1"/>
  <c r="F3790" i="1" a="1"/>
  <c r="F3790" i="1" s="1"/>
  <c r="F3791" i="1" a="1"/>
  <c r="F3791" i="1" s="1"/>
  <c r="F3792" i="1" a="1"/>
  <c r="F3792" i="1"/>
  <c r="F3793" i="1" a="1"/>
  <c r="F3793" i="1" s="1"/>
  <c r="F3794" i="1" a="1"/>
  <c r="F3794" i="1" s="1"/>
  <c r="F3795" i="1" a="1"/>
  <c r="F3795" i="1" s="1"/>
  <c r="F3796" i="1" a="1"/>
  <c r="F3796" i="1" s="1"/>
  <c r="F3797" i="1" a="1"/>
  <c r="F3797" i="1" s="1"/>
  <c r="F3798" i="1" a="1"/>
  <c r="F3798" i="1"/>
  <c r="F3799" i="1" a="1"/>
  <c r="F3799" i="1" s="1"/>
  <c r="F3800" i="1" a="1"/>
  <c r="F3800" i="1" s="1"/>
  <c r="F3801" i="1" a="1"/>
  <c r="F3801" i="1" s="1"/>
  <c r="F3802" i="1" a="1"/>
  <c r="F3802" i="1" s="1"/>
  <c r="F3803" i="1" a="1"/>
  <c r="F3803" i="1"/>
  <c r="F3804" i="1" a="1"/>
  <c r="F3804" i="1" s="1"/>
  <c r="F3805" i="1" a="1"/>
  <c r="F3805" i="1" s="1"/>
  <c r="F3806" i="1" a="1"/>
  <c r="F3806" i="1" s="1"/>
  <c r="F3807" i="1" a="1"/>
  <c r="F3807" i="1" s="1"/>
  <c r="F3808" i="1" a="1"/>
  <c r="F3808" i="1"/>
  <c r="F3809" i="1" a="1"/>
  <c r="F3809" i="1" s="1"/>
  <c r="F3810" i="1" a="1"/>
  <c r="F3810" i="1" s="1"/>
  <c r="F3811" i="1" a="1"/>
  <c r="F3811" i="1" s="1"/>
  <c r="F3812" i="1" a="1"/>
  <c r="F3812" i="1" s="1"/>
  <c r="F3813" i="1" a="1"/>
  <c r="F3813" i="1"/>
  <c r="F3814" i="1" a="1"/>
  <c r="F3814" i="1" s="1"/>
  <c r="F3815" i="1" a="1"/>
  <c r="F3815" i="1" s="1"/>
  <c r="F3816" i="1" a="1"/>
  <c r="F3816" i="1" s="1"/>
  <c r="F3817" i="1" a="1"/>
  <c r="F3817" i="1" s="1"/>
  <c r="F3818" i="1" a="1"/>
  <c r="F3818" i="1" s="1"/>
  <c r="F3819" i="1" a="1"/>
  <c r="F3819" i="1" s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 s="1"/>
  <c r="F3827" i="1" a="1"/>
  <c r="F3827" i="1" s="1"/>
  <c r="F3828" i="1" a="1"/>
  <c r="F3828" i="1" s="1"/>
  <c r="F3829" i="1" a="1"/>
  <c r="F3829" i="1"/>
  <c r="F3830" i="1" a="1"/>
  <c r="F3830" i="1" s="1"/>
  <c r="F3831" i="1" a="1"/>
  <c r="F3831" i="1" s="1"/>
  <c r="F3832" i="1" a="1"/>
  <c r="F3832" i="1" s="1"/>
  <c r="F3833" i="1" a="1"/>
  <c r="F3833" i="1" s="1"/>
  <c r="F3834" i="1" a="1"/>
  <c r="F3834" i="1" s="1"/>
  <c r="F3835" i="1" a="1"/>
  <c r="F3835" i="1" s="1"/>
  <c r="F3836" i="1" a="1"/>
  <c r="F3836" i="1"/>
  <c r="F3837" i="1" a="1"/>
  <c r="F3837" i="1" s="1"/>
  <c r="F3838" i="1" a="1"/>
  <c r="F3838" i="1"/>
  <c r="F3839" i="1" a="1"/>
  <c r="F3839" i="1" s="1"/>
  <c r="F3840" i="1" a="1"/>
  <c r="F3840" i="1" s="1"/>
  <c r="F3841" i="1" a="1"/>
  <c r="F3841" i="1" s="1"/>
  <c r="F3842" i="1" a="1"/>
  <c r="F3842" i="1" s="1"/>
  <c r="F3843" i="1" a="1"/>
  <c r="F3843" i="1" s="1"/>
  <c r="F3844" i="1" a="1"/>
  <c r="F3844" i="1" s="1"/>
  <c r="F3845" i="1" a="1"/>
  <c r="F3845" i="1" s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 s="1"/>
  <c r="F3852" i="1" a="1"/>
  <c r="F3852" i="1"/>
  <c r="F3853" i="1" a="1"/>
  <c r="F3853" i="1"/>
  <c r="F3854" i="1" a="1"/>
  <c r="F3854" i="1" s="1"/>
  <c r="F3855" i="1" a="1"/>
  <c r="F3855" i="1" s="1"/>
  <c r="F3856" i="1" a="1"/>
  <c r="F3856" i="1"/>
  <c r="F3857" i="1" a="1"/>
  <c r="F3857" i="1"/>
  <c r="F3858" i="1" a="1"/>
  <c r="F3858" i="1" s="1"/>
  <c r="F3859" i="1" a="1"/>
  <c r="F3859" i="1" s="1"/>
  <c r="F3860" i="1" a="1"/>
  <c r="F3860" i="1" s="1"/>
  <c r="F3861" i="1" a="1"/>
  <c r="F3861" i="1"/>
  <c r="F3862" i="1" a="1"/>
  <c r="F3862" i="1" s="1"/>
  <c r="F3863" i="1" a="1"/>
  <c r="F3863" i="1" s="1"/>
  <c r="F3864" i="1" a="1"/>
  <c r="F3864" i="1" s="1"/>
  <c r="F3865" i="1" a="1"/>
  <c r="F3865" i="1" s="1"/>
  <c r="F3866" i="1" a="1"/>
  <c r="F3866" i="1"/>
  <c r="F3867" i="1" a="1"/>
  <c r="F3867" i="1" s="1"/>
  <c r="F3868" i="1" a="1"/>
  <c r="F3868" i="1" s="1"/>
  <c r="F3869" i="1" a="1"/>
  <c r="F3869" i="1" s="1"/>
  <c r="F3870" i="1" a="1"/>
  <c r="F3870" i="1" s="1"/>
  <c r="F3871" i="1" a="1"/>
  <c r="F3871" i="1"/>
  <c r="F3872" i="1" a="1"/>
  <c r="F3872" i="1" s="1"/>
  <c r="F3873" i="1" a="1"/>
  <c r="F3873" i="1" s="1"/>
  <c r="F3874" i="1" a="1"/>
  <c r="F3874" i="1" s="1"/>
  <c r="F3875" i="1" a="1"/>
  <c r="F3875" i="1" s="1"/>
  <c r="F3876" i="1" a="1"/>
  <c r="F3876" i="1" s="1"/>
  <c r="F3877" i="1" a="1"/>
  <c r="F3877" i="1" s="1"/>
  <c r="F3878" i="1" a="1"/>
  <c r="F3878" i="1"/>
  <c r="F3879" i="1" a="1"/>
  <c r="F3879" i="1" s="1"/>
  <c r="F3880" i="1" a="1"/>
  <c r="F3880" i="1"/>
  <c r="F3881" i="1" a="1"/>
  <c r="F3881" i="1" s="1"/>
  <c r="F3882" i="1" a="1"/>
  <c r="F3882" i="1"/>
  <c r="F3883" i="1" a="1"/>
  <c r="F3883" i="1" s="1"/>
  <c r="F3884" i="1" a="1"/>
  <c r="F3884" i="1" s="1"/>
  <c r="F3885" i="1" a="1"/>
  <c r="F3885" i="1"/>
  <c r="F3886" i="1" a="1"/>
  <c r="F3886" i="1" s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 s="1"/>
  <c r="F3892" i="1" a="1"/>
  <c r="F3892" i="1"/>
  <c r="F3893" i="1" a="1"/>
  <c r="F3893" i="1" s="1"/>
  <c r="F3894" i="1" a="1"/>
  <c r="F3894" i="1" s="1"/>
  <c r="F3895" i="1" a="1"/>
  <c r="F3895" i="1" s="1"/>
  <c r="F3896" i="1" a="1"/>
  <c r="F3896" i="1" s="1"/>
  <c r="F3897" i="1" a="1"/>
  <c r="F3897" i="1" s="1"/>
  <c r="F3898" i="1" a="1"/>
  <c r="F3898" i="1" s="1"/>
  <c r="F3899" i="1" a="1"/>
  <c r="F3899" i="1" s="1"/>
  <c r="F3900" i="1" a="1"/>
  <c r="F3900" i="1" s="1"/>
  <c r="F3901" i="1" a="1"/>
  <c r="F3901" i="1"/>
  <c r="F3902" i="1" a="1"/>
  <c r="F3902" i="1" s="1"/>
  <c r="F3903" i="1" a="1"/>
  <c r="F3903" i="1" s="1"/>
  <c r="F3904" i="1" a="1"/>
  <c r="F3904" i="1" s="1"/>
  <c r="F3905" i="1" a="1"/>
  <c r="F3905" i="1" s="1"/>
  <c r="F3906" i="1" a="1"/>
  <c r="F3906" i="1"/>
  <c r="F3907" i="1" a="1"/>
  <c r="F3907" i="1" s="1"/>
  <c r="F3908" i="1" a="1"/>
  <c r="F3908" i="1"/>
  <c r="F3909" i="1" a="1"/>
  <c r="F3909" i="1" s="1"/>
  <c r="F3910" i="1" a="1"/>
  <c r="F3910" i="1" s="1"/>
  <c r="F3911" i="1" a="1"/>
  <c r="F3911" i="1" s="1"/>
  <c r="F3912" i="1" a="1"/>
  <c r="F3912" i="1" s="1"/>
  <c r="F3913" i="1" a="1"/>
  <c r="F3913" i="1"/>
  <c r="F3914" i="1" a="1"/>
  <c r="F3914" i="1" s="1"/>
  <c r="F3915" i="1" a="1"/>
  <c r="F3915" i="1" s="1"/>
  <c r="F3916" i="1" a="1"/>
  <c r="F3916" i="1" s="1"/>
  <c r="F3917" i="1" a="1"/>
  <c r="F3917" i="1" s="1"/>
  <c r="F3918" i="1" a="1"/>
  <c r="F3918" i="1" s="1"/>
  <c r="F3919" i="1" a="1"/>
  <c r="F3919" i="1" s="1"/>
  <c r="F3920" i="1" a="1"/>
  <c r="F3920" i="1"/>
  <c r="F3921" i="1" a="1"/>
  <c r="F3921" i="1" s="1"/>
  <c r="F3922" i="1" a="1"/>
  <c r="F3922" i="1"/>
  <c r="F3923" i="1" a="1"/>
  <c r="F3923" i="1" s="1"/>
  <c r="F3924" i="1" a="1"/>
  <c r="F3924" i="1" s="1"/>
  <c r="F3925" i="1" a="1"/>
  <c r="F3925" i="1" s="1"/>
  <c r="F3926" i="1" a="1"/>
  <c r="F3926" i="1" s="1"/>
  <c r="F3927" i="1" a="1"/>
  <c r="F3927" i="1" s="1"/>
  <c r="F3928" i="1" a="1"/>
  <c r="F3928" i="1" s="1"/>
  <c r="F3929" i="1" a="1"/>
  <c r="F3929" i="1"/>
  <c r="F3930" i="1" a="1"/>
  <c r="F3930" i="1" s="1"/>
  <c r="F3931" i="1" a="1"/>
  <c r="F3931" i="1" s="1"/>
  <c r="F3932" i="1" a="1"/>
  <c r="F3932" i="1"/>
  <c r="F3933" i="1" a="1"/>
  <c r="F3933" i="1" s="1"/>
  <c r="F3934" i="1" a="1"/>
  <c r="F3934" i="1" s="1"/>
  <c r="F3935" i="1" a="1"/>
  <c r="F3935" i="1"/>
  <c r="F3936" i="1" a="1"/>
  <c r="F3936" i="1" s="1"/>
  <c r="F3937" i="1" a="1"/>
  <c r="F3937" i="1" s="1"/>
  <c r="F3938" i="1" a="1"/>
  <c r="F3938" i="1" s="1"/>
  <c r="F3939" i="1" a="1"/>
  <c r="F3939" i="1" s="1"/>
  <c r="F3940" i="1" a="1"/>
  <c r="F3940" i="1"/>
  <c r="F3941" i="1" a="1"/>
  <c r="F3941" i="1"/>
  <c r="F3942" i="1" a="1"/>
  <c r="F3942" i="1"/>
  <c r="F3943" i="1" a="1"/>
  <c r="F3943" i="1"/>
  <c r="F3944" i="1" a="1"/>
  <c r="F3944" i="1" s="1"/>
  <c r="F3945" i="1" a="1"/>
  <c r="F3945" i="1" s="1"/>
  <c r="F3946" i="1" a="1"/>
  <c r="F3946" i="1" s="1"/>
  <c r="F3947" i="1" a="1"/>
  <c r="F3947" i="1" s="1"/>
  <c r="F3948" i="1" a="1"/>
  <c r="F3948" i="1"/>
  <c r="F3949" i="1" a="1"/>
  <c r="F3949" i="1" s="1"/>
  <c r="F3950" i="1" a="1"/>
  <c r="F3950" i="1"/>
  <c r="F3951" i="1" a="1"/>
  <c r="F3951" i="1" s="1"/>
  <c r="F3952" i="1" a="1"/>
  <c r="F3952" i="1" s="1"/>
  <c r="F3953" i="1" a="1"/>
  <c r="F3953" i="1" s="1"/>
  <c r="F3954" i="1" a="1"/>
  <c r="F3954" i="1" s="1"/>
  <c r="F3955" i="1" a="1"/>
  <c r="F3955" i="1" s="1"/>
  <c r="F3956" i="1" a="1"/>
  <c r="F3956" i="1" s="1"/>
  <c r="F3957" i="1" a="1"/>
  <c r="F3957" i="1" s="1"/>
  <c r="F3958" i="1" a="1"/>
  <c r="F3958" i="1" s="1"/>
  <c r="F3959" i="1" a="1"/>
  <c r="F3959" i="1" s="1"/>
  <c r="F3960" i="1" a="1"/>
  <c r="F3960" i="1" s="1"/>
  <c r="F3961" i="1" a="1"/>
  <c r="F3961" i="1" s="1"/>
  <c r="F3962" i="1" a="1"/>
  <c r="F3962" i="1"/>
  <c r="F3963" i="1" a="1"/>
  <c r="F3963" i="1" s="1"/>
  <c r="F3964" i="1" a="1"/>
  <c r="F3964" i="1" s="1"/>
  <c r="F3965" i="1" a="1"/>
  <c r="F3965" i="1" s="1"/>
  <c r="F3966" i="1" a="1"/>
  <c r="F3966" i="1"/>
  <c r="F3967" i="1" a="1"/>
  <c r="F3967" i="1" s="1"/>
  <c r="F3968" i="1" a="1"/>
  <c r="F3968" i="1" s="1"/>
  <c r="F3969" i="1" a="1"/>
  <c r="F3969" i="1" s="1"/>
  <c r="F3970" i="1" a="1"/>
  <c r="F3970" i="1" s="1"/>
  <c r="F3971" i="1" a="1"/>
  <c r="F3971" i="1"/>
  <c r="F3972" i="1" a="1"/>
  <c r="F3972" i="1" s="1"/>
  <c r="F3973" i="1" a="1"/>
  <c r="F3973" i="1" s="1"/>
  <c r="F3974" i="1" a="1"/>
  <c r="F3974" i="1" s="1"/>
  <c r="F3975" i="1" a="1"/>
  <c r="F3975" i="1" s="1"/>
  <c r="F3976" i="1" a="1"/>
  <c r="F3976" i="1" s="1"/>
  <c r="F3977" i="1" a="1"/>
  <c r="F3977" i="1"/>
  <c r="F3978" i="1" a="1"/>
  <c r="F3978" i="1" s="1"/>
  <c r="F3979" i="1" a="1"/>
  <c r="F3979" i="1" s="1"/>
  <c r="F3980" i="1" a="1"/>
  <c r="F3980" i="1" s="1"/>
  <c r="F3981" i="1" a="1"/>
  <c r="F3981" i="1" s="1"/>
  <c r="F3982" i="1" a="1"/>
  <c r="F3982" i="1"/>
  <c r="F3983" i="1" a="1"/>
  <c r="F3983" i="1"/>
  <c r="F3984" i="1" a="1"/>
  <c r="F3984" i="1" s="1"/>
  <c r="F3985" i="1" a="1"/>
  <c r="F3985" i="1" s="1"/>
  <c r="F3986" i="1" a="1"/>
  <c r="F3986" i="1" s="1"/>
  <c r="F3987" i="1" a="1"/>
  <c r="F3987" i="1"/>
  <c r="F3988" i="1" a="1"/>
  <c r="F3988" i="1" s="1"/>
  <c r="F3989" i="1" a="1"/>
  <c r="F3989" i="1" s="1"/>
  <c r="F3990" i="1" a="1"/>
  <c r="F3990" i="1"/>
  <c r="F3991" i="1" a="1"/>
  <c r="F3991" i="1" s="1"/>
  <c r="F3992" i="1" a="1"/>
  <c r="F3992" i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 s="1"/>
  <c r="F3998" i="1" a="1"/>
  <c r="F3998" i="1"/>
  <c r="F3999" i="1" a="1"/>
  <c r="F3999" i="1" s="1"/>
  <c r="F4000" i="1" a="1"/>
  <c r="F4000" i="1" s="1"/>
  <c r="F4001" i="1" a="1"/>
  <c r="F4001" i="1" s="1"/>
  <c r="F4002" i="1" a="1"/>
  <c r="F4002" i="1" s="1"/>
  <c r="F4003" i="1" a="1"/>
  <c r="F4003" i="1"/>
  <c r="F4004" i="1" a="1"/>
  <c r="F4004" i="1" s="1"/>
  <c r="F4005" i="1" a="1"/>
  <c r="F4005" i="1" s="1"/>
  <c r="F4006" i="1" a="1"/>
  <c r="F4006" i="1"/>
  <c r="F4007" i="1" a="1"/>
  <c r="F4007" i="1" s="1"/>
  <c r="F4008" i="1" a="1"/>
  <c r="F4008" i="1"/>
  <c r="F4009" i="1" a="1"/>
  <c r="F4009" i="1" s="1"/>
  <c r="F4010" i="1" a="1"/>
  <c r="F4010" i="1"/>
  <c r="F4011" i="1" a="1"/>
  <c r="F4011" i="1"/>
  <c r="F4012" i="1" a="1"/>
  <c r="F4012" i="1" s="1"/>
  <c r="F4013" i="1" a="1"/>
  <c r="F4013" i="1" s="1"/>
  <c r="F4014" i="1" a="1"/>
  <c r="F4014" i="1" s="1"/>
  <c r="F4015" i="1" a="1"/>
  <c r="F4015" i="1"/>
  <c r="F4016" i="1" a="1"/>
  <c r="F4016" i="1" s="1"/>
  <c r="F4017" i="1" a="1"/>
  <c r="F4017" i="1" s="1"/>
  <c r="F4018" i="1" a="1"/>
  <c r="F4018" i="1" s="1"/>
  <c r="F4019" i="1" a="1"/>
  <c r="F4019" i="1"/>
  <c r="F4020" i="1" a="1"/>
  <c r="F4020" i="1" s="1"/>
  <c r="F4021" i="1" a="1"/>
  <c r="F4021" i="1" s="1"/>
  <c r="F4022" i="1" a="1"/>
  <c r="F4022" i="1" s="1"/>
  <c r="F4023" i="1" a="1"/>
  <c r="F4023" i="1" s="1"/>
  <c r="F4024" i="1" a="1"/>
  <c r="F4024" i="1" s="1"/>
  <c r="F4025" i="1" a="1"/>
  <c r="F4025" i="1" s="1"/>
  <c r="F4026" i="1" a="1"/>
  <c r="F4026" i="1" s="1"/>
  <c r="F4027" i="1" a="1"/>
  <c r="F4027" i="1" s="1"/>
  <c r="F4028" i="1" a="1"/>
  <c r="F4028" i="1" s="1"/>
  <c r="F4029" i="1" a="1"/>
  <c r="F4029" i="1"/>
  <c r="F4030" i="1" a="1"/>
  <c r="F4030" i="1" s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 s="1"/>
  <c r="F4036" i="1" a="1"/>
  <c r="F4036" i="1"/>
  <c r="F4037" i="1" a="1"/>
  <c r="F4037" i="1" s="1"/>
  <c r="F4038" i="1" a="1"/>
  <c r="F4038" i="1"/>
  <c r="F4039" i="1" a="1"/>
  <c r="F4039" i="1" s="1"/>
  <c r="F4040" i="1" a="1"/>
  <c r="F4040" i="1" s="1"/>
  <c r="F4041" i="1" a="1"/>
  <c r="F4041" i="1" s="1"/>
  <c r="F4042" i="1" a="1"/>
  <c r="F4042" i="1" s="1"/>
  <c r="F4043" i="1" a="1"/>
  <c r="F4043" i="1" s="1"/>
  <c r="F4044" i="1" a="1"/>
  <c r="F4044" i="1" s="1"/>
  <c r="F4045" i="1" a="1"/>
  <c r="F4045" i="1" s="1"/>
  <c r="F4046" i="1" a="1"/>
  <c r="F4046" i="1" s="1"/>
  <c r="F4047" i="1" a="1"/>
  <c r="F4047" i="1" s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/>
  <c r="F4053" i="1" a="1"/>
  <c r="F4053" i="1"/>
  <c r="F4054" i="1" a="1"/>
  <c r="F4054" i="1" s="1"/>
  <c r="F4055" i="1" a="1"/>
  <c r="F4055" i="1" s="1"/>
  <c r="F4056" i="1" a="1"/>
  <c r="F4056" i="1"/>
  <c r="F4057" i="1" a="1"/>
  <c r="F4057" i="1"/>
  <c r="F4058" i="1" a="1"/>
  <c r="F4058" i="1"/>
  <c r="F4059" i="1" a="1"/>
  <c r="F4059" i="1"/>
  <c r="F4060" i="1" a="1"/>
  <c r="F4060" i="1" s="1"/>
  <c r="F4061" i="1" a="1"/>
  <c r="F4061" i="1"/>
  <c r="F4062" i="1" a="1"/>
  <c r="F4062" i="1" s="1"/>
  <c r="F4063" i="1" a="1"/>
  <c r="F4063" i="1" s="1"/>
  <c r="F4064" i="1" a="1"/>
  <c r="F4064" i="1" s="1"/>
  <c r="F4065" i="1" a="1"/>
  <c r="F4065" i="1" s="1"/>
  <c r="F4066" i="1" a="1"/>
  <c r="F4066" i="1"/>
  <c r="F4067" i="1" a="1"/>
  <c r="F4067" i="1" s="1"/>
  <c r="F4068" i="1" a="1"/>
  <c r="F4068" i="1" s="1"/>
  <c r="F4069" i="1" a="1"/>
  <c r="F4069" i="1" s="1"/>
  <c r="F4070" i="1" a="1"/>
  <c r="F4070" i="1" s="1"/>
  <c r="F4071" i="1" a="1"/>
  <c r="F4071" i="1"/>
  <c r="F4072" i="1" a="1"/>
  <c r="F4072" i="1" s="1"/>
  <c r="F4073" i="1" a="1"/>
  <c r="F4073" i="1" s="1"/>
  <c r="F4074" i="1" a="1"/>
  <c r="F4074" i="1" s="1"/>
  <c r="F4075" i="1" a="1"/>
  <c r="F4075" i="1" s="1"/>
  <c r="F4076" i="1" a="1"/>
  <c r="F4076" i="1" s="1"/>
  <c r="F4077" i="1" a="1"/>
  <c r="F4077" i="1"/>
  <c r="F4078" i="1" a="1"/>
  <c r="F4078" i="1"/>
  <c r="F4079" i="1" a="1"/>
  <c r="F4079" i="1" s="1"/>
  <c r="F4080" i="1" a="1"/>
  <c r="F4080" i="1" s="1"/>
  <c r="F4081" i="1" a="1"/>
  <c r="F4081" i="1" s="1"/>
  <c r="F4082" i="1" a="1"/>
  <c r="F4082" i="1"/>
  <c r="F4083" i="1" a="1"/>
  <c r="F4083" i="1" s="1"/>
  <c r="F4084" i="1" a="1"/>
  <c r="F4084" i="1" s="1"/>
  <c r="F4085" i="1" a="1"/>
  <c r="F4085" i="1"/>
  <c r="F4086" i="1" a="1"/>
  <c r="F4086" i="1" s="1"/>
  <c r="F4087" i="1" a="1"/>
  <c r="F4087" i="1" s="1"/>
  <c r="F4088" i="1" a="1"/>
  <c r="F4088" i="1" s="1"/>
  <c r="F4089" i="1" a="1"/>
  <c r="F4089" i="1" s="1"/>
  <c r="F4090" i="1" a="1"/>
  <c r="F4090" i="1" s="1"/>
  <c r="F4091" i="1" a="1"/>
  <c r="F4091" i="1" s="1"/>
  <c r="F4092" i="1" a="1"/>
  <c r="F4092" i="1" s="1"/>
  <c r="F4093" i="1" a="1"/>
  <c r="F4093" i="1" s="1"/>
  <c r="F4094" i="1" a="1"/>
  <c r="F4094" i="1" s="1"/>
  <c r="F4095" i="1" a="1"/>
  <c r="F4095" i="1" s="1"/>
  <c r="F4096" i="1" a="1"/>
  <c r="F4096" i="1" s="1"/>
  <c r="F4097" i="1" a="1"/>
  <c r="F4097" i="1" s="1"/>
  <c r="F4098" i="1" a="1"/>
  <c r="F4098" i="1"/>
  <c r="F4099" i="1" a="1"/>
  <c r="F4099" i="1"/>
  <c r="F4100" i="1" a="1"/>
  <c r="F4100" i="1"/>
  <c r="F4101" i="1" a="1"/>
  <c r="F4101" i="1"/>
  <c r="F4102" i="1" a="1"/>
  <c r="F4102" i="1" s="1"/>
  <c r="F4103" i="1" a="1"/>
  <c r="F4103" i="1" s="1"/>
  <c r="F4104" i="1" a="1"/>
  <c r="F4104" i="1" s="1"/>
  <c r="F4105" i="1" a="1"/>
  <c r="F4105" i="1"/>
  <c r="F4106" i="1" a="1"/>
  <c r="F4106" i="1"/>
  <c r="F4107" i="1" a="1"/>
  <c r="F4107" i="1" s="1"/>
  <c r="F4108" i="1" a="1"/>
  <c r="F4108" i="1" s="1"/>
  <c r="F4109" i="1" a="1"/>
  <c r="F4109" i="1" s="1"/>
  <c r="F4110" i="1" a="1"/>
  <c r="F4110" i="1" s="1"/>
  <c r="F4111" i="1" a="1"/>
  <c r="F4111" i="1" s="1"/>
  <c r="F4112" i="1" a="1"/>
  <c r="F4112" i="1" s="1"/>
  <c r="F4113" i="1" a="1"/>
  <c r="F4113" i="1"/>
  <c r="F4114" i="1" a="1"/>
  <c r="F4114" i="1" s="1"/>
  <c r="F4115" i="1" a="1"/>
  <c r="F4115" i="1" s="1"/>
  <c r="F4116" i="1" a="1"/>
  <c r="F4116" i="1" s="1"/>
  <c r="F4117" i="1" a="1"/>
  <c r="F4117" i="1" s="1"/>
  <c r="F4118" i="1" a="1"/>
  <c r="F4118" i="1" s="1"/>
  <c r="F4119" i="1" a="1"/>
  <c r="F4119" i="1"/>
  <c r="F4120" i="1" a="1"/>
  <c r="F4120" i="1" s="1"/>
  <c r="F4121" i="1" a="1"/>
  <c r="F4121" i="1"/>
  <c r="F4122" i="1" a="1"/>
  <c r="F4122" i="1" s="1"/>
  <c r="F4123" i="1" a="1"/>
  <c r="F4123" i="1" s="1"/>
  <c r="F4124" i="1" a="1"/>
  <c r="F4124" i="1" s="1"/>
  <c r="F4125" i="1" a="1"/>
  <c r="F4125" i="1" s="1"/>
  <c r="F4126" i="1" a="1"/>
  <c r="F4126" i="1" s="1"/>
  <c r="F4127" i="1" a="1"/>
  <c r="F4127" i="1" s="1"/>
  <c r="F4128" i="1" a="1"/>
  <c r="F4128" i="1" s="1"/>
  <c r="F4129" i="1" a="1"/>
  <c r="F4129" i="1"/>
  <c r="F4130" i="1" a="1"/>
  <c r="F4130" i="1" s="1"/>
  <c r="F4131" i="1" a="1"/>
  <c r="F4131" i="1" s="1"/>
  <c r="F4132" i="1" a="1"/>
  <c r="F4132" i="1"/>
  <c r="F4133" i="1" a="1"/>
  <c r="F4133" i="1" s="1"/>
  <c r="F4134" i="1" a="1"/>
  <c r="F4134" i="1" s="1"/>
  <c r="F4135" i="1" a="1"/>
  <c r="F4135" i="1"/>
  <c r="F4136" i="1" a="1"/>
  <c r="F4136" i="1" s="1"/>
  <c r="F4137" i="1" a="1"/>
  <c r="F4137" i="1" s="1"/>
  <c r="F4138" i="1" a="1"/>
  <c r="F4138" i="1" s="1"/>
  <c r="F4139" i="1" a="1"/>
  <c r="F4139" i="1" s="1"/>
  <c r="F4140" i="1" a="1"/>
  <c r="F4140" i="1"/>
  <c r="F4141" i="1" a="1"/>
  <c r="F4141" i="1"/>
  <c r="F4142" i="1" a="1"/>
  <c r="F4142" i="1"/>
  <c r="F4143" i="1" a="1"/>
  <c r="F4143" i="1"/>
  <c r="F4144" i="1" a="1"/>
  <c r="F4144" i="1" s="1"/>
  <c r="F4145" i="1" a="1"/>
  <c r="F4145" i="1" s="1"/>
  <c r="F4146" i="1" a="1"/>
  <c r="F4146" i="1" s="1"/>
  <c r="F4147" i="1" a="1"/>
  <c r="F4147" i="1" s="1"/>
  <c r="F4148" i="1" a="1"/>
  <c r="F4148" i="1" s="1"/>
  <c r="F4149" i="1" a="1"/>
  <c r="F4149" i="1" s="1"/>
  <c r="F4150" i="1" a="1"/>
  <c r="F4150" i="1"/>
  <c r="F4151" i="1" a="1"/>
  <c r="F4151" i="1" s="1"/>
  <c r="F4152" i="1" a="1"/>
  <c r="F4152" i="1" s="1"/>
  <c r="F4153" i="1" a="1"/>
  <c r="F4153" i="1"/>
  <c r="F4154" i="1" a="1"/>
  <c r="F4154" i="1" s="1"/>
  <c r="F4155" i="1" a="1"/>
  <c r="F4155" i="1" s="1"/>
  <c r="F4156" i="1" a="1"/>
  <c r="F4156" i="1"/>
  <c r="F4157" i="1" a="1"/>
  <c r="F4157" i="1" s="1"/>
  <c r="F4158" i="1" a="1"/>
  <c r="F4158" i="1" s="1"/>
  <c r="F4159" i="1" a="1"/>
  <c r="F4159" i="1" s="1"/>
  <c r="F4160" i="1" a="1"/>
  <c r="F4160" i="1" s="1"/>
  <c r="F4161" i="1" a="1"/>
  <c r="F4161" i="1"/>
  <c r="F4162" i="1" a="1"/>
  <c r="F4162" i="1"/>
  <c r="F4163" i="1" a="1"/>
  <c r="F4163" i="1"/>
  <c r="F4164" i="1" a="1"/>
  <c r="F4164" i="1" s="1"/>
  <c r="F4165" i="1" a="1"/>
  <c r="F4165" i="1" s="1"/>
  <c r="F4166" i="1" a="1"/>
  <c r="F4166" i="1"/>
  <c r="F4167" i="1" a="1"/>
  <c r="F4167" i="1" s="1"/>
  <c r="F4168" i="1" a="1"/>
  <c r="F4168" i="1" s="1"/>
  <c r="F4169" i="1" a="1"/>
  <c r="F4169" i="1"/>
  <c r="F4170" i="1" a="1"/>
  <c r="F4170" i="1" s="1"/>
  <c r="F4171" i="1" a="1"/>
  <c r="F4171" i="1"/>
  <c r="F4172" i="1" a="1"/>
  <c r="F4172" i="1" s="1"/>
  <c r="F4173" i="1" a="1"/>
  <c r="F4173" i="1" s="1"/>
  <c r="F4174" i="1" a="1"/>
  <c r="F4174" i="1" s="1"/>
  <c r="F4175" i="1" a="1"/>
  <c r="F4175" i="1"/>
  <c r="F4176" i="1" a="1"/>
  <c r="F4176" i="1" s="1"/>
  <c r="F4177" i="1" a="1"/>
  <c r="F4177" i="1" s="1"/>
  <c r="F4178" i="1" a="1"/>
  <c r="F4178" i="1" s="1"/>
  <c r="F4179" i="1" a="1"/>
  <c r="F4179" i="1" s="1"/>
  <c r="F4180" i="1" a="1"/>
  <c r="F4180" i="1" s="1"/>
  <c r="F4181" i="1" a="1"/>
  <c r="F4181" i="1" s="1"/>
  <c r="F4182" i="1" a="1"/>
  <c r="F4182" i="1" s="1"/>
  <c r="F4183" i="1" a="1"/>
  <c r="F4183" i="1" s="1"/>
  <c r="F4184" i="1" a="1"/>
  <c r="F4184" i="1" s="1"/>
  <c r="F4185" i="1" a="1"/>
  <c r="F4185" i="1"/>
  <c r="F4186" i="1" a="1"/>
  <c r="F4186" i="1" s="1"/>
  <c r="F4187" i="1" a="1"/>
  <c r="F4187" i="1" s="1"/>
  <c r="F4188" i="1" a="1"/>
  <c r="F4188" i="1" s="1"/>
  <c r="F4189" i="1" a="1"/>
  <c r="F4189" i="1" s="1"/>
  <c r="F4190" i="1" a="1"/>
  <c r="F4190" i="1"/>
  <c r="F4191" i="1" a="1"/>
  <c r="F4191" i="1" s="1"/>
  <c r="F4192" i="1" a="1"/>
  <c r="F4192" i="1"/>
  <c r="F4193" i="1" a="1"/>
  <c r="F4193" i="1" s="1"/>
  <c r="F4194" i="1" a="1"/>
  <c r="F4194" i="1" s="1"/>
  <c r="F4195" i="1" a="1"/>
  <c r="F4195" i="1"/>
  <c r="F4196" i="1" a="1"/>
  <c r="F4196" i="1"/>
  <c r="F4197" i="1" a="1"/>
  <c r="F4197" i="1" s="1"/>
  <c r="F4198" i="1" a="1"/>
  <c r="F4198" i="1" s="1"/>
  <c r="F4199" i="1" a="1"/>
  <c r="F4199" i="1" s="1"/>
  <c r="F4200" i="1" a="1"/>
  <c r="F4200" i="1" s="1"/>
  <c r="F4201" i="1" a="1"/>
  <c r="F4201" i="1" s="1"/>
  <c r="F4202" i="1" a="1"/>
  <c r="F4202" i="1" s="1"/>
  <c r="F4203" i="1" a="1"/>
  <c r="F4203" i="1"/>
  <c r="F4204" i="1" a="1"/>
  <c r="F4204" i="1" s="1"/>
  <c r="F4205" i="1" a="1"/>
  <c r="F4205" i="1" s="1"/>
  <c r="F4206" i="1" a="1"/>
  <c r="F4206" i="1"/>
  <c r="F4207" i="1" a="1"/>
  <c r="F4207" i="1" s="1"/>
  <c r="F4208" i="1" a="1"/>
  <c r="F4208" i="1"/>
  <c r="F4209" i="1" a="1"/>
  <c r="F4209" i="1" s="1"/>
  <c r="F4210" i="1" a="1"/>
  <c r="F4210" i="1" s="1"/>
  <c r="F4211" i="1" a="1"/>
  <c r="F4211" i="1" s="1"/>
  <c r="F4212" i="1" a="1"/>
  <c r="F4212" i="1" s="1"/>
  <c r="F4213" i="1" a="1"/>
  <c r="F4213" i="1"/>
  <c r="F4214" i="1" a="1"/>
  <c r="F4214" i="1" s="1"/>
  <c r="F4215" i="1" a="1"/>
  <c r="F4215" i="1"/>
  <c r="F4216" i="1" a="1"/>
  <c r="F4216" i="1" s="1"/>
  <c r="F4217" i="1" a="1"/>
  <c r="F4217" i="1" s="1"/>
  <c r="F4218" i="1" a="1"/>
  <c r="F4218" i="1" s="1"/>
  <c r="F4219" i="1" a="1"/>
  <c r="F4219" i="1" s="1"/>
  <c r="F4220" i="1" a="1"/>
  <c r="F4220" i="1" s="1"/>
  <c r="F4221" i="1" a="1"/>
  <c r="F4221" i="1" s="1"/>
  <c r="F4222" i="1" a="1"/>
  <c r="F4222" i="1" s="1"/>
  <c r="F4223" i="1" a="1"/>
  <c r="F4223" i="1" s="1"/>
  <c r="F4224" i="1" a="1"/>
  <c r="F4224" i="1" s="1"/>
  <c r="F4225" i="1" a="1"/>
  <c r="F4225" i="1" s="1"/>
  <c r="F4226" i="1" a="1"/>
  <c r="F4226" i="1" s="1"/>
  <c r="F4227" i="1" a="1"/>
  <c r="F4227" i="1"/>
  <c r="F4228" i="1" a="1"/>
  <c r="F4228" i="1" s="1"/>
  <c r="F4229" i="1" a="1"/>
  <c r="F4229" i="1" s="1"/>
  <c r="F4230" i="1" a="1"/>
  <c r="F4230" i="1" s="1"/>
  <c r="F4231" i="1" a="1"/>
  <c r="F4231" i="1" s="1"/>
  <c r="F4232" i="1" a="1"/>
  <c r="F4232" i="1" s="1"/>
  <c r="F4233" i="1" a="1"/>
  <c r="F4233" i="1" s="1"/>
  <c r="F4234" i="1" a="1"/>
  <c r="F4234" i="1" s="1"/>
  <c r="F4235" i="1" a="1"/>
  <c r="F4235" i="1"/>
  <c r="F4236" i="1" a="1"/>
  <c r="F4236" i="1" s="1"/>
  <c r="F4237" i="1" a="1"/>
  <c r="F4237" i="1"/>
  <c r="F4238" i="1" a="1"/>
  <c r="F4238" i="1" s="1"/>
  <c r="F4239" i="1" a="1"/>
  <c r="F4239" i="1" s="1"/>
  <c r="F4240" i="1" a="1"/>
  <c r="F4240" i="1" s="1"/>
  <c r="F4241" i="1" a="1"/>
  <c r="F4241" i="1" s="1"/>
  <c r="F4242" i="1" a="1"/>
  <c r="F4242" i="1" s="1"/>
  <c r="F4243" i="1" a="1"/>
  <c r="F4243" i="1" s="1"/>
  <c r="F4244" i="1" a="1"/>
  <c r="F4244" i="1" s="1"/>
  <c r="F4245" i="1" a="1"/>
  <c r="F4245" i="1"/>
  <c r="F4246" i="1" a="1"/>
  <c r="F4246" i="1" s="1"/>
  <c r="F4247" i="1" a="1"/>
  <c r="F4247" i="1" s="1"/>
  <c r="F4248" i="1" a="1"/>
  <c r="F4248" i="1" s="1"/>
  <c r="F4249" i="1" a="1"/>
  <c r="F4249" i="1" s="1"/>
  <c r="F4250" i="1" a="1"/>
  <c r="F4250" i="1"/>
  <c r="F4251" i="1" a="1"/>
  <c r="F4251" i="1" s="1"/>
  <c r="F4252" i="1" a="1"/>
  <c r="F4252" i="1" s="1"/>
  <c r="F4253" i="1" a="1"/>
  <c r="F4253" i="1"/>
  <c r="F4254" i="1" a="1"/>
  <c r="F4254" i="1" s="1"/>
  <c r="F4255" i="1" a="1"/>
  <c r="F4255" i="1" s="1"/>
  <c r="F4256" i="1" a="1"/>
  <c r="F4256" i="1"/>
  <c r="F4257" i="1" a="1"/>
  <c r="F4257" i="1"/>
  <c r="F4258" i="1" a="1"/>
  <c r="F4258" i="1"/>
  <c r="F4259" i="1" a="1"/>
  <c r="F4259" i="1"/>
  <c r="F4260" i="1" a="1"/>
  <c r="F4260" i="1" s="1"/>
  <c r="F4261" i="1" a="1"/>
  <c r="F4261" i="1" s="1"/>
  <c r="F4262" i="1" a="1"/>
  <c r="F4262" i="1" s="1"/>
  <c r="F4263" i="1" a="1"/>
  <c r="F4263" i="1" s="1"/>
  <c r="F4264" i="1" a="1"/>
  <c r="F4264" i="1" s="1"/>
  <c r="F4265" i="1" a="1"/>
  <c r="F4265" i="1" s="1"/>
  <c r="F4266" i="1" a="1"/>
  <c r="F4266" i="1"/>
  <c r="F4267" i="1" a="1"/>
  <c r="F4267" i="1" s="1"/>
  <c r="F4268" i="1" a="1"/>
  <c r="F4268" i="1" s="1"/>
  <c r="F4269" i="1" a="1"/>
  <c r="F4269" i="1"/>
  <c r="F4270" i="1" a="1"/>
  <c r="F4270" i="1" s="1"/>
  <c r="F4271" i="1" a="1"/>
  <c r="F4271" i="1" s="1"/>
  <c r="F4272" i="1" a="1"/>
  <c r="F4272" i="1" s="1"/>
  <c r="F4273" i="1" a="1"/>
  <c r="F4273" i="1" s="1"/>
  <c r="F4274" i="1" a="1"/>
  <c r="F4274" i="1" s="1"/>
  <c r="F4275" i="1" a="1"/>
  <c r="F4275" i="1" s="1"/>
  <c r="F4276" i="1" a="1"/>
  <c r="F4276" i="1" s="1"/>
  <c r="F4277" i="1" a="1"/>
  <c r="F4277" i="1"/>
  <c r="F4278" i="1" a="1"/>
  <c r="F4278" i="1"/>
  <c r="F4279" i="1" a="1"/>
  <c r="F4279" i="1"/>
  <c r="F4280" i="1" a="1"/>
  <c r="F4280" i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/>
  <c r="F4286" i="1" a="1"/>
  <c r="F4286" i="1" s="1"/>
  <c r="F4287" i="1" a="1"/>
  <c r="F4287" i="1" s="1"/>
  <c r="F4288" i="1" a="1"/>
  <c r="F4288" i="1" s="1"/>
  <c r="F4289" i="1" a="1"/>
  <c r="F4289" i="1" s="1"/>
  <c r="F4290" i="1" a="1"/>
  <c r="F4290" i="1" s="1"/>
  <c r="F4291" i="1" a="1"/>
  <c r="F4291" i="1" s="1"/>
  <c r="F4292" i="1" a="1"/>
  <c r="F4292" i="1"/>
  <c r="F4293" i="1" a="1"/>
  <c r="F4293" i="1" s="1"/>
  <c r="F4294" i="1" a="1"/>
  <c r="F4294" i="1" s="1"/>
  <c r="F4295" i="1" a="1"/>
  <c r="F4295" i="1" s="1"/>
  <c r="F4296" i="1" a="1"/>
  <c r="F4296" i="1" s="1"/>
  <c r="F4297" i="1" a="1"/>
  <c r="F4297" i="1" s="1"/>
  <c r="F4298" i="1" a="1"/>
  <c r="F4298" i="1" s="1"/>
  <c r="F4299" i="1" a="1"/>
  <c r="F4299" i="1" s="1"/>
  <c r="F4300" i="1" a="1"/>
  <c r="F4300" i="1" s="1"/>
  <c r="F4301" i="1" a="1"/>
  <c r="F4301" i="1" s="1"/>
  <c r="F4302" i="1" a="1"/>
  <c r="F4302" i="1" s="1"/>
  <c r="F4303" i="1" a="1"/>
  <c r="F4303" i="1" s="1"/>
  <c r="F4304" i="1" a="1"/>
  <c r="F4304" i="1" s="1"/>
  <c r="F4305" i="1" a="1"/>
  <c r="F4305" i="1" s="1"/>
  <c r="F4306" i="1" a="1"/>
  <c r="F4306" i="1" s="1"/>
  <c r="F4307" i="1" a="1"/>
  <c r="F4307" i="1" s="1"/>
  <c r="F4308" i="1" a="1"/>
  <c r="F4308" i="1"/>
  <c r="F4309" i="1" a="1"/>
  <c r="F4309" i="1" s="1"/>
  <c r="F4310" i="1" a="1"/>
  <c r="F4310" i="1" s="1"/>
  <c r="F4311" i="1" a="1"/>
  <c r="F4311" i="1"/>
  <c r="F4312" i="1" a="1"/>
  <c r="F4312" i="1" s="1"/>
  <c r="F4313" i="1" a="1"/>
  <c r="F4313" i="1" s="1"/>
  <c r="F4314" i="1" a="1"/>
  <c r="F4314" i="1" s="1"/>
  <c r="F4315" i="1" a="1"/>
  <c r="F4315" i="1" s="1"/>
  <c r="F4316" i="1" a="1"/>
  <c r="F4316" i="1" s="1"/>
  <c r="F4317" i="1" a="1"/>
  <c r="F4317" i="1" s="1"/>
  <c r="F4318" i="1" a="1"/>
  <c r="F4318" i="1" s="1"/>
  <c r="F4319" i="1" a="1"/>
  <c r="F4319" i="1"/>
  <c r="F4320" i="1" a="1"/>
  <c r="F4320" i="1"/>
  <c r="F4321" i="1" a="1"/>
  <c r="F4321" i="1"/>
  <c r="F4322" i="1" a="1"/>
  <c r="F4322" i="1"/>
  <c r="F4323" i="1" a="1"/>
  <c r="F4323" i="1" s="1"/>
  <c r="F4324" i="1" a="1"/>
  <c r="F4324" i="1" s="1"/>
  <c r="F4325" i="1" a="1"/>
  <c r="F4325" i="1" s="1"/>
  <c r="F4326" i="1" a="1"/>
  <c r="F4326" i="1" s="1"/>
  <c r="F4327" i="1" a="1"/>
  <c r="F4327" i="1"/>
  <c r="F4328" i="1" a="1"/>
  <c r="F4328" i="1" s="1"/>
  <c r="F4329" i="1" a="1"/>
  <c r="F4329" i="1" s="1"/>
  <c r="F4330" i="1" a="1"/>
  <c r="F4330" i="1" s="1"/>
  <c r="F4331" i="1" a="1"/>
  <c r="F4331" i="1" s="1"/>
  <c r="F4332" i="1" a="1"/>
  <c r="F4332" i="1"/>
  <c r="F4333" i="1" a="1"/>
  <c r="F4333" i="1" s="1"/>
  <c r="F4334" i="1" a="1"/>
  <c r="F4334" i="1" s="1"/>
  <c r="F4335" i="1" a="1"/>
  <c r="F4335" i="1" s="1"/>
  <c r="F4336" i="1" a="1"/>
  <c r="F4336" i="1" s="1"/>
  <c r="F4337" i="1" a="1"/>
  <c r="F4337" i="1" s="1"/>
  <c r="F4338" i="1" a="1"/>
  <c r="F4338" i="1" s="1"/>
  <c r="F4339" i="1" a="1"/>
  <c r="F4339" i="1" s="1"/>
  <c r="F4340" i="1" a="1"/>
  <c r="F4340" i="1"/>
  <c r="F4341" i="1" a="1"/>
  <c r="F4341" i="1"/>
  <c r="F4342" i="1" a="1"/>
  <c r="F4342" i="1"/>
  <c r="F4343" i="1" a="1"/>
  <c r="F4343" i="1"/>
  <c r="F4344" i="1" a="1"/>
  <c r="F4344" i="1" s="1"/>
  <c r="F4345" i="1" a="1"/>
  <c r="F4345" i="1" s="1"/>
  <c r="F4346" i="1" a="1"/>
  <c r="F4346" i="1" s="1"/>
  <c r="F4347" i="1" a="1"/>
  <c r="F4347" i="1" s="1"/>
  <c r="F4348" i="1" a="1"/>
  <c r="F4348" i="1" s="1"/>
  <c r="F4349" i="1" a="1"/>
  <c r="F4349" i="1" s="1"/>
  <c r="F4350" i="1" a="1"/>
  <c r="F4350" i="1"/>
  <c r="F4351" i="1" a="1"/>
  <c r="F4351" i="1" s="1"/>
  <c r="F4352" i="1" a="1"/>
  <c r="F4352" i="1" s="1"/>
  <c r="F4353" i="1" a="1"/>
  <c r="F4353" i="1"/>
  <c r="F4354" i="1" a="1"/>
  <c r="F4354" i="1" s="1"/>
  <c r="F4355" i="1" a="1"/>
  <c r="F4355" i="1" s="1"/>
  <c r="F4356" i="1" a="1"/>
  <c r="F4356" i="1" s="1"/>
  <c r="F4357" i="1" a="1"/>
  <c r="F4357" i="1" s="1"/>
  <c r="F4358" i="1" a="1"/>
  <c r="F4358" i="1" s="1"/>
  <c r="F4359" i="1" a="1"/>
  <c r="F4359" i="1" s="1"/>
  <c r="F4360" i="1" a="1"/>
  <c r="F4360" i="1" s="1"/>
  <c r="F4361" i="1" a="1"/>
  <c r="F4361" i="1" s="1"/>
  <c r="F4362" i="1" a="1"/>
  <c r="F4362" i="1"/>
  <c r="F4363" i="1" a="1"/>
  <c r="F4363" i="1" s="1"/>
  <c r="F4364" i="1" a="1"/>
  <c r="F4364" i="1" s="1"/>
  <c r="F4365" i="1" a="1"/>
  <c r="F4365" i="1" s="1"/>
  <c r="F4366" i="1" a="1"/>
  <c r="F4366" i="1"/>
  <c r="F4367" i="1" a="1"/>
  <c r="F4367" i="1" s="1"/>
  <c r="F4368" i="1" a="1"/>
  <c r="F4368" i="1" s="1"/>
  <c r="F4369" i="1" a="1"/>
  <c r="F4369" i="1"/>
  <c r="F4370" i="1" a="1"/>
  <c r="F4370" i="1" s="1"/>
  <c r="F4371" i="1" a="1"/>
  <c r="F4371" i="1"/>
  <c r="F4372" i="1" a="1"/>
  <c r="F4372" i="1" s="1"/>
  <c r="F4373" i="1" a="1"/>
  <c r="F4373" i="1" s="1"/>
  <c r="F4374" i="1" a="1"/>
  <c r="F4374" i="1" s="1"/>
  <c r="F4375" i="1" a="1"/>
  <c r="F4375" i="1" s="1"/>
  <c r="F4376" i="1" a="1"/>
  <c r="F4376" i="1" s="1"/>
  <c r="F4377" i="1" a="1"/>
  <c r="F4377" i="1" s="1"/>
  <c r="F4378" i="1" a="1"/>
  <c r="F4378" i="1" s="1"/>
  <c r="F4379" i="1" a="1"/>
  <c r="F4379" i="1" s="1"/>
  <c r="F4380" i="1" a="1"/>
  <c r="F4380" i="1" s="1"/>
  <c r="F4381" i="1" a="1"/>
  <c r="F4381" i="1" s="1"/>
  <c r="F4382" i="1" a="1"/>
  <c r="F4382" i="1"/>
  <c r="F4383" i="1" a="1"/>
  <c r="F4383" i="1" s="1"/>
  <c r="F4384" i="1" a="1"/>
  <c r="F4384" i="1" s="1"/>
  <c r="F4385" i="1" a="1"/>
  <c r="F4385" i="1"/>
  <c r="F4386" i="1" a="1"/>
  <c r="F4386" i="1" s="1"/>
  <c r="F4387" i="1" a="1"/>
  <c r="F4387" i="1" s="1"/>
  <c r="F4388" i="1" a="1"/>
  <c r="F4388" i="1" s="1"/>
  <c r="F4389" i="1" a="1"/>
  <c r="F4389" i="1" s="1"/>
  <c r="F4390" i="1" a="1"/>
  <c r="F4390" i="1" s="1"/>
  <c r="F4391" i="1" a="1"/>
  <c r="F4391" i="1" s="1"/>
  <c r="F4392" i="1" a="1"/>
  <c r="F4392" i="1"/>
  <c r="F4393" i="1" a="1"/>
  <c r="F4393" i="1" s="1"/>
  <c r="F4394" i="1" a="1"/>
  <c r="F4394" i="1" s="1"/>
  <c r="F4395" i="1" a="1"/>
  <c r="F4395" i="1"/>
  <c r="F4396" i="1" a="1"/>
  <c r="F4396" i="1"/>
  <c r="F4397" i="1" a="1"/>
  <c r="F4397" i="1" s="1"/>
  <c r="F4398" i="1" a="1"/>
  <c r="F4398" i="1" s="1"/>
  <c r="F4399" i="1" a="1"/>
  <c r="F4399" i="1" s="1"/>
  <c r="F4400" i="1" a="1"/>
  <c r="F4400" i="1" s="1"/>
  <c r="F4401" i="1" a="1"/>
  <c r="F4401" i="1" s="1"/>
  <c r="F4402" i="1" a="1"/>
  <c r="F4402" i="1" s="1"/>
  <c r="F4403" i="1" a="1"/>
  <c r="F4403" i="1"/>
  <c r="F4404" i="1" a="1"/>
  <c r="F4404" i="1" s="1"/>
  <c r="F4405" i="1" a="1"/>
  <c r="F4405" i="1" s="1"/>
  <c r="F4406" i="1" a="1"/>
  <c r="F4406" i="1"/>
  <c r="F4407" i="1" a="1"/>
  <c r="F4407" i="1" s="1"/>
  <c r="F4408" i="1" a="1"/>
  <c r="F4408" i="1" s="1"/>
  <c r="F4409" i="1" a="1"/>
  <c r="F4409" i="1" s="1"/>
  <c r="F4410" i="1" a="1"/>
  <c r="F4410" i="1" s="1"/>
  <c r="F4411" i="1" a="1"/>
  <c r="F4411" i="1"/>
  <c r="F4412" i="1" a="1"/>
  <c r="F4412" i="1" s="1"/>
  <c r="F4413" i="1" a="1"/>
  <c r="F4413" i="1"/>
  <c r="F4414" i="1" a="1"/>
  <c r="F4414" i="1" s="1"/>
  <c r="F4415" i="1" a="1"/>
  <c r="F4415" i="1" s="1"/>
  <c r="F4416" i="1" a="1"/>
  <c r="F4416" i="1" s="1"/>
  <c r="F4417" i="1" a="1"/>
  <c r="F4417" i="1" s="1"/>
  <c r="F4418" i="1" a="1"/>
  <c r="F4418" i="1" s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 s="1"/>
  <c r="F4424" i="1" a="1"/>
  <c r="F4424" i="1" s="1"/>
  <c r="F4425" i="1" a="1"/>
  <c r="F4425" i="1" s="1"/>
  <c r="F4426" i="1" a="1"/>
  <c r="F4426" i="1" s="1"/>
  <c r="F4427" i="1" a="1"/>
  <c r="F4427" i="1"/>
  <c r="F4428" i="1" a="1"/>
  <c r="F4428" i="1" s="1"/>
  <c r="F4429" i="1" a="1"/>
  <c r="F4429" i="1"/>
  <c r="F4430" i="1" a="1"/>
  <c r="F4430" i="1" s="1"/>
  <c r="F4431" i="1" a="1"/>
  <c r="F4431" i="1" s="1"/>
  <c r="F4432" i="1" a="1"/>
  <c r="F4432" i="1" s="1"/>
  <c r="F4433" i="1" a="1"/>
  <c r="F4433" i="1" s="1"/>
  <c r="F4434" i="1" a="1"/>
  <c r="F4434" i="1" s="1"/>
  <c r="F4435" i="1" a="1"/>
  <c r="F4435" i="1" s="1"/>
  <c r="F4436" i="1" a="1"/>
  <c r="F4436" i="1"/>
  <c r="F4437" i="1" a="1"/>
  <c r="F4437" i="1" s="1"/>
  <c r="F4438" i="1" a="1"/>
  <c r="F4438" i="1" s="1"/>
  <c r="F4439" i="1" a="1"/>
  <c r="F4439" i="1" s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 s="1"/>
  <c r="F4445" i="1" a="1"/>
  <c r="F4445" i="1" s="1"/>
  <c r="F4446" i="1" a="1"/>
  <c r="F4446" i="1" s="1"/>
  <c r="F4447" i="1" a="1"/>
  <c r="F4447" i="1" s="1"/>
  <c r="F4448" i="1" a="1"/>
  <c r="F4448" i="1" s="1"/>
  <c r="F4449" i="1" a="1"/>
  <c r="F4449" i="1" s="1"/>
  <c r="F4450" i="1" a="1"/>
  <c r="F4450" i="1"/>
  <c r="F4451" i="1" a="1"/>
  <c r="F4451" i="1" s="1"/>
  <c r="F4452" i="1" a="1"/>
  <c r="F4452" i="1" s="1"/>
  <c r="F4453" i="1" a="1"/>
  <c r="F4453" i="1"/>
  <c r="F4454" i="1" a="1"/>
  <c r="F4454" i="1" s="1"/>
  <c r="F4455" i="1" a="1"/>
  <c r="F4455" i="1" s="1"/>
  <c r="F4456" i="1" a="1"/>
  <c r="F4456" i="1"/>
  <c r="F4457" i="1" a="1"/>
  <c r="F4457" i="1"/>
  <c r="F4458" i="1" a="1"/>
  <c r="F4458" i="1"/>
  <c r="F4459" i="1" a="1"/>
  <c r="F4459" i="1"/>
  <c r="F4460" i="1" a="1"/>
  <c r="F4460" i="1" s="1"/>
  <c r="F4461" i="1" a="1"/>
  <c r="F4461" i="1" s="1"/>
  <c r="F4462" i="1" a="1"/>
  <c r="F4462" i="1" s="1"/>
  <c r="F4463" i="1" a="1"/>
  <c r="F4463" i="1" s="1"/>
  <c r="F4464" i="1" a="1"/>
  <c r="F4464" i="1" s="1"/>
  <c r="F4465" i="1" a="1"/>
  <c r="F4465" i="1" s="1"/>
  <c r="F4466" i="1" a="1"/>
  <c r="F4466" i="1"/>
  <c r="F4467" i="1" a="1"/>
  <c r="F4467" i="1" s="1"/>
  <c r="F4468" i="1" a="1"/>
  <c r="F4468" i="1" s="1"/>
  <c r="F4469" i="1" a="1"/>
  <c r="F4469" i="1"/>
  <c r="F4470" i="1" a="1"/>
  <c r="F4470" i="1" s="1"/>
  <c r="F4471" i="1" a="1"/>
  <c r="F4471" i="1" s="1"/>
  <c r="F4472" i="1" a="1"/>
  <c r="F4472" i="1" s="1"/>
  <c r="F4473" i="1" a="1"/>
  <c r="F4473" i="1" s="1"/>
  <c r="F4474" i="1" a="1"/>
  <c r="F4474" i="1" s="1"/>
  <c r="F4475" i="1" a="1"/>
  <c r="F4475" i="1" s="1"/>
  <c r="F4476" i="1" a="1"/>
  <c r="F4476" i="1" s="1"/>
  <c r="F4477" i="1" a="1"/>
  <c r="F4477" i="1"/>
  <c r="F4478" i="1" a="1"/>
  <c r="F4478" i="1"/>
  <c r="F4479" i="1" a="1"/>
  <c r="F4479" i="1"/>
  <c r="F4480" i="1" a="1"/>
  <c r="F4480" i="1"/>
  <c r="F4481" i="1" a="1"/>
  <c r="F4481" i="1" s="1"/>
  <c r="F4482" i="1" a="1"/>
  <c r="F4482" i="1" s="1"/>
  <c r="F4483" i="1" a="1"/>
  <c r="F4483" i="1" s="1"/>
  <c r="F4484" i="1" a="1"/>
  <c r="F4484" i="1" s="1"/>
  <c r="F4485" i="1" a="1"/>
  <c r="F4485" i="1"/>
  <c r="F4486" i="1" a="1"/>
  <c r="F4486" i="1" s="1"/>
  <c r="F4487" i="1" a="1"/>
  <c r="F4487" i="1"/>
  <c r="F4488" i="1" a="1"/>
  <c r="F4488" i="1" s="1"/>
  <c r="F4489" i="1" a="1"/>
  <c r="F4489" i="1" s="1"/>
  <c r="F4490" i="1" a="1"/>
  <c r="F4490" i="1" s="1"/>
  <c r="F4491" i="1" a="1"/>
  <c r="F4491" i="1" s="1"/>
  <c r="F4492" i="1" a="1"/>
  <c r="F4492" i="1"/>
  <c r="F4493" i="1" a="1"/>
  <c r="F4493" i="1" s="1"/>
  <c r="F4494" i="1" a="1"/>
  <c r="F4494" i="1" s="1"/>
  <c r="F4495" i="1" a="1"/>
  <c r="F4495" i="1" s="1"/>
  <c r="F4496" i="1" a="1"/>
  <c r="F4496" i="1" s="1"/>
  <c r="F4497" i="1" a="1"/>
  <c r="F4497" i="1" s="1"/>
  <c r="F4498" i="1" a="1"/>
  <c r="F4498" i="1" s="1"/>
  <c r="F4499" i="1" a="1"/>
  <c r="F4499" i="1"/>
  <c r="F4500" i="1" a="1"/>
  <c r="F4500" i="1" s="1"/>
  <c r="F4501" i="1" a="1"/>
  <c r="F4501" i="1"/>
  <c r="F4502" i="1" a="1"/>
  <c r="F4502" i="1" s="1"/>
  <c r="F4503" i="1" a="1"/>
  <c r="F4503" i="1" s="1"/>
  <c r="F4504" i="1" a="1"/>
  <c r="F4504" i="1" s="1"/>
  <c r="F4505" i="1" a="1"/>
  <c r="F4505" i="1" s="1"/>
  <c r="F4506" i="1" a="1"/>
  <c r="F4506" i="1" s="1"/>
  <c r="F4507" i="1" a="1"/>
  <c r="F4507" i="1" s="1"/>
  <c r="F4508" i="1" a="1"/>
  <c r="F4508" i="1"/>
  <c r="F4509" i="1" a="1"/>
  <c r="F4509" i="1" s="1"/>
  <c r="F4510" i="1" a="1"/>
  <c r="F4510" i="1" s="1"/>
  <c r="F4511" i="1" a="1"/>
  <c r="F4511" i="1"/>
  <c r="F4512" i="1" a="1"/>
  <c r="F4512" i="1" s="1"/>
  <c r="F4513" i="1" a="1"/>
  <c r="F4513" i="1"/>
  <c r="F4514" i="1" a="1"/>
  <c r="F4514" i="1" s="1"/>
  <c r="F4515" i="1" a="1"/>
  <c r="F4515" i="1" s="1"/>
  <c r="F4516" i="1" a="1"/>
  <c r="F4516" i="1" s="1"/>
  <c r="F4517" i="1" a="1"/>
  <c r="F4517" i="1" s="1"/>
  <c r="F4518" i="1" a="1"/>
  <c r="F4518" i="1" s="1"/>
  <c r="F4519" i="1" a="1"/>
  <c r="F4519" i="1"/>
  <c r="F4520" i="1" a="1"/>
  <c r="F4520" i="1"/>
  <c r="F4521" i="1" a="1"/>
  <c r="F4521" i="1"/>
  <c r="F4522" i="1" a="1"/>
  <c r="F4522" i="1"/>
  <c r="F4523" i="1" a="1"/>
  <c r="F4523" i="1" s="1"/>
  <c r="F4524" i="1" a="1"/>
  <c r="F4524" i="1" s="1"/>
  <c r="F4525" i="1" a="1"/>
  <c r="F4525" i="1" s="1"/>
  <c r="F4526" i="1" a="1"/>
  <c r="F4526" i="1" s="1"/>
  <c r="F4527" i="1" a="1"/>
  <c r="F4527" i="1"/>
  <c r="F4528" i="1" a="1"/>
  <c r="F4528" i="1" s="1"/>
  <c r="F4529" i="1" a="1"/>
  <c r="F4529" i="1" s="1"/>
  <c r="F4530" i="1" a="1"/>
  <c r="F4530" i="1" s="1"/>
  <c r="F4531" i="1" a="1"/>
  <c r="F4531" i="1" s="1"/>
  <c r="F4532" i="1" a="1"/>
  <c r="F4532" i="1" s="1"/>
  <c r="F4533" i="1" a="1"/>
  <c r="F4533" i="1" s="1"/>
  <c r="F4534" i="1" a="1"/>
  <c r="F4534" i="1" s="1"/>
  <c r="F4535" i="1" a="1"/>
  <c r="F4535" i="1" s="1"/>
  <c r="F4536" i="1" a="1"/>
  <c r="F4536" i="1" s="1"/>
  <c r="F4537" i="1" a="1"/>
  <c r="F4537" i="1" s="1"/>
  <c r="F4538" i="1" a="1"/>
  <c r="F4538" i="1" s="1"/>
  <c r="F4539" i="1" a="1"/>
  <c r="F4539" i="1" s="1"/>
  <c r="F4540" i="1" a="1"/>
  <c r="F4540" i="1"/>
  <c r="F4541" i="1" a="1"/>
  <c r="F4541" i="1"/>
  <c r="F4542" i="1" a="1"/>
  <c r="F4542" i="1"/>
  <c r="F4543" i="1" a="1"/>
  <c r="F4543" i="1"/>
  <c r="F4544" i="1" a="1"/>
  <c r="F4544" i="1" s="1"/>
  <c r="F4545" i="1" a="1"/>
  <c r="F4545" i="1"/>
  <c r="F4546" i="1" a="1"/>
  <c r="F4546" i="1" s="1"/>
  <c r="F4547" i="1" a="1"/>
  <c r="F4547" i="1" s="1"/>
  <c r="F4548" i="1" a="1"/>
  <c r="F4548" i="1" s="1"/>
  <c r="F4549" i="1" a="1"/>
  <c r="F4549" i="1" s="1"/>
  <c r="F4550" i="1" a="1"/>
  <c r="F4550" i="1"/>
  <c r="F4551" i="1" a="1"/>
  <c r="F4551" i="1" s="1"/>
  <c r="F4552" i="1" a="1"/>
  <c r="F4552" i="1" s="1"/>
  <c r="F4553" i="1" a="1"/>
  <c r="F4553" i="1"/>
  <c r="F4554" i="1" a="1"/>
  <c r="F4554" i="1" s="1"/>
  <c r="F4555" i="1" a="1"/>
  <c r="F4555" i="1" s="1"/>
  <c r="F4556" i="1" a="1"/>
  <c r="F4556" i="1" s="1"/>
  <c r="F4557" i="1" a="1"/>
  <c r="F4557" i="1" s="1"/>
  <c r="F4558" i="1" a="1"/>
  <c r="F4558" i="1" s="1"/>
  <c r="F4559" i="1" a="1"/>
  <c r="F4559" i="1" s="1"/>
  <c r="F4560" i="1" a="1"/>
  <c r="F4560" i="1" s="1"/>
  <c r="F4561" i="1" a="1"/>
  <c r="F4561" i="1"/>
  <c r="F4562" i="1" a="1"/>
  <c r="F4562" i="1" s="1"/>
  <c r="F4563" i="1" a="1"/>
  <c r="F4563" i="1" s="1"/>
  <c r="F4564" i="1" a="1"/>
  <c r="F4564" i="1" s="1"/>
  <c r="F4565" i="1" a="1"/>
  <c r="F4565" i="1" s="1"/>
  <c r="F4566" i="1" a="1"/>
  <c r="F4566" i="1" s="1"/>
  <c r="F4567" i="1" a="1"/>
  <c r="F4567" i="1" s="1"/>
  <c r="F4568" i="1" a="1"/>
  <c r="F4568" i="1" s="1"/>
  <c r="F4569" i="1" a="1"/>
  <c r="F4569" i="1" s="1"/>
  <c r="F4570" i="1" a="1"/>
  <c r="F4570" i="1" s="1"/>
  <c r="F4571" i="1" a="1"/>
  <c r="F4571" i="1" s="1"/>
  <c r="F4572" i="1" a="1"/>
  <c r="F4572" i="1" s="1"/>
  <c r="F4573" i="1" a="1"/>
  <c r="F4573" i="1" s="1"/>
  <c r="F4574" i="1" a="1"/>
  <c r="F4574" i="1" s="1"/>
  <c r="F4575" i="1" a="1"/>
  <c r="F4575" i="1"/>
  <c r="F4576" i="1" a="1"/>
  <c r="F4576" i="1" s="1"/>
  <c r="F4577" i="1" a="1"/>
  <c r="F4577" i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/>
  <c r="F4583" i="1" a="1"/>
  <c r="F4583" i="1"/>
  <c r="F4584" i="1" a="1"/>
  <c r="F4584" i="1" s="1"/>
  <c r="F4585" i="1" a="1"/>
  <c r="F4585" i="1" s="1"/>
  <c r="F4586" i="1" a="1"/>
  <c r="F4586" i="1" s="1"/>
  <c r="F4587" i="1" a="1"/>
  <c r="F4587" i="1"/>
  <c r="F4588" i="1" a="1"/>
  <c r="F4588" i="1" s="1"/>
  <c r="F4589" i="1" a="1"/>
  <c r="F4589" i="1" s="1"/>
  <c r="F4590" i="1" a="1"/>
  <c r="F4590" i="1"/>
  <c r="F4591" i="1" a="1"/>
  <c r="F4591" i="1" s="1"/>
  <c r="F4592" i="1" a="1"/>
  <c r="F4592" i="1" s="1"/>
  <c r="F4593" i="1" a="1"/>
  <c r="F4593" i="1" s="1"/>
  <c r="F4594" i="1" a="1"/>
  <c r="F4594" i="1" s="1"/>
  <c r="F4595" i="1" a="1"/>
  <c r="F4595" i="1" s="1"/>
  <c r="F4596" i="1" a="1"/>
  <c r="F4596" i="1"/>
  <c r="F4597" i="1" a="1"/>
  <c r="F4597" i="1" s="1"/>
  <c r="F4598" i="1" a="1"/>
  <c r="F4598" i="1" s="1"/>
  <c r="F4599" i="1" a="1"/>
  <c r="F4599" i="1" s="1"/>
  <c r="F4600" i="1" a="1"/>
  <c r="F4600" i="1" s="1"/>
  <c r="F4601" i="1" a="1"/>
  <c r="F4601" i="1" s="1"/>
  <c r="F4602" i="1" a="1"/>
  <c r="F4602" i="1" s="1"/>
  <c r="F4603" i="1" a="1"/>
  <c r="F4603" i="1" s="1"/>
  <c r="F4604" i="1" a="1"/>
  <c r="F4604" i="1" s="1"/>
  <c r="F4605" i="1" a="1"/>
  <c r="F4605" i="1" s="1"/>
  <c r="F4606" i="1" a="1"/>
  <c r="F4606" i="1"/>
  <c r="F4607" i="1" a="1"/>
  <c r="F4607" i="1" s="1"/>
  <c r="F4608" i="1" a="1"/>
  <c r="F4608" i="1" s="1"/>
  <c r="F4609" i="1" a="1"/>
  <c r="F4609" i="1" s="1"/>
  <c r="F4610" i="1" a="1"/>
  <c r="F4610" i="1" s="1"/>
  <c r="F4611" i="1" a="1"/>
  <c r="F4611" i="1" s="1"/>
  <c r="F4612" i="1" a="1"/>
  <c r="F4612" i="1" s="1"/>
  <c r="F4613" i="1" a="1"/>
  <c r="F4613" i="1"/>
  <c r="F4614" i="1" a="1"/>
  <c r="F4614" i="1" s="1"/>
  <c r="F4615" i="1" a="1"/>
  <c r="F4615" i="1" s="1"/>
  <c r="F4616" i="1" a="1"/>
  <c r="F4616" i="1"/>
  <c r="F4617" i="1" a="1"/>
  <c r="F4617" i="1" s="1"/>
  <c r="F4618" i="1" a="1"/>
  <c r="F4618" i="1" s="1"/>
  <c r="F4619" i="1" a="1"/>
  <c r="F4619" i="1" s="1"/>
  <c r="F4620" i="1" a="1"/>
  <c r="F4620" i="1" s="1"/>
  <c r="F4621" i="1" a="1"/>
  <c r="F4621" i="1" s="1"/>
  <c r="F4622" i="1" a="1"/>
  <c r="F4622" i="1" s="1"/>
  <c r="F4623" i="1" a="1"/>
  <c r="F4623" i="1" s="1"/>
  <c r="F4624" i="1" a="1"/>
  <c r="F4624" i="1" s="1"/>
  <c r="F4625" i="1" a="1"/>
  <c r="F4625" i="1" s="1"/>
  <c r="F4626" i="1" a="1"/>
  <c r="F4626" i="1" s="1"/>
  <c r="F4627" i="1" a="1"/>
  <c r="F4627" i="1"/>
  <c r="F4628" i="1" a="1"/>
  <c r="F4628" i="1" s="1"/>
  <c r="F4629" i="1" a="1"/>
  <c r="F4629" i="1" s="1"/>
  <c r="F4630" i="1" a="1"/>
  <c r="F4630" i="1" s="1"/>
  <c r="F4631" i="1" a="1"/>
  <c r="F4631" i="1" s="1"/>
  <c r="F4632" i="1" a="1"/>
  <c r="F4632" i="1"/>
  <c r="F4633" i="1" a="1"/>
  <c r="F4633" i="1" s="1"/>
  <c r="F4634" i="1" a="1"/>
  <c r="F4634" i="1" s="1"/>
  <c r="F4635" i="1" a="1"/>
  <c r="F4635" i="1" s="1"/>
  <c r="F4636" i="1" a="1"/>
  <c r="F4636" i="1"/>
  <c r="F4637" i="1" a="1"/>
  <c r="F4637" i="1"/>
  <c r="F4638" i="1" a="1"/>
  <c r="F4638" i="1"/>
  <c r="F4639" i="1" a="1"/>
  <c r="F4639" i="1" s="1"/>
  <c r="F4640" i="1" a="1"/>
  <c r="F4640" i="1" s="1"/>
  <c r="F4641" i="1" a="1"/>
  <c r="F4641" i="1" s="1"/>
  <c r="F4642" i="1" a="1"/>
  <c r="F4642" i="1" s="1"/>
  <c r="F4643" i="1" a="1"/>
  <c r="F4643" i="1" s="1"/>
  <c r="F4644" i="1" a="1"/>
  <c r="F4644" i="1" s="1"/>
  <c r="F4645" i="1" a="1"/>
  <c r="F4645" i="1"/>
  <c r="F4646" i="1" a="1"/>
  <c r="F4646" i="1" s="1"/>
  <c r="F4647" i="1" a="1"/>
  <c r="F4647" i="1" s="1"/>
  <c r="F4648" i="1" a="1"/>
  <c r="F4648" i="1"/>
  <c r="F4649" i="1" a="1"/>
  <c r="F4649" i="1" s="1"/>
  <c r="F4650" i="1" a="1"/>
  <c r="F4650" i="1"/>
  <c r="F4651" i="1" a="1"/>
  <c r="F4651" i="1" s="1"/>
  <c r="F4652" i="1" a="1"/>
  <c r="F4652" i="1" s="1"/>
  <c r="F4653" i="1" a="1"/>
  <c r="F4653" i="1" s="1"/>
  <c r="F4654" i="1" a="1"/>
  <c r="F4654" i="1" s="1"/>
  <c r="F4655" i="1" a="1"/>
  <c r="F4655" i="1" s="1"/>
  <c r="F4656" i="1" a="1"/>
  <c r="F4656" i="1" s="1"/>
  <c r="F4657" i="1" a="1"/>
  <c r="F4657" i="1"/>
  <c r="F4658" i="1" a="1"/>
  <c r="F4658" i="1"/>
  <c r="F4659" i="1" a="1"/>
  <c r="F4659" i="1" s="1"/>
  <c r="F4660" i="1" a="1"/>
  <c r="F4660" i="1" s="1"/>
  <c r="F4661" i="1" a="1"/>
  <c r="F4661" i="1" s="1"/>
  <c r="F4662" i="1" a="1"/>
  <c r="F4662" i="1" s="1"/>
  <c r="F4663" i="1" a="1"/>
  <c r="F4663" i="1" s="1"/>
  <c r="F4664" i="1" a="1"/>
  <c r="F4664" i="1" s="1"/>
  <c r="F4665" i="1" a="1"/>
  <c r="F4665" i="1" s="1"/>
  <c r="F4666" i="1" a="1"/>
  <c r="F4666" i="1"/>
  <c r="F4667" i="1" a="1"/>
  <c r="F4667" i="1" s="1"/>
  <c r="F4668" i="1" a="1"/>
  <c r="F4668" i="1" s="1"/>
  <c r="F4669" i="1" a="1"/>
  <c r="F4669" i="1"/>
  <c r="F4670" i="1" a="1"/>
  <c r="F4670" i="1" s="1"/>
  <c r="F4671" i="1" a="1"/>
  <c r="F4671" i="1"/>
  <c r="F4672" i="1" a="1"/>
  <c r="F4672" i="1" s="1"/>
  <c r="F4673" i="1" a="1"/>
  <c r="F4673" i="1" s="1"/>
  <c r="F4674" i="1" a="1"/>
  <c r="F4674" i="1" s="1"/>
  <c r="F4675" i="1" a="1"/>
  <c r="F4675" i="1" s="1"/>
  <c r="F4676" i="1" a="1"/>
  <c r="F4676" i="1" s="1"/>
  <c r="F4677" i="1" a="1"/>
  <c r="F4677" i="1" s="1"/>
  <c r="F4678" i="1" a="1"/>
  <c r="F4678" i="1" s="1"/>
  <c r="F4679" i="1" a="1"/>
  <c r="F4679" i="1"/>
  <c r="F4680" i="1" a="1"/>
  <c r="F4680" i="1" s="1"/>
  <c r="F4681" i="1" a="1"/>
  <c r="F4681" i="1" s="1"/>
  <c r="F4682" i="1" a="1"/>
  <c r="F4682" i="1" s="1"/>
  <c r="F4683" i="1" a="1"/>
  <c r="F4683" i="1" s="1"/>
  <c r="F4684" i="1" a="1"/>
  <c r="F4684" i="1" s="1"/>
  <c r="F4685" i="1" a="1"/>
  <c r="F4685" i="1" s="1"/>
  <c r="F4686" i="1" a="1"/>
  <c r="F4686" i="1" s="1"/>
  <c r="F4687" i="1" a="1"/>
  <c r="F4687" i="1"/>
  <c r="F4688" i="1" a="1"/>
  <c r="F4688" i="1" s="1"/>
  <c r="F4689" i="1" a="1"/>
  <c r="F4689" i="1" s="1"/>
  <c r="F4690" i="1" a="1"/>
  <c r="F4690" i="1" s="1"/>
  <c r="F4691" i="1" a="1"/>
  <c r="F4691" i="1" s="1"/>
  <c r="F4692" i="1" a="1"/>
  <c r="F4692" i="1" s="1"/>
  <c r="F4693" i="1" a="1"/>
  <c r="F4693" i="1" s="1"/>
  <c r="F4694" i="1" a="1"/>
  <c r="F4694" i="1" s="1"/>
  <c r="F4695" i="1" a="1"/>
  <c r="F4695" i="1" s="1"/>
  <c r="F4696" i="1" a="1"/>
  <c r="F4696" i="1" s="1"/>
  <c r="F4697" i="1" a="1"/>
  <c r="F4697" i="1" s="1"/>
  <c r="F4698" i="1" a="1"/>
  <c r="F4698" i="1" s="1"/>
  <c r="F4699" i="1" a="1"/>
  <c r="F4699" i="1" s="1"/>
  <c r="F4700" i="1" a="1"/>
  <c r="F4700" i="1" s="1"/>
  <c r="F4701" i="1" a="1"/>
  <c r="F4701" i="1" s="1"/>
  <c r="F4702" i="1" a="1"/>
  <c r="F4702" i="1" s="1"/>
  <c r="F4703" i="1" a="1"/>
  <c r="F4703" i="1" s="1"/>
  <c r="F4704" i="1" a="1"/>
  <c r="F4704" i="1" s="1"/>
  <c r="F4705" i="1" a="1"/>
  <c r="F4705" i="1" s="1"/>
  <c r="F4706" i="1" a="1"/>
  <c r="F4706" i="1" s="1"/>
  <c r="F4707" i="1" a="1"/>
  <c r="F4707" i="1" s="1"/>
  <c r="F4708" i="1" a="1"/>
  <c r="F4708" i="1" s="1"/>
  <c r="F4709" i="1" a="1"/>
  <c r="F4709" i="1" s="1"/>
  <c r="F4710" i="1" a="1"/>
  <c r="F4710" i="1" s="1"/>
  <c r="F4711" i="1" a="1"/>
  <c r="F4711" i="1" s="1"/>
  <c r="F4712" i="1" a="1"/>
  <c r="F4712" i="1" s="1"/>
  <c r="F4713" i="1" a="1"/>
  <c r="F4713" i="1"/>
  <c r="F4714" i="1" a="1"/>
  <c r="F4714" i="1" s="1"/>
  <c r="F4715" i="1" a="1"/>
  <c r="F4715" i="1" s="1"/>
  <c r="F4716" i="1" a="1"/>
  <c r="F4716" i="1" s="1"/>
  <c r="F4717" i="1" a="1"/>
  <c r="F4717" i="1" s="1"/>
  <c r="F4718" i="1" a="1"/>
  <c r="F4718" i="1" s="1"/>
  <c r="F4719" i="1" a="1"/>
  <c r="F4719" i="1" s="1"/>
  <c r="F4720" i="1" a="1"/>
  <c r="F4720" i="1" s="1"/>
  <c r="F4721" i="1" a="1"/>
  <c r="F4721" i="1"/>
  <c r="F4722" i="1" a="1"/>
  <c r="F4722" i="1" s="1"/>
  <c r="F4723" i="1" a="1"/>
  <c r="F4723" i="1" s="1"/>
  <c r="F4724" i="1" a="1"/>
  <c r="F4724" i="1" s="1"/>
  <c r="F4725" i="1" a="1"/>
  <c r="F4725" i="1" s="1"/>
  <c r="F4726" i="1" a="1"/>
  <c r="F4726" i="1" s="1"/>
  <c r="F4727" i="1" a="1"/>
  <c r="F4727" i="1"/>
  <c r="F4728" i="1" a="1"/>
  <c r="F4728" i="1" s="1"/>
  <c r="F4729" i="1" a="1"/>
  <c r="F4729" i="1" s="1"/>
  <c r="F4730" i="1" a="1"/>
  <c r="F4730" i="1" s="1"/>
  <c r="F4731" i="1" a="1"/>
  <c r="F4731" i="1" s="1"/>
  <c r="F4732" i="1" a="1"/>
  <c r="F4732" i="1" s="1"/>
  <c r="F4733" i="1" a="1"/>
  <c r="F4733" i="1" s="1"/>
  <c r="F4734" i="1" a="1"/>
  <c r="F4734" i="1" s="1"/>
  <c r="F4735" i="1" a="1"/>
  <c r="F4735" i="1" s="1"/>
  <c r="F4736" i="1" a="1"/>
  <c r="F4736" i="1" s="1"/>
  <c r="F4737" i="1" a="1"/>
  <c r="F4737" i="1" s="1"/>
  <c r="F4738" i="1" a="1"/>
  <c r="F4738" i="1" s="1"/>
  <c r="F4739" i="1" a="1"/>
  <c r="F4739" i="1" s="1"/>
  <c r="F4740" i="1" a="1"/>
  <c r="F4740" i="1"/>
  <c r="F4741" i="1" a="1"/>
  <c r="F4741" i="1"/>
  <c r="F4742" i="1" a="1"/>
  <c r="F4742" i="1"/>
  <c r="F4743" i="1" a="1"/>
  <c r="F4743" i="1" s="1"/>
  <c r="F4744" i="1" a="1"/>
  <c r="F4744" i="1" s="1"/>
  <c r="F4745" i="1" a="1"/>
  <c r="F4745" i="1"/>
  <c r="F4746" i="1" a="1"/>
  <c r="F4746" i="1"/>
  <c r="F4747" i="1" a="1"/>
  <c r="F4747" i="1" s="1"/>
  <c r="F4748" i="1" a="1"/>
  <c r="F4748" i="1"/>
  <c r="F4749" i="1" a="1"/>
  <c r="F4749" i="1" s="1"/>
  <c r="F4750" i="1" a="1"/>
  <c r="F4750" i="1"/>
  <c r="F4751" i="1" a="1"/>
  <c r="F4751" i="1" s="1"/>
  <c r="F4752" i="1" a="1"/>
  <c r="F4752" i="1" s="1"/>
  <c r="F4753" i="1" a="1"/>
  <c r="F4753" i="1" s="1"/>
  <c r="F4754" i="1" a="1"/>
  <c r="F4754" i="1" s="1"/>
  <c r="F4755" i="1" a="1"/>
  <c r="F4755" i="1" s="1"/>
  <c r="F4756" i="1" a="1"/>
  <c r="F4756" i="1" s="1"/>
  <c r="F4757" i="1" a="1"/>
  <c r="F4757" i="1" s="1"/>
  <c r="F4758" i="1" a="1"/>
  <c r="F4758" i="1"/>
  <c r="F4759" i="1" a="1"/>
  <c r="F4759" i="1" s="1"/>
  <c r="F4760" i="1" a="1"/>
  <c r="F4760" i="1" s="1"/>
  <c r="F4761" i="1" a="1"/>
  <c r="F4761" i="1" s="1"/>
  <c r="F4762" i="1" a="1"/>
  <c r="F4762" i="1" s="1"/>
  <c r="F4763" i="1" a="1"/>
  <c r="F4763" i="1" s="1"/>
  <c r="F4764" i="1" a="1"/>
  <c r="F4764" i="1" s="1"/>
  <c r="F4765" i="1" a="1"/>
  <c r="F4765" i="1" s="1"/>
  <c r="F4766" i="1" a="1"/>
  <c r="F4766" i="1"/>
  <c r="F4767" i="1" a="1"/>
  <c r="F4767" i="1" s="1"/>
  <c r="F4768" i="1" a="1"/>
  <c r="F4768" i="1" s="1"/>
  <c r="F4769" i="1" a="1"/>
  <c r="F4769" i="1" s="1"/>
  <c r="F4770" i="1" a="1"/>
  <c r="F4770" i="1"/>
  <c r="F4771" i="1" a="1"/>
  <c r="F4771" i="1" s="1"/>
  <c r="F4772" i="1" a="1"/>
  <c r="F4772" i="1" s="1"/>
  <c r="F4773" i="1" a="1"/>
  <c r="F4773" i="1"/>
  <c r="F4774" i="1" a="1"/>
  <c r="F4774" i="1"/>
  <c r="F4775" i="1" a="1"/>
  <c r="F4775" i="1"/>
  <c r="F4776" i="1" a="1"/>
  <c r="F4776" i="1" s="1"/>
  <c r="F4777" i="1" a="1"/>
  <c r="F4777" i="1" s="1"/>
  <c r="F4778" i="1" a="1"/>
  <c r="F4778" i="1"/>
  <c r="F4779" i="1" a="1"/>
  <c r="F4779" i="1"/>
  <c r="F4780" i="1" a="1"/>
  <c r="F4780" i="1"/>
  <c r="F4781" i="1" a="1"/>
  <c r="F4781" i="1" s="1"/>
  <c r="F4782" i="1" a="1"/>
  <c r="F4782" i="1" s="1"/>
  <c r="F4783" i="1" a="1"/>
  <c r="F4783" i="1" s="1"/>
  <c r="F4784" i="1" a="1"/>
  <c r="F4784" i="1" s="1"/>
  <c r="F4785" i="1" a="1"/>
  <c r="F4785" i="1" s="1"/>
  <c r="F4786" i="1" a="1"/>
  <c r="F4786" i="1" s="1"/>
  <c r="F4787" i="1" a="1"/>
  <c r="F4787" i="1" s="1"/>
  <c r="F4788" i="1" a="1"/>
  <c r="F4788" i="1" s="1"/>
  <c r="F4789" i="1" a="1"/>
  <c r="F4789" i="1" s="1"/>
  <c r="F4790" i="1" a="1"/>
  <c r="F4790" i="1" s="1"/>
  <c r="F4791" i="1" a="1"/>
  <c r="F4791" i="1" s="1"/>
  <c r="F4792" i="1" a="1"/>
  <c r="F4792" i="1" s="1"/>
  <c r="F4793" i="1" a="1"/>
  <c r="F4793" i="1" s="1"/>
  <c r="F4794" i="1" a="1"/>
  <c r="F4794" i="1"/>
  <c r="F4795" i="1" a="1"/>
  <c r="F4795" i="1"/>
  <c r="F4796" i="1" a="1"/>
  <c r="F4796" i="1"/>
  <c r="F4797" i="1" a="1"/>
  <c r="F4797" i="1" s="1"/>
  <c r="F4798" i="1" a="1"/>
  <c r="F4798" i="1" s="1"/>
  <c r="F4799" i="1" a="1"/>
  <c r="F4799" i="1" s="1"/>
  <c r="F4800" i="1" a="1"/>
  <c r="F4800" i="1" s="1"/>
  <c r="F4801" i="1" a="1"/>
  <c r="F4801" i="1" s="1"/>
  <c r="F4802" i="1" a="1"/>
  <c r="F4802" i="1" s="1"/>
  <c r="F4803" i="1" a="1"/>
  <c r="F4803" i="1" s="1"/>
  <c r="F4804" i="1" a="1"/>
  <c r="F4804" i="1" s="1"/>
  <c r="F4805" i="1" a="1"/>
  <c r="F4805" i="1"/>
  <c r="F4806" i="1" a="1"/>
  <c r="F4806" i="1" s="1"/>
  <c r="F4807" i="1" a="1"/>
  <c r="F4807" i="1" s="1"/>
  <c r="F4808" i="1" a="1"/>
  <c r="F4808" i="1" s="1"/>
  <c r="F4809" i="1" a="1"/>
  <c r="F4809" i="1"/>
  <c r="F4810" i="1" a="1"/>
  <c r="F4810" i="1"/>
  <c r="F4811" i="1" a="1"/>
  <c r="F4811" i="1" s="1"/>
  <c r="F4812" i="1" a="1"/>
  <c r="F4812" i="1" s="1"/>
  <c r="F4813" i="1" a="1"/>
  <c r="F4813" i="1" s="1"/>
  <c r="F4814" i="1" a="1"/>
  <c r="F4814" i="1" s="1"/>
  <c r="F4815" i="1" a="1"/>
  <c r="F4815" i="1" s="1"/>
  <c r="F4816" i="1" a="1"/>
  <c r="F4816" i="1" s="1"/>
  <c r="F4817" i="1" a="1"/>
  <c r="F4817" i="1" s="1"/>
  <c r="F4818" i="1" a="1"/>
  <c r="F4818" i="1" s="1"/>
  <c r="F4819" i="1" a="1"/>
  <c r="F4819" i="1" s="1"/>
  <c r="F4820" i="1" a="1"/>
  <c r="F4820" i="1" s="1"/>
  <c r="F4821" i="1" a="1"/>
  <c r="F4821" i="1" s="1"/>
  <c r="F4822" i="1" a="1"/>
  <c r="F4822" i="1" s="1"/>
  <c r="F4823" i="1" a="1"/>
  <c r="F4823" i="1" s="1"/>
  <c r="F4824" i="1" a="1"/>
  <c r="F4824" i="1" s="1"/>
  <c r="F4825" i="1" a="1"/>
  <c r="F4825" i="1"/>
  <c r="F4826" i="1" a="1"/>
  <c r="F4826" i="1"/>
  <c r="F4827" i="1" a="1"/>
  <c r="F4827" i="1" s="1"/>
  <c r="F4828" i="1" a="1"/>
  <c r="F4828" i="1" s="1"/>
  <c r="F4829" i="1" a="1"/>
  <c r="F4829" i="1"/>
  <c r="F4830" i="1" a="1"/>
  <c r="F4830" i="1"/>
  <c r="F4831" i="1" a="1"/>
  <c r="F4831" i="1" s="1"/>
  <c r="F4832" i="1" a="1"/>
  <c r="F4832" i="1" s="1"/>
  <c r="F4833" i="1" a="1"/>
  <c r="F4833" i="1"/>
  <c r="F4834" i="1" a="1"/>
  <c r="F4834" i="1"/>
  <c r="F4835" i="1" a="1"/>
  <c r="F4835" i="1"/>
  <c r="F4836" i="1" a="1"/>
  <c r="F4836" i="1" s="1"/>
  <c r="F4837" i="1" a="1"/>
  <c r="F4837" i="1" s="1"/>
  <c r="F4838" i="1" a="1"/>
  <c r="F4838" i="1"/>
  <c r="F4839" i="1" a="1"/>
  <c r="F4839" i="1"/>
  <c r="F4840" i="1" a="1"/>
  <c r="F4840" i="1"/>
  <c r="F4841" i="1" a="1"/>
  <c r="F4841" i="1" s="1"/>
  <c r="F4842" i="1" a="1"/>
  <c r="F4842" i="1" s="1"/>
  <c r="F4843" i="1" a="1"/>
  <c r="F4843" i="1" s="1"/>
  <c r="F4844" i="1" a="1"/>
  <c r="F4844" i="1" s="1"/>
  <c r="F4845" i="1" a="1"/>
  <c r="F4845" i="1" s="1"/>
  <c r="F4846" i="1" a="1"/>
  <c r="F4846" i="1" s="1"/>
  <c r="F4847" i="1" a="1"/>
  <c r="F4847" i="1" s="1"/>
  <c r="F4848" i="1" a="1"/>
  <c r="F4848" i="1" s="1"/>
  <c r="F4849" i="1" a="1"/>
  <c r="F4849" i="1" s="1"/>
  <c r="F4850" i="1" a="1"/>
  <c r="F4850" i="1" s="1"/>
  <c r="F4851" i="1" a="1"/>
  <c r="F4851" i="1" s="1"/>
  <c r="F4852" i="1" a="1"/>
  <c r="F4852" i="1" s="1"/>
  <c r="F4853" i="1" a="1"/>
  <c r="F4853" i="1"/>
  <c r="F4854" i="1" a="1"/>
  <c r="F4854" i="1"/>
  <c r="F4855" i="1" a="1"/>
  <c r="F4855" i="1" s="1"/>
  <c r="F4856" i="1" a="1"/>
  <c r="F4856" i="1"/>
  <c r="F4857" i="1" a="1"/>
  <c r="F4857" i="1" s="1"/>
  <c r="F4858" i="1" a="1"/>
  <c r="F4858" i="1" s="1"/>
  <c r="F4859" i="1" a="1"/>
  <c r="F4859" i="1" s="1"/>
  <c r="F4860" i="1" a="1"/>
  <c r="F4860" i="1"/>
  <c r="F4861" i="1" a="1"/>
  <c r="F4861" i="1" s="1"/>
  <c r="F4862" i="1" a="1"/>
  <c r="F4862" i="1" s="1"/>
  <c r="F4863" i="1" a="1"/>
  <c r="F4863" i="1"/>
  <c r="F4864" i="1" a="1"/>
  <c r="F4864" i="1"/>
  <c r="F4865" i="1" a="1"/>
  <c r="F4865" i="1" s="1"/>
  <c r="F4866" i="1" a="1"/>
  <c r="F4866" i="1" s="1"/>
  <c r="F4867" i="1" a="1"/>
  <c r="F4867" i="1" s="1"/>
  <c r="F4868" i="1" a="1"/>
  <c r="F4868" i="1" s="1"/>
  <c r="F4869" i="1" a="1"/>
  <c r="F4869" i="1"/>
  <c r="F4870" i="1" a="1"/>
  <c r="F4870" i="1"/>
  <c r="F4871" i="1" a="1"/>
  <c r="F4871" i="1" s="1"/>
  <c r="F4872" i="1" a="1"/>
  <c r="F4872" i="1" s="1"/>
  <c r="F4873" i="1" a="1"/>
  <c r="F4873" i="1" s="1"/>
  <c r="F4874" i="1" a="1"/>
  <c r="F4874" i="1" s="1"/>
  <c r="F4875" i="1" a="1"/>
  <c r="F4875" i="1" s="1"/>
  <c r="F4876" i="1" a="1"/>
  <c r="F4876" i="1"/>
  <c r="F4877" i="1" a="1"/>
  <c r="F4877" i="1" s="1"/>
  <c r="F4878" i="1" a="1"/>
  <c r="F4878" i="1" s="1"/>
  <c r="F4879" i="1" a="1"/>
  <c r="F4879" i="1" s="1"/>
  <c r="F4880" i="1" a="1"/>
  <c r="F4880" i="1" s="1"/>
  <c r="F4881" i="1" a="1"/>
  <c r="F4881" i="1" s="1"/>
  <c r="F4882" i="1" a="1"/>
  <c r="F4882" i="1" s="1"/>
  <c r="F4883" i="1" a="1"/>
  <c r="F4883" i="1" s="1"/>
  <c r="F4884" i="1" a="1"/>
  <c r="F4884" i="1" s="1"/>
  <c r="F4885" i="1" a="1"/>
  <c r="F4885" i="1"/>
  <c r="F4886" i="1" a="1"/>
  <c r="F4886" i="1"/>
  <c r="F4887" i="1" a="1"/>
  <c r="F4887" i="1" s="1"/>
  <c r="F4888" i="1" a="1"/>
  <c r="F4888" i="1" s="1"/>
  <c r="F4889" i="1" a="1"/>
  <c r="F4889" i="1" s="1"/>
  <c r="F4890" i="1" a="1"/>
  <c r="F4890" i="1" s="1"/>
  <c r="F4891" i="1" a="1"/>
  <c r="F4891" i="1" s="1"/>
  <c r="F4892" i="1" a="1"/>
  <c r="F4892" i="1" s="1"/>
  <c r="F4893" i="1" a="1"/>
  <c r="F4893" i="1" s="1"/>
  <c r="F4894" i="1" a="1"/>
  <c r="F4894" i="1" s="1"/>
  <c r="F4895" i="1" a="1"/>
  <c r="F4895" i="1"/>
  <c r="F4896" i="1" a="1"/>
  <c r="F4896" i="1" s="1"/>
  <c r="F4897" i="1" a="1"/>
  <c r="F4897" i="1" s="1"/>
  <c r="F4898" i="1" a="1"/>
  <c r="F4898" i="1"/>
  <c r="F4899" i="1" a="1"/>
  <c r="F4899" i="1" s="1"/>
  <c r="F4900" i="1" a="1"/>
  <c r="F4900" i="1" s="1"/>
  <c r="F4901" i="1" a="1"/>
  <c r="F4901" i="1" s="1"/>
  <c r="F4902" i="1" a="1"/>
  <c r="F4902" i="1" s="1"/>
  <c r="F4903" i="1" a="1"/>
  <c r="F4903" i="1" s="1"/>
  <c r="F4904" i="1" a="1"/>
  <c r="F4904" i="1" s="1"/>
  <c r="F4905" i="1" a="1"/>
  <c r="F4905" i="1" s="1"/>
  <c r="F4906" i="1" a="1"/>
  <c r="F4906" i="1" s="1"/>
  <c r="F4907" i="1" a="1"/>
  <c r="F4907" i="1" s="1"/>
  <c r="F4908" i="1" a="1"/>
  <c r="F4908" i="1" s="1"/>
  <c r="F4909" i="1" a="1"/>
  <c r="F4909" i="1" s="1"/>
  <c r="F4910" i="1" a="1"/>
  <c r="F4910" i="1" s="1"/>
  <c r="F4911" i="1" a="1"/>
  <c r="F4911" i="1" s="1"/>
  <c r="F4912" i="1" a="1"/>
  <c r="F4912" i="1" s="1"/>
  <c r="F4913" i="1" a="1"/>
  <c r="F4913" i="1"/>
  <c r="F4914" i="1" a="1"/>
  <c r="F4914" i="1" s="1"/>
  <c r="F4915" i="1" a="1"/>
  <c r="F4915" i="1"/>
  <c r="F4916" i="1" a="1"/>
  <c r="F4916" i="1" s="1"/>
  <c r="F4917" i="1" a="1"/>
  <c r="F4917" i="1" s="1"/>
  <c r="F4918" i="1" a="1"/>
  <c r="F4918" i="1" s="1"/>
  <c r="F4919" i="1" a="1"/>
  <c r="F4919" i="1" s="1"/>
  <c r="F4920" i="1" a="1"/>
  <c r="F4920" i="1" s="1"/>
  <c r="F4921" i="1" a="1"/>
  <c r="F4921" i="1" s="1"/>
  <c r="F4922" i="1" a="1"/>
  <c r="F4922" i="1" s="1"/>
  <c r="F4923" i="1" a="1"/>
  <c r="F4923" i="1" s="1"/>
  <c r="F4924" i="1" a="1"/>
  <c r="F4924" i="1" s="1"/>
  <c r="F4925" i="1" a="1"/>
  <c r="F4925" i="1" s="1"/>
  <c r="F4926" i="1" a="1"/>
  <c r="F4926" i="1" s="1"/>
  <c r="F4927" i="1" a="1"/>
  <c r="F4927" i="1" s="1"/>
  <c r="F4928" i="1" a="1"/>
  <c r="F4928" i="1" s="1"/>
  <c r="F4929" i="1" a="1"/>
  <c r="F4929" i="1"/>
  <c r="F4930" i="1" a="1"/>
  <c r="F4930" i="1" s="1"/>
  <c r="F4931" i="1" a="1"/>
  <c r="F4931" i="1" s="1"/>
  <c r="F4932" i="1" a="1"/>
  <c r="F4932" i="1" s="1"/>
  <c r="F4933" i="1" a="1"/>
  <c r="F4933" i="1" s="1"/>
  <c r="F4934" i="1" a="1"/>
  <c r="F4934" i="1" s="1"/>
  <c r="F4935" i="1" a="1"/>
  <c r="F4935" i="1" s="1"/>
  <c r="F4936" i="1" a="1"/>
  <c r="F4936" i="1"/>
  <c r="E3" i="1" a="1"/>
  <c r="E3" i="1" s="1"/>
  <c r="E2" i="1" a="1"/>
  <c r="E2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/>
  <c r="E141" i="1" a="1"/>
  <c r="E141" i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/>
  <c r="E269" i="1" a="1"/>
  <c r="E269" i="1" s="1"/>
  <c r="E270" i="1" a="1"/>
  <c r="E270" i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/>
  <c r="E331" i="1" a="1"/>
  <c r="E331" i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/>
  <c r="E358" i="1" a="1"/>
  <c r="E358" i="1" s="1"/>
  <c r="E359" i="1" a="1"/>
  <c r="E359" i="1" s="1"/>
  <c r="E360" i="1" a="1"/>
  <c r="E360" i="1" s="1"/>
  <c r="E361" i="1" a="1"/>
  <c r="E361" i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/>
  <c r="E368" i="1" a="1"/>
  <c r="E368" i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/>
  <c r="E398" i="1" a="1"/>
  <c r="E398" i="1" s="1"/>
  <c r="E399" i="1" a="1"/>
  <c r="E399" i="1" s="1"/>
  <c r="E400" i="1" a="1"/>
  <c r="E400" i="1" s="1"/>
  <c r="E401" i="1" a="1"/>
  <c r="E401" i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/>
  <c r="E431" i="1" a="1"/>
  <c r="E431" i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/>
  <c r="E469" i="1" a="1"/>
  <c r="E469" i="1" s="1"/>
  <c r="E470" i="1" a="1"/>
  <c r="E470" i="1" s="1"/>
  <c r="E471" i="1" a="1"/>
  <c r="E471" i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/>
  <c r="E497" i="1" a="1"/>
  <c r="E497" i="1"/>
  <c r="E498" i="1" a="1"/>
  <c r="E498" i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/>
  <c r="E520" i="1" a="1"/>
  <c r="E520" i="1" s="1"/>
  <c r="E521" i="1" a="1"/>
  <c r="E521" i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/>
  <c r="E537" i="1" a="1"/>
  <c r="E537" i="1" s="1"/>
  <c r="E538" i="1" a="1"/>
  <c r="E538" i="1" s="1"/>
  <c r="E539" i="1" a="1"/>
  <c r="E539" i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/>
  <c r="E547" i="1" a="1"/>
  <c r="E547" i="1" s="1"/>
  <c r="E548" i="1" a="1"/>
  <c r="E548" i="1" s="1"/>
  <c r="E549" i="1" a="1"/>
  <c r="E549" i="1" s="1"/>
  <c r="E550" i="1" a="1"/>
  <c r="E550" i="1" s="1"/>
  <c r="E551" i="1" a="1"/>
  <c r="E551" i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/>
  <c r="E607" i="1" a="1"/>
  <c r="E607" i="1" s="1"/>
  <c r="E608" i="1" a="1"/>
  <c r="E608" i="1"/>
  <c r="E609" i="1" a="1"/>
  <c r="E609" i="1"/>
  <c r="E610" i="1" a="1"/>
  <c r="E610" i="1"/>
  <c r="E611" i="1" a="1"/>
  <c r="E611" i="1"/>
  <c r="E612" i="1" a="1"/>
  <c r="E612" i="1" s="1"/>
  <c r="E613" i="1" a="1"/>
  <c r="E613" i="1" s="1"/>
  <c r="E614" i="1" a="1"/>
  <c r="E614" i="1" s="1"/>
  <c r="E615" i="1" a="1"/>
  <c r="E615" i="1" s="1"/>
  <c r="E616" i="1" a="1"/>
  <c r="E616" i="1" s="1"/>
  <c r="E617" i="1" a="1"/>
  <c r="E617" i="1" s="1"/>
  <c r="E618" i="1" a="1"/>
  <c r="E618" i="1" s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/>
  <c r="E626" i="1" a="1"/>
  <c r="E626" i="1"/>
  <c r="E627" i="1" a="1"/>
  <c r="E627" i="1"/>
  <c r="E628" i="1" a="1"/>
  <c r="E628" i="1"/>
  <c r="E629" i="1" a="1"/>
  <c r="E629" i="1"/>
  <c r="E630" i="1" a="1"/>
  <c r="E630" i="1" s="1"/>
  <c r="E631" i="1" a="1"/>
  <c r="E631" i="1" s="1"/>
  <c r="E632" i="1" a="1"/>
  <c r="E632" i="1" s="1"/>
  <c r="E633" i="1" a="1"/>
  <c r="E633" i="1" s="1"/>
  <c r="E634" i="1" a="1"/>
  <c r="E634" i="1" s="1"/>
  <c r="E635" i="1" a="1"/>
  <c r="E635" i="1" s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 s="1"/>
  <c r="E644" i="1" a="1"/>
  <c r="E644" i="1" s="1"/>
  <c r="E645" i="1" a="1"/>
  <c r="E645" i="1"/>
  <c r="E646" i="1" a="1"/>
  <c r="E646" i="1"/>
  <c r="E647" i="1" a="1"/>
  <c r="E647" i="1"/>
  <c r="E648" i="1" a="1"/>
  <c r="E648" i="1"/>
  <c r="E649" i="1" a="1"/>
  <c r="E649" i="1"/>
  <c r="E650" i="1" a="1"/>
  <c r="E650" i="1"/>
  <c r="E651" i="1" a="1"/>
  <c r="E651" i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 s="1"/>
  <c r="E660" i="1" a="1"/>
  <c r="E660" i="1"/>
  <c r="E661" i="1" a="1"/>
  <c r="E661" i="1" s="1"/>
  <c r="E662" i="1" a="1"/>
  <c r="E662" i="1" s="1"/>
  <c r="E663" i="1" a="1"/>
  <c r="E663" i="1" s="1"/>
  <c r="E664" i="1" a="1"/>
  <c r="E664" i="1" s="1"/>
  <c r="E665" i="1" a="1"/>
  <c r="E665" i="1"/>
  <c r="E666" i="1" a="1"/>
  <c r="E666" i="1" s="1"/>
  <c r="E667" i="1" a="1"/>
  <c r="E667" i="1"/>
  <c r="E668" i="1" a="1"/>
  <c r="E668" i="1"/>
  <c r="E669" i="1" a="1"/>
  <c r="E669" i="1"/>
  <c r="E670" i="1" a="1"/>
  <c r="E670" i="1"/>
  <c r="E671" i="1" a="1"/>
  <c r="E671" i="1"/>
  <c r="E672" i="1" a="1"/>
  <c r="E672" i="1" s="1"/>
  <c r="E673" i="1" a="1"/>
  <c r="E673" i="1" s="1"/>
  <c r="E674" i="1" a="1"/>
  <c r="E674" i="1" s="1"/>
  <c r="E675" i="1" a="1"/>
  <c r="E675" i="1" s="1"/>
  <c r="E676" i="1" a="1"/>
  <c r="E676" i="1"/>
  <c r="E677" i="1" a="1"/>
  <c r="E677" i="1" s="1"/>
  <c r="E678" i="1" a="1"/>
  <c r="E678" i="1"/>
  <c r="E679" i="1" a="1"/>
  <c r="E679" i="1" s="1"/>
  <c r="E680" i="1" a="1"/>
  <c r="E680" i="1"/>
  <c r="E681" i="1" a="1"/>
  <c r="E681" i="1" s="1"/>
  <c r="E682" i="1" a="1"/>
  <c r="E682" i="1" s="1"/>
  <c r="E683" i="1" a="1"/>
  <c r="E683" i="1" s="1"/>
  <c r="E684" i="1" a="1"/>
  <c r="E684" i="1" s="1"/>
  <c r="E685" i="1" a="1"/>
  <c r="E685" i="1"/>
  <c r="E686" i="1" a="1"/>
  <c r="E686" i="1"/>
  <c r="E687" i="1" a="1"/>
  <c r="E687" i="1"/>
  <c r="E688" i="1" a="1"/>
  <c r="E688" i="1"/>
  <c r="E689" i="1" a="1"/>
  <c r="E689" i="1" s="1"/>
  <c r="E690" i="1" a="1"/>
  <c r="E690" i="1" s="1"/>
  <c r="E691" i="1" a="1"/>
  <c r="E691" i="1"/>
  <c r="E692" i="1" a="1"/>
  <c r="E692" i="1" s="1"/>
  <c r="E693" i="1" a="1"/>
  <c r="E693" i="1" s="1"/>
  <c r="E694" i="1" a="1"/>
  <c r="E694" i="1" s="1"/>
  <c r="E695" i="1" a="1"/>
  <c r="E695" i="1" s="1"/>
  <c r="E696" i="1" a="1"/>
  <c r="E696" i="1" s="1"/>
  <c r="E697" i="1" a="1"/>
  <c r="E697" i="1" s="1"/>
  <c r="E698" i="1" a="1"/>
  <c r="E698" i="1" s="1"/>
  <c r="E699" i="1" a="1"/>
  <c r="E699" i="1"/>
  <c r="E700" i="1" a="1"/>
  <c r="E700" i="1"/>
  <c r="E701" i="1" a="1"/>
  <c r="E701" i="1"/>
  <c r="E702" i="1" a="1"/>
  <c r="E702" i="1" s="1"/>
  <c r="E703" i="1" a="1"/>
  <c r="E703" i="1" s="1"/>
  <c r="E704" i="1" a="1"/>
  <c r="E704" i="1" s="1"/>
  <c r="E705" i="1" a="1"/>
  <c r="E705" i="1"/>
  <c r="E706" i="1" a="1"/>
  <c r="E706" i="1" s="1"/>
  <c r="E707" i="1" a="1"/>
  <c r="E707" i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 s="1"/>
  <c r="E714" i="1" a="1"/>
  <c r="E714" i="1" s="1"/>
  <c r="E715" i="1" a="1"/>
  <c r="E715" i="1"/>
  <c r="E716" i="1" a="1"/>
  <c r="E716" i="1"/>
  <c r="E717" i="1" a="1"/>
  <c r="E717" i="1"/>
  <c r="E718" i="1" a="1"/>
  <c r="E718" i="1" s="1"/>
  <c r="E719" i="1" a="1"/>
  <c r="E719" i="1"/>
  <c r="E720" i="1" a="1"/>
  <c r="E720" i="1" s="1"/>
  <c r="E721" i="1" a="1"/>
  <c r="E721" i="1" s="1"/>
  <c r="E722" i="1" a="1"/>
  <c r="E722" i="1" s="1"/>
  <c r="E723" i="1" a="1"/>
  <c r="E723" i="1" s="1"/>
  <c r="E724" i="1" a="1"/>
  <c r="E724" i="1"/>
  <c r="E725" i="1" a="1"/>
  <c r="E725" i="1"/>
  <c r="E726" i="1" a="1"/>
  <c r="E726" i="1" s="1"/>
  <c r="E727" i="1" a="1"/>
  <c r="E727" i="1"/>
  <c r="E728" i="1" a="1"/>
  <c r="E728" i="1"/>
  <c r="E729" i="1" a="1"/>
  <c r="E729" i="1" s="1"/>
  <c r="E730" i="1" a="1"/>
  <c r="E730" i="1" s="1"/>
  <c r="E731" i="1" a="1"/>
  <c r="E731" i="1"/>
  <c r="E732" i="1" a="1"/>
  <c r="E732" i="1" s="1"/>
  <c r="E733" i="1" a="1"/>
  <c r="E733" i="1" s="1"/>
  <c r="E734" i="1" a="1"/>
  <c r="E734" i="1" s="1"/>
  <c r="E735" i="1" a="1"/>
  <c r="E735" i="1" s="1"/>
  <c r="E736" i="1" a="1"/>
  <c r="E736" i="1" s="1"/>
  <c r="E737" i="1" a="1"/>
  <c r="E737" i="1"/>
  <c r="E738" i="1" a="1"/>
  <c r="E738" i="1" s="1"/>
  <c r="E739" i="1" a="1"/>
  <c r="E739" i="1" s="1"/>
  <c r="E740" i="1" a="1"/>
  <c r="E740" i="1" s="1"/>
  <c r="E741" i="1" a="1"/>
  <c r="E741" i="1"/>
  <c r="E742" i="1" a="1"/>
  <c r="E742" i="1" s="1"/>
  <c r="E743" i="1" a="1"/>
  <c r="E743" i="1" s="1"/>
  <c r="E744" i="1" a="1"/>
  <c r="E744" i="1"/>
  <c r="E745" i="1" a="1"/>
  <c r="E745" i="1"/>
  <c r="E746" i="1" a="1"/>
  <c r="E746" i="1"/>
  <c r="E747" i="1" a="1"/>
  <c r="E747" i="1"/>
  <c r="E748" i="1" a="1"/>
  <c r="E748" i="1"/>
  <c r="E749" i="1" a="1"/>
  <c r="E749" i="1" s="1"/>
  <c r="E750" i="1" a="1"/>
  <c r="E750" i="1"/>
  <c r="E751" i="1" a="1"/>
  <c r="E751" i="1" s="1"/>
  <c r="E752" i="1" a="1"/>
  <c r="E752" i="1" s="1"/>
  <c r="E753" i="1" a="1"/>
  <c r="E753" i="1" s="1"/>
  <c r="E754" i="1" a="1"/>
  <c r="E754" i="1" s="1"/>
  <c r="E755" i="1" a="1"/>
  <c r="E755" i="1"/>
  <c r="E756" i="1" a="1"/>
  <c r="E756" i="1" s="1"/>
  <c r="E757" i="1" a="1"/>
  <c r="E757" i="1" s="1"/>
  <c r="E758" i="1" a="1"/>
  <c r="E758" i="1" s="1"/>
  <c r="E759" i="1" a="1"/>
  <c r="E759" i="1" s="1"/>
  <c r="E760" i="1" a="1"/>
  <c r="E760" i="1"/>
  <c r="E761" i="1" a="1"/>
  <c r="E761" i="1" s="1"/>
  <c r="E762" i="1" a="1"/>
  <c r="E762" i="1" s="1"/>
  <c r="E763" i="1" a="1"/>
  <c r="E763" i="1" s="1"/>
  <c r="E764" i="1" a="1"/>
  <c r="E764" i="1"/>
  <c r="E765" i="1" a="1"/>
  <c r="E765" i="1" s="1"/>
  <c r="E766" i="1" a="1"/>
  <c r="E766" i="1"/>
  <c r="E767" i="1" a="1"/>
  <c r="E767" i="1" s="1"/>
  <c r="E768" i="1" a="1"/>
  <c r="E768" i="1" s="1"/>
  <c r="E769" i="1" a="1"/>
  <c r="E769" i="1" s="1"/>
  <c r="E770" i="1" a="1"/>
  <c r="E770" i="1" s="1"/>
  <c r="E771" i="1" a="1"/>
  <c r="E771" i="1"/>
  <c r="E772" i="1" a="1"/>
  <c r="E772" i="1" s="1"/>
  <c r="E773" i="1" a="1"/>
  <c r="E773" i="1" s="1"/>
  <c r="E774" i="1" a="1"/>
  <c r="E774" i="1" s="1"/>
  <c r="E775" i="1" a="1"/>
  <c r="E775" i="1"/>
  <c r="E776" i="1" a="1"/>
  <c r="E776" i="1"/>
  <c r="E777" i="1" a="1"/>
  <c r="E777" i="1"/>
  <c r="E778" i="1" a="1"/>
  <c r="E778" i="1"/>
  <c r="E779" i="1" a="1"/>
  <c r="E779" i="1"/>
  <c r="E780" i="1" a="1"/>
  <c r="E780" i="1"/>
  <c r="E781" i="1" a="1"/>
  <c r="E781" i="1"/>
  <c r="E782" i="1" a="1"/>
  <c r="E782" i="1" s="1"/>
  <c r="E783" i="1" a="1"/>
  <c r="E783" i="1" s="1"/>
  <c r="E784" i="1" a="1"/>
  <c r="E784" i="1"/>
  <c r="E785" i="1" a="1"/>
  <c r="E785" i="1" s="1"/>
  <c r="E786" i="1" a="1"/>
  <c r="E786" i="1" s="1"/>
  <c r="E787" i="1" a="1"/>
  <c r="E787" i="1"/>
  <c r="E788" i="1" a="1"/>
  <c r="E788" i="1" s="1"/>
  <c r="E789" i="1" a="1"/>
  <c r="E789" i="1"/>
  <c r="E790" i="1" a="1"/>
  <c r="E790" i="1" s="1"/>
  <c r="E791" i="1" a="1"/>
  <c r="E791" i="1" s="1"/>
  <c r="E792" i="1" a="1"/>
  <c r="E792" i="1" s="1"/>
  <c r="E793" i="1" a="1"/>
  <c r="E793" i="1" s="1"/>
  <c r="E794" i="1" a="1"/>
  <c r="E794" i="1" s="1"/>
  <c r="E795" i="1" a="1"/>
  <c r="E795" i="1"/>
  <c r="E796" i="1" a="1"/>
  <c r="E796" i="1" s="1"/>
  <c r="E797" i="1" a="1"/>
  <c r="E797" i="1"/>
  <c r="E798" i="1" a="1"/>
  <c r="E798" i="1"/>
  <c r="E799" i="1" a="1"/>
  <c r="E799" i="1"/>
  <c r="E800" i="1" a="1"/>
  <c r="E800" i="1"/>
  <c r="E801" i="1" a="1"/>
  <c r="E801" i="1"/>
  <c r="E802" i="1" a="1"/>
  <c r="E802" i="1" s="1"/>
  <c r="E803" i="1" a="1"/>
  <c r="E803" i="1" s="1"/>
  <c r="E804" i="1" a="1"/>
  <c r="E804" i="1"/>
  <c r="E805" i="1" a="1"/>
  <c r="E805" i="1"/>
  <c r="E806" i="1" a="1"/>
  <c r="E806" i="1"/>
  <c r="E807" i="1" a="1"/>
  <c r="E807" i="1" s="1"/>
  <c r="E808" i="1" a="1"/>
  <c r="E808" i="1" s="1"/>
  <c r="E809" i="1" a="1"/>
  <c r="E809" i="1" s="1"/>
  <c r="E810" i="1" a="1"/>
  <c r="E810" i="1"/>
  <c r="E811" i="1" a="1"/>
  <c r="E811" i="1" s="1"/>
  <c r="E812" i="1" a="1"/>
  <c r="E812" i="1" s="1"/>
  <c r="E813" i="1" a="1"/>
  <c r="E813" i="1" s="1"/>
  <c r="E814" i="1" a="1"/>
  <c r="E814" i="1" s="1"/>
  <c r="E815" i="1" a="1"/>
  <c r="E815" i="1" s="1"/>
  <c r="E816" i="1" a="1"/>
  <c r="E816" i="1" s="1"/>
  <c r="E817" i="1" a="1"/>
  <c r="E817" i="1" s="1"/>
  <c r="E818" i="1" a="1"/>
  <c r="E818" i="1" s="1"/>
  <c r="E819" i="1" a="1"/>
  <c r="E819" i="1"/>
  <c r="E820" i="1" a="1"/>
  <c r="E820" i="1"/>
  <c r="E821" i="1" a="1"/>
  <c r="E821" i="1"/>
  <c r="E822" i="1" a="1"/>
  <c r="E822" i="1" s="1"/>
  <c r="E823" i="1" a="1"/>
  <c r="E823" i="1" s="1"/>
  <c r="E824" i="1" a="1"/>
  <c r="E824" i="1"/>
  <c r="E825" i="1" a="1"/>
  <c r="E825" i="1"/>
  <c r="E826" i="1" a="1"/>
  <c r="E826" i="1"/>
  <c r="E827" i="1" a="1"/>
  <c r="E827" i="1"/>
  <c r="E828" i="1" a="1"/>
  <c r="E828" i="1"/>
  <c r="E829" i="1" a="1"/>
  <c r="E829" i="1" s="1"/>
  <c r="E830" i="1" a="1"/>
  <c r="E830" i="1"/>
  <c r="E831" i="1" a="1"/>
  <c r="E831" i="1" s="1"/>
  <c r="E832" i="1" a="1"/>
  <c r="E832" i="1" s="1"/>
  <c r="E833" i="1" a="1"/>
  <c r="E833" i="1" s="1"/>
  <c r="E834" i="1" a="1"/>
  <c r="E834" i="1"/>
  <c r="E835" i="1" a="1"/>
  <c r="E835" i="1" s="1"/>
  <c r="E836" i="1" a="1"/>
  <c r="E836" i="1"/>
  <c r="E837" i="1" a="1"/>
  <c r="E837" i="1" s="1"/>
  <c r="E838" i="1" a="1"/>
  <c r="E838" i="1" s="1"/>
  <c r="E839" i="1" a="1"/>
  <c r="E839" i="1" s="1"/>
  <c r="E840" i="1" a="1"/>
  <c r="E840" i="1" s="1"/>
  <c r="E841" i="1" a="1"/>
  <c r="E841" i="1"/>
  <c r="E842" i="1" a="1"/>
  <c r="E842" i="1" s="1"/>
  <c r="E843" i="1" a="1"/>
  <c r="E843" i="1" s="1"/>
  <c r="E844" i="1" a="1"/>
  <c r="E844" i="1"/>
  <c r="E845" i="1" a="1"/>
  <c r="E845" i="1"/>
  <c r="E846" i="1" a="1"/>
  <c r="E846" i="1"/>
  <c r="E847" i="1" a="1"/>
  <c r="E847" i="1"/>
  <c r="E848" i="1" a="1"/>
  <c r="E848" i="1"/>
  <c r="E849" i="1" a="1"/>
  <c r="E849" i="1"/>
  <c r="E850" i="1" a="1"/>
  <c r="E850" i="1"/>
  <c r="E851" i="1" a="1"/>
  <c r="E851" i="1" s="1"/>
  <c r="E852" i="1" a="1"/>
  <c r="E852" i="1" s="1"/>
  <c r="E853" i="1" a="1"/>
  <c r="E853" i="1"/>
  <c r="E854" i="1" a="1"/>
  <c r="E854" i="1" s="1"/>
  <c r="E855" i="1" a="1"/>
  <c r="E855" i="1" s="1"/>
  <c r="E856" i="1" a="1"/>
  <c r="E856" i="1"/>
  <c r="E857" i="1" a="1"/>
  <c r="E857" i="1" s="1"/>
  <c r="E858" i="1" a="1"/>
  <c r="E858" i="1"/>
  <c r="E859" i="1" a="1"/>
  <c r="E859" i="1" s="1"/>
  <c r="E860" i="1" a="1"/>
  <c r="E860" i="1" s="1"/>
  <c r="E861" i="1" a="1"/>
  <c r="E861" i="1" s="1"/>
  <c r="E862" i="1" a="1"/>
  <c r="E862" i="1"/>
  <c r="E863" i="1" a="1"/>
  <c r="E863" i="1"/>
  <c r="E864" i="1" a="1"/>
  <c r="E864" i="1"/>
  <c r="E865" i="1" a="1"/>
  <c r="E865" i="1"/>
  <c r="E866" i="1" a="1"/>
  <c r="E866" i="1"/>
  <c r="E867" i="1" a="1"/>
  <c r="E867" i="1"/>
  <c r="E868" i="1" a="1"/>
  <c r="E868" i="1"/>
  <c r="E869" i="1" a="1"/>
  <c r="E869" i="1"/>
  <c r="E870" i="1" a="1"/>
  <c r="E870" i="1"/>
  <c r="E871" i="1" a="1"/>
  <c r="E871" i="1" s="1"/>
  <c r="E872" i="1" a="1"/>
  <c r="E872" i="1" s="1"/>
  <c r="E873" i="1" a="1"/>
  <c r="E873" i="1" s="1"/>
  <c r="E874" i="1" a="1"/>
  <c r="E874" i="1"/>
  <c r="E875" i="1" a="1"/>
  <c r="E875" i="1" s="1"/>
  <c r="E876" i="1" a="1"/>
  <c r="E876" i="1" s="1"/>
  <c r="E877" i="1" a="1"/>
  <c r="E877" i="1"/>
  <c r="E878" i="1" a="1"/>
  <c r="E878" i="1" s="1"/>
  <c r="E879" i="1" a="1"/>
  <c r="E879" i="1"/>
  <c r="E880" i="1" a="1"/>
  <c r="E880" i="1" s="1"/>
  <c r="E881" i="1" a="1"/>
  <c r="E881" i="1" s="1"/>
  <c r="E882" i="1" a="1"/>
  <c r="E882" i="1"/>
  <c r="E883" i="1" a="1"/>
  <c r="E883" i="1"/>
  <c r="E884" i="1" a="1"/>
  <c r="E884" i="1"/>
  <c r="E885" i="1" a="1"/>
  <c r="E885" i="1"/>
  <c r="E886" i="1" a="1"/>
  <c r="E886" i="1"/>
  <c r="E887" i="1" a="1"/>
  <c r="E887" i="1"/>
  <c r="E888" i="1" a="1"/>
  <c r="E888" i="1"/>
  <c r="E889" i="1" a="1"/>
  <c r="E889" i="1"/>
  <c r="E890" i="1" a="1"/>
  <c r="E890" i="1"/>
  <c r="E891" i="1" a="1"/>
  <c r="E891" i="1" s="1"/>
  <c r="E892" i="1" a="1"/>
  <c r="E892" i="1" s="1"/>
  <c r="E893" i="1" a="1"/>
  <c r="E893" i="1" s="1"/>
  <c r="E894" i="1" a="1"/>
  <c r="E894" i="1" s="1"/>
  <c r="E895" i="1" a="1"/>
  <c r="E895" i="1"/>
  <c r="E896" i="1" a="1"/>
  <c r="E896" i="1" s="1"/>
  <c r="E897" i="1" a="1"/>
  <c r="E897" i="1" s="1"/>
  <c r="E898" i="1" a="1"/>
  <c r="E898" i="1"/>
  <c r="E899" i="1" a="1"/>
  <c r="E899" i="1" s="1"/>
  <c r="E900" i="1" a="1"/>
  <c r="E900" i="1"/>
  <c r="E901" i="1" a="1"/>
  <c r="E901" i="1" s="1"/>
  <c r="E902" i="1" a="1"/>
  <c r="E902" i="1"/>
  <c r="E903" i="1" a="1"/>
  <c r="E903" i="1"/>
  <c r="E904" i="1" a="1"/>
  <c r="E904" i="1"/>
  <c r="E905" i="1" a="1"/>
  <c r="E905" i="1"/>
  <c r="E906" i="1" a="1"/>
  <c r="E906" i="1"/>
  <c r="E907" i="1" a="1"/>
  <c r="E907" i="1"/>
  <c r="E908" i="1" a="1"/>
  <c r="E908" i="1"/>
  <c r="E909" i="1" a="1"/>
  <c r="E909" i="1"/>
  <c r="E910" i="1" a="1"/>
  <c r="E910" i="1"/>
  <c r="E911" i="1" a="1"/>
  <c r="E911" i="1" s="1"/>
  <c r="E912" i="1" a="1"/>
  <c r="E912" i="1" s="1"/>
  <c r="E913" i="1" a="1"/>
  <c r="E913" i="1" s="1"/>
  <c r="E914" i="1" a="1"/>
  <c r="E914" i="1" s="1"/>
  <c r="E915" i="1" a="1"/>
  <c r="E915" i="1" s="1"/>
  <c r="E916" i="1" a="1"/>
  <c r="E916" i="1"/>
  <c r="E917" i="1" a="1"/>
  <c r="E917" i="1" s="1"/>
  <c r="E918" i="1" a="1"/>
  <c r="E918" i="1" s="1"/>
  <c r="E919" i="1" a="1"/>
  <c r="E919" i="1"/>
  <c r="E920" i="1" a="1"/>
  <c r="E920" i="1" s="1"/>
  <c r="E921" i="1" a="1"/>
  <c r="E921" i="1" s="1"/>
  <c r="E922" i="1" a="1"/>
  <c r="E922" i="1"/>
  <c r="E923" i="1" a="1"/>
  <c r="E923" i="1"/>
  <c r="E924" i="1" a="1"/>
  <c r="E924" i="1"/>
  <c r="E925" i="1" a="1"/>
  <c r="E925" i="1"/>
  <c r="E926" i="1" a="1"/>
  <c r="E926" i="1"/>
  <c r="E927" i="1" a="1"/>
  <c r="E927" i="1"/>
  <c r="E928" i="1" a="1"/>
  <c r="E928" i="1"/>
  <c r="E929" i="1" a="1"/>
  <c r="E929" i="1"/>
  <c r="E930" i="1" a="1"/>
  <c r="E930" i="1"/>
  <c r="E931" i="1" a="1"/>
  <c r="E931" i="1" s="1"/>
  <c r="E932" i="1" a="1"/>
  <c r="E932" i="1"/>
  <c r="E933" i="1" a="1"/>
  <c r="E933" i="1" s="1"/>
  <c r="E934" i="1" a="1"/>
  <c r="E934" i="1" s="1"/>
  <c r="E935" i="1" a="1"/>
  <c r="E935" i="1" s="1"/>
  <c r="E936" i="1" a="1"/>
  <c r="E936" i="1" s="1"/>
  <c r="E937" i="1" a="1"/>
  <c r="E937" i="1"/>
  <c r="E938" i="1" a="1"/>
  <c r="E938" i="1" s="1"/>
  <c r="E939" i="1" a="1"/>
  <c r="E939" i="1" s="1"/>
  <c r="E940" i="1" a="1"/>
  <c r="E940" i="1"/>
  <c r="E941" i="1" a="1"/>
  <c r="E941" i="1" s="1"/>
  <c r="E942" i="1" a="1"/>
  <c r="E942" i="1"/>
  <c r="E943" i="1" a="1"/>
  <c r="E943" i="1"/>
  <c r="E944" i="1" a="1"/>
  <c r="E944" i="1"/>
  <c r="E945" i="1" a="1"/>
  <c r="E945" i="1"/>
  <c r="E946" i="1" a="1"/>
  <c r="E946" i="1"/>
  <c r="E947" i="1" a="1"/>
  <c r="E947" i="1"/>
  <c r="E948" i="1" a="1"/>
  <c r="E948" i="1"/>
  <c r="E949" i="1" a="1"/>
  <c r="E949" i="1"/>
  <c r="E950" i="1" a="1"/>
  <c r="E950" i="1"/>
  <c r="E951" i="1" a="1"/>
  <c r="E951" i="1" s="1"/>
  <c r="E952" i="1" a="1"/>
  <c r="E952" i="1" s="1"/>
  <c r="E953" i="1" a="1"/>
  <c r="E953" i="1"/>
  <c r="E954" i="1" a="1"/>
  <c r="E954" i="1" s="1"/>
  <c r="E955" i="1" a="1"/>
  <c r="E955" i="1" s="1"/>
  <c r="E956" i="1" a="1"/>
  <c r="E956" i="1" s="1"/>
  <c r="E957" i="1" a="1"/>
  <c r="E957" i="1" s="1"/>
  <c r="E958" i="1" a="1"/>
  <c r="E958" i="1"/>
  <c r="E959" i="1" a="1"/>
  <c r="E959" i="1" s="1"/>
  <c r="E960" i="1" a="1"/>
  <c r="E960" i="1" s="1"/>
  <c r="E961" i="1" a="1"/>
  <c r="E961" i="1" s="1"/>
  <c r="E962" i="1" a="1"/>
  <c r="E962" i="1"/>
  <c r="E963" i="1" a="1"/>
  <c r="E963" i="1"/>
  <c r="E964" i="1" a="1"/>
  <c r="E964" i="1"/>
  <c r="E965" i="1" a="1"/>
  <c r="E965" i="1"/>
  <c r="E966" i="1" a="1"/>
  <c r="E966" i="1"/>
  <c r="E967" i="1" a="1"/>
  <c r="E967" i="1"/>
  <c r="E968" i="1" a="1"/>
  <c r="E968" i="1"/>
  <c r="E969" i="1" a="1"/>
  <c r="E969" i="1"/>
  <c r="E970" i="1" a="1"/>
  <c r="E970" i="1" s="1"/>
  <c r="E971" i="1" a="1"/>
  <c r="E971" i="1" s="1"/>
  <c r="E972" i="1" a="1"/>
  <c r="E972" i="1"/>
  <c r="E973" i="1" a="1"/>
  <c r="E973" i="1" s="1"/>
  <c r="E974" i="1" a="1"/>
  <c r="E974" i="1" s="1"/>
  <c r="E975" i="1" a="1"/>
  <c r="E975" i="1"/>
  <c r="E976" i="1" a="1"/>
  <c r="E976" i="1" s="1"/>
  <c r="E977" i="1" a="1"/>
  <c r="E977" i="1"/>
  <c r="E978" i="1" a="1"/>
  <c r="E978" i="1"/>
  <c r="E979" i="1" a="1"/>
  <c r="E979" i="1"/>
  <c r="E980" i="1" a="1"/>
  <c r="E980" i="1"/>
  <c r="E981" i="1" a="1"/>
  <c r="E981" i="1" s="1"/>
  <c r="E982" i="1" a="1"/>
  <c r="E982" i="1" s="1"/>
  <c r="E983" i="1" a="1"/>
  <c r="E983" i="1"/>
  <c r="E984" i="1" a="1"/>
  <c r="E984" i="1"/>
  <c r="E985" i="1" a="1"/>
  <c r="E985" i="1"/>
  <c r="E986" i="1" a="1"/>
  <c r="E986" i="1"/>
  <c r="E987" i="1" a="1"/>
  <c r="E987" i="1"/>
  <c r="E988" i="1" a="1"/>
  <c r="E988" i="1"/>
  <c r="E989" i="1" a="1"/>
  <c r="E989" i="1"/>
  <c r="E990" i="1" a="1"/>
  <c r="E990" i="1"/>
  <c r="E991" i="1" a="1"/>
  <c r="E991" i="1" s="1"/>
  <c r="E992" i="1" a="1"/>
  <c r="E992" i="1"/>
  <c r="E993" i="1" a="1"/>
  <c r="E993" i="1" s="1"/>
  <c r="E994" i="1" a="1"/>
  <c r="E994" i="1" s="1"/>
  <c r="E995" i="1" a="1"/>
  <c r="E995" i="1"/>
  <c r="E996" i="1" a="1"/>
  <c r="E996" i="1" s="1"/>
  <c r="E997" i="1" a="1"/>
  <c r="E997" i="1" s="1"/>
  <c r="E998" i="1" a="1"/>
  <c r="E998" i="1"/>
  <c r="E999" i="1" a="1"/>
  <c r="E999" i="1" s="1"/>
  <c r="E1000" i="1" a="1"/>
  <c r="E1000" i="1" s="1"/>
  <c r="E1001" i="1" a="1"/>
  <c r="E1001" i="1" s="1"/>
  <c r="E1002" i="1" a="1"/>
  <c r="E1002" i="1" s="1"/>
  <c r="E1003" i="1" a="1"/>
  <c r="E1003" i="1" s="1"/>
  <c r="E1004" i="1" a="1"/>
  <c r="E1004" i="1"/>
  <c r="E1005" i="1" a="1"/>
  <c r="E1005" i="1"/>
  <c r="E1006" i="1" a="1"/>
  <c r="E1006" i="1"/>
  <c r="E1007" i="1" a="1"/>
  <c r="E1007" i="1"/>
  <c r="E1008" i="1" a="1"/>
  <c r="E1008" i="1"/>
  <c r="E1009" i="1" a="1"/>
  <c r="E1009" i="1"/>
  <c r="E1010" i="1" a="1"/>
  <c r="E1010" i="1"/>
  <c r="E1011" i="1" a="1"/>
  <c r="E1011" i="1" s="1"/>
  <c r="E1012" i="1" a="1"/>
  <c r="E1012" i="1" s="1"/>
  <c r="E1013" i="1" a="1"/>
  <c r="E1013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 s="1"/>
  <c r="E1021" i="1" a="1"/>
  <c r="E1021" i="1" s="1"/>
  <c r="E1022" i="1" a="1"/>
  <c r="E1022" i="1"/>
  <c r="E1023" i="1" a="1"/>
  <c r="E1023" i="1" s="1"/>
  <c r="E1024" i="1" a="1"/>
  <c r="E1024" i="1" s="1"/>
  <c r="E1025" i="1" a="1"/>
  <c r="E1025" i="1"/>
  <c r="E1026" i="1" a="1"/>
  <c r="E1026" i="1" s="1"/>
  <c r="E1027" i="1" a="1"/>
  <c r="E1027" i="1" s="1"/>
  <c r="E1028" i="1" a="1"/>
  <c r="E1028" i="1" s="1"/>
  <c r="E1029" i="1" a="1"/>
  <c r="E1029" i="1" s="1"/>
  <c r="E1030" i="1" a="1"/>
  <c r="E1030" i="1"/>
  <c r="E1031" i="1" a="1"/>
  <c r="E1031" i="1" s="1"/>
  <c r="E1032" i="1" a="1"/>
  <c r="E1032" i="1" s="1"/>
  <c r="E1033" i="1" a="1"/>
  <c r="E1033" i="1" s="1"/>
  <c r="E1034" i="1" a="1"/>
  <c r="E1034" i="1"/>
  <c r="E1035" i="1" a="1"/>
  <c r="E1035" i="1" s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 s="1"/>
  <c r="E1041" i="1" a="1"/>
  <c r="E1041" i="1" s="1"/>
  <c r="E1042" i="1" a="1"/>
  <c r="E1042" i="1"/>
  <c r="E1043" i="1" a="1"/>
  <c r="E1043" i="1"/>
  <c r="E1044" i="1" a="1"/>
  <c r="E1044" i="1" s="1"/>
  <c r="E1045" i="1" a="1"/>
  <c r="E1045" i="1" s="1"/>
  <c r="E1046" i="1" a="1"/>
  <c r="E1046" i="1"/>
  <c r="E1047" i="1" a="1"/>
  <c r="E1047" i="1"/>
  <c r="E1048" i="1" a="1"/>
  <c r="E1048" i="1"/>
  <c r="E1049" i="1" a="1"/>
  <c r="E1049" i="1"/>
  <c r="E1050" i="1" a="1"/>
  <c r="E1050" i="1"/>
  <c r="E1051" i="1" a="1"/>
  <c r="E1051" i="1" s="1"/>
  <c r="E1052" i="1" a="1"/>
  <c r="E1052" i="1" s="1"/>
  <c r="E1053" i="1" a="1"/>
  <c r="E1053" i="1" s="1"/>
  <c r="E1054" i="1" a="1"/>
  <c r="E1054" i="1" s="1"/>
  <c r="E1055" i="1" a="1"/>
  <c r="E1055" i="1" s="1"/>
  <c r="E1056" i="1" a="1"/>
  <c r="E1056" i="1"/>
  <c r="E1057" i="1" a="1"/>
  <c r="E1057" i="1" s="1"/>
  <c r="E1058" i="1" a="1"/>
  <c r="E1058" i="1" s="1"/>
  <c r="E1059" i="1" a="1"/>
  <c r="E1059" i="1" s="1"/>
  <c r="E1060" i="1" a="1"/>
  <c r="E1060" i="1" s="1"/>
  <c r="E1061" i="1" a="1"/>
  <c r="E1061" i="1" s="1"/>
  <c r="E1062" i="1" a="1"/>
  <c r="E1062" i="1"/>
  <c r="E1063" i="1" a="1"/>
  <c r="E1063" i="1"/>
  <c r="E1064" i="1" a="1"/>
  <c r="E1064" i="1"/>
  <c r="E1065" i="1" a="1"/>
  <c r="E1065" i="1" s="1"/>
  <c r="E1066" i="1" a="1"/>
  <c r="E1066" i="1" s="1"/>
  <c r="E1067" i="1" a="1"/>
  <c r="E1067" i="1"/>
  <c r="E1068" i="1" a="1"/>
  <c r="E1068" i="1"/>
  <c r="E1069" i="1" a="1"/>
  <c r="E1069" i="1"/>
  <c r="E1070" i="1" a="1"/>
  <c r="E1070" i="1"/>
  <c r="E1071" i="1" a="1"/>
  <c r="E1071" i="1" s="1"/>
  <c r="E1072" i="1" a="1"/>
  <c r="E1072" i="1" s="1"/>
  <c r="E1073" i="1" a="1"/>
  <c r="E1073" i="1" s="1"/>
  <c r="E1074" i="1" a="1"/>
  <c r="E1074" i="1" s="1"/>
  <c r="E1075" i="1" a="1"/>
  <c r="E1075" i="1" s="1"/>
  <c r="E1076" i="1" a="1"/>
  <c r="E1076" i="1"/>
  <c r="E1077" i="1" a="1"/>
  <c r="E1077" i="1" s="1"/>
  <c r="E1078" i="1" a="1"/>
  <c r="E1078" i="1" s="1"/>
  <c r="E1079" i="1" a="1"/>
  <c r="E1079" i="1" s="1"/>
  <c r="E1080" i="1" a="1"/>
  <c r="E1080" i="1" s="1"/>
  <c r="E1081" i="1" a="1"/>
  <c r="E1081" i="1" s="1"/>
  <c r="E1082" i="1" a="1"/>
  <c r="E1082" i="1" s="1"/>
  <c r="E1083" i="1" a="1"/>
  <c r="E1083" i="1"/>
  <c r="E1084" i="1" a="1"/>
  <c r="E1084" i="1" s="1"/>
  <c r="E1085" i="1" a="1"/>
  <c r="E1085" i="1" s="1"/>
  <c r="E1086" i="1" a="1"/>
  <c r="E1086" i="1" s="1"/>
  <c r="E1087" i="1" a="1"/>
  <c r="E1087" i="1" s="1"/>
  <c r="E1088" i="1" a="1"/>
  <c r="E1088" i="1" s="1"/>
  <c r="E1089" i="1" a="1"/>
  <c r="E1089" i="1"/>
  <c r="E1090" i="1" a="1"/>
  <c r="E1090" i="1" s="1"/>
  <c r="E1091" i="1" a="1"/>
  <c r="E1091" i="1" s="1"/>
  <c r="E1092" i="1" a="1"/>
  <c r="E1092" i="1" s="1"/>
  <c r="E1093" i="1" a="1"/>
  <c r="E1093" i="1" s="1"/>
  <c r="E1094" i="1" a="1"/>
  <c r="E1094" i="1" s="1"/>
  <c r="E1095" i="1" a="1"/>
  <c r="E1095" i="1" s="1"/>
  <c r="E1096" i="1" a="1"/>
  <c r="E1096" i="1"/>
  <c r="E1097" i="1" a="1"/>
  <c r="E1097" i="1" s="1"/>
  <c r="E1098" i="1" a="1"/>
  <c r="E1098" i="1" s="1"/>
  <c r="E1099" i="1" a="1"/>
  <c r="E1099" i="1" s="1"/>
  <c r="E1100" i="1" a="1"/>
  <c r="E1100" i="1" s="1"/>
  <c r="E1101" i="1" a="1"/>
  <c r="E1101" i="1" s="1"/>
  <c r="E1102" i="1" a="1"/>
  <c r="E1102" i="1"/>
  <c r="E1103" i="1" a="1"/>
  <c r="E1103" i="1"/>
  <c r="E1104" i="1" a="1"/>
  <c r="E1104" i="1"/>
  <c r="E1105" i="1" a="1"/>
  <c r="E1105" i="1"/>
  <c r="E1106" i="1" a="1"/>
  <c r="E1106" i="1"/>
  <c r="E1107" i="1" a="1"/>
  <c r="E1107" i="1" s="1"/>
  <c r="E1108" i="1" a="1"/>
  <c r="E1108" i="1" s="1"/>
  <c r="E1109" i="1" a="1"/>
  <c r="E1109" i="1"/>
  <c r="E1110" i="1" a="1"/>
  <c r="E1110" i="1"/>
  <c r="E1111" i="1" a="1"/>
  <c r="E1111" i="1" s="1"/>
  <c r="E1112" i="1" a="1"/>
  <c r="E1112" i="1" s="1"/>
  <c r="E1113" i="1" a="1"/>
  <c r="E1113" i="1" s="1"/>
  <c r="E1114" i="1" a="1"/>
  <c r="E1114" i="1" s="1"/>
  <c r="E1115" i="1" a="1"/>
  <c r="E1115" i="1" s="1"/>
  <c r="E1116" i="1" a="1"/>
  <c r="E1116" i="1" s="1"/>
  <c r="E1117" i="1" a="1"/>
  <c r="E1117" i="1" s="1"/>
  <c r="E1118" i="1" a="1"/>
  <c r="E1118" i="1" s="1"/>
  <c r="E1119" i="1" a="1"/>
  <c r="E1119" i="1" s="1"/>
  <c r="E1120" i="1" a="1"/>
  <c r="E1120" i="1" s="1"/>
  <c r="E1121" i="1" a="1"/>
  <c r="E1121" i="1" s="1"/>
  <c r="E1122" i="1" a="1"/>
  <c r="E1122" i="1"/>
  <c r="E1123" i="1" a="1"/>
  <c r="E1123" i="1" s="1"/>
  <c r="E1124" i="1" a="1"/>
  <c r="E1124" i="1" s="1"/>
  <c r="E1125" i="1" a="1"/>
  <c r="E1125" i="1"/>
  <c r="E1126" i="1" a="1"/>
  <c r="E1126" i="1" s="1"/>
  <c r="E1127" i="1" a="1"/>
  <c r="E1127" i="1"/>
  <c r="E1128" i="1" a="1"/>
  <c r="E1128" i="1" s="1"/>
  <c r="E1129" i="1" a="1"/>
  <c r="E1129" i="1" s="1"/>
  <c r="E1130" i="1" a="1"/>
  <c r="E1130" i="1" s="1"/>
  <c r="E1131" i="1" a="1"/>
  <c r="E1131" i="1" s="1"/>
  <c r="E1132" i="1" a="1"/>
  <c r="E1132" i="1" s="1"/>
  <c r="E1133" i="1" a="1"/>
  <c r="E1133" i="1" s="1"/>
  <c r="E1134" i="1" a="1"/>
  <c r="E1134" i="1" s="1"/>
  <c r="E1135" i="1" a="1"/>
  <c r="E1135" i="1"/>
  <c r="E1136" i="1" a="1"/>
  <c r="E1136" i="1" s="1"/>
  <c r="E1137" i="1" a="1"/>
  <c r="E1137" i="1" s="1"/>
  <c r="E1138" i="1" a="1"/>
  <c r="E1138" i="1" s="1"/>
  <c r="E1139" i="1" a="1"/>
  <c r="E1139" i="1"/>
  <c r="E1140" i="1" a="1"/>
  <c r="E1140" i="1" s="1"/>
  <c r="E1141" i="1" a="1"/>
  <c r="E1141" i="1" s="1"/>
  <c r="E1142" i="1" a="1"/>
  <c r="E1142" i="1"/>
  <c r="E1143" i="1" a="1"/>
  <c r="E1143" i="1"/>
  <c r="E1144" i="1" a="1"/>
  <c r="E1144" i="1"/>
  <c r="E1145" i="1" a="1"/>
  <c r="E1145" i="1"/>
  <c r="E1146" i="1" a="1"/>
  <c r="E1146" i="1"/>
  <c r="E1147" i="1" a="1"/>
  <c r="E1147" i="1"/>
  <c r="E1148" i="1" a="1"/>
  <c r="E1148" i="1"/>
  <c r="E1149" i="1" a="1"/>
  <c r="E1149" i="1" s="1"/>
  <c r="E1150" i="1" a="1"/>
  <c r="E1150" i="1" s="1"/>
  <c r="E1151" i="1" a="1"/>
  <c r="E1151" i="1" s="1"/>
  <c r="E1152" i="1" a="1"/>
  <c r="E1152" i="1" s="1"/>
  <c r="E1153" i="1" a="1"/>
  <c r="E1153" i="1" s="1"/>
  <c r="E1154" i="1" a="1"/>
  <c r="E1154" i="1" s="1"/>
  <c r="E1155" i="1" a="1"/>
  <c r="E1155" i="1" s="1"/>
  <c r="E1156" i="1" a="1"/>
  <c r="E1156" i="1" s="1"/>
  <c r="E1157" i="1" a="1"/>
  <c r="E1157" i="1" s="1"/>
  <c r="E1158" i="1" a="1"/>
  <c r="E1158" i="1" s="1"/>
  <c r="E1159" i="1" a="1"/>
  <c r="E1159" i="1" s="1"/>
  <c r="E1160" i="1" a="1"/>
  <c r="E1160" i="1" s="1"/>
  <c r="E1161" i="1" a="1"/>
  <c r="E1161" i="1" s="1"/>
  <c r="E1162" i="1" a="1"/>
  <c r="E1162" i="1"/>
  <c r="E1163" i="1" a="1"/>
  <c r="E1163" i="1"/>
  <c r="E1164" i="1" a="1"/>
  <c r="E1164" i="1"/>
  <c r="E1165" i="1" a="1"/>
  <c r="E1165" i="1"/>
  <c r="E1166" i="1" a="1"/>
  <c r="E1166" i="1"/>
  <c r="E1167" i="1" a="1"/>
  <c r="E1167" i="1"/>
  <c r="E1168" i="1" a="1"/>
  <c r="E1168" i="1"/>
  <c r="E1169" i="1" a="1"/>
  <c r="E1169" i="1"/>
  <c r="E1170" i="1" a="1"/>
  <c r="E1170" i="1" s="1"/>
  <c r="E1171" i="1" a="1"/>
  <c r="E1171" i="1" s="1"/>
  <c r="E1172" i="1" a="1"/>
  <c r="E1172" i="1"/>
  <c r="E1173" i="1" a="1"/>
  <c r="E1173" i="1" s="1"/>
  <c r="E1174" i="1" a="1"/>
  <c r="E1174" i="1" s="1"/>
  <c r="E1175" i="1" a="1"/>
  <c r="E1175" i="1" s="1"/>
  <c r="E1176" i="1" a="1"/>
  <c r="E1176" i="1" s="1"/>
  <c r="E1177" i="1" a="1"/>
  <c r="E1177" i="1"/>
  <c r="E1178" i="1" a="1"/>
  <c r="E1178" i="1" s="1"/>
  <c r="E1179" i="1" a="1"/>
  <c r="E1179" i="1" s="1"/>
  <c r="E1180" i="1" a="1"/>
  <c r="E1180" i="1"/>
  <c r="E1181" i="1" a="1"/>
  <c r="E1181" i="1" s="1"/>
  <c r="E1182" i="1" a="1"/>
  <c r="E1182" i="1" s="1"/>
  <c r="E1183" i="1" a="1"/>
  <c r="E1183" i="1"/>
  <c r="E1184" i="1" a="1"/>
  <c r="E1184" i="1"/>
  <c r="E1185" i="1" a="1"/>
  <c r="E1185" i="1"/>
  <c r="E1186" i="1" a="1"/>
  <c r="E1186" i="1"/>
  <c r="E1187" i="1" a="1"/>
  <c r="E1187" i="1"/>
  <c r="E1188" i="1" a="1"/>
  <c r="E1188" i="1"/>
  <c r="E1189" i="1" a="1"/>
  <c r="E1189" i="1"/>
  <c r="E1190" i="1" a="1"/>
  <c r="E1190" i="1"/>
  <c r="E1191" i="1" a="1"/>
  <c r="E1191" i="1" s="1"/>
  <c r="E1192" i="1" a="1"/>
  <c r="E1192" i="1"/>
  <c r="E1193" i="1" a="1"/>
  <c r="E1193" i="1" s="1"/>
  <c r="E1194" i="1" a="1"/>
  <c r="E1194" i="1" s="1"/>
  <c r="E1195" i="1" a="1"/>
  <c r="E1195" i="1" s="1"/>
  <c r="E1196" i="1" a="1"/>
  <c r="E1196" i="1" s="1"/>
  <c r="E1197" i="1" a="1"/>
  <c r="E1197" i="1" s="1"/>
  <c r="E1198" i="1" a="1"/>
  <c r="E1198" i="1" s="1"/>
  <c r="E1199" i="1" a="1"/>
  <c r="E1199" i="1" s="1"/>
  <c r="E1200" i="1" a="1"/>
  <c r="E1200" i="1" s="1"/>
  <c r="E1201" i="1" a="1"/>
  <c r="E1201" i="1" s="1"/>
  <c r="E1202" i="1" a="1"/>
  <c r="E1202" i="1" s="1"/>
  <c r="E1203" i="1" a="1"/>
  <c r="E1203" i="1" s="1"/>
  <c r="E1204" i="1" a="1"/>
  <c r="E1204" i="1"/>
  <c r="E1205" i="1" a="1"/>
  <c r="E1205" i="1"/>
  <c r="E1206" i="1" a="1"/>
  <c r="E1206" i="1"/>
  <c r="E1207" i="1" a="1"/>
  <c r="E1207" i="1"/>
  <c r="E1208" i="1" a="1"/>
  <c r="E1208" i="1"/>
  <c r="E1209" i="1" a="1"/>
  <c r="E1209" i="1"/>
  <c r="E1210" i="1" a="1"/>
  <c r="E1210" i="1"/>
  <c r="E1211" i="1" a="1"/>
  <c r="E1211" i="1" s="1"/>
  <c r="E1212" i="1" a="1"/>
  <c r="E1212" i="1"/>
  <c r="E1213" i="1" a="1"/>
  <c r="E1213" i="1" s="1"/>
  <c r="E1214" i="1" a="1"/>
  <c r="E1214" i="1" s="1"/>
  <c r="E1215" i="1" a="1"/>
  <c r="E1215" i="1" s="1"/>
  <c r="E1216" i="1" a="1"/>
  <c r="E1216" i="1" s="1"/>
  <c r="E1217" i="1" a="1"/>
  <c r="E1217" i="1" s="1"/>
  <c r="E1218" i="1" a="1"/>
  <c r="E1218" i="1" s="1"/>
  <c r="E1219" i="1" a="1"/>
  <c r="E1219" i="1"/>
  <c r="E1220" i="1" a="1"/>
  <c r="E1220" i="1" s="1"/>
  <c r="E1221" i="1" a="1"/>
  <c r="E1221" i="1" s="1"/>
  <c r="E1222" i="1" a="1"/>
  <c r="E1222" i="1" s="1"/>
  <c r="E1223" i="1" a="1"/>
  <c r="E1223" i="1" s="1"/>
  <c r="E1224" i="1" a="1"/>
  <c r="E1224" i="1" s="1"/>
  <c r="E1225" i="1" a="1"/>
  <c r="E1225" i="1" s="1"/>
  <c r="E1226" i="1" a="1"/>
  <c r="E1226" i="1"/>
  <c r="E1227" i="1" a="1"/>
  <c r="E1227" i="1" s="1"/>
  <c r="E1228" i="1" a="1"/>
  <c r="E1228" i="1" s="1"/>
  <c r="E1229" i="1" a="1"/>
  <c r="E1229" i="1"/>
  <c r="E1230" i="1" a="1"/>
  <c r="E1230" i="1" s="1"/>
  <c r="E1231" i="1" a="1"/>
  <c r="E1231" i="1" s="1"/>
  <c r="E1232" i="1" a="1"/>
  <c r="E1232" i="1" s="1"/>
  <c r="E1233" i="1" a="1"/>
  <c r="E1233" i="1" s="1"/>
  <c r="E1234" i="1" a="1"/>
  <c r="E1234" i="1" s="1"/>
  <c r="E1235" i="1" a="1"/>
  <c r="E1235" i="1" s="1"/>
  <c r="E1236" i="1" a="1"/>
  <c r="E1236" i="1" s="1"/>
  <c r="E1237" i="1" a="1"/>
  <c r="E1237" i="1" s="1"/>
  <c r="E1238" i="1" a="1"/>
  <c r="E1238" i="1" s="1"/>
  <c r="E1239" i="1" a="1"/>
  <c r="E1239" i="1" s="1"/>
  <c r="E1240" i="1" a="1"/>
  <c r="E1240" i="1" s="1"/>
  <c r="E1241" i="1" a="1"/>
  <c r="E1241" i="1" s="1"/>
  <c r="E1242" i="1" a="1"/>
  <c r="E1242" i="1"/>
  <c r="E1243" i="1" a="1"/>
  <c r="E1243" i="1"/>
  <c r="E1244" i="1" a="1"/>
  <c r="E1244" i="1" s="1"/>
  <c r="E1245" i="1" a="1"/>
  <c r="E1245" i="1" s="1"/>
  <c r="E1246" i="1" a="1"/>
  <c r="E1246" i="1"/>
  <c r="E1247" i="1" a="1"/>
  <c r="E1247" i="1"/>
  <c r="E1248" i="1" a="1"/>
  <c r="E1248" i="1"/>
  <c r="E1249" i="1" a="1"/>
  <c r="E1249" i="1"/>
  <c r="E1250" i="1" a="1"/>
  <c r="E1250" i="1"/>
  <c r="E1251" i="1" a="1"/>
  <c r="E1251" i="1" s="1"/>
  <c r="E1252" i="1" a="1"/>
  <c r="E1252" i="1" s="1"/>
  <c r="E1253" i="1" a="1"/>
  <c r="E1253" i="1" s="1"/>
  <c r="E1254" i="1" a="1"/>
  <c r="E1254" i="1" s="1"/>
  <c r="E1255" i="1" a="1"/>
  <c r="E1255" i="1"/>
  <c r="E1256" i="1" a="1"/>
  <c r="E1256" i="1" s="1"/>
  <c r="E1257" i="1" a="1"/>
  <c r="E1257" i="1" s="1"/>
  <c r="E1258" i="1" a="1"/>
  <c r="E1258" i="1" s="1"/>
  <c r="E1259" i="1" a="1"/>
  <c r="E1259" i="1" s="1"/>
  <c r="E1260" i="1" a="1"/>
  <c r="E1260" i="1" s="1"/>
  <c r="E1261" i="1" a="1"/>
  <c r="E1261" i="1" s="1"/>
  <c r="E1262" i="1" a="1"/>
  <c r="E1262" i="1"/>
  <c r="E1263" i="1" a="1"/>
  <c r="E1263" i="1"/>
  <c r="E1264" i="1" a="1"/>
  <c r="E1264" i="1"/>
  <c r="E1265" i="1" a="1"/>
  <c r="E1265" i="1" s="1"/>
  <c r="E1266" i="1" a="1"/>
  <c r="E1266" i="1" s="1"/>
  <c r="E1267" i="1" a="1"/>
  <c r="E1267" i="1"/>
  <c r="E1268" i="1" a="1"/>
  <c r="E1268" i="1"/>
  <c r="E1269" i="1" a="1"/>
  <c r="E1269" i="1"/>
  <c r="E1270" i="1" a="1"/>
  <c r="E1270" i="1"/>
  <c r="E1271" i="1" a="1"/>
  <c r="E1271" i="1" s="1"/>
  <c r="E1272" i="1" a="1"/>
  <c r="E1272" i="1" s="1"/>
  <c r="E1273" i="1" a="1"/>
  <c r="E1273" i="1" s="1"/>
  <c r="E1274" i="1" a="1"/>
  <c r="E1274" i="1" s="1"/>
  <c r="E1275" i="1" a="1"/>
  <c r="E1275" i="1" s="1"/>
  <c r="E1276" i="1" a="1"/>
  <c r="E1276" i="1" s="1"/>
  <c r="E1277" i="1" a="1"/>
  <c r="E1277" i="1"/>
  <c r="E1278" i="1" a="1"/>
  <c r="E1278" i="1" s="1"/>
  <c r="E1279" i="1" a="1"/>
  <c r="E1279" i="1" s="1"/>
  <c r="E1280" i="1" a="1"/>
  <c r="E1280" i="1" s="1"/>
  <c r="E1281" i="1" a="1"/>
  <c r="E1281" i="1" s="1"/>
  <c r="E1282" i="1" a="1"/>
  <c r="E1282" i="1"/>
  <c r="E1283" i="1" a="1"/>
  <c r="E1283" i="1" s="1"/>
  <c r="E1284" i="1" a="1"/>
  <c r="E1284" i="1"/>
  <c r="E1285" i="1" a="1"/>
  <c r="E1285" i="1" s="1"/>
  <c r="E1286" i="1" a="1"/>
  <c r="E1286" i="1" s="1"/>
  <c r="E1287" i="1" a="1"/>
  <c r="E1287" i="1" s="1"/>
  <c r="E1288" i="1" a="1"/>
  <c r="E1288" i="1" s="1"/>
  <c r="E1289" i="1" a="1"/>
  <c r="E1289" i="1" s="1"/>
  <c r="E1290" i="1" a="1"/>
  <c r="E1290" i="1"/>
  <c r="E1291" i="1" a="1"/>
  <c r="E1291" i="1" s="1"/>
  <c r="E1292" i="1" a="1"/>
  <c r="E1292" i="1" s="1"/>
  <c r="E1293" i="1" a="1"/>
  <c r="E1293" i="1" s="1"/>
  <c r="E1294" i="1" a="1"/>
  <c r="E1294" i="1" s="1"/>
  <c r="E1295" i="1" a="1"/>
  <c r="E1295" i="1" s="1"/>
  <c r="E1296" i="1" a="1"/>
  <c r="E1296" i="1" s="1"/>
  <c r="E1297" i="1" a="1"/>
  <c r="E1297" i="1"/>
  <c r="E1298" i="1" a="1"/>
  <c r="E1298" i="1" s="1"/>
  <c r="E1299" i="1" a="1"/>
  <c r="E1299" i="1" s="1"/>
  <c r="E1300" i="1" a="1"/>
  <c r="E1300" i="1" s="1"/>
  <c r="E1301" i="1" a="1"/>
  <c r="E1301" i="1" s="1"/>
  <c r="E1302" i="1" a="1"/>
  <c r="E1302" i="1"/>
  <c r="E1303" i="1" a="1"/>
  <c r="E1303" i="1"/>
  <c r="E1304" i="1" a="1"/>
  <c r="E1304" i="1"/>
  <c r="E1305" i="1" a="1"/>
  <c r="E1305" i="1"/>
  <c r="E1306" i="1" a="1"/>
  <c r="E1306" i="1"/>
  <c r="E1307" i="1" a="1"/>
  <c r="E1307" i="1" s="1"/>
  <c r="E1308" i="1" a="1"/>
  <c r="E1308" i="1" s="1"/>
  <c r="E1309" i="1" a="1"/>
  <c r="E1309" i="1"/>
  <c r="E1310" i="1" a="1"/>
  <c r="E1310" i="1"/>
  <c r="E1311" i="1" a="1"/>
  <c r="E1311" i="1" s="1"/>
  <c r="E1312" i="1" a="1"/>
  <c r="E1312" i="1" s="1"/>
  <c r="E1313" i="1" a="1"/>
  <c r="E1313" i="1" s="1"/>
  <c r="E1314" i="1" a="1"/>
  <c r="E1314" i="1" s="1"/>
  <c r="E1315" i="1" a="1"/>
  <c r="E1315" i="1" s="1"/>
  <c r="E1316" i="1" a="1"/>
  <c r="E1316" i="1" s="1"/>
  <c r="E1317" i="1" a="1"/>
  <c r="E1317" i="1"/>
  <c r="E1318" i="1" a="1"/>
  <c r="E1318" i="1" s="1"/>
  <c r="E1319" i="1" a="1"/>
  <c r="E1319" i="1" s="1"/>
  <c r="E1320" i="1" a="1"/>
  <c r="E1320" i="1" s="1"/>
  <c r="E1321" i="1" a="1"/>
  <c r="E1321" i="1" s="1"/>
  <c r="E1322" i="1" a="1"/>
  <c r="E1322" i="1" s="1"/>
  <c r="E1323" i="1" a="1"/>
  <c r="E1323" i="1"/>
  <c r="E1324" i="1" a="1"/>
  <c r="E1324" i="1" s="1"/>
  <c r="E1325" i="1" a="1"/>
  <c r="E1325" i="1" s="1"/>
  <c r="E1326" i="1" a="1"/>
  <c r="E1326" i="1" s="1"/>
  <c r="E1327" i="1" a="1"/>
  <c r="E1327" i="1" s="1"/>
  <c r="E1328" i="1" a="1"/>
  <c r="E1328" i="1" s="1"/>
  <c r="E1329" i="1" a="1"/>
  <c r="E1329" i="1" s="1"/>
  <c r="E1330" i="1" a="1"/>
  <c r="E1330" i="1" s="1"/>
  <c r="E1331" i="1" a="1"/>
  <c r="E1331" i="1" s="1"/>
  <c r="E1332" i="1" a="1"/>
  <c r="E1332" i="1" s="1"/>
  <c r="E1333" i="1" a="1"/>
  <c r="E1333" i="1" s="1"/>
  <c r="E1334" i="1" a="1"/>
  <c r="E1334" i="1" s="1"/>
  <c r="E1335" i="1" a="1"/>
  <c r="E1335" i="1" s="1"/>
  <c r="E1336" i="1" a="1"/>
  <c r="E1336" i="1" s="1"/>
  <c r="E1337" i="1" a="1"/>
  <c r="E1337" i="1" s="1"/>
  <c r="E1338" i="1" a="1"/>
  <c r="E1338" i="1" s="1"/>
  <c r="E1339" i="1" a="1"/>
  <c r="E1339" i="1" s="1"/>
  <c r="E1340" i="1" a="1"/>
  <c r="E1340" i="1" s="1"/>
  <c r="E1341" i="1" a="1"/>
  <c r="E1341" i="1" s="1"/>
  <c r="E1342" i="1" a="1"/>
  <c r="E1342" i="1"/>
  <c r="E1343" i="1" a="1"/>
  <c r="E1343" i="1"/>
  <c r="E1344" i="1" a="1"/>
  <c r="E1344" i="1"/>
  <c r="E1345" i="1" a="1"/>
  <c r="E1345" i="1"/>
  <c r="E1346" i="1" a="1"/>
  <c r="E1346" i="1"/>
  <c r="E1347" i="1" a="1"/>
  <c r="E1347" i="1"/>
  <c r="E1348" i="1" a="1"/>
  <c r="E1348" i="1"/>
  <c r="E1349" i="1" a="1"/>
  <c r="E1349" i="1" s="1"/>
  <c r="E1350" i="1" a="1"/>
  <c r="E1350" i="1" s="1"/>
  <c r="E1351" i="1" a="1"/>
  <c r="E1351" i="1" s="1"/>
  <c r="E1352" i="1" a="1"/>
  <c r="E1352" i="1" s="1"/>
  <c r="E1353" i="1" a="1"/>
  <c r="E1353" i="1" s="1"/>
  <c r="E1354" i="1" a="1"/>
  <c r="E1354" i="1" s="1"/>
  <c r="E1355" i="1" a="1"/>
  <c r="E1355" i="1" s="1"/>
  <c r="E1356" i="1" a="1"/>
  <c r="E1356" i="1"/>
  <c r="E1357" i="1" a="1"/>
  <c r="E1357" i="1" s="1"/>
  <c r="E1358" i="1" a="1"/>
  <c r="E1358" i="1" s="1"/>
  <c r="E1359" i="1" a="1"/>
  <c r="E1359" i="1"/>
  <c r="E1360" i="1" a="1"/>
  <c r="E1360" i="1" s="1"/>
  <c r="E1361" i="1" a="1"/>
  <c r="E1361" i="1" s="1"/>
  <c r="E1362" i="1" a="1"/>
  <c r="E1362" i="1"/>
  <c r="E1363" i="1" a="1"/>
  <c r="E1363" i="1"/>
  <c r="E1364" i="1" a="1"/>
  <c r="E1364" i="1"/>
  <c r="E1365" i="1" a="1"/>
  <c r="E1365" i="1"/>
  <c r="E1366" i="1" a="1"/>
  <c r="E1366" i="1"/>
  <c r="E1367" i="1" a="1"/>
  <c r="E1367" i="1"/>
  <c r="E1368" i="1" a="1"/>
  <c r="E1368" i="1"/>
  <c r="E1369" i="1" a="1"/>
  <c r="E1369" i="1"/>
  <c r="E1370" i="1" a="1"/>
  <c r="E1370" i="1"/>
  <c r="E1371" i="1" a="1"/>
  <c r="E1371" i="1" s="1"/>
  <c r="E1372" i="1" a="1"/>
  <c r="E1372" i="1"/>
  <c r="E1373" i="1" a="1"/>
  <c r="E1373" i="1" s="1"/>
  <c r="E1374" i="1" a="1"/>
  <c r="E1374" i="1" s="1"/>
  <c r="E1375" i="1" a="1"/>
  <c r="E1375" i="1" s="1"/>
  <c r="E1376" i="1" a="1"/>
  <c r="E1376" i="1" s="1"/>
  <c r="E1377" i="1" a="1"/>
  <c r="E1377" i="1" s="1"/>
  <c r="E1378" i="1" a="1"/>
  <c r="E1378" i="1" s="1"/>
  <c r="E1379" i="1" a="1"/>
  <c r="E1379" i="1"/>
  <c r="E1380" i="1" a="1"/>
  <c r="E1380" i="1"/>
  <c r="E1381" i="1" a="1"/>
  <c r="E1381" i="1" s="1"/>
  <c r="E1382" i="1" a="1"/>
  <c r="E1382" i="1" s="1"/>
  <c r="E1383" i="1" a="1"/>
  <c r="E1383" i="1"/>
  <c r="E1384" i="1" a="1"/>
  <c r="E1384" i="1"/>
  <c r="E1385" i="1" a="1"/>
  <c r="E1385" i="1"/>
  <c r="E1386" i="1" a="1"/>
  <c r="E1386" i="1"/>
  <c r="E1387" i="1" a="1"/>
  <c r="E1387" i="1"/>
  <c r="E1388" i="1" a="1"/>
  <c r="E1388" i="1"/>
  <c r="E1389" i="1" a="1"/>
  <c r="E1389" i="1"/>
  <c r="E1390" i="1" a="1"/>
  <c r="E1390" i="1" s="1"/>
  <c r="E1391" i="1" a="1"/>
  <c r="E1391" i="1" s="1"/>
  <c r="E1392" i="1" a="1"/>
  <c r="E1392" i="1" s="1"/>
  <c r="E1393" i="1" a="1"/>
  <c r="E1393" i="1"/>
  <c r="E1394" i="1" a="1"/>
  <c r="E1394" i="1" s="1"/>
  <c r="E1395" i="1" a="1"/>
  <c r="E1395" i="1"/>
  <c r="E1396" i="1" a="1"/>
  <c r="E1396" i="1" s="1"/>
  <c r="E1397" i="1" a="1"/>
  <c r="E1397" i="1" s="1"/>
  <c r="E1398" i="1" a="1"/>
  <c r="E1398" i="1"/>
  <c r="E1399" i="1" a="1"/>
  <c r="E1399" i="1"/>
  <c r="E1400" i="1" a="1"/>
  <c r="E1400" i="1"/>
  <c r="E1401" i="1" a="1"/>
  <c r="E1401" i="1" s="1"/>
  <c r="E1402" i="1" a="1"/>
  <c r="E1402" i="1" s="1"/>
  <c r="E1403" i="1" a="1"/>
  <c r="E1403" i="1" s="1"/>
  <c r="E1404" i="1" a="1"/>
  <c r="E1404" i="1"/>
  <c r="E1405" i="1" a="1"/>
  <c r="E1405" i="1"/>
  <c r="E1406" i="1" a="1"/>
  <c r="E1406" i="1"/>
  <c r="E1407" i="1" a="1"/>
  <c r="E1407" i="1"/>
  <c r="E1408" i="1" a="1"/>
  <c r="E1408" i="1"/>
  <c r="E1409" i="1" a="1"/>
  <c r="E1409" i="1"/>
  <c r="E1410" i="1" a="1"/>
  <c r="E1410" i="1"/>
  <c r="E1411" i="1" a="1"/>
  <c r="E1411" i="1" s="1"/>
  <c r="E1412" i="1" a="1"/>
  <c r="E1412" i="1"/>
  <c r="E1413" i="1" a="1"/>
  <c r="E1413" i="1" s="1"/>
  <c r="E1414" i="1" a="1"/>
  <c r="E1414" i="1" s="1"/>
  <c r="E1415" i="1" a="1"/>
  <c r="E1415" i="1"/>
  <c r="E1416" i="1" a="1"/>
  <c r="E1416" i="1" s="1"/>
  <c r="E1417" i="1" a="1"/>
  <c r="E1417" i="1"/>
  <c r="E1418" i="1" a="1"/>
  <c r="E1418" i="1" s="1"/>
  <c r="E1419" i="1" a="1"/>
  <c r="E1419" i="1"/>
  <c r="E1420" i="1" a="1"/>
  <c r="E1420" i="1"/>
  <c r="E1421" i="1" a="1"/>
  <c r="E1421" i="1" s="1"/>
  <c r="E1422" i="1" a="1"/>
  <c r="E1422" i="1" s="1"/>
  <c r="E1423" i="1" a="1"/>
  <c r="E1423" i="1"/>
  <c r="E1424" i="1" a="1"/>
  <c r="E1424" i="1" s="1"/>
  <c r="E1425" i="1" a="1"/>
  <c r="E1425" i="1"/>
  <c r="E1426" i="1" a="1"/>
  <c r="E1426" i="1"/>
  <c r="E1427" i="1" a="1"/>
  <c r="E1427" i="1" s="1"/>
  <c r="E1428" i="1" a="1"/>
  <c r="E1428" i="1" s="1"/>
  <c r="E1429" i="1" a="1"/>
  <c r="E1429" i="1"/>
  <c r="E1430" i="1" a="1"/>
  <c r="E1430" i="1" s="1"/>
  <c r="E1431" i="1" a="1"/>
  <c r="E1431" i="1" s="1"/>
  <c r="E1432" i="1" a="1"/>
  <c r="E1432" i="1" s="1"/>
  <c r="E1433" i="1" a="1"/>
  <c r="E1433" i="1" s="1"/>
  <c r="E1434" i="1" a="1"/>
  <c r="E1434" i="1" s="1"/>
  <c r="E1435" i="1" a="1"/>
  <c r="E1435" i="1" s="1"/>
  <c r="E1436" i="1" a="1"/>
  <c r="E1436" i="1"/>
  <c r="E1437" i="1" a="1"/>
  <c r="E1437" i="1"/>
  <c r="E1438" i="1" a="1"/>
  <c r="E1438" i="1"/>
  <c r="E1439" i="1" a="1"/>
  <c r="E1439" i="1"/>
  <c r="E1440" i="1" a="1"/>
  <c r="E1440" i="1"/>
  <c r="E1441" i="1" a="1"/>
  <c r="E1441" i="1"/>
  <c r="E1442" i="1" a="1"/>
  <c r="E1442" i="1"/>
  <c r="E1443" i="1" a="1"/>
  <c r="E1443" i="1"/>
  <c r="E1444" i="1" a="1"/>
  <c r="E1444" i="1" s="1"/>
  <c r="E1445" i="1" a="1"/>
  <c r="E1445" i="1" s="1"/>
  <c r="E1446" i="1" a="1"/>
  <c r="E1446" i="1" s="1"/>
  <c r="E1447" i="1" a="1"/>
  <c r="E1447" i="1" s="1"/>
  <c r="E1448" i="1" a="1"/>
  <c r="E1448" i="1" s="1"/>
  <c r="E1449" i="1" a="1"/>
  <c r="E1449" i="1"/>
  <c r="E1450" i="1" a="1"/>
  <c r="E1450" i="1"/>
  <c r="E1451" i="1" a="1"/>
  <c r="E1451" i="1"/>
  <c r="E1452" i="1" a="1"/>
  <c r="E1452" i="1"/>
  <c r="E1453" i="1" a="1"/>
  <c r="E1453" i="1"/>
  <c r="E1454" i="1" a="1"/>
  <c r="E1454" i="1" s="1"/>
  <c r="E1455" i="1" a="1"/>
  <c r="E1455" i="1" s="1"/>
  <c r="E1456" i="1" a="1"/>
  <c r="E1456" i="1" s="1"/>
  <c r="E1457" i="1" a="1"/>
  <c r="E1457" i="1"/>
  <c r="E1458" i="1" a="1"/>
  <c r="E1458" i="1" s="1"/>
  <c r="E1459" i="1" a="1"/>
  <c r="E1459" i="1" s="1"/>
  <c r="E1460" i="1" a="1"/>
  <c r="E1460" i="1"/>
  <c r="E1461" i="1" a="1"/>
  <c r="E1461" i="1" s="1"/>
  <c r="E1462" i="1" a="1"/>
  <c r="E1462" i="1" s="1"/>
  <c r="E1463" i="1" a="1"/>
  <c r="E1463" i="1"/>
  <c r="E1464" i="1" a="1"/>
  <c r="E1464" i="1" s="1"/>
  <c r="E1465" i="1" a="1"/>
  <c r="E1465" i="1" s="1"/>
  <c r="E1466" i="1" a="1"/>
  <c r="E1466" i="1" s="1"/>
  <c r="E1467" i="1" a="1"/>
  <c r="E1467" i="1" s="1"/>
  <c r="E1468" i="1" a="1"/>
  <c r="E1468" i="1" s="1"/>
  <c r="E1469" i="1" a="1"/>
  <c r="E1469" i="1" s="1"/>
  <c r="E1470" i="1" a="1"/>
  <c r="E1470" i="1" s="1"/>
  <c r="E1471" i="1" a="1"/>
  <c r="E1471" i="1" s="1"/>
  <c r="E1472" i="1" a="1"/>
  <c r="E1472" i="1"/>
  <c r="E1473" i="1" a="1"/>
  <c r="E1473" i="1"/>
  <c r="E1474" i="1" a="1"/>
  <c r="E1474" i="1" s="1"/>
  <c r="E1475" i="1" a="1"/>
  <c r="E1475" i="1" s="1"/>
  <c r="E1476" i="1" a="1"/>
  <c r="E1476" i="1"/>
  <c r="E1477" i="1" a="1"/>
  <c r="E1477" i="1" s="1"/>
  <c r="E1478" i="1" a="1"/>
  <c r="E1478" i="1" s="1"/>
  <c r="E1479" i="1" a="1"/>
  <c r="E1479" i="1" s="1"/>
  <c r="E1480" i="1" a="1"/>
  <c r="E1480" i="1" s="1"/>
  <c r="E1481" i="1" a="1"/>
  <c r="E1481" i="1" s="1"/>
  <c r="E1482" i="1" a="1"/>
  <c r="E1482" i="1" s="1"/>
  <c r="E1483" i="1" a="1"/>
  <c r="E1483" i="1" s="1"/>
  <c r="E1484" i="1" a="1"/>
  <c r="E1484" i="1" s="1"/>
  <c r="E1485" i="1" a="1"/>
  <c r="E1485" i="1" s="1"/>
  <c r="E1486" i="1" a="1"/>
  <c r="E1486" i="1" s="1"/>
  <c r="E1487" i="1" a="1"/>
  <c r="E1487" i="1" s="1"/>
  <c r="E1488" i="1" a="1"/>
  <c r="E1488" i="1" s="1"/>
  <c r="E1489" i="1" a="1"/>
  <c r="E1489" i="1" s="1"/>
  <c r="E1490" i="1" a="1"/>
  <c r="E1490" i="1" s="1"/>
  <c r="E1491" i="1" a="1"/>
  <c r="E1491" i="1" s="1"/>
  <c r="E1492" i="1" a="1"/>
  <c r="E1492" i="1"/>
  <c r="E1493" i="1" a="1"/>
  <c r="E1493" i="1"/>
  <c r="E1494" i="1" a="1"/>
  <c r="E1494" i="1" s="1"/>
  <c r="E1495" i="1" a="1"/>
  <c r="E1495" i="1" s="1"/>
  <c r="E1496" i="1" a="1"/>
  <c r="E1496" i="1" s="1"/>
  <c r="E1497" i="1" a="1"/>
  <c r="E1497" i="1" s="1"/>
  <c r="E1498" i="1" a="1"/>
  <c r="E1498" i="1" s="1"/>
  <c r="E1499" i="1" a="1"/>
  <c r="E1499" i="1" s="1"/>
  <c r="E1500" i="1" a="1"/>
  <c r="E1500" i="1" s="1"/>
  <c r="E1501" i="1" a="1"/>
  <c r="E1501" i="1" s="1"/>
  <c r="E1502" i="1" a="1"/>
  <c r="E1502" i="1" s="1"/>
  <c r="E1503" i="1" a="1"/>
  <c r="E1503" i="1"/>
  <c r="E1504" i="1" a="1"/>
  <c r="E1504" i="1" s="1"/>
  <c r="E1505" i="1" a="1"/>
  <c r="E1505" i="1"/>
  <c r="E1506" i="1" a="1"/>
  <c r="E1506" i="1" s="1"/>
  <c r="E1507" i="1" a="1"/>
  <c r="E1507" i="1" s="1"/>
  <c r="E1508" i="1" a="1"/>
  <c r="E1508" i="1" s="1"/>
  <c r="E1509" i="1" a="1"/>
  <c r="E1509" i="1" s="1"/>
  <c r="E1510" i="1" a="1"/>
  <c r="E1510" i="1" s="1"/>
  <c r="E1511" i="1" a="1"/>
  <c r="E1511" i="1" s="1"/>
  <c r="E1512" i="1" a="1"/>
  <c r="E1512" i="1" s="1"/>
  <c r="E1513" i="1" a="1"/>
  <c r="E1513" i="1" s="1"/>
  <c r="E1514" i="1" a="1"/>
  <c r="E1514" i="1" s="1"/>
  <c r="E1515" i="1" a="1"/>
  <c r="E1515" i="1" s="1"/>
  <c r="E1516" i="1" a="1"/>
  <c r="E1516" i="1" s="1"/>
  <c r="E1517" i="1" a="1"/>
  <c r="E1517" i="1" s="1"/>
  <c r="E1518" i="1" a="1"/>
  <c r="E1518" i="1" s="1"/>
  <c r="E1519" i="1" a="1"/>
  <c r="E1519" i="1" s="1"/>
  <c r="E1520" i="1" a="1"/>
  <c r="E1520" i="1" s="1"/>
  <c r="E1521" i="1" a="1"/>
  <c r="E1521" i="1"/>
  <c r="E1522" i="1" a="1"/>
  <c r="E1522" i="1"/>
  <c r="E1523" i="1" a="1"/>
  <c r="E1523" i="1" s="1"/>
  <c r="E1524" i="1" a="1"/>
  <c r="E1524" i="1" s="1"/>
  <c r="E1525" i="1" a="1"/>
  <c r="E1525" i="1"/>
  <c r="E1526" i="1" a="1"/>
  <c r="E1526" i="1"/>
  <c r="E1527" i="1" a="1"/>
  <c r="E1527" i="1" s="1"/>
  <c r="E1528" i="1" a="1"/>
  <c r="E1528" i="1" s="1"/>
  <c r="E1529" i="1" a="1"/>
  <c r="E1529" i="1" s="1"/>
  <c r="E1530" i="1" a="1"/>
  <c r="E1530" i="1" s="1"/>
  <c r="E1531" i="1" a="1"/>
  <c r="E1531" i="1" s="1"/>
  <c r="E1532" i="1" a="1"/>
  <c r="E1532" i="1" s="1"/>
  <c r="E1533" i="1" a="1"/>
  <c r="E1533" i="1" s="1"/>
  <c r="E1534" i="1" a="1"/>
  <c r="E1534" i="1" s="1"/>
  <c r="E1535" i="1" a="1"/>
  <c r="E1535" i="1"/>
  <c r="E1536" i="1" a="1"/>
  <c r="E1536" i="1" s="1"/>
  <c r="E1537" i="1" a="1"/>
  <c r="E1537" i="1" s="1"/>
  <c r="E1538" i="1" a="1"/>
  <c r="E1538" i="1" s="1"/>
  <c r="E1539" i="1" a="1"/>
  <c r="E1539" i="1" s="1"/>
  <c r="E1540" i="1" a="1"/>
  <c r="E1540" i="1" s="1"/>
  <c r="E1541" i="1" a="1"/>
  <c r="E1541" i="1" s="1"/>
  <c r="E1542" i="1" a="1"/>
  <c r="E1542" i="1" s="1"/>
  <c r="E1543" i="1" a="1"/>
  <c r="E1543" i="1" s="1"/>
  <c r="E1544" i="1" a="1"/>
  <c r="E1544" i="1" s="1"/>
  <c r="E1545" i="1" a="1"/>
  <c r="E1545" i="1" s="1"/>
  <c r="E1546" i="1" a="1"/>
  <c r="E1546" i="1"/>
  <c r="E1547" i="1" a="1"/>
  <c r="E1547" i="1"/>
  <c r="E1548" i="1" a="1"/>
  <c r="E1548" i="1" s="1"/>
  <c r="E1549" i="1" a="1"/>
  <c r="E1549" i="1"/>
  <c r="E1550" i="1" a="1"/>
  <c r="E1550" i="1" s="1"/>
  <c r="E1551" i="1" a="1"/>
  <c r="E1551" i="1" s="1"/>
  <c r="E1552" i="1" a="1"/>
  <c r="E1552" i="1" s="1"/>
  <c r="E1553" i="1" a="1"/>
  <c r="E1553" i="1" s="1"/>
  <c r="E1554" i="1" a="1"/>
  <c r="E1554" i="1" s="1"/>
  <c r="E1555" i="1" a="1"/>
  <c r="E1555" i="1" s="1"/>
  <c r="E1556" i="1" a="1"/>
  <c r="E1556" i="1" s="1"/>
  <c r="E1557" i="1" a="1"/>
  <c r="E1557" i="1" s="1"/>
  <c r="E1558" i="1" a="1"/>
  <c r="E1558" i="1" s="1"/>
  <c r="E1559" i="1" a="1"/>
  <c r="E1559" i="1" s="1"/>
  <c r="E1560" i="1" a="1"/>
  <c r="E1560" i="1" s="1"/>
  <c r="E1561" i="1" a="1"/>
  <c r="E1561" i="1" s="1"/>
  <c r="E1562" i="1" a="1"/>
  <c r="E1562" i="1" s="1"/>
  <c r="E1563" i="1" a="1"/>
  <c r="E1563" i="1" s="1"/>
  <c r="E1564" i="1" a="1"/>
  <c r="E1564" i="1" s="1"/>
  <c r="E1565" i="1" a="1"/>
  <c r="E1565" i="1" s="1"/>
  <c r="E1566" i="1" a="1"/>
  <c r="E1566" i="1" s="1"/>
  <c r="E1567" i="1" a="1"/>
  <c r="E1567" i="1"/>
  <c r="E1568" i="1" a="1"/>
  <c r="E1568" i="1" s="1"/>
  <c r="E1569" i="1" a="1"/>
  <c r="E1569" i="1"/>
  <c r="E1570" i="1" a="1"/>
  <c r="E1570" i="1" s="1"/>
  <c r="E1571" i="1" a="1"/>
  <c r="E1571" i="1" s="1"/>
  <c r="E1572" i="1" a="1"/>
  <c r="E1572" i="1" s="1"/>
  <c r="E1573" i="1" a="1"/>
  <c r="E1573" i="1" s="1"/>
  <c r="E1574" i="1" a="1"/>
  <c r="E1574" i="1" s="1"/>
  <c r="E1575" i="1" a="1"/>
  <c r="E1575" i="1" s="1"/>
  <c r="E1576" i="1" a="1"/>
  <c r="E1576" i="1" s="1"/>
  <c r="E1577" i="1" a="1"/>
  <c r="E1577" i="1"/>
  <c r="E1578" i="1" a="1"/>
  <c r="E1578" i="1" s="1"/>
  <c r="E1579" i="1" a="1"/>
  <c r="E1579" i="1" s="1"/>
  <c r="E1580" i="1" a="1"/>
  <c r="E1580" i="1" s="1"/>
  <c r="E1581" i="1" a="1"/>
  <c r="E1581" i="1" s="1"/>
  <c r="E1582" i="1" a="1"/>
  <c r="E1582" i="1" s="1"/>
  <c r="E1583" i="1" a="1"/>
  <c r="E1583" i="1" s="1"/>
  <c r="E1584" i="1" a="1"/>
  <c r="E1584" i="1" s="1"/>
  <c r="E1585" i="1" a="1"/>
  <c r="E1585" i="1" s="1"/>
  <c r="E1586" i="1" a="1"/>
  <c r="E1586" i="1" s="1"/>
  <c r="E1587" i="1" a="1"/>
  <c r="E1587" i="1" s="1"/>
  <c r="E1588" i="1" a="1"/>
  <c r="E1588" i="1" s="1"/>
  <c r="E1589" i="1" a="1"/>
  <c r="E1589" i="1"/>
  <c r="E1590" i="1" a="1"/>
  <c r="E1590" i="1"/>
  <c r="E1591" i="1" a="1"/>
  <c r="E1591" i="1"/>
  <c r="E1592" i="1" a="1"/>
  <c r="E1592" i="1" s="1"/>
  <c r="E1593" i="1" a="1"/>
  <c r="E1593" i="1" s="1"/>
  <c r="E1594" i="1" a="1"/>
  <c r="E1594" i="1" s="1"/>
  <c r="E1595" i="1" a="1"/>
  <c r="E1595" i="1" s="1"/>
  <c r="E1596" i="1" a="1"/>
  <c r="E1596" i="1"/>
  <c r="E1597" i="1" a="1"/>
  <c r="E1597" i="1" s="1"/>
  <c r="E1598" i="1" a="1"/>
  <c r="E1598" i="1"/>
  <c r="E1599" i="1" a="1"/>
  <c r="E1599" i="1" s="1"/>
  <c r="E1600" i="1" a="1"/>
  <c r="E1600" i="1" s="1"/>
  <c r="E1601" i="1" a="1"/>
  <c r="E1601" i="1"/>
  <c r="E1602" i="1" a="1"/>
  <c r="E1602" i="1" s="1"/>
  <c r="E1603" i="1" a="1"/>
  <c r="E1603" i="1" s="1"/>
  <c r="E1604" i="1" a="1"/>
  <c r="E1604" i="1" s="1"/>
  <c r="E1605" i="1" a="1"/>
  <c r="E1605" i="1" s="1"/>
  <c r="E1606" i="1" a="1"/>
  <c r="E1606" i="1" s="1"/>
  <c r="E1607" i="1" a="1"/>
  <c r="E1607" i="1" s="1"/>
  <c r="E1608" i="1" a="1"/>
  <c r="E1608" i="1" s="1"/>
  <c r="E1609" i="1" a="1"/>
  <c r="E1609" i="1"/>
  <c r="E1610" i="1" a="1"/>
  <c r="E1610" i="1" s="1"/>
  <c r="E1611" i="1" a="1"/>
  <c r="E1611" i="1" s="1"/>
  <c r="E1612" i="1" a="1"/>
  <c r="E1612" i="1"/>
  <c r="E1613" i="1" a="1"/>
  <c r="E1613" i="1" s="1"/>
  <c r="E1614" i="1" a="1"/>
  <c r="E1614" i="1" s="1"/>
  <c r="E1615" i="1" a="1"/>
  <c r="E1615" i="1" s="1"/>
  <c r="E1616" i="1" a="1"/>
  <c r="E1616" i="1"/>
  <c r="E1617" i="1" a="1"/>
  <c r="E1617" i="1" s="1"/>
  <c r="E1618" i="1" a="1"/>
  <c r="E1618" i="1" s="1"/>
  <c r="E1619" i="1" a="1"/>
  <c r="E1619" i="1"/>
  <c r="E1620" i="1" a="1"/>
  <c r="E1620" i="1" s="1"/>
  <c r="E1621" i="1" a="1"/>
  <c r="E1621" i="1" s="1"/>
  <c r="E1622" i="1" a="1"/>
  <c r="E1622" i="1" s="1"/>
  <c r="E1623" i="1" a="1"/>
  <c r="E1623" i="1" s="1"/>
  <c r="E1624" i="1" a="1"/>
  <c r="E1624" i="1" s="1"/>
  <c r="E1625" i="1" a="1"/>
  <c r="E1625" i="1" s="1"/>
  <c r="E1626" i="1" a="1"/>
  <c r="E1626" i="1" s="1"/>
  <c r="E1627" i="1" a="1"/>
  <c r="E1627" i="1" s="1"/>
  <c r="E1628" i="1" a="1"/>
  <c r="E1628" i="1" s="1"/>
  <c r="E1629" i="1" a="1"/>
  <c r="E1629" i="1" s="1"/>
  <c r="E1630" i="1" a="1"/>
  <c r="E1630" i="1"/>
  <c r="E1631" i="1" a="1"/>
  <c r="E1631" i="1" s="1"/>
  <c r="E1632" i="1" a="1"/>
  <c r="E1632" i="1" s="1"/>
  <c r="E1633" i="1" a="1"/>
  <c r="E1633" i="1" s="1"/>
  <c r="E1634" i="1" a="1"/>
  <c r="E1634" i="1" s="1"/>
  <c r="E1635" i="1" a="1"/>
  <c r="E1635" i="1" s="1"/>
  <c r="E1636" i="1" a="1"/>
  <c r="E1636" i="1" s="1"/>
  <c r="E1637" i="1" a="1"/>
  <c r="E1637" i="1"/>
  <c r="E1638" i="1" a="1"/>
  <c r="E1638" i="1" s="1"/>
  <c r="E1639" i="1" a="1"/>
  <c r="E1639" i="1" s="1"/>
  <c r="E1640" i="1" a="1"/>
  <c r="E1640" i="1"/>
  <c r="E1641" i="1" a="1"/>
  <c r="E1641" i="1" s="1"/>
  <c r="E1642" i="1" a="1"/>
  <c r="E1642" i="1" s="1"/>
  <c r="E1643" i="1" a="1"/>
  <c r="E1643" i="1"/>
  <c r="E1644" i="1" a="1"/>
  <c r="E1644" i="1" s="1"/>
  <c r="E1645" i="1" a="1"/>
  <c r="E1645" i="1" s="1"/>
  <c r="E1646" i="1" a="1"/>
  <c r="E1646" i="1" s="1"/>
  <c r="E1647" i="1" a="1"/>
  <c r="E1647" i="1" s="1"/>
  <c r="E1648" i="1" a="1"/>
  <c r="E1648" i="1" s="1"/>
  <c r="E1649" i="1" a="1"/>
  <c r="E1649" i="1" s="1"/>
  <c r="E1650" i="1" a="1"/>
  <c r="E1650" i="1" s="1"/>
  <c r="E1651" i="1" a="1"/>
  <c r="E1651" i="1"/>
  <c r="E1652" i="1" a="1"/>
  <c r="E1652" i="1"/>
  <c r="E1653" i="1" a="1"/>
  <c r="E1653" i="1" s="1"/>
  <c r="E1654" i="1" a="1"/>
  <c r="E1654" i="1" s="1"/>
  <c r="E1655" i="1" a="1"/>
  <c r="E1655" i="1" s="1"/>
  <c r="E1656" i="1" a="1"/>
  <c r="E1656" i="1" s="1"/>
  <c r="E1657" i="1" a="1"/>
  <c r="E1657" i="1" s="1"/>
  <c r="E1658" i="1" a="1"/>
  <c r="E1658" i="1" s="1"/>
  <c r="E1659" i="1" a="1"/>
  <c r="E1659" i="1"/>
  <c r="E1660" i="1" a="1"/>
  <c r="E1660" i="1" s="1"/>
  <c r="E1661" i="1" a="1"/>
  <c r="E1661" i="1" s="1"/>
  <c r="E1662" i="1" a="1"/>
  <c r="E1662" i="1" s="1"/>
  <c r="E1663" i="1" a="1"/>
  <c r="E1663" i="1" s="1"/>
  <c r="E1664" i="1" a="1"/>
  <c r="E1664" i="1" s="1"/>
  <c r="E1665" i="1" a="1"/>
  <c r="E1665" i="1" s="1"/>
  <c r="E1666" i="1" a="1"/>
  <c r="E1666" i="1" s="1"/>
  <c r="E1667" i="1" a="1"/>
  <c r="E1667" i="1" s="1"/>
  <c r="E1668" i="1" a="1"/>
  <c r="E1668" i="1" s="1"/>
  <c r="E1669" i="1" a="1"/>
  <c r="E1669" i="1" s="1"/>
  <c r="E1670" i="1" a="1"/>
  <c r="E1670" i="1" s="1"/>
  <c r="E1671" i="1" a="1"/>
  <c r="E1671" i="1" s="1"/>
  <c r="E1672" i="1" a="1"/>
  <c r="E1672" i="1"/>
  <c r="E1673" i="1" a="1"/>
  <c r="E1673" i="1" s="1"/>
  <c r="E1674" i="1" a="1"/>
  <c r="E1674" i="1" s="1"/>
  <c r="E1675" i="1" a="1"/>
  <c r="E1675" i="1" s="1"/>
  <c r="E1676" i="1" a="1"/>
  <c r="E1676" i="1" s="1"/>
  <c r="E1677" i="1" a="1"/>
  <c r="E1677" i="1" s="1"/>
  <c r="E1678" i="1" a="1"/>
  <c r="E1678" i="1" s="1"/>
  <c r="E1679" i="1" a="1"/>
  <c r="E1679" i="1" s="1"/>
  <c r="E1680" i="1" a="1"/>
  <c r="E1680" i="1" s="1"/>
  <c r="E1681" i="1" a="1"/>
  <c r="E1681" i="1" s="1"/>
  <c r="E1682" i="1" a="1"/>
  <c r="E1682" i="1" s="1"/>
  <c r="E1683" i="1" a="1"/>
  <c r="E1683" i="1" s="1"/>
  <c r="E1684" i="1" a="1"/>
  <c r="E1684" i="1" s="1"/>
  <c r="E1685" i="1" a="1"/>
  <c r="E1685" i="1" s="1"/>
  <c r="E1686" i="1" a="1"/>
  <c r="E1686" i="1"/>
  <c r="E1687" i="1" a="1"/>
  <c r="E1687" i="1" s="1"/>
  <c r="E1688" i="1" a="1"/>
  <c r="E1688" i="1" s="1"/>
  <c r="E1689" i="1" a="1"/>
  <c r="E1689" i="1" s="1"/>
  <c r="E1690" i="1" a="1"/>
  <c r="E1690" i="1" s="1"/>
  <c r="E1691" i="1" a="1"/>
  <c r="E1691" i="1" s="1"/>
  <c r="E1692" i="1" a="1"/>
  <c r="E1692" i="1" s="1"/>
  <c r="E1693" i="1" a="1"/>
  <c r="E1693" i="1" s="1"/>
  <c r="E1694" i="1" a="1"/>
  <c r="E1694" i="1" s="1"/>
  <c r="E1695" i="1" a="1"/>
  <c r="E1695" i="1" s="1"/>
  <c r="E1696" i="1" a="1"/>
  <c r="E1696" i="1" s="1"/>
  <c r="E1697" i="1" a="1"/>
  <c r="E1697" i="1" s="1"/>
  <c r="E1698" i="1" a="1"/>
  <c r="E1698" i="1" s="1"/>
  <c r="E1699" i="1" a="1"/>
  <c r="E1699" i="1" s="1"/>
  <c r="E1700" i="1" a="1"/>
  <c r="E1700" i="1" s="1"/>
  <c r="E1701" i="1" a="1"/>
  <c r="E1701" i="1"/>
  <c r="E1702" i="1" a="1"/>
  <c r="E1702" i="1" s="1"/>
  <c r="E1703" i="1" a="1"/>
  <c r="E1703" i="1" s="1"/>
  <c r="E1704" i="1" a="1"/>
  <c r="E1704" i="1" s="1"/>
  <c r="E1705" i="1" a="1"/>
  <c r="E1705" i="1" s="1"/>
  <c r="E1706" i="1" a="1"/>
  <c r="E1706" i="1" s="1"/>
  <c r="E1707" i="1" a="1"/>
  <c r="E1707" i="1" s="1"/>
  <c r="E1708" i="1" a="1"/>
  <c r="E1708" i="1" s="1"/>
  <c r="E1709" i="1" a="1"/>
  <c r="E1709" i="1" s="1"/>
  <c r="E1710" i="1" a="1"/>
  <c r="E1710" i="1" s="1"/>
  <c r="E1711" i="1" a="1"/>
  <c r="E1711" i="1" s="1"/>
  <c r="E1712" i="1" a="1"/>
  <c r="E1712" i="1" s="1"/>
  <c r="E1713" i="1" a="1"/>
  <c r="E1713" i="1" s="1"/>
  <c r="E1714" i="1" a="1"/>
  <c r="E1714" i="1" s="1"/>
  <c r="E1715" i="1" a="1"/>
  <c r="E1715" i="1" s="1"/>
  <c r="E1716" i="1" a="1"/>
  <c r="E1716" i="1" s="1"/>
  <c r="E1717" i="1" a="1"/>
  <c r="E1717" i="1" s="1"/>
  <c r="E1718" i="1" a="1"/>
  <c r="E1718" i="1" s="1"/>
  <c r="E1719" i="1" a="1"/>
  <c r="E1719" i="1" s="1"/>
  <c r="E1720" i="1" a="1"/>
  <c r="E1720" i="1" s="1"/>
  <c r="E1721" i="1" a="1"/>
  <c r="E1721" i="1"/>
  <c r="E1722" i="1" a="1"/>
  <c r="E1722" i="1" s="1"/>
  <c r="E1723" i="1" a="1"/>
  <c r="E1723" i="1" s="1"/>
  <c r="E1724" i="1" a="1"/>
  <c r="E1724" i="1" s="1"/>
  <c r="E1725" i="1" a="1"/>
  <c r="E1725" i="1"/>
  <c r="E1726" i="1" a="1"/>
  <c r="E1726" i="1"/>
  <c r="E1727" i="1" a="1"/>
  <c r="E1727" i="1" s="1"/>
  <c r="E1728" i="1" a="1"/>
  <c r="E1728" i="1" s="1"/>
  <c r="E1729" i="1" a="1"/>
  <c r="E1729" i="1" s="1"/>
  <c r="E1730" i="1" a="1"/>
  <c r="E1730" i="1" s="1"/>
  <c r="E1731" i="1" a="1"/>
  <c r="E1731" i="1" s="1"/>
  <c r="E1732" i="1" a="1"/>
  <c r="E1732" i="1" s="1"/>
  <c r="E1733" i="1" a="1"/>
  <c r="E1733" i="1" s="1"/>
  <c r="E1734" i="1" a="1"/>
  <c r="E1734" i="1" s="1"/>
  <c r="E1735" i="1" a="1"/>
  <c r="E1735" i="1"/>
  <c r="E1736" i="1" a="1"/>
  <c r="E1736" i="1" s="1"/>
  <c r="E1737" i="1" a="1"/>
  <c r="E1737" i="1" s="1"/>
  <c r="E1738" i="1" a="1"/>
  <c r="E1738" i="1" s="1"/>
  <c r="E1739" i="1" a="1"/>
  <c r="E1739" i="1" s="1"/>
  <c r="E1740" i="1" a="1"/>
  <c r="E1740" i="1" s="1"/>
  <c r="E1741" i="1" a="1"/>
  <c r="E1741" i="1" s="1"/>
  <c r="E1742" i="1" a="1"/>
  <c r="E1742" i="1" s="1"/>
  <c r="E1743" i="1" a="1"/>
  <c r="E1743" i="1" s="1"/>
  <c r="E1744" i="1" a="1"/>
  <c r="E1744" i="1" s="1"/>
  <c r="E1745" i="1" a="1"/>
  <c r="E1745" i="1" s="1"/>
  <c r="E1746" i="1" a="1"/>
  <c r="E1746" i="1" s="1"/>
  <c r="E1747" i="1" a="1"/>
  <c r="E1747" i="1"/>
  <c r="E1748" i="1" a="1"/>
  <c r="E1748" i="1" s="1"/>
  <c r="E1749" i="1" a="1"/>
  <c r="E1749" i="1"/>
  <c r="E1750" i="1" a="1"/>
  <c r="E1750" i="1" s="1"/>
  <c r="E1751" i="1" a="1"/>
  <c r="E1751" i="1" s="1"/>
  <c r="E1752" i="1" a="1"/>
  <c r="E1752" i="1"/>
  <c r="E1753" i="1" a="1"/>
  <c r="E1753" i="1" s="1"/>
  <c r="E1754" i="1" a="1"/>
  <c r="E1754" i="1" s="1"/>
  <c r="E1755" i="1" a="1"/>
  <c r="E1755" i="1" s="1"/>
  <c r="E1756" i="1" a="1"/>
  <c r="E1756" i="1" s="1"/>
  <c r="E1757" i="1" a="1"/>
  <c r="E1757" i="1" s="1"/>
  <c r="E1758" i="1" a="1"/>
  <c r="E1758" i="1" s="1"/>
  <c r="E1759" i="1" a="1"/>
  <c r="E1759" i="1" s="1"/>
  <c r="E1760" i="1" a="1"/>
  <c r="E1760" i="1" s="1"/>
  <c r="E1761" i="1" a="1"/>
  <c r="E1761" i="1" s="1"/>
  <c r="E1762" i="1" a="1"/>
  <c r="E1762" i="1" s="1"/>
  <c r="E1763" i="1" a="1"/>
  <c r="E1763" i="1"/>
  <c r="E1764" i="1" a="1"/>
  <c r="E1764" i="1" s="1"/>
  <c r="E1765" i="1" a="1"/>
  <c r="E1765" i="1" s="1"/>
  <c r="E1766" i="1" a="1"/>
  <c r="E1766" i="1" s="1"/>
  <c r="E1767" i="1" a="1"/>
  <c r="E1767" i="1" s="1"/>
  <c r="E1768" i="1" a="1"/>
  <c r="E1768" i="1"/>
  <c r="E1769" i="1" a="1"/>
  <c r="E1769" i="1" s="1"/>
  <c r="E1770" i="1" a="1"/>
  <c r="E1770" i="1" s="1"/>
  <c r="E1771" i="1" a="1"/>
  <c r="E1771" i="1" s="1"/>
  <c r="E1772" i="1" a="1"/>
  <c r="E1772" i="1" s="1"/>
  <c r="E1773" i="1" a="1"/>
  <c r="E1773" i="1" s="1"/>
  <c r="E1774" i="1" a="1"/>
  <c r="E1774" i="1" s="1"/>
  <c r="E1775" i="1" a="1"/>
  <c r="E1775" i="1" s="1"/>
  <c r="E1776" i="1" a="1"/>
  <c r="E1776" i="1" s="1"/>
  <c r="E1777" i="1" a="1"/>
  <c r="E1777" i="1"/>
  <c r="E1778" i="1" a="1"/>
  <c r="E1778" i="1" s="1"/>
  <c r="E1779" i="1" a="1"/>
  <c r="E1779" i="1" s="1"/>
  <c r="E1780" i="1" a="1"/>
  <c r="E1780" i="1"/>
  <c r="E1781" i="1" a="1"/>
  <c r="E1781" i="1" s="1"/>
  <c r="E1782" i="1" a="1"/>
  <c r="E1782" i="1" s="1"/>
  <c r="E1783" i="1" a="1"/>
  <c r="E1783" i="1" s="1"/>
  <c r="E1784" i="1" a="1"/>
  <c r="E1784" i="1" s="1"/>
  <c r="E1785" i="1" a="1"/>
  <c r="E1785" i="1" s="1"/>
  <c r="E1786" i="1" a="1"/>
  <c r="E1786" i="1" s="1"/>
  <c r="E1787" i="1" a="1"/>
  <c r="E1787" i="1" s="1"/>
  <c r="E1788" i="1" a="1"/>
  <c r="E1788" i="1"/>
  <c r="E1789" i="1" a="1"/>
  <c r="E1789" i="1"/>
  <c r="E1790" i="1" a="1"/>
  <c r="E1790" i="1" s="1"/>
  <c r="E1791" i="1" a="1"/>
  <c r="E1791" i="1" s="1"/>
  <c r="E1792" i="1" a="1"/>
  <c r="E1792" i="1" s="1"/>
  <c r="E1793" i="1" a="1"/>
  <c r="E1793" i="1" s="1"/>
  <c r="E1794" i="1" a="1"/>
  <c r="E1794" i="1" s="1"/>
  <c r="E1795" i="1" a="1"/>
  <c r="E1795" i="1"/>
  <c r="E1796" i="1" a="1"/>
  <c r="E1796" i="1" s="1"/>
  <c r="E1797" i="1" a="1"/>
  <c r="E1797" i="1" s="1"/>
  <c r="E1798" i="1" a="1"/>
  <c r="E1798" i="1" s="1"/>
  <c r="E1799" i="1" a="1"/>
  <c r="E1799" i="1" s="1"/>
  <c r="E1800" i="1" a="1"/>
  <c r="E1800" i="1" s="1"/>
  <c r="E1801" i="1" a="1"/>
  <c r="E1801" i="1" s="1"/>
  <c r="E1802" i="1" a="1"/>
  <c r="E1802" i="1" s="1"/>
  <c r="E1803" i="1" a="1"/>
  <c r="E1803" i="1" s="1"/>
  <c r="E1804" i="1" a="1"/>
  <c r="E1804" i="1" s="1"/>
  <c r="E1805" i="1" a="1"/>
  <c r="E1805" i="1" s="1"/>
  <c r="E1806" i="1" a="1"/>
  <c r="E1806" i="1" s="1"/>
  <c r="E1807" i="1" a="1"/>
  <c r="E1807" i="1" s="1"/>
  <c r="E1808" i="1" a="1"/>
  <c r="E1808" i="1" s="1"/>
  <c r="E1809" i="1" a="1"/>
  <c r="E1809" i="1" s="1"/>
  <c r="E1810" i="1" a="1"/>
  <c r="E1810" i="1" s="1"/>
  <c r="E1811" i="1" a="1"/>
  <c r="E1811" i="1" s="1"/>
  <c r="E1812" i="1" a="1"/>
  <c r="E1812" i="1"/>
  <c r="E1813" i="1" a="1"/>
  <c r="E1813" i="1" s="1"/>
  <c r="E1814" i="1" a="1"/>
  <c r="E1814" i="1" s="1"/>
  <c r="E1815" i="1" a="1"/>
  <c r="E1815" i="1" s="1"/>
  <c r="E1816" i="1" a="1"/>
  <c r="E1816" i="1" s="1"/>
  <c r="E1817" i="1" a="1"/>
  <c r="E1817" i="1"/>
  <c r="E1818" i="1" a="1"/>
  <c r="E1818" i="1" s="1"/>
  <c r="E1819" i="1" a="1"/>
  <c r="E1819" i="1"/>
  <c r="E1820" i="1" a="1"/>
  <c r="E1820" i="1" s="1"/>
  <c r="E1821" i="1" a="1"/>
  <c r="E1821" i="1" s="1"/>
  <c r="E1822" i="1" a="1"/>
  <c r="E1822" i="1"/>
  <c r="E1823" i="1" a="1"/>
  <c r="E1823" i="1" s="1"/>
  <c r="E1824" i="1" a="1"/>
  <c r="E1824" i="1" s="1"/>
  <c r="E1825" i="1" a="1"/>
  <c r="E1825" i="1" s="1"/>
  <c r="E1826" i="1" a="1"/>
  <c r="E1826" i="1"/>
  <c r="E1827" i="1" a="1"/>
  <c r="E1827" i="1" s="1"/>
  <c r="E1828" i="1" a="1"/>
  <c r="E1828" i="1" s="1"/>
  <c r="E1829" i="1" a="1"/>
  <c r="E1829" i="1" s="1"/>
  <c r="E1830" i="1" a="1"/>
  <c r="E1830" i="1"/>
  <c r="E1831" i="1" a="1"/>
  <c r="E1831" i="1"/>
  <c r="E1832" i="1" a="1"/>
  <c r="E1832" i="1" s="1"/>
  <c r="E1833" i="1" a="1"/>
  <c r="E1833" i="1" s="1"/>
  <c r="E1834" i="1" a="1"/>
  <c r="E1834" i="1" s="1"/>
  <c r="E1835" i="1" a="1"/>
  <c r="E1835" i="1" s="1"/>
  <c r="E1836" i="1" a="1"/>
  <c r="E1836" i="1" s="1"/>
  <c r="E1837" i="1" a="1"/>
  <c r="E1837" i="1"/>
  <c r="E1838" i="1" a="1"/>
  <c r="E1838" i="1"/>
  <c r="E1839" i="1" a="1"/>
  <c r="E1839" i="1" s="1"/>
  <c r="E1840" i="1" a="1"/>
  <c r="E1840" i="1"/>
  <c r="E1841" i="1" a="1"/>
  <c r="E1841" i="1" s="1"/>
  <c r="E1842" i="1" a="1"/>
  <c r="E1842" i="1" s="1"/>
  <c r="E1843" i="1" a="1"/>
  <c r="E1843" i="1" s="1"/>
  <c r="E1844" i="1" a="1"/>
  <c r="E1844" i="1" s="1"/>
  <c r="E1845" i="1" a="1"/>
  <c r="E1845" i="1" s="1"/>
  <c r="E1846" i="1" a="1"/>
  <c r="E1846" i="1" s="1"/>
  <c r="E1847" i="1" a="1"/>
  <c r="E1847" i="1"/>
  <c r="E1848" i="1" a="1"/>
  <c r="E1848" i="1" s="1"/>
  <c r="E1849" i="1" a="1"/>
  <c r="E1849" i="1" s="1"/>
  <c r="E1850" i="1" a="1"/>
  <c r="E1850" i="1" s="1"/>
  <c r="E1851" i="1" a="1"/>
  <c r="E1851" i="1"/>
  <c r="E1852" i="1" a="1"/>
  <c r="E1852" i="1" s="1"/>
  <c r="E1853" i="1" a="1"/>
  <c r="E1853" i="1" s="1"/>
  <c r="E1854" i="1" a="1"/>
  <c r="E1854" i="1" s="1"/>
  <c r="E1855" i="1" a="1"/>
  <c r="E1855" i="1" s="1"/>
  <c r="E1856" i="1" a="1"/>
  <c r="E1856" i="1" s="1"/>
  <c r="E1857" i="1" a="1"/>
  <c r="E1857" i="1" s="1"/>
  <c r="E1858" i="1" a="1"/>
  <c r="E1858" i="1" s="1"/>
  <c r="E1859" i="1" a="1"/>
  <c r="E1859" i="1" s="1"/>
  <c r="E1860" i="1" a="1"/>
  <c r="E1860" i="1" s="1"/>
  <c r="E1861" i="1" a="1"/>
  <c r="E1861" i="1" s="1"/>
  <c r="E1862" i="1" a="1"/>
  <c r="E1862" i="1" s="1"/>
  <c r="E1863" i="1" a="1"/>
  <c r="E1863" i="1" s="1"/>
  <c r="E1864" i="1" a="1"/>
  <c r="E1864" i="1" s="1"/>
  <c r="E1865" i="1" a="1"/>
  <c r="E1865" i="1"/>
  <c r="E1866" i="1" a="1"/>
  <c r="E1866" i="1" s="1"/>
  <c r="E1867" i="1" a="1"/>
  <c r="E1867" i="1" s="1"/>
  <c r="E1868" i="1" a="1"/>
  <c r="E1868" i="1"/>
  <c r="E1869" i="1" a="1"/>
  <c r="E1869" i="1" s="1"/>
  <c r="E1870" i="1" a="1"/>
  <c r="E1870" i="1" s="1"/>
  <c r="E1871" i="1" a="1"/>
  <c r="E1871" i="1" s="1"/>
  <c r="E1872" i="1" a="1"/>
  <c r="E1872" i="1"/>
  <c r="E1873" i="1" a="1"/>
  <c r="E1873" i="1"/>
  <c r="E1874" i="1" a="1"/>
  <c r="E1874" i="1" s="1"/>
  <c r="E1875" i="1" a="1"/>
  <c r="E1875" i="1"/>
  <c r="E1876" i="1" a="1"/>
  <c r="E1876" i="1"/>
  <c r="E1877" i="1" a="1"/>
  <c r="E1877" i="1" s="1"/>
  <c r="E1878" i="1" a="1"/>
  <c r="E1878" i="1" s="1"/>
  <c r="E1879" i="1" a="1"/>
  <c r="E1879" i="1"/>
  <c r="E1880" i="1" a="1"/>
  <c r="E1880" i="1" s="1"/>
  <c r="E1881" i="1" a="1"/>
  <c r="E1881" i="1" s="1"/>
  <c r="E1882" i="1" a="1"/>
  <c r="E1882" i="1"/>
  <c r="E1883" i="1" a="1"/>
  <c r="E1883" i="1" s="1"/>
  <c r="E1884" i="1" a="1"/>
  <c r="E1884" i="1" s="1"/>
  <c r="E1885" i="1" a="1"/>
  <c r="E1885" i="1" s="1"/>
  <c r="E1886" i="1" a="1"/>
  <c r="E1886" i="1" s="1"/>
  <c r="E1887" i="1" a="1"/>
  <c r="E1887" i="1" s="1"/>
  <c r="E1888" i="1" a="1"/>
  <c r="E1888" i="1" s="1"/>
  <c r="E1889" i="1" a="1"/>
  <c r="E1889" i="1" s="1"/>
  <c r="E1890" i="1" a="1"/>
  <c r="E1890" i="1" s="1"/>
  <c r="E1891" i="1" a="1"/>
  <c r="E1891" i="1" s="1"/>
  <c r="E1892" i="1" a="1"/>
  <c r="E1892" i="1" s="1"/>
  <c r="E1893" i="1" a="1"/>
  <c r="E1893" i="1"/>
  <c r="E1894" i="1" a="1"/>
  <c r="E1894" i="1" s="1"/>
  <c r="E1895" i="1" a="1"/>
  <c r="E1895" i="1" s="1"/>
  <c r="E1896" i="1" a="1"/>
  <c r="E1896" i="1"/>
  <c r="E1897" i="1" a="1"/>
  <c r="E1897" i="1" s="1"/>
  <c r="E1898" i="1" a="1"/>
  <c r="E1898" i="1" s="1"/>
  <c r="E1899" i="1" a="1"/>
  <c r="E1899" i="1" s="1"/>
  <c r="E1900" i="1" a="1"/>
  <c r="E1900" i="1"/>
  <c r="E1901" i="1" a="1"/>
  <c r="E1901" i="1"/>
  <c r="E1902" i="1" a="1"/>
  <c r="E1902" i="1" s="1"/>
  <c r="E1903" i="1" a="1"/>
  <c r="E1903" i="1" s="1"/>
  <c r="E1904" i="1" a="1"/>
  <c r="E1904" i="1" s="1"/>
  <c r="E1905" i="1" a="1"/>
  <c r="E1905" i="1" s="1"/>
  <c r="E1906" i="1" a="1"/>
  <c r="E1906" i="1" s="1"/>
  <c r="E1907" i="1" a="1"/>
  <c r="E1907" i="1"/>
  <c r="E1908" i="1" a="1"/>
  <c r="E1908" i="1" s="1"/>
  <c r="E1909" i="1" a="1"/>
  <c r="E1909" i="1" s="1"/>
  <c r="E1910" i="1" a="1"/>
  <c r="E1910" i="1"/>
  <c r="E1911" i="1" a="1"/>
  <c r="E1911" i="1" s="1"/>
  <c r="E1912" i="1" a="1"/>
  <c r="E1912" i="1" s="1"/>
  <c r="E1913" i="1" a="1"/>
  <c r="E1913" i="1" s="1"/>
  <c r="E1914" i="1" a="1"/>
  <c r="E1914" i="1" s="1"/>
  <c r="E1915" i="1" a="1"/>
  <c r="E1915" i="1" s="1"/>
  <c r="E1916" i="1" a="1"/>
  <c r="E1916" i="1" s="1"/>
  <c r="E1917" i="1" a="1"/>
  <c r="E1917" i="1" s="1"/>
  <c r="E1918" i="1" a="1"/>
  <c r="E1918" i="1"/>
  <c r="E1919" i="1" a="1"/>
  <c r="E1919" i="1" s="1"/>
  <c r="E1920" i="1" a="1"/>
  <c r="E1920" i="1" s="1"/>
  <c r="E1921" i="1" a="1"/>
  <c r="E1921" i="1" s="1"/>
  <c r="E1922" i="1" a="1"/>
  <c r="E1922" i="1"/>
  <c r="E1923" i="1" a="1"/>
  <c r="E1923" i="1" s="1"/>
  <c r="E1924" i="1" a="1"/>
  <c r="E1924" i="1" s="1"/>
  <c r="E1925" i="1" a="1"/>
  <c r="E1925" i="1" s="1"/>
  <c r="E1926" i="1" a="1"/>
  <c r="E1926" i="1"/>
  <c r="E1927" i="1" a="1"/>
  <c r="E1927" i="1" s="1"/>
  <c r="E1928" i="1" a="1"/>
  <c r="E1928" i="1"/>
  <c r="E1929" i="1" a="1"/>
  <c r="E1929" i="1" s="1"/>
  <c r="E1930" i="1" a="1"/>
  <c r="E1930" i="1" s="1"/>
  <c r="E1931" i="1" a="1"/>
  <c r="E1931" i="1"/>
  <c r="E1932" i="1" a="1"/>
  <c r="E1932" i="1" s="1"/>
  <c r="E1933" i="1" a="1"/>
  <c r="E1933" i="1" s="1"/>
  <c r="E1934" i="1" a="1"/>
  <c r="E1934" i="1" s="1"/>
  <c r="E1935" i="1" a="1"/>
  <c r="E1935" i="1"/>
  <c r="E1936" i="1" a="1"/>
  <c r="E1936" i="1" s="1"/>
  <c r="E1937" i="1" a="1"/>
  <c r="E1937" i="1" s="1"/>
  <c r="E1938" i="1" a="1"/>
  <c r="E1938" i="1"/>
  <c r="E1939" i="1" a="1"/>
  <c r="E1939" i="1"/>
  <c r="E1940" i="1" a="1"/>
  <c r="E1940" i="1" s="1"/>
  <c r="E1941" i="1" a="1"/>
  <c r="E1941" i="1" s="1"/>
  <c r="E1942" i="1" a="1"/>
  <c r="E1942" i="1"/>
  <c r="E1943" i="1" a="1"/>
  <c r="E1943" i="1"/>
  <c r="E1944" i="1" a="1"/>
  <c r="E1944" i="1" s="1"/>
  <c r="E1945" i="1" a="1"/>
  <c r="E1945" i="1" s="1"/>
  <c r="E1946" i="1" a="1"/>
  <c r="E1946" i="1" s="1"/>
  <c r="E1947" i="1" a="1"/>
  <c r="E1947" i="1" s="1"/>
  <c r="E1948" i="1" a="1"/>
  <c r="E1948" i="1" s="1"/>
  <c r="E1949" i="1" a="1"/>
  <c r="E1949" i="1"/>
  <c r="E1950" i="1" a="1"/>
  <c r="E1950" i="1" s="1"/>
  <c r="E1951" i="1" a="1"/>
  <c r="E1951" i="1" s="1"/>
  <c r="E1952" i="1" a="1"/>
  <c r="E1952" i="1" s="1"/>
  <c r="E1953" i="1" a="1"/>
  <c r="E1953" i="1" s="1"/>
  <c r="E1954" i="1" a="1"/>
  <c r="E1954" i="1" s="1"/>
  <c r="E1955" i="1" a="1"/>
  <c r="E1955" i="1" s="1"/>
  <c r="E1956" i="1" a="1"/>
  <c r="E1956" i="1" s="1"/>
  <c r="E1957" i="1" a="1"/>
  <c r="E1957" i="1" s="1"/>
  <c r="E1958" i="1" a="1"/>
  <c r="E1958" i="1"/>
  <c r="E1959" i="1" a="1"/>
  <c r="E1959" i="1" s="1"/>
  <c r="E1960" i="1" a="1"/>
  <c r="E1960" i="1" s="1"/>
  <c r="E1961" i="1" a="1"/>
  <c r="E1961" i="1" s="1"/>
  <c r="E1962" i="1" a="1"/>
  <c r="E1962" i="1" s="1"/>
  <c r="E1963" i="1" a="1"/>
  <c r="E1963" i="1"/>
  <c r="E1964" i="1" a="1"/>
  <c r="E1964" i="1" s="1"/>
  <c r="E1965" i="1" a="1"/>
  <c r="E1965" i="1"/>
  <c r="E1966" i="1" a="1"/>
  <c r="E1966" i="1" s="1"/>
  <c r="E1967" i="1" a="1"/>
  <c r="E1967" i="1"/>
  <c r="E1968" i="1" a="1"/>
  <c r="E1968" i="1"/>
  <c r="E1969" i="1" a="1"/>
  <c r="E1969" i="1" s="1"/>
  <c r="E1970" i="1" a="1"/>
  <c r="E1970" i="1" s="1"/>
  <c r="E1971" i="1" a="1"/>
  <c r="E1971" i="1" s="1"/>
  <c r="E1972" i="1" a="1"/>
  <c r="E1972" i="1" s="1"/>
  <c r="E1973" i="1" a="1"/>
  <c r="E1973" i="1" s="1"/>
  <c r="E1974" i="1" a="1"/>
  <c r="E1974" i="1" s="1"/>
  <c r="E1975" i="1" a="1"/>
  <c r="E1975" i="1"/>
  <c r="E1976" i="1" a="1"/>
  <c r="E1976" i="1" s="1"/>
  <c r="E1977" i="1" a="1"/>
  <c r="E1977" i="1"/>
  <c r="E1978" i="1" a="1"/>
  <c r="E1978" i="1" s="1"/>
  <c r="E1979" i="1" a="1"/>
  <c r="E1979" i="1" s="1"/>
  <c r="E1980" i="1" a="1"/>
  <c r="E1980" i="1" s="1"/>
  <c r="E1981" i="1" a="1"/>
  <c r="E1981" i="1" s="1"/>
  <c r="E1982" i="1" a="1"/>
  <c r="E1982" i="1" s="1"/>
  <c r="E1983" i="1" a="1"/>
  <c r="E1983" i="1" s="1"/>
  <c r="E1984" i="1" a="1"/>
  <c r="E1984" i="1" s="1"/>
  <c r="E1985" i="1" a="1"/>
  <c r="E1985" i="1" s="1"/>
  <c r="E1986" i="1" a="1"/>
  <c r="E1986" i="1" s="1"/>
  <c r="E1987" i="1" a="1"/>
  <c r="E1987" i="1" s="1"/>
  <c r="E1988" i="1" a="1"/>
  <c r="E1988" i="1" s="1"/>
  <c r="E1989" i="1" a="1"/>
  <c r="E1989" i="1" s="1"/>
  <c r="E1990" i="1" a="1"/>
  <c r="E1990" i="1" s="1"/>
  <c r="E1991" i="1" a="1"/>
  <c r="E1991" i="1" s="1"/>
  <c r="E1992" i="1" a="1"/>
  <c r="E1992" i="1" s="1"/>
  <c r="E1993" i="1" a="1"/>
  <c r="E1993" i="1" s="1"/>
  <c r="E1994" i="1" a="1"/>
  <c r="E1994" i="1" s="1"/>
  <c r="E1995" i="1" a="1"/>
  <c r="E1995" i="1" s="1"/>
  <c r="E1996" i="1" a="1"/>
  <c r="E1996" i="1" s="1"/>
  <c r="E1997" i="1" a="1"/>
  <c r="E1997" i="1" s="1"/>
  <c r="E1998" i="1" a="1"/>
  <c r="E1998" i="1" s="1"/>
  <c r="E1999" i="1" a="1"/>
  <c r="E1999" i="1" s="1"/>
  <c r="E2000" i="1" a="1"/>
  <c r="E2000" i="1"/>
  <c r="E2001" i="1" a="1"/>
  <c r="E2001" i="1" s="1"/>
  <c r="E2002" i="1" a="1"/>
  <c r="E2002" i="1" s="1"/>
  <c r="E2003" i="1" a="1"/>
  <c r="E2003" i="1" s="1"/>
  <c r="E2004" i="1" a="1"/>
  <c r="E2004" i="1" s="1"/>
  <c r="E2005" i="1" a="1"/>
  <c r="E2005" i="1"/>
  <c r="E2006" i="1" a="1"/>
  <c r="E2006" i="1"/>
  <c r="E2007" i="1" a="1"/>
  <c r="E2007" i="1" s="1"/>
  <c r="E2008" i="1" a="1"/>
  <c r="E2008" i="1" s="1"/>
  <c r="E2009" i="1" a="1"/>
  <c r="E2009" i="1" s="1"/>
  <c r="E2010" i="1" a="1"/>
  <c r="E2010" i="1" s="1"/>
  <c r="E2011" i="1" a="1"/>
  <c r="E2011" i="1" s="1"/>
  <c r="E2012" i="1" a="1"/>
  <c r="E2012" i="1" s="1"/>
  <c r="E2013" i="1" a="1"/>
  <c r="E2013" i="1"/>
  <c r="E2014" i="1" a="1"/>
  <c r="E2014" i="1" s="1"/>
  <c r="E2015" i="1" a="1"/>
  <c r="E2015" i="1" s="1"/>
  <c r="E2016" i="1" a="1"/>
  <c r="E2016" i="1" s="1"/>
  <c r="E2017" i="1" a="1"/>
  <c r="E2017" i="1" s="1"/>
  <c r="E2018" i="1" a="1"/>
  <c r="E2018" i="1"/>
  <c r="E2019" i="1" a="1"/>
  <c r="E2019" i="1" s="1"/>
  <c r="E2020" i="1" a="1"/>
  <c r="E2020" i="1" s="1"/>
  <c r="E2021" i="1" a="1"/>
  <c r="E2021" i="1" s="1"/>
  <c r="E2022" i="1" a="1"/>
  <c r="E2022" i="1"/>
  <c r="E2023" i="1" a="1"/>
  <c r="E2023" i="1"/>
  <c r="E2024" i="1" a="1"/>
  <c r="E2024" i="1" s="1"/>
  <c r="E2025" i="1" a="1"/>
  <c r="E2025" i="1" s="1"/>
  <c r="E2026" i="1" a="1"/>
  <c r="E2026" i="1" s="1"/>
  <c r="E2027" i="1" a="1"/>
  <c r="E2027" i="1" s="1"/>
  <c r="E2028" i="1" a="1"/>
  <c r="E2028" i="1"/>
  <c r="E2029" i="1" a="1"/>
  <c r="E2029" i="1" s="1"/>
  <c r="E2030" i="1" a="1"/>
  <c r="E2030" i="1" s="1"/>
  <c r="E2031" i="1" a="1"/>
  <c r="E2031" i="1" s="1"/>
  <c r="E2032" i="1" a="1"/>
  <c r="E2032" i="1" s="1"/>
  <c r="E2033" i="1" a="1"/>
  <c r="E2033" i="1" s="1"/>
  <c r="E2034" i="1" a="1"/>
  <c r="E2034" i="1" s="1"/>
  <c r="E2035" i="1" a="1"/>
  <c r="E2035" i="1" s="1"/>
  <c r="E2036" i="1" a="1"/>
  <c r="E2036" i="1" s="1"/>
  <c r="E2037" i="1" a="1"/>
  <c r="E2037" i="1"/>
  <c r="E2038" i="1" a="1"/>
  <c r="E2038" i="1" s="1"/>
  <c r="E2039" i="1" a="1"/>
  <c r="E2039" i="1" s="1"/>
  <c r="E2040" i="1" a="1"/>
  <c r="E2040" i="1" s="1"/>
  <c r="E2041" i="1" a="1"/>
  <c r="E2041" i="1" s="1"/>
  <c r="E2042" i="1" a="1"/>
  <c r="E2042" i="1"/>
  <c r="E2043" i="1" a="1"/>
  <c r="E2043" i="1" s="1"/>
  <c r="E2044" i="1" a="1"/>
  <c r="E2044" i="1" s="1"/>
  <c r="E2045" i="1" a="1"/>
  <c r="E2045" i="1" s="1"/>
  <c r="E2046" i="1" a="1"/>
  <c r="E2046" i="1" s="1"/>
  <c r="E2047" i="1" a="1"/>
  <c r="E2047" i="1" s="1"/>
  <c r="E2048" i="1" a="1"/>
  <c r="E2048" i="1" s="1"/>
  <c r="E2049" i="1" a="1"/>
  <c r="E2049" i="1" s="1"/>
  <c r="E2050" i="1" a="1"/>
  <c r="E2050" i="1" s="1"/>
  <c r="E2051" i="1" a="1"/>
  <c r="E2051" i="1" s="1"/>
  <c r="E2052" i="1" a="1"/>
  <c r="E2052" i="1" s="1"/>
  <c r="E2053" i="1" a="1"/>
  <c r="E2053" i="1" s="1"/>
  <c r="E2054" i="1" a="1"/>
  <c r="E2054" i="1" s="1"/>
  <c r="E2055" i="1" a="1"/>
  <c r="E2055" i="1" s="1"/>
  <c r="E2056" i="1" a="1"/>
  <c r="E2056" i="1"/>
  <c r="E2057" i="1" a="1"/>
  <c r="E2057" i="1" s="1"/>
  <c r="E2058" i="1" a="1"/>
  <c r="E2058" i="1"/>
  <c r="E2059" i="1" a="1"/>
  <c r="E2059" i="1" s="1"/>
  <c r="E2060" i="1" a="1"/>
  <c r="E2060" i="1" s="1"/>
  <c r="E2061" i="1" a="1"/>
  <c r="E2061" i="1" s="1"/>
  <c r="E2062" i="1" a="1"/>
  <c r="E2062" i="1" s="1"/>
  <c r="E2063" i="1" a="1"/>
  <c r="E2063" i="1" s="1"/>
  <c r="E2064" i="1" a="1"/>
  <c r="E2064" i="1" s="1"/>
  <c r="E2065" i="1" a="1"/>
  <c r="E2065" i="1" s="1"/>
  <c r="E2066" i="1" a="1"/>
  <c r="E2066" i="1" s="1"/>
  <c r="E2067" i="1" a="1"/>
  <c r="E2067" i="1"/>
  <c r="E2068" i="1" a="1"/>
  <c r="E2068" i="1"/>
  <c r="E2069" i="1" a="1"/>
  <c r="E2069" i="1" s="1"/>
  <c r="E2070" i="1" a="1"/>
  <c r="E2070" i="1" s="1"/>
  <c r="E2071" i="1" a="1"/>
  <c r="E2071" i="1" s="1"/>
  <c r="E2072" i="1" a="1"/>
  <c r="E2072" i="1" s="1"/>
  <c r="E2073" i="1" a="1"/>
  <c r="E2073" i="1" s="1"/>
  <c r="E2074" i="1" a="1"/>
  <c r="E2074" i="1" s="1"/>
  <c r="E2075" i="1" a="1"/>
  <c r="E2075" i="1"/>
  <c r="E2076" i="1" a="1"/>
  <c r="E2076" i="1"/>
  <c r="E2077" i="1" a="1"/>
  <c r="E2077" i="1" s="1"/>
  <c r="E2078" i="1" a="1"/>
  <c r="E2078" i="1" s="1"/>
  <c r="E2079" i="1" a="1"/>
  <c r="E2079" i="1"/>
  <c r="E2080" i="1" a="1"/>
  <c r="E2080" i="1"/>
  <c r="E2081" i="1" a="1"/>
  <c r="E2081" i="1" s="1"/>
  <c r="E2082" i="1" a="1"/>
  <c r="E2082" i="1"/>
  <c r="E2083" i="1" a="1"/>
  <c r="E2083" i="1"/>
  <c r="E2084" i="1" a="1"/>
  <c r="E2084" i="1"/>
  <c r="E2085" i="1" a="1"/>
  <c r="E2085" i="1" s="1"/>
  <c r="E2086" i="1" a="1"/>
  <c r="E2086" i="1" s="1"/>
  <c r="E2087" i="1" a="1"/>
  <c r="E2087" i="1" s="1"/>
  <c r="E2088" i="1" a="1"/>
  <c r="E2088" i="1"/>
  <c r="E2089" i="1" a="1"/>
  <c r="E2089" i="1"/>
  <c r="E2090" i="1" a="1"/>
  <c r="E2090" i="1" s="1"/>
  <c r="E2091" i="1" a="1"/>
  <c r="E2091" i="1" s="1"/>
  <c r="E2092" i="1" a="1"/>
  <c r="E2092" i="1" s="1"/>
  <c r="E2093" i="1" a="1"/>
  <c r="E2093" i="1" s="1"/>
  <c r="E2094" i="1" a="1"/>
  <c r="E2094" i="1" s="1"/>
  <c r="E2095" i="1" a="1"/>
  <c r="E2095" i="1" s="1"/>
  <c r="E2096" i="1" a="1"/>
  <c r="E2096" i="1"/>
  <c r="E2097" i="1" a="1"/>
  <c r="E2097" i="1"/>
  <c r="E2098" i="1" a="1"/>
  <c r="E2098" i="1" s="1"/>
  <c r="E2099" i="1" a="1"/>
  <c r="E2099" i="1" s="1"/>
  <c r="E2100" i="1" a="1"/>
  <c r="E2100" i="1"/>
  <c r="E2101" i="1" a="1"/>
  <c r="E2101" i="1" s="1"/>
  <c r="E2102" i="1" a="1"/>
  <c r="E2102" i="1" s="1"/>
  <c r="E2103" i="1" a="1"/>
  <c r="E2103" i="1"/>
  <c r="E2104" i="1" a="1"/>
  <c r="E2104" i="1"/>
  <c r="E2105" i="1" a="1"/>
  <c r="E2105" i="1"/>
  <c r="E2106" i="1" a="1"/>
  <c r="E2106" i="1" s="1"/>
  <c r="E2107" i="1" a="1"/>
  <c r="E2107" i="1" s="1"/>
  <c r="E2108" i="1" a="1"/>
  <c r="E2108" i="1" s="1"/>
  <c r="E2109" i="1" a="1"/>
  <c r="E2109" i="1"/>
  <c r="E2110" i="1" a="1"/>
  <c r="E2110" i="1"/>
  <c r="E2111" i="1" a="1"/>
  <c r="E2111" i="1" s="1"/>
  <c r="E2112" i="1" a="1"/>
  <c r="E2112" i="1"/>
  <c r="E2113" i="1" a="1"/>
  <c r="E2113" i="1" s="1"/>
  <c r="E2114" i="1" a="1"/>
  <c r="E2114" i="1" s="1"/>
  <c r="E2115" i="1" a="1"/>
  <c r="E2115" i="1" s="1"/>
  <c r="E2116" i="1" a="1"/>
  <c r="E2116" i="1" s="1"/>
  <c r="E2117" i="1" a="1"/>
  <c r="E2117" i="1"/>
  <c r="E2118" i="1" a="1"/>
  <c r="E2118" i="1"/>
  <c r="E2119" i="1" a="1"/>
  <c r="E2119" i="1" s="1"/>
  <c r="E2120" i="1" a="1"/>
  <c r="E2120" i="1" s="1"/>
  <c r="E2121" i="1" a="1"/>
  <c r="E2121" i="1" s="1"/>
  <c r="E2122" i="1" a="1"/>
  <c r="E2122" i="1" s="1"/>
  <c r="E2123" i="1" a="1"/>
  <c r="E2123" i="1" s="1"/>
  <c r="E2124" i="1" a="1"/>
  <c r="E2124" i="1"/>
  <c r="E2125" i="1" a="1"/>
  <c r="E2125" i="1"/>
  <c r="E2126" i="1" a="1"/>
  <c r="E2126" i="1"/>
  <c r="E2127" i="1" a="1"/>
  <c r="E2127" i="1" s="1"/>
  <c r="E2128" i="1" a="1"/>
  <c r="E2128" i="1" s="1"/>
  <c r="E2129" i="1" a="1"/>
  <c r="E2129" i="1" s="1"/>
  <c r="E2130" i="1" a="1"/>
  <c r="E2130" i="1"/>
  <c r="E2131" i="1" a="1"/>
  <c r="E2131" i="1" s="1"/>
  <c r="E2132" i="1" a="1"/>
  <c r="E2132" i="1"/>
  <c r="E2133" i="1" a="1"/>
  <c r="E2133" i="1"/>
  <c r="E2134" i="1" a="1"/>
  <c r="E2134" i="1" s="1"/>
  <c r="E2135" i="1" a="1"/>
  <c r="E2135" i="1" s="1"/>
  <c r="E2136" i="1" a="1"/>
  <c r="E2136" i="1" s="1"/>
  <c r="E2137" i="1" a="1"/>
  <c r="E2137" i="1" s="1"/>
  <c r="E2138" i="1" a="1"/>
  <c r="E2138" i="1"/>
  <c r="E2139" i="1" a="1"/>
  <c r="E2139" i="1"/>
  <c r="E2140" i="1" a="1"/>
  <c r="E2140" i="1" s="1"/>
  <c r="E2141" i="1" a="1"/>
  <c r="E2141" i="1" s="1"/>
  <c r="E2142" i="1" a="1"/>
  <c r="E2142" i="1"/>
  <c r="E2143" i="1" a="1"/>
  <c r="E2143" i="1" s="1"/>
  <c r="E2144" i="1" a="1"/>
  <c r="E2144" i="1" s="1"/>
  <c r="E2145" i="1" a="1"/>
  <c r="E2145" i="1"/>
  <c r="E2146" i="1" a="1"/>
  <c r="E2146" i="1"/>
  <c r="E2147" i="1" a="1"/>
  <c r="E2147" i="1"/>
  <c r="E2148" i="1" a="1"/>
  <c r="E2148" i="1" s="1"/>
  <c r="E2149" i="1" a="1"/>
  <c r="E2149" i="1" s="1"/>
  <c r="E2150" i="1" a="1"/>
  <c r="E2150" i="1" s="1"/>
  <c r="E2151" i="1" a="1"/>
  <c r="E2151" i="1" s="1"/>
  <c r="E2152" i="1" a="1"/>
  <c r="E2152" i="1" s="1"/>
  <c r="E2153" i="1" a="1"/>
  <c r="E2153" i="1"/>
  <c r="E2154" i="1" a="1"/>
  <c r="E2154" i="1"/>
  <c r="E2155" i="1" a="1"/>
  <c r="E2155" i="1" s="1"/>
  <c r="E2156" i="1" a="1"/>
  <c r="E2156" i="1" s="1"/>
  <c r="E2157" i="1" a="1"/>
  <c r="E2157" i="1" s="1"/>
  <c r="E2158" i="1" a="1"/>
  <c r="E2158" i="1" s="1"/>
  <c r="E2159" i="1" a="1"/>
  <c r="E2159" i="1"/>
  <c r="E2160" i="1" a="1"/>
  <c r="E2160" i="1"/>
  <c r="E2161" i="1" a="1"/>
  <c r="E2161" i="1" s="1"/>
  <c r="E2162" i="1" a="1"/>
  <c r="E2162" i="1"/>
  <c r="E2163" i="1" a="1"/>
  <c r="E2163" i="1"/>
  <c r="E2164" i="1" a="1"/>
  <c r="E2164" i="1" s="1"/>
  <c r="E2165" i="1" a="1"/>
  <c r="E2165" i="1" s="1"/>
  <c r="E2166" i="1" a="1"/>
  <c r="E2166" i="1"/>
  <c r="E2167" i="1" a="1"/>
  <c r="E2167" i="1"/>
  <c r="E2168" i="1" a="1"/>
  <c r="E2168" i="1"/>
  <c r="E2169" i="1" a="1"/>
  <c r="E2169" i="1" s="1"/>
  <c r="E2170" i="1" a="1"/>
  <c r="E2170" i="1" s="1"/>
  <c r="E2171" i="1" a="1"/>
  <c r="E2171" i="1" s="1"/>
  <c r="E2172" i="1" a="1"/>
  <c r="E2172" i="1" s="1"/>
  <c r="E2173" i="1" a="1"/>
  <c r="E2173" i="1" s="1"/>
  <c r="E2174" i="1" a="1"/>
  <c r="E2174" i="1"/>
  <c r="E2175" i="1" a="1"/>
  <c r="E2175" i="1"/>
  <c r="E2176" i="1" a="1"/>
  <c r="E2176" i="1" s="1"/>
  <c r="E2177" i="1" a="1"/>
  <c r="E2177" i="1" s="1"/>
  <c r="E2178" i="1" a="1"/>
  <c r="E2178" i="1" s="1"/>
  <c r="E2179" i="1" a="1"/>
  <c r="E2179" i="1" s="1"/>
  <c r="E2180" i="1" a="1"/>
  <c r="E2180" i="1"/>
  <c r="E2181" i="1" a="1"/>
  <c r="E2181" i="1" s="1"/>
  <c r="E2182" i="1" a="1"/>
  <c r="E2182" i="1" s="1"/>
  <c r="E2183" i="1" a="1"/>
  <c r="E2183" i="1"/>
  <c r="E2184" i="1" a="1"/>
  <c r="E2184" i="1"/>
  <c r="E2185" i="1" a="1"/>
  <c r="E2185" i="1" s="1"/>
  <c r="E2186" i="1" a="1"/>
  <c r="E2186" i="1" s="1"/>
  <c r="E2187" i="1" a="1"/>
  <c r="E2187" i="1"/>
  <c r="E2188" i="1" a="1"/>
  <c r="E2188" i="1"/>
  <c r="E2189" i="1" a="1"/>
  <c r="E2189" i="1"/>
  <c r="E2190" i="1" a="1"/>
  <c r="E2190" i="1" s="1"/>
  <c r="E2191" i="1" a="1"/>
  <c r="E2191" i="1" s="1"/>
  <c r="E2192" i="1" a="1"/>
  <c r="E2192" i="1"/>
  <c r="E2193" i="1" a="1"/>
  <c r="E2193" i="1" s="1"/>
  <c r="E2194" i="1" a="1"/>
  <c r="E2194" i="1" s="1"/>
  <c r="E2195" i="1" a="1"/>
  <c r="E2195" i="1"/>
  <c r="E2196" i="1" a="1"/>
  <c r="E2196" i="1"/>
  <c r="E2197" i="1" a="1"/>
  <c r="E2197" i="1" s="1"/>
  <c r="E2198" i="1" a="1"/>
  <c r="E2198" i="1" s="1"/>
  <c r="E2199" i="1" a="1"/>
  <c r="E2199" i="1" s="1"/>
  <c r="E2200" i="1" a="1"/>
  <c r="E2200" i="1" s="1"/>
  <c r="E2201" i="1" a="1"/>
  <c r="E2201" i="1" s="1"/>
  <c r="E2202" i="1" a="1"/>
  <c r="E2202" i="1" s="1"/>
  <c r="E2203" i="1" a="1"/>
  <c r="E2203" i="1" s="1"/>
  <c r="E2204" i="1" a="1"/>
  <c r="E2204" i="1"/>
  <c r="E2205" i="1" a="1"/>
  <c r="E2205" i="1"/>
  <c r="E2206" i="1" a="1"/>
  <c r="E2206" i="1" s="1"/>
  <c r="E2207" i="1" a="1"/>
  <c r="E2207" i="1" s="1"/>
  <c r="E2208" i="1" a="1"/>
  <c r="E2208" i="1"/>
  <c r="E2209" i="1" a="1"/>
  <c r="E2209" i="1"/>
  <c r="E2210" i="1" a="1"/>
  <c r="E2210" i="1"/>
  <c r="E2211" i="1" a="1"/>
  <c r="E2211" i="1" s="1"/>
  <c r="E2212" i="1" a="1"/>
  <c r="E2212" i="1"/>
  <c r="E2213" i="1" a="1"/>
  <c r="E2213" i="1"/>
  <c r="E2214" i="1" a="1"/>
  <c r="E2214" i="1" s="1"/>
  <c r="E2215" i="1" a="1"/>
  <c r="E2215" i="1" s="1"/>
  <c r="E2216" i="1" a="1"/>
  <c r="E2216" i="1"/>
  <c r="E2217" i="1" a="1"/>
  <c r="E2217" i="1"/>
  <c r="E2218" i="1" a="1"/>
  <c r="E2218" i="1" s="1"/>
  <c r="E2219" i="1" a="1"/>
  <c r="E2219" i="1" s="1"/>
  <c r="E2220" i="1" a="1"/>
  <c r="E2220" i="1" s="1"/>
  <c r="E2221" i="1" a="1"/>
  <c r="E2221" i="1" s="1"/>
  <c r="E2222" i="1" a="1"/>
  <c r="E2222" i="1" s="1"/>
  <c r="E2223" i="1" a="1"/>
  <c r="E2223" i="1" s="1"/>
  <c r="E2224" i="1" a="1"/>
  <c r="E2224" i="1" s="1"/>
  <c r="E2225" i="1" a="1"/>
  <c r="E2225" i="1"/>
  <c r="E2226" i="1" a="1"/>
  <c r="E2226" i="1"/>
  <c r="E2227" i="1" a="1"/>
  <c r="E2227" i="1" s="1"/>
  <c r="E2228" i="1" a="1"/>
  <c r="E2228" i="1" s="1"/>
  <c r="E2229" i="1" a="1"/>
  <c r="E2229" i="1"/>
  <c r="E2230" i="1" a="1"/>
  <c r="E2230" i="1"/>
  <c r="E2231" i="1" a="1"/>
  <c r="E2231" i="1" s="1"/>
  <c r="E2232" i="1" a="1"/>
  <c r="E2232" i="1" s="1"/>
  <c r="E2233" i="1" a="1"/>
  <c r="E2233" i="1"/>
  <c r="E2234" i="1" a="1"/>
  <c r="E2234" i="1"/>
  <c r="E2235" i="1" a="1"/>
  <c r="E2235" i="1" s="1"/>
  <c r="E2236" i="1" a="1"/>
  <c r="E2236" i="1" s="1"/>
  <c r="E2237" i="1" a="1"/>
  <c r="E2237" i="1"/>
  <c r="E2238" i="1" a="1"/>
  <c r="E2238" i="1"/>
  <c r="E2239" i="1" a="1"/>
  <c r="E2239" i="1" s="1"/>
  <c r="E2240" i="1" a="1"/>
  <c r="E2240" i="1" s="1"/>
  <c r="E2241" i="1" a="1"/>
  <c r="E2241" i="1" s="1"/>
  <c r="E2242" i="1" a="1"/>
  <c r="E2242" i="1"/>
  <c r="E2243" i="1" a="1"/>
  <c r="E2243" i="1" s="1"/>
  <c r="E2244" i="1" a="1"/>
  <c r="E2244" i="1" s="1"/>
  <c r="E2245" i="1" a="1"/>
  <c r="E2245" i="1" s="1"/>
  <c r="E2246" i="1" a="1"/>
  <c r="E2246" i="1"/>
  <c r="E2247" i="1" a="1"/>
  <c r="E2247" i="1"/>
  <c r="E2248" i="1" a="1"/>
  <c r="E2248" i="1" s="1"/>
  <c r="E2249" i="1" a="1"/>
  <c r="E2249" i="1" s="1"/>
  <c r="E2250" i="1" a="1"/>
  <c r="E2250" i="1"/>
  <c r="E2251" i="1" a="1"/>
  <c r="E2251" i="1" s="1"/>
  <c r="E2252" i="1" a="1"/>
  <c r="E2252" i="1" s="1"/>
  <c r="E2253" i="1" a="1"/>
  <c r="E2253" i="1" s="1"/>
  <c r="E2254" i="1" a="1"/>
  <c r="E2254" i="1"/>
  <c r="E2255" i="1" a="1"/>
  <c r="E2255" i="1"/>
  <c r="E2256" i="1" a="1"/>
  <c r="E2256" i="1" s="1"/>
  <c r="E2257" i="1" a="1"/>
  <c r="E2257" i="1" s="1"/>
  <c r="E2258" i="1" a="1"/>
  <c r="E2258" i="1"/>
  <c r="E2259" i="1" a="1"/>
  <c r="E2259" i="1"/>
  <c r="E2260" i="1" a="1"/>
  <c r="E2260" i="1" s="1"/>
  <c r="E2261" i="1" a="1"/>
  <c r="E2261" i="1" s="1"/>
  <c r="E2262" i="1" a="1"/>
  <c r="E2262" i="1"/>
  <c r="E2263" i="1" a="1"/>
  <c r="E2263" i="1"/>
  <c r="E2264" i="1" a="1"/>
  <c r="E2264" i="1" s="1"/>
  <c r="E2265" i="1" a="1"/>
  <c r="E2265" i="1" s="1"/>
  <c r="E2266" i="1" a="1"/>
  <c r="E2266" i="1" s="1"/>
  <c r="E2267" i="1" a="1"/>
  <c r="E2267" i="1"/>
  <c r="E2268" i="1" a="1"/>
  <c r="E2268" i="1"/>
  <c r="E2269" i="1" a="1"/>
  <c r="E2269" i="1" s="1"/>
  <c r="E2270" i="1" a="1"/>
  <c r="E2270" i="1" s="1"/>
  <c r="E2271" i="1" a="1"/>
  <c r="E2271" i="1" s="1"/>
  <c r="E2272" i="1" a="1"/>
  <c r="E2272" i="1" s="1"/>
  <c r="E2273" i="1" a="1"/>
  <c r="E2273" i="1" s="1"/>
  <c r="E2274" i="1" a="1"/>
  <c r="E2274" i="1" s="1"/>
  <c r="E2275" i="1" a="1"/>
  <c r="E2275" i="1"/>
  <c r="E2276" i="1" a="1"/>
  <c r="E2276" i="1"/>
  <c r="E2277" i="1" a="1"/>
  <c r="E2277" i="1" s="1"/>
  <c r="E2278" i="1" a="1"/>
  <c r="E2278" i="1" s="1"/>
  <c r="E2279" i="1" a="1"/>
  <c r="E2279" i="1"/>
  <c r="E2280" i="1" a="1"/>
  <c r="E2280" i="1"/>
  <c r="E2281" i="1" a="1"/>
  <c r="E2281" i="1" s="1"/>
  <c r="E2282" i="1" a="1"/>
  <c r="E2282" i="1"/>
  <c r="E2283" i="1" a="1"/>
  <c r="E2283" i="1"/>
  <c r="E2284" i="1" a="1"/>
  <c r="E2284" i="1"/>
  <c r="E2285" i="1" a="1"/>
  <c r="E2285" i="1" s="1"/>
  <c r="E2286" i="1" a="1"/>
  <c r="E2286" i="1" s="1"/>
  <c r="E2287" i="1" a="1"/>
  <c r="E2287" i="1" s="1"/>
  <c r="E2288" i="1" a="1"/>
  <c r="E2288" i="1"/>
  <c r="E2289" i="1" a="1"/>
  <c r="E2289" i="1"/>
  <c r="E2290" i="1" a="1"/>
  <c r="E2290" i="1" s="1"/>
  <c r="E2291" i="1" a="1"/>
  <c r="E2291" i="1" s="1"/>
  <c r="E2292" i="1" a="1"/>
  <c r="E2292" i="1" s="1"/>
  <c r="E2293" i="1" a="1"/>
  <c r="E2293" i="1" s="1"/>
  <c r="E2294" i="1" a="1"/>
  <c r="E2294" i="1" s="1"/>
  <c r="E2295" i="1" a="1"/>
  <c r="E2295" i="1" s="1"/>
  <c r="E2296" i="1" a="1"/>
  <c r="E2296" i="1"/>
  <c r="E2297" i="1" a="1"/>
  <c r="E2297" i="1"/>
  <c r="E2298" i="1" a="1"/>
  <c r="E2298" i="1" s="1"/>
  <c r="E2299" i="1" a="1"/>
  <c r="E2299" i="1" s="1"/>
  <c r="E2300" i="1" a="1"/>
  <c r="E2300" i="1"/>
  <c r="E2301" i="1" a="1"/>
  <c r="E2301" i="1" s="1"/>
  <c r="E2302" i="1" a="1"/>
  <c r="E2302" i="1" s="1"/>
  <c r="E2303" i="1" a="1"/>
  <c r="E2303" i="1"/>
  <c r="E2304" i="1" a="1"/>
  <c r="E2304" i="1"/>
  <c r="E2305" i="1" a="1"/>
  <c r="E2305" i="1"/>
  <c r="E2306" i="1" a="1"/>
  <c r="E2306" i="1" s="1"/>
  <c r="E2307" i="1" a="1"/>
  <c r="E2307" i="1" s="1"/>
  <c r="E2308" i="1" a="1"/>
  <c r="E2308" i="1" s="1"/>
  <c r="E2309" i="1" a="1"/>
  <c r="E2309" i="1"/>
  <c r="E2310" i="1" a="1"/>
  <c r="E2310" i="1"/>
  <c r="E2311" i="1" a="1"/>
  <c r="E2311" i="1" s="1"/>
  <c r="E2312" i="1" a="1"/>
  <c r="E2312" i="1"/>
  <c r="E2313" i="1" a="1"/>
  <c r="E2313" i="1" s="1"/>
  <c r="E2314" i="1" a="1"/>
  <c r="E2314" i="1" s="1"/>
  <c r="E2315" i="1" a="1"/>
  <c r="E2315" i="1" s="1"/>
  <c r="E2316" i="1" a="1"/>
  <c r="E2316" i="1" s="1"/>
  <c r="E2317" i="1" a="1"/>
  <c r="E2317" i="1"/>
  <c r="E2318" i="1" a="1"/>
  <c r="E2318" i="1"/>
  <c r="E2319" i="1" a="1"/>
  <c r="E2319" i="1" s="1"/>
  <c r="E2320" i="1" a="1"/>
  <c r="E2320" i="1" s="1"/>
  <c r="E2321" i="1" a="1"/>
  <c r="E2321" i="1" s="1"/>
  <c r="E2322" i="1" a="1"/>
  <c r="E2322" i="1" s="1"/>
  <c r="E2323" i="1" a="1"/>
  <c r="E2323" i="1" s="1"/>
  <c r="E2324" i="1" a="1"/>
  <c r="E2324" i="1"/>
  <c r="E2325" i="1" a="1"/>
  <c r="E2325" i="1"/>
  <c r="E2326" i="1" a="1"/>
  <c r="E2326" i="1"/>
  <c r="E2327" i="1" a="1"/>
  <c r="E2327" i="1" s="1"/>
  <c r="E2328" i="1" a="1"/>
  <c r="E2328" i="1" s="1"/>
  <c r="E2329" i="1" a="1"/>
  <c r="E2329" i="1" s="1"/>
  <c r="E2330" i="1" a="1"/>
  <c r="E2330" i="1"/>
  <c r="E2331" i="1" a="1"/>
  <c r="E2331" i="1" s="1"/>
  <c r="E2332" i="1" a="1"/>
  <c r="E2332" i="1"/>
  <c r="E2333" i="1" a="1"/>
  <c r="E2333" i="1"/>
  <c r="E2334" i="1" a="1"/>
  <c r="E2334" i="1" s="1"/>
  <c r="E2335" i="1" a="1"/>
  <c r="E2335" i="1" s="1"/>
  <c r="E2336" i="1" a="1"/>
  <c r="E2336" i="1" s="1"/>
  <c r="E2337" i="1" a="1"/>
  <c r="E2337" i="1" s="1"/>
  <c r="E2338" i="1" a="1"/>
  <c r="E2338" i="1"/>
  <c r="E2339" i="1" a="1"/>
  <c r="E2339" i="1"/>
  <c r="E2340" i="1" a="1"/>
  <c r="E2340" i="1" s="1"/>
  <c r="E2341" i="1" a="1"/>
  <c r="E2341" i="1" s="1"/>
  <c r="E2342" i="1" a="1"/>
  <c r="E2342" i="1"/>
  <c r="E2343" i="1" a="1"/>
  <c r="E2343" i="1" s="1"/>
  <c r="E2344" i="1" a="1"/>
  <c r="E2344" i="1" s="1"/>
  <c r="E2345" i="1" a="1"/>
  <c r="E2345" i="1"/>
  <c r="E2346" i="1" a="1"/>
  <c r="E2346" i="1"/>
  <c r="E2347" i="1" a="1"/>
  <c r="E2347" i="1"/>
  <c r="E2348" i="1" a="1"/>
  <c r="E2348" i="1" s="1"/>
  <c r="E2349" i="1" a="1"/>
  <c r="E2349" i="1" s="1"/>
  <c r="E2350" i="1" a="1"/>
  <c r="E2350" i="1" s="1"/>
  <c r="E2351" i="1" a="1"/>
  <c r="E2351" i="1" s="1"/>
  <c r="E2352" i="1" a="1"/>
  <c r="E2352" i="1" s="1"/>
  <c r="E2353" i="1" a="1"/>
  <c r="E2353" i="1"/>
  <c r="E2354" i="1" a="1"/>
  <c r="E2354" i="1"/>
  <c r="E2355" i="1" a="1"/>
  <c r="E2355" i="1" s="1"/>
  <c r="E2356" i="1" a="1"/>
  <c r="E2356" i="1" s="1"/>
  <c r="E2357" i="1" a="1"/>
  <c r="E2357" i="1" s="1"/>
  <c r="E2358" i="1" a="1"/>
  <c r="E2358" i="1" s="1"/>
  <c r="E2359" i="1" a="1"/>
  <c r="E2359" i="1"/>
  <c r="E2360" i="1" a="1"/>
  <c r="E2360" i="1"/>
  <c r="E2361" i="1" a="1"/>
  <c r="E2361" i="1" s="1"/>
  <c r="E2362" i="1" a="1"/>
  <c r="E2362" i="1"/>
  <c r="E2363" i="1" a="1"/>
  <c r="E2363" i="1"/>
  <c r="E2364" i="1" a="1"/>
  <c r="E2364" i="1" s="1"/>
  <c r="E2365" i="1" a="1"/>
  <c r="E2365" i="1" s="1"/>
  <c r="E2366" i="1" a="1"/>
  <c r="E2366" i="1"/>
  <c r="E2367" i="1" a="1"/>
  <c r="E2367" i="1"/>
  <c r="E2368" i="1" a="1"/>
  <c r="E2368" i="1"/>
  <c r="E2369" i="1" a="1"/>
  <c r="E2369" i="1" s="1"/>
  <c r="E2370" i="1" a="1"/>
  <c r="E2370" i="1" s="1"/>
  <c r="E2371" i="1" a="1"/>
  <c r="E2371" i="1" s="1"/>
  <c r="E2372" i="1" a="1"/>
  <c r="E2372" i="1" s="1"/>
  <c r="E2373" i="1" a="1"/>
  <c r="E2373" i="1" s="1"/>
  <c r="E2374" i="1" a="1"/>
  <c r="E2374" i="1"/>
  <c r="E2375" i="1" a="1"/>
  <c r="E2375" i="1"/>
  <c r="E2376" i="1" a="1"/>
  <c r="E2376" i="1" s="1"/>
  <c r="E2377" i="1" a="1"/>
  <c r="E2377" i="1" s="1"/>
  <c r="E2378" i="1" a="1"/>
  <c r="E2378" i="1" s="1"/>
  <c r="E2379" i="1" a="1"/>
  <c r="E2379" i="1" s="1"/>
  <c r="E2380" i="1" a="1"/>
  <c r="E2380" i="1"/>
  <c r="E2381" i="1" a="1"/>
  <c r="E2381" i="1" s="1"/>
  <c r="E2382" i="1" a="1"/>
  <c r="E2382" i="1" s="1"/>
  <c r="E2383" i="1" a="1"/>
  <c r="E2383" i="1"/>
  <c r="E2384" i="1" a="1"/>
  <c r="E2384" i="1"/>
  <c r="E2385" i="1" a="1"/>
  <c r="E2385" i="1" s="1"/>
  <c r="E2386" i="1" a="1"/>
  <c r="E2386" i="1" s="1"/>
  <c r="E2387" i="1" a="1"/>
  <c r="E2387" i="1"/>
  <c r="E2388" i="1" a="1"/>
  <c r="E2388" i="1"/>
  <c r="E2389" i="1" a="1"/>
  <c r="E2389" i="1"/>
  <c r="E2390" i="1" a="1"/>
  <c r="E2390" i="1" s="1"/>
  <c r="E2391" i="1" a="1"/>
  <c r="E2391" i="1" s="1"/>
  <c r="E2392" i="1" a="1"/>
  <c r="E2392" i="1"/>
  <c r="E2393" i="1" a="1"/>
  <c r="E2393" i="1" s="1"/>
  <c r="E2394" i="1" a="1"/>
  <c r="E2394" i="1" s="1"/>
  <c r="E2395" i="1" a="1"/>
  <c r="E2395" i="1"/>
  <c r="E2396" i="1" a="1"/>
  <c r="E2396" i="1"/>
  <c r="E2397" i="1" a="1"/>
  <c r="E2397" i="1" s="1"/>
  <c r="E2398" i="1" a="1"/>
  <c r="E2398" i="1" s="1"/>
  <c r="E2399" i="1" a="1"/>
  <c r="E2399" i="1" s="1"/>
  <c r="E2400" i="1" a="1"/>
  <c r="E2400" i="1" s="1"/>
  <c r="E2401" i="1" a="1"/>
  <c r="E2401" i="1" s="1"/>
  <c r="E2402" i="1" a="1"/>
  <c r="E2402" i="1" s="1"/>
  <c r="E2403" i="1" a="1"/>
  <c r="E2403" i="1" s="1"/>
  <c r="E2404" i="1" a="1"/>
  <c r="E2404" i="1"/>
  <c r="E2405" i="1" a="1"/>
  <c r="E2405" i="1"/>
  <c r="E2406" i="1" a="1"/>
  <c r="E2406" i="1" s="1"/>
  <c r="E2407" i="1" a="1"/>
  <c r="E2407" i="1" s="1"/>
  <c r="E2408" i="1" a="1"/>
  <c r="E2408" i="1"/>
  <c r="E2409" i="1" a="1"/>
  <c r="E2409" i="1"/>
  <c r="E2410" i="1" a="1"/>
  <c r="E2410" i="1"/>
  <c r="E2411" i="1" a="1"/>
  <c r="E2411" i="1" s="1"/>
  <c r="E2412" i="1" a="1"/>
  <c r="E2412" i="1"/>
  <c r="E2413" i="1" a="1"/>
  <c r="E2413" i="1"/>
  <c r="E2414" i="1" a="1"/>
  <c r="E2414" i="1" s="1"/>
  <c r="E2415" i="1" a="1"/>
  <c r="E2415" i="1" s="1"/>
  <c r="E2416" i="1" a="1"/>
  <c r="E2416" i="1"/>
  <c r="E2417" i="1" a="1"/>
  <c r="E2417" i="1"/>
  <c r="E2418" i="1" a="1"/>
  <c r="E2418" i="1" s="1"/>
  <c r="E2419" i="1" a="1"/>
  <c r="E2419" i="1" s="1"/>
  <c r="E2420" i="1" a="1"/>
  <c r="E2420" i="1" s="1"/>
  <c r="E2421" i="1" a="1"/>
  <c r="E2421" i="1" s="1"/>
  <c r="E2422" i="1" a="1"/>
  <c r="E2422" i="1" s="1"/>
  <c r="E2423" i="1" a="1"/>
  <c r="E2423" i="1" s="1"/>
  <c r="E2424" i="1" a="1"/>
  <c r="E2424" i="1" s="1"/>
  <c r="E2425" i="1" a="1"/>
  <c r="E2425" i="1"/>
  <c r="E2426" i="1" a="1"/>
  <c r="E2426" i="1"/>
  <c r="E2427" i="1" a="1"/>
  <c r="E2427" i="1" s="1"/>
  <c r="E2428" i="1" a="1"/>
  <c r="E2428" i="1" s="1"/>
  <c r="E2429" i="1" a="1"/>
  <c r="E2429" i="1"/>
  <c r="E2430" i="1" a="1"/>
  <c r="E2430" i="1"/>
  <c r="E2431" i="1" a="1"/>
  <c r="E2431" i="1" s="1"/>
  <c r="E2432" i="1" a="1"/>
  <c r="E2432" i="1" s="1"/>
  <c r="E2433" i="1" a="1"/>
  <c r="E2433" i="1"/>
  <c r="E2434" i="1" a="1"/>
  <c r="E2434" i="1"/>
  <c r="E2435" i="1" a="1"/>
  <c r="E2435" i="1" s="1"/>
  <c r="E2436" i="1" a="1"/>
  <c r="E2436" i="1" s="1"/>
  <c r="E2437" i="1" a="1"/>
  <c r="E2437" i="1"/>
  <c r="E2438" i="1" a="1"/>
  <c r="E2438" i="1"/>
  <c r="E2439" i="1" a="1"/>
  <c r="E2439" i="1" s="1"/>
  <c r="E2440" i="1" a="1"/>
  <c r="E2440" i="1" s="1"/>
  <c r="E2441" i="1" a="1"/>
  <c r="E2441" i="1" s="1"/>
  <c r="E2442" i="1" a="1"/>
  <c r="E2442" i="1"/>
  <c r="E2443" i="1" a="1"/>
  <c r="E2443" i="1" s="1"/>
  <c r="E2444" i="1" a="1"/>
  <c r="E2444" i="1" s="1"/>
  <c r="E2445" i="1" a="1"/>
  <c r="E2445" i="1" s="1"/>
  <c r="E2446" i="1" a="1"/>
  <c r="E2446" i="1"/>
  <c r="E2447" i="1" a="1"/>
  <c r="E2447" i="1"/>
  <c r="E2448" i="1" a="1"/>
  <c r="E2448" i="1" s="1"/>
  <c r="E2449" i="1" a="1"/>
  <c r="E2449" i="1" s="1"/>
  <c r="E2450" i="1" a="1"/>
  <c r="E2450" i="1"/>
  <c r="E2451" i="1" a="1"/>
  <c r="E2451" i="1" s="1"/>
  <c r="E2452" i="1" a="1"/>
  <c r="E2452" i="1" s="1"/>
  <c r="E2453" i="1" a="1"/>
  <c r="E2453" i="1" s="1"/>
  <c r="E2454" i="1" a="1"/>
  <c r="E2454" i="1"/>
  <c r="E2455" i="1" a="1"/>
  <c r="E2455" i="1"/>
  <c r="E2456" i="1" a="1"/>
  <c r="E2456" i="1" s="1"/>
  <c r="E2457" i="1" a="1"/>
  <c r="E2457" i="1" s="1"/>
  <c r="E2458" i="1" a="1"/>
  <c r="E2458" i="1"/>
  <c r="E2459" i="1" a="1"/>
  <c r="E2459" i="1"/>
  <c r="E2460" i="1" a="1"/>
  <c r="E2460" i="1" s="1"/>
  <c r="E2461" i="1" a="1"/>
  <c r="E2461" i="1" s="1"/>
  <c r="E2462" i="1" a="1"/>
  <c r="E2462" i="1"/>
  <c r="E2463" i="1" a="1"/>
  <c r="E2463" i="1"/>
  <c r="E2464" i="1" a="1"/>
  <c r="E2464" i="1" s="1"/>
  <c r="E2465" i="1" a="1"/>
  <c r="E2465" i="1" s="1"/>
  <c r="E2466" i="1" a="1"/>
  <c r="E2466" i="1" s="1"/>
  <c r="E2467" i="1" a="1"/>
  <c r="E2467" i="1"/>
  <c r="E2468" i="1" a="1"/>
  <c r="E2468" i="1"/>
  <c r="E2469" i="1" a="1"/>
  <c r="E2469" i="1" s="1"/>
  <c r="E2470" i="1" a="1"/>
  <c r="E2470" i="1" s="1"/>
  <c r="E2471" i="1" a="1"/>
  <c r="E2471" i="1" s="1"/>
  <c r="E2472" i="1" a="1"/>
  <c r="E2472" i="1" s="1"/>
  <c r="E2473" i="1" a="1"/>
  <c r="E2473" i="1" s="1"/>
  <c r="E2474" i="1" a="1"/>
  <c r="E2474" i="1" s="1"/>
  <c r="E2475" i="1" a="1"/>
  <c r="E2475" i="1"/>
  <c r="E2476" i="1" a="1"/>
  <c r="E2476" i="1"/>
  <c r="E2477" i="1" a="1"/>
  <c r="E2477" i="1" s="1"/>
  <c r="E2478" i="1" a="1"/>
  <c r="E2478" i="1" s="1"/>
  <c r="E2479" i="1" a="1"/>
  <c r="E2479" i="1"/>
  <c r="E2480" i="1" a="1"/>
  <c r="E2480" i="1"/>
  <c r="E2481" i="1" a="1"/>
  <c r="E2481" i="1" s="1"/>
  <c r="E2482" i="1" a="1"/>
  <c r="E2482" i="1"/>
  <c r="E2483" i="1" a="1"/>
  <c r="E2483" i="1"/>
  <c r="E2484" i="1" a="1"/>
  <c r="E2484" i="1"/>
  <c r="E2485" i="1" a="1"/>
  <c r="E2485" i="1" s="1"/>
  <c r="E2486" i="1" a="1"/>
  <c r="E2486" i="1" s="1"/>
  <c r="E2487" i="1" a="1"/>
  <c r="E2487" i="1" s="1"/>
  <c r="E2488" i="1" a="1"/>
  <c r="E2488" i="1"/>
  <c r="E2489" i="1" a="1"/>
  <c r="E2489" i="1"/>
  <c r="E2490" i="1" a="1"/>
  <c r="E2490" i="1" s="1"/>
  <c r="E2491" i="1" a="1"/>
  <c r="E2491" i="1" s="1"/>
  <c r="E2492" i="1" a="1"/>
  <c r="E2492" i="1" s="1"/>
  <c r="E2493" i="1" a="1"/>
  <c r="E2493" i="1" s="1"/>
  <c r="E2494" i="1" a="1"/>
  <c r="E2494" i="1" s="1"/>
  <c r="E2495" i="1" a="1"/>
  <c r="E2495" i="1" s="1"/>
  <c r="E2496" i="1" a="1"/>
  <c r="E2496" i="1"/>
  <c r="E2497" i="1" a="1"/>
  <c r="E2497" i="1"/>
  <c r="E2498" i="1" a="1"/>
  <c r="E2498" i="1" s="1"/>
  <c r="E2499" i="1" a="1"/>
  <c r="E2499" i="1" s="1"/>
  <c r="E2500" i="1" a="1"/>
  <c r="E2500" i="1"/>
  <c r="E2501" i="1" a="1"/>
  <c r="E2501" i="1" s="1"/>
  <c r="E2502" i="1" a="1"/>
  <c r="E2502" i="1" s="1"/>
  <c r="E2503" i="1" a="1"/>
  <c r="E2503" i="1"/>
  <c r="E2504" i="1" a="1"/>
  <c r="E2504" i="1"/>
  <c r="E2505" i="1" a="1"/>
  <c r="E2505" i="1"/>
  <c r="E2506" i="1" a="1"/>
  <c r="E2506" i="1" s="1"/>
  <c r="E2507" i="1" a="1"/>
  <c r="E2507" i="1" s="1"/>
  <c r="E2508" i="1" a="1"/>
  <c r="E2508" i="1" s="1"/>
  <c r="E2509" i="1" a="1"/>
  <c r="E2509" i="1"/>
  <c r="E2510" i="1" a="1"/>
  <c r="E2510" i="1"/>
  <c r="E2511" i="1" a="1"/>
  <c r="E2511" i="1" s="1"/>
  <c r="E2512" i="1" a="1"/>
  <c r="E2512" i="1"/>
  <c r="E2513" i="1" a="1"/>
  <c r="E2513" i="1" s="1"/>
  <c r="E2514" i="1" a="1"/>
  <c r="E2514" i="1" s="1"/>
  <c r="E2515" i="1" a="1"/>
  <c r="E2515" i="1" s="1"/>
  <c r="E2516" i="1" a="1"/>
  <c r="E2516" i="1" s="1"/>
  <c r="E2517" i="1" a="1"/>
  <c r="E2517" i="1"/>
  <c r="E2518" i="1" a="1"/>
  <c r="E2518" i="1"/>
  <c r="E2519" i="1" a="1"/>
  <c r="E2519" i="1" s="1"/>
  <c r="E2520" i="1" a="1"/>
  <c r="E2520" i="1" s="1"/>
  <c r="E2521" i="1" a="1"/>
  <c r="E2521" i="1" s="1"/>
  <c r="E2522" i="1" a="1"/>
  <c r="E2522" i="1" s="1"/>
  <c r="E2523" i="1" a="1"/>
  <c r="E2523" i="1" s="1"/>
  <c r="E2524" i="1" a="1"/>
  <c r="E2524" i="1"/>
  <c r="E2525" i="1" a="1"/>
  <c r="E2525" i="1"/>
  <c r="E2526" i="1" a="1"/>
  <c r="E2526" i="1"/>
  <c r="E2527" i="1" a="1"/>
  <c r="E2527" i="1" s="1"/>
  <c r="E2528" i="1" a="1"/>
  <c r="E2528" i="1" s="1"/>
  <c r="E2529" i="1" a="1"/>
  <c r="E2529" i="1" s="1"/>
  <c r="E2530" i="1" a="1"/>
  <c r="E2530" i="1"/>
  <c r="E2531" i="1" a="1"/>
  <c r="E2531" i="1" s="1"/>
  <c r="E2532" i="1" a="1"/>
  <c r="E2532" i="1"/>
  <c r="E2533" i="1" a="1"/>
  <c r="E2533" i="1"/>
  <c r="E2534" i="1" a="1"/>
  <c r="E2534" i="1" s="1"/>
  <c r="E2535" i="1" a="1"/>
  <c r="E2535" i="1" s="1"/>
  <c r="E2536" i="1" a="1"/>
  <c r="E2536" i="1" s="1"/>
  <c r="E2537" i="1" a="1"/>
  <c r="E2537" i="1" s="1"/>
  <c r="E2538" i="1" a="1"/>
  <c r="E2538" i="1"/>
  <c r="E2539" i="1" a="1"/>
  <c r="E2539" i="1"/>
  <c r="E2540" i="1" a="1"/>
  <c r="E2540" i="1" s="1"/>
  <c r="E2541" i="1" a="1"/>
  <c r="E2541" i="1" s="1"/>
  <c r="E2542" i="1" a="1"/>
  <c r="E2542" i="1"/>
  <c r="E2543" i="1" a="1"/>
  <c r="E2543" i="1" s="1"/>
  <c r="E2544" i="1" a="1"/>
  <c r="E2544" i="1" s="1"/>
  <c r="E2545" i="1" a="1"/>
  <c r="E2545" i="1"/>
  <c r="E2546" i="1" a="1"/>
  <c r="E2546" i="1"/>
  <c r="E2547" i="1" a="1"/>
  <c r="E2547" i="1"/>
  <c r="E2548" i="1" a="1"/>
  <c r="E2548" i="1" s="1"/>
  <c r="E2549" i="1" a="1"/>
  <c r="E2549" i="1" s="1"/>
  <c r="E2550" i="1" a="1"/>
  <c r="E2550" i="1" s="1"/>
  <c r="E2551" i="1" a="1"/>
  <c r="E2551" i="1" s="1"/>
  <c r="E2552" i="1" a="1"/>
  <c r="E2552" i="1" s="1"/>
  <c r="E2553" i="1" a="1"/>
  <c r="E2553" i="1"/>
  <c r="E2554" i="1" a="1"/>
  <c r="E2554" i="1"/>
  <c r="E2555" i="1" a="1"/>
  <c r="E2555" i="1" s="1"/>
  <c r="E2556" i="1" a="1"/>
  <c r="E2556" i="1" s="1"/>
  <c r="E2557" i="1" a="1"/>
  <c r="E2557" i="1" s="1"/>
  <c r="E2558" i="1" a="1"/>
  <c r="E2558" i="1" s="1"/>
  <c r="E2559" i="1" a="1"/>
  <c r="E2559" i="1"/>
  <c r="E2560" i="1" a="1"/>
  <c r="E2560" i="1"/>
  <c r="E2561" i="1" a="1"/>
  <c r="E2561" i="1" s="1"/>
  <c r="E2562" i="1" a="1"/>
  <c r="E2562" i="1"/>
  <c r="E2563" i="1" a="1"/>
  <c r="E2563" i="1"/>
  <c r="E2564" i="1" a="1"/>
  <c r="E2564" i="1" s="1"/>
  <c r="E2565" i="1" a="1"/>
  <c r="E2565" i="1" s="1"/>
  <c r="E2566" i="1" a="1"/>
  <c r="E2566" i="1"/>
  <c r="E2567" i="1" a="1"/>
  <c r="E2567" i="1"/>
  <c r="E2568" i="1" a="1"/>
  <c r="E2568" i="1"/>
  <c r="E2569" i="1" a="1"/>
  <c r="E2569" i="1" s="1"/>
  <c r="E2570" i="1" a="1"/>
  <c r="E2570" i="1" s="1"/>
  <c r="E2571" i="1" a="1"/>
  <c r="E2571" i="1" s="1"/>
  <c r="E2572" i="1" a="1"/>
  <c r="E2572" i="1" s="1"/>
  <c r="E2573" i="1" a="1"/>
  <c r="E2573" i="1" s="1"/>
  <c r="E2574" i="1" a="1"/>
  <c r="E2574" i="1"/>
  <c r="E2575" i="1" a="1"/>
  <c r="E2575" i="1"/>
  <c r="E2576" i="1" a="1"/>
  <c r="E2576" i="1" s="1"/>
  <c r="E2577" i="1" a="1"/>
  <c r="E2577" i="1" s="1"/>
  <c r="E2578" i="1" a="1"/>
  <c r="E2578" i="1" s="1"/>
  <c r="E2579" i="1" a="1"/>
  <c r="E2579" i="1" s="1"/>
  <c r="E2580" i="1" a="1"/>
  <c r="E2580" i="1"/>
  <c r="E2581" i="1" a="1"/>
  <c r="E2581" i="1" s="1"/>
  <c r="E2582" i="1" a="1"/>
  <c r="E2582" i="1" s="1"/>
  <c r="E2583" i="1" a="1"/>
  <c r="E2583" i="1"/>
  <c r="E2584" i="1" a="1"/>
  <c r="E2584" i="1"/>
  <c r="E2585" i="1" a="1"/>
  <c r="E2585" i="1" s="1"/>
  <c r="E2586" i="1" a="1"/>
  <c r="E2586" i="1" s="1"/>
  <c r="E2587" i="1" a="1"/>
  <c r="E2587" i="1"/>
  <c r="E2588" i="1" a="1"/>
  <c r="E2588" i="1"/>
  <c r="E2589" i="1" a="1"/>
  <c r="E2589" i="1"/>
  <c r="E2590" i="1" a="1"/>
  <c r="E2590" i="1" s="1"/>
  <c r="E2591" i="1" a="1"/>
  <c r="E2591" i="1" s="1"/>
  <c r="E2592" i="1" a="1"/>
  <c r="E2592" i="1"/>
  <c r="E2593" i="1" a="1"/>
  <c r="E2593" i="1" s="1"/>
  <c r="E2594" i="1" a="1"/>
  <c r="E2594" i="1" s="1"/>
  <c r="E2595" i="1" a="1"/>
  <c r="E2595" i="1"/>
  <c r="E2596" i="1" a="1"/>
  <c r="E2596" i="1"/>
  <c r="E2597" i="1" a="1"/>
  <c r="E2597" i="1" s="1"/>
  <c r="E2598" i="1" a="1"/>
  <c r="E2598" i="1" s="1"/>
  <c r="E2599" i="1" a="1"/>
  <c r="E2599" i="1" s="1"/>
  <c r="E2600" i="1" a="1"/>
  <c r="E2600" i="1" s="1"/>
  <c r="E2601" i="1" a="1"/>
  <c r="E2601" i="1" s="1"/>
  <c r="E2602" i="1" a="1"/>
  <c r="E2602" i="1" s="1"/>
  <c r="E2603" i="1" a="1"/>
  <c r="E2603" i="1" s="1"/>
  <c r="E2604" i="1" a="1"/>
  <c r="E2604" i="1"/>
  <c r="E2605" i="1" a="1"/>
  <c r="E2605" i="1"/>
  <c r="E2606" i="1" a="1"/>
  <c r="E2606" i="1" s="1"/>
  <c r="E2607" i="1" a="1"/>
  <c r="E2607" i="1" s="1"/>
  <c r="E2608" i="1" a="1"/>
  <c r="E2608" i="1"/>
  <c r="E2609" i="1" a="1"/>
  <c r="E2609" i="1"/>
  <c r="E2610" i="1" a="1"/>
  <c r="E2610" i="1"/>
  <c r="E2611" i="1" a="1"/>
  <c r="E2611" i="1" s="1"/>
  <c r="E2612" i="1" a="1"/>
  <c r="E2612" i="1"/>
  <c r="E2613" i="1" a="1"/>
  <c r="E2613" i="1"/>
  <c r="E2614" i="1" a="1"/>
  <c r="E2614" i="1" s="1"/>
  <c r="E2615" i="1" a="1"/>
  <c r="E2615" i="1" s="1"/>
  <c r="E2616" i="1" a="1"/>
  <c r="E2616" i="1"/>
  <c r="E2617" i="1" a="1"/>
  <c r="E2617" i="1"/>
  <c r="E2618" i="1" a="1"/>
  <c r="E2618" i="1" s="1"/>
  <c r="E2619" i="1" a="1"/>
  <c r="E2619" i="1" s="1"/>
  <c r="E2620" i="1" a="1"/>
  <c r="E2620" i="1" s="1"/>
  <c r="E2621" i="1" a="1"/>
  <c r="E2621" i="1" s="1"/>
  <c r="E2622" i="1" a="1"/>
  <c r="E2622" i="1" s="1"/>
  <c r="E2623" i="1" a="1"/>
  <c r="E2623" i="1" s="1"/>
  <c r="E2624" i="1" a="1"/>
  <c r="E2624" i="1" s="1"/>
  <c r="E2625" i="1" a="1"/>
  <c r="E2625" i="1"/>
  <c r="E2626" i="1" a="1"/>
  <c r="E2626" i="1"/>
  <c r="E2627" i="1" a="1"/>
  <c r="E2627" i="1" s="1"/>
  <c r="E2628" i="1" a="1"/>
  <c r="E2628" i="1" s="1"/>
  <c r="E2629" i="1" a="1"/>
  <c r="E2629" i="1"/>
  <c r="E2630" i="1" a="1"/>
  <c r="E2630" i="1"/>
  <c r="E2631" i="1" a="1"/>
  <c r="E2631" i="1" s="1"/>
  <c r="E2632" i="1" a="1"/>
  <c r="E2632" i="1" s="1"/>
  <c r="E2633" i="1" a="1"/>
  <c r="E2633" i="1"/>
  <c r="E2634" i="1" a="1"/>
  <c r="E2634" i="1"/>
  <c r="E2635" i="1" a="1"/>
  <c r="E2635" i="1" s="1"/>
  <c r="E2636" i="1" a="1"/>
  <c r="E2636" i="1" s="1"/>
  <c r="E2637" i="1" a="1"/>
  <c r="E2637" i="1"/>
  <c r="E2638" i="1" a="1"/>
  <c r="E2638" i="1"/>
  <c r="E2639" i="1" a="1"/>
  <c r="E2639" i="1" s="1"/>
  <c r="E2640" i="1" a="1"/>
  <c r="E2640" i="1" s="1"/>
  <c r="E2641" i="1" a="1"/>
  <c r="E2641" i="1" s="1"/>
  <c r="E2642" i="1" a="1"/>
  <c r="E2642" i="1"/>
  <c r="E2643" i="1" a="1"/>
  <c r="E2643" i="1" s="1"/>
  <c r="E2644" i="1" a="1"/>
  <c r="E2644" i="1" s="1"/>
  <c r="E2645" i="1" a="1"/>
  <c r="E2645" i="1" s="1"/>
  <c r="E2646" i="1" a="1"/>
  <c r="E2646" i="1"/>
  <c r="E2647" i="1" a="1"/>
  <c r="E2647" i="1"/>
  <c r="E2648" i="1" a="1"/>
  <c r="E2648" i="1" s="1"/>
  <c r="E2649" i="1" a="1"/>
  <c r="E2649" i="1" s="1"/>
  <c r="E2650" i="1" a="1"/>
  <c r="E2650" i="1"/>
  <c r="E2651" i="1" a="1"/>
  <c r="E2651" i="1" s="1"/>
  <c r="E2652" i="1" a="1"/>
  <c r="E2652" i="1" s="1"/>
  <c r="E2653" i="1" a="1"/>
  <c r="E2653" i="1" s="1"/>
  <c r="E2654" i="1" a="1"/>
  <c r="E2654" i="1"/>
  <c r="E2655" i="1" a="1"/>
  <c r="E2655" i="1"/>
  <c r="E2656" i="1" a="1"/>
  <c r="E2656" i="1" s="1"/>
  <c r="E2657" i="1" a="1"/>
  <c r="E2657" i="1" s="1"/>
  <c r="E2658" i="1" a="1"/>
  <c r="E2658" i="1"/>
  <c r="E2659" i="1" a="1"/>
  <c r="E2659" i="1"/>
  <c r="E2660" i="1" a="1"/>
  <c r="E2660" i="1" s="1"/>
  <c r="E2661" i="1" a="1"/>
  <c r="E2661" i="1" s="1"/>
  <c r="E2662" i="1" a="1"/>
  <c r="E2662" i="1"/>
  <c r="E2663" i="1" a="1"/>
  <c r="E2663" i="1"/>
  <c r="E2664" i="1" a="1"/>
  <c r="E2664" i="1" s="1"/>
  <c r="E2665" i="1" a="1"/>
  <c r="E2665" i="1" s="1"/>
  <c r="E2666" i="1" a="1"/>
  <c r="E2666" i="1" s="1"/>
  <c r="E2667" i="1" a="1"/>
  <c r="E2667" i="1"/>
  <c r="E2668" i="1" a="1"/>
  <c r="E2668" i="1"/>
  <c r="E2669" i="1" a="1"/>
  <c r="E2669" i="1" s="1"/>
  <c r="E2670" i="1" a="1"/>
  <c r="E2670" i="1" s="1"/>
  <c r="E2671" i="1" a="1"/>
  <c r="E2671" i="1" s="1"/>
  <c r="E2672" i="1" a="1"/>
  <c r="E2672" i="1" s="1"/>
  <c r="E2673" i="1" a="1"/>
  <c r="E2673" i="1" s="1"/>
  <c r="E2674" i="1" a="1"/>
  <c r="E2674" i="1" s="1"/>
  <c r="E2675" i="1" a="1"/>
  <c r="E2675" i="1"/>
  <c r="E2676" i="1" a="1"/>
  <c r="E2676" i="1"/>
  <c r="E2677" i="1" a="1"/>
  <c r="E2677" i="1" s="1"/>
  <c r="E2678" i="1" a="1"/>
  <c r="E2678" i="1" s="1"/>
  <c r="E2679" i="1" a="1"/>
  <c r="E2679" i="1"/>
  <c r="E2680" i="1" a="1"/>
  <c r="E2680" i="1"/>
  <c r="E2681" i="1" a="1"/>
  <c r="E2681" i="1" s="1"/>
  <c r="E2682" i="1" a="1"/>
  <c r="E2682" i="1"/>
  <c r="E2683" i="1" a="1"/>
  <c r="E2683" i="1"/>
  <c r="E2684" i="1" a="1"/>
  <c r="E2684" i="1"/>
  <c r="E2685" i="1" a="1"/>
  <c r="E2685" i="1" s="1"/>
  <c r="E2686" i="1" a="1"/>
  <c r="E2686" i="1" s="1"/>
  <c r="E2687" i="1" a="1"/>
  <c r="E2687" i="1" s="1"/>
  <c r="E2688" i="1" a="1"/>
  <c r="E2688" i="1"/>
  <c r="E2689" i="1" a="1"/>
  <c r="E2689" i="1"/>
  <c r="E2690" i="1" a="1"/>
  <c r="E2690" i="1" s="1"/>
  <c r="E2691" i="1" a="1"/>
  <c r="E2691" i="1" s="1"/>
  <c r="E2692" i="1" a="1"/>
  <c r="E2692" i="1" s="1"/>
  <c r="E2693" i="1" a="1"/>
  <c r="E2693" i="1" s="1"/>
  <c r="E2694" i="1" a="1"/>
  <c r="E2694" i="1" s="1"/>
  <c r="E2695" i="1" a="1"/>
  <c r="E2695" i="1" s="1"/>
  <c r="E2696" i="1" a="1"/>
  <c r="E2696" i="1"/>
  <c r="E2697" i="1" a="1"/>
  <c r="E2697" i="1"/>
  <c r="E2698" i="1" a="1"/>
  <c r="E2698" i="1" s="1"/>
  <c r="E2699" i="1" a="1"/>
  <c r="E2699" i="1" s="1"/>
  <c r="E2700" i="1" a="1"/>
  <c r="E2700" i="1"/>
  <c r="E2701" i="1" a="1"/>
  <c r="E2701" i="1" s="1"/>
  <c r="E2702" i="1" a="1"/>
  <c r="E2702" i="1" s="1"/>
  <c r="E2703" i="1" a="1"/>
  <c r="E2703" i="1"/>
  <c r="E2704" i="1" a="1"/>
  <c r="E2704" i="1"/>
  <c r="E2705" i="1" a="1"/>
  <c r="E2705" i="1"/>
  <c r="E2706" i="1" a="1"/>
  <c r="E2706" i="1" s="1"/>
  <c r="E2707" i="1" a="1"/>
  <c r="E2707" i="1" s="1"/>
  <c r="E2708" i="1" a="1"/>
  <c r="E2708" i="1" s="1"/>
  <c r="E2709" i="1" a="1"/>
  <c r="E2709" i="1"/>
  <c r="E2710" i="1" a="1"/>
  <c r="E2710" i="1"/>
  <c r="E2711" i="1" a="1"/>
  <c r="E2711" i="1" s="1"/>
  <c r="E2712" i="1" a="1"/>
  <c r="E2712" i="1"/>
  <c r="E2713" i="1" a="1"/>
  <c r="E2713" i="1" s="1"/>
  <c r="E2714" i="1" a="1"/>
  <c r="E2714" i="1" s="1"/>
  <c r="E2715" i="1" a="1"/>
  <c r="E2715" i="1" s="1"/>
  <c r="E2716" i="1" a="1"/>
  <c r="E2716" i="1" s="1"/>
  <c r="E2717" i="1" a="1"/>
  <c r="E2717" i="1"/>
  <c r="E2718" i="1" a="1"/>
  <c r="E2718" i="1"/>
  <c r="E2719" i="1" a="1"/>
  <c r="E2719" i="1" s="1"/>
  <c r="E2720" i="1" a="1"/>
  <c r="E2720" i="1" s="1"/>
  <c r="E2721" i="1" a="1"/>
  <c r="E2721" i="1" s="1"/>
  <c r="E2722" i="1" a="1"/>
  <c r="E2722" i="1" s="1"/>
  <c r="E2723" i="1" a="1"/>
  <c r="E2723" i="1" s="1"/>
  <c r="E2724" i="1" a="1"/>
  <c r="E2724" i="1"/>
  <c r="E2725" i="1" a="1"/>
  <c r="E2725" i="1"/>
  <c r="E2726" i="1" a="1"/>
  <c r="E2726" i="1"/>
  <c r="E2727" i="1" a="1"/>
  <c r="E2727" i="1" s="1"/>
  <c r="E2728" i="1" a="1"/>
  <c r="E2728" i="1" s="1"/>
  <c r="E2729" i="1" a="1"/>
  <c r="E2729" i="1" s="1"/>
  <c r="E2730" i="1" a="1"/>
  <c r="E2730" i="1"/>
  <c r="E2731" i="1" a="1"/>
  <c r="E2731" i="1" s="1"/>
  <c r="E2732" i="1" a="1"/>
  <c r="E2732" i="1"/>
  <c r="E2733" i="1" a="1"/>
  <c r="E2733" i="1"/>
  <c r="E2734" i="1" a="1"/>
  <c r="E2734" i="1" s="1"/>
  <c r="E2735" i="1" a="1"/>
  <c r="E2735" i="1" s="1"/>
  <c r="E2736" i="1" a="1"/>
  <c r="E2736" i="1" s="1"/>
  <c r="E2737" i="1" a="1"/>
  <c r="E2737" i="1" s="1"/>
  <c r="E2738" i="1" a="1"/>
  <c r="E2738" i="1"/>
  <c r="E2739" i="1" a="1"/>
  <c r="E2739" i="1"/>
  <c r="E2740" i="1" a="1"/>
  <c r="E2740" i="1" s="1"/>
  <c r="E2741" i="1" a="1"/>
  <c r="E2741" i="1" s="1"/>
  <c r="E2742" i="1" a="1"/>
  <c r="E2742" i="1"/>
  <c r="E2743" i="1" a="1"/>
  <c r="E2743" i="1" s="1"/>
  <c r="E2744" i="1" a="1"/>
  <c r="E2744" i="1" s="1"/>
  <c r="E2745" i="1" a="1"/>
  <c r="E2745" i="1"/>
  <c r="E2746" i="1" a="1"/>
  <c r="E2746" i="1"/>
  <c r="E2747" i="1" a="1"/>
  <c r="E2747" i="1"/>
  <c r="E2748" i="1" a="1"/>
  <c r="E2748" i="1" s="1"/>
  <c r="E2749" i="1" a="1"/>
  <c r="E2749" i="1" s="1"/>
  <c r="E2750" i="1" a="1"/>
  <c r="E2750" i="1" s="1"/>
  <c r="E2751" i="1" a="1"/>
  <c r="E2751" i="1" s="1"/>
  <c r="E2752" i="1" a="1"/>
  <c r="E2752" i="1" s="1"/>
  <c r="E2753" i="1" a="1"/>
  <c r="E2753" i="1"/>
  <c r="E2754" i="1" a="1"/>
  <c r="E2754" i="1"/>
  <c r="E2755" i="1" a="1"/>
  <c r="E2755" i="1" s="1"/>
  <c r="E2756" i="1" a="1"/>
  <c r="E2756" i="1" s="1"/>
  <c r="E2757" i="1" a="1"/>
  <c r="E2757" i="1" s="1"/>
  <c r="E2758" i="1" a="1"/>
  <c r="E2758" i="1" s="1"/>
  <c r="E2759" i="1" a="1"/>
  <c r="E2759" i="1"/>
  <c r="E2760" i="1" a="1"/>
  <c r="E2760" i="1"/>
  <c r="E2761" i="1" a="1"/>
  <c r="E2761" i="1" s="1"/>
  <c r="E2762" i="1" a="1"/>
  <c r="E2762" i="1"/>
  <c r="E2763" i="1" a="1"/>
  <c r="E2763" i="1"/>
  <c r="E2764" i="1" a="1"/>
  <c r="E2764" i="1" s="1"/>
  <c r="E2765" i="1" a="1"/>
  <c r="E2765" i="1" s="1"/>
  <c r="E2766" i="1" a="1"/>
  <c r="E2766" i="1"/>
  <c r="E2767" i="1" a="1"/>
  <c r="E2767" i="1"/>
  <c r="E2768" i="1" a="1"/>
  <c r="E2768" i="1"/>
  <c r="E2769" i="1" a="1"/>
  <c r="E2769" i="1" s="1"/>
  <c r="E2770" i="1" a="1"/>
  <c r="E2770" i="1" s="1"/>
  <c r="E2771" i="1" a="1"/>
  <c r="E2771" i="1" s="1"/>
  <c r="E2772" i="1" a="1"/>
  <c r="E2772" i="1" s="1"/>
  <c r="E2773" i="1" a="1"/>
  <c r="E2773" i="1" s="1"/>
  <c r="E2774" i="1" a="1"/>
  <c r="E2774" i="1"/>
  <c r="E2775" i="1" a="1"/>
  <c r="E2775" i="1"/>
  <c r="E2776" i="1" a="1"/>
  <c r="E2776" i="1" s="1"/>
  <c r="E2777" i="1" a="1"/>
  <c r="E2777" i="1" s="1"/>
  <c r="E2778" i="1" a="1"/>
  <c r="E2778" i="1" s="1"/>
  <c r="E2779" i="1" a="1"/>
  <c r="E2779" i="1" s="1"/>
  <c r="E2780" i="1" a="1"/>
  <c r="E2780" i="1"/>
  <c r="E2781" i="1" a="1"/>
  <c r="E2781" i="1" s="1"/>
  <c r="E2782" i="1" a="1"/>
  <c r="E2782" i="1" s="1"/>
  <c r="E2783" i="1" a="1"/>
  <c r="E2783" i="1"/>
  <c r="E2784" i="1" a="1"/>
  <c r="E2784" i="1"/>
  <c r="E2785" i="1" a="1"/>
  <c r="E2785" i="1" s="1"/>
  <c r="E2786" i="1" a="1"/>
  <c r="E2786" i="1" s="1"/>
  <c r="E2787" i="1" a="1"/>
  <c r="E2787" i="1"/>
  <c r="E2788" i="1" a="1"/>
  <c r="E2788" i="1"/>
  <c r="E2789" i="1" a="1"/>
  <c r="E2789" i="1"/>
  <c r="E2790" i="1" a="1"/>
  <c r="E2790" i="1" s="1"/>
  <c r="E2791" i="1" a="1"/>
  <c r="E2791" i="1" s="1"/>
  <c r="E2792" i="1" a="1"/>
  <c r="E2792" i="1"/>
  <c r="E2793" i="1" a="1"/>
  <c r="E2793" i="1" s="1"/>
  <c r="E2794" i="1" a="1"/>
  <c r="E2794" i="1" s="1"/>
  <c r="E2795" i="1" a="1"/>
  <c r="E2795" i="1"/>
  <c r="E2796" i="1" a="1"/>
  <c r="E2796" i="1"/>
  <c r="E2797" i="1" a="1"/>
  <c r="E2797" i="1" s="1"/>
  <c r="E2798" i="1" a="1"/>
  <c r="E2798" i="1" s="1"/>
  <c r="E2799" i="1" a="1"/>
  <c r="E2799" i="1" s="1"/>
  <c r="E2800" i="1" a="1"/>
  <c r="E2800" i="1" s="1"/>
  <c r="E2801" i="1" a="1"/>
  <c r="E2801" i="1" s="1"/>
  <c r="E2802" i="1" a="1"/>
  <c r="E2802" i="1" s="1"/>
  <c r="E2803" i="1" a="1"/>
  <c r="E2803" i="1" s="1"/>
  <c r="E2804" i="1" a="1"/>
  <c r="E2804" i="1"/>
  <c r="E2805" i="1" a="1"/>
  <c r="E2805" i="1"/>
  <c r="E2806" i="1" a="1"/>
  <c r="E2806" i="1" s="1"/>
  <c r="E2807" i="1" a="1"/>
  <c r="E2807" i="1" s="1"/>
  <c r="E2808" i="1" a="1"/>
  <c r="E2808" i="1"/>
  <c r="E2809" i="1" a="1"/>
  <c r="E2809" i="1"/>
  <c r="E2810" i="1" a="1"/>
  <c r="E2810" i="1"/>
  <c r="E2811" i="1" a="1"/>
  <c r="E2811" i="1" s="1"/>
  <c r="E2812" i="1" a="1"/>
  <c r="E2812" i="1"/>
  <c r="E2813" i="1" a="1"/>
  <c r="E2813" i="1"/>
  <c r="E2814" i="1" a="1"/>
  <c r="E2814" i="1" s="1"/>
  <c r="E2815" i="1" a="1"/>
  <c r="E2815" i="1" s="1"/>
  <c r="E2816" i="1" a="1"/>
  <c r="E2816" i="1"/>
  <c r="E2817" i="1" a="1"/>
  <c r="E2817" i="1"/>
  <c r="E2818" i="1" a="1"/>
  <c r="E2818" i="1" s="1"/>
  <c r="E2819" i="1" a="1"/>
  <c r="E2819" i="1" s="1"/>
  <c r="E2820" i="1" a="1"/>
  <c r="E2820" i="1" s="1"/>
  <c r="E2821" i="1" a="1"/>
  <c r="E2821" i="1" s="1"/>
  <c r="E2822" i="1" a="1"/>
  <c r="E2822" i="1" s="1"/>
  <c r="E2823" i="1" a="1"/>
  <c r="E2823" i="1" s="1"/>
  <c r="E2824" i="1" a="1"/>
  <c r="E2824" i="1" s="1"/>
  <c r="E2825" i="1" a="1"/>
  <c r="E2825" i="1"/>
  <c r="E2826" i="1" a="1"/>
  <c r="E2826" i="1"/>
  <c r="E2827" i="1" a="1"/>
  <c r="E2827" i="1" s="1"/>
  <c r="E2828" i="1" a="1"/>
  <c r="E2828" i="1" s="1"/>
  <c r="E2829" i="1" a="1"/>
  <c r="E2829" i="1"/>
  <c r="E2830" i="1" a="1"/>
  <c r="E2830" i="1"/>
  <c r="E2831" i="1" a="1"/>
  <c r="E2831" i="1" s="1"/>
  <c r="E2832" i="1" a="1"/>
  <c r="E2832" i="1" s="1"/>
  <c r="E2833" i="1" a="1"/>
  <c r="E2833" i="1"/>
  <c r="E2834" i="1" a="1"/>
  <c r="E2834" i="1"/>
  <c r="E2835" i="1" a="1"/>
  <c r="E2835" i="1" s="1"/>
  <c r="E2836" i="1" a="1"/>
  <c r="E2836" i="1" s="1"/>
  <c r="E2837" i="1" a="1"/>
  <c r="E2837" i="1"/>
  <c r="E2838" i="1" a="1"/>
  <c r="E2838" i="1"/>
  <c r="E2839" i="1" a="1"/>
  <c r="E2839" i="1" s="1"/>
  <c r="E2840" i="1" a="1"/>
  <c r="E2840" i="1" s="1"/>
  <c r="E2841" i="1" a="1"/>
  <c r="E2841" i="1" s="1"/>
  <c r="E2842" i="1" a="1"/>
  <c r="E2842" i="1"/>
  <c r="E2843" i="1" a="1"/>
  <c r="E2843" i="1" s="1"/>
  <c r="E2844" i="1" a="1"/>
  <c r="E2844" i="1" s="1"/>
  <c r="E2845" i="1" a="1"/>
  <c r="E2845" i="1" s="1"/>
  <c r="E2846" i="1" a="1"/>
  <c r="E2846" i="1"/>
  <c r="E2847" i="1" a="1"/>
  <c r="E2847" i="1"/>
  <c r="E2848" i="1" a="1"/>
  <c r="E2848" i="1" s="1"/>
  <c r="E2849" i="1" a="1"/>
  <c r="E2849" i="1" s="1"/>
  <c r="E2850" i="1" a="1"/>
  <c r="E2850" i="1"/>
  <c r="E2851" i="1" a="1"/>
  <c r="E2851" i="1" s="1"/>
  <c r="E2852" i="1" a="1"/>
  <c r="E2852" i="1" s="1"/>
  <c r="E2853" i="1" a="1"/>
  <c r="E2853" i="1" s="1"/>
  <c r="E2854" i="1" a="1"/>
  <c r="E2854" i="1"/>
  <c r="E2855" i="1" a="1"/>
  <c r="E2855" i="1"/>
  <c r="E2856" i="1" a="1"/>
  <c r="E2856" i="1" s="1"/>
  <c r="E2857" i="1" a="1"/>
  <c r="E2857" i="1" s="1"/>
  <c r="E2858" i="1" a="1"/>
  <c r="E2858" i="1"/>
  <c r="E2859" i="1" a="1"/>
  <c r="E2859" i="1"/>
  <c r="E2860" i="1" a="1"/>
  <c r="E2860" i="1" s="1"/>
  <c r="E2861" i="1" a="1"/>
  <c r="E2861" i="1" s="1"/>
  <c r="E2862" i="1" a="1"/>
  <c r="E2862" i="1"/>
  <c r="E2863" i="1" a="1"/>
  <c r="E2863" i="1"/>
  <c r="E2864" i="1" a="1"/>
  <c r="E2864" i="1" s="1"/>
  <c r="E2865" i="1" a="1"/>
  <c r="E2865" i="1" s="1"/>
  <c r="E2866" i="1" a="1"/>
  <c r="E2866" i="1" s="1"/>
  <c r="E2867" i="1" a="1"/>
  <c r="E2867" i="1"/>
  <c r="E2868" i="1" a="1"/>
  <c r="E2868" i="1"/>
  <c r="E2869" i="1" a="1"/>
  <c r="E2869" i="1" s="1"/>
  <c r="E2870" i="1" a="1"/>
  <c r="E2870" i="1" s="1"/>
  <c r="E2871" i="1" a="1"/>
  <c r="E2871" i="1" s="1"/>
  <c r="E2872" i="1" a="1"/>
  <c r="E2872" i="1" s="1"/>
  <c r="E2873" i="1" a="1"/>
  <c r="E2873" i="1" s="1"/>
  <c r="E2874" i="1" a="1"/>
  <c r="E2874" i="1" s="1"/>
  <c r="E2875" i="1" a="1"/>
  <c r="E2875" i="1"/>
  <c r="E2876" i="1" a="1"/>
  <c r="E2876" i="1"/>
  <c r="E2877" i="1" a="1"/>
  <c r="E2877" i="1" s="1"/>
  <c r="E2878" i="1" a="1"/>
  <c r="E2878" i="1" s="1"/>
  <c r="E2879" i="1" a="1"/>
  <c r="E2879" i="1"/>
  <c r="E2880" i="1" a="1"/>
  <c r="E2880" i="1"/>
  <c r="E2881" i="1" a="1"/>
  <c r="E2881" i="1" s="1"/>
  <c r="E2882" i="1" a="1"/>
  <c r="E2882" i="1"/>
  <c r="E2883" i="1" a="1"/>
  <c r="E2883" i="1"/>
  <c r="E2884" i="1" a="1"/>
  <c r="E2884" i="1"/>
  <c r="E2885" i="1" a="1"/>
  <c r="E2885" i="1" s="1"/>
  <c r="E2886" i="1" a="1"/>
  <c r="E2886" i="1" s="1"/>
  <c r="E2887" i="1" a="1"/>
  <c r="E2887" i="1" s="1"/>
  <c r="E2888" i="1" a="1"/>
  <c r="E2888" i="1"/>
  <c r="E2889" i="1" a="1"/>
  <c r="E2889" i="1"/>
  <c r="E2890" i="1" a="1"/>
  <c r="E2890" i="1" s="1"/>
  <c r="E2891" i="1" a="1"/>
  <c r="E2891" i="1" s="1"/>
  <c r="E2892" i="1" a="1"/>
  <c r="E2892" i="1" s="1"/>
  <c r="E2893" i="1" a="1"/>
  <c r="E2893" i="1" s="1"/>
  <c r="E2894" i="1" a="1"/>
  <c r="E2894" i="1" s="1"/>
  <c r="E2895" i="1" a="1"/>
  <c r="E2895" i="1" s="1"/>
  <c r="E2896" i="1" a="1"/>
  <c r="E2896" i="1"/>
  <c r="E2897" i="1" a="1"/>
  <c r="E2897" i="1"/>
  <c r="E2898" i="1" a="1"/>
  <c r="E2898" i="1" s="1"/>
  <c r="E2899" i="1" a="1"/>
  <c r="E2899" i="1" s="1"/>
  <c r="E2900" i="1" a="1"/>
  <c r="E2900" i="1"/>
  <c r="E2901" i="1" a="1"/>
  <c r="E2901" i="1" s="1"/>
  <c r="E2902" i="1" a="1"/>
  <c r="E2902" i="1" s="1"/>
  <c r="E2903" i="1" a="1"/>
  <c r="E2903" i="1"/>
  <c r="E2904" i="1" a="1"/>
  <c r="E2904" i="1"/>
  <c r="E2905" i="1" a="1"/>
  <c r="E2905" i="1"/>
  <c r="E2906" i="1" a="1"/>
  <c r="E2906" i="1" s="1"/>
  <c r="E2907" i="1" a="1"/>
  <c r="E2907" i="1" s="1"/>
  <c r="E2908" i="1" a="1"/>
  <c r="E2908" i="1" s="1"/>
  <c r="E2909" i="1" a="1"/>
  <c r="E2909" i="1"/>
  <c r="E2910" i="1" a="1"/>
  <c r="E2910" i="1"/>
  <c r="E2911" i="1" a="1"/>
  <c r="E2911" i="1" s="1"/>
  <c r="E2912" i="1" a="1"/>
  <c r="E2912" i="1"/>
  <c r="E2913" i="1" a="1"/>
  <c r="E2913" i="1" s="1"/>
  <c r="E2914" i="1" a="1"/>
  <c r="E2914" i="1" s="1"/>
  <c r="E2915" i="1" a="1"/>
  <c r="E2915" i="1" s="1"/>
  <c r="E2916" i="1" a="1"/>
  <c r="E2916" i="1" s="1"/>
  <c r="E2917" i="1" a="1"/>
  <c r="E2917" i="1"/>
  <c r="E2918" i="1" a="1"/>
  <c r="E2918" i="1"/>
  <c r="E2919" i="1" a="1"/>
  <c r="E2919" i="1" s="1"/>
  <c r="E2920" i="1" a="1"/>
  <c r="E2920" i="1" s="1"/>
  <c r="E2921" i="1" a="1"/>
  <c r="E2921" i="1" s="1"/>
  <c r="E2922" i="1" a="1"/>
  <c r="E2922" i="1" s="1"/>
  <c r="E2923" i="1" a="1"/>
  <c r="E2923" i="1" s="1"/>
  <c r="E2924" i="1" a="1"/>
  <c r="E2924" i="1"/>
  <c r="E2925" i="1" a="1"/>
  <c r="E2925" i="1"/>
  <c r="E2926" i="1" a="1"/>
  <c r="E2926" i="1"/>
  <c r="E2927" i="1" a="1"/>
  <c r="E2927" i="1" s="1"/>
  <c r="E2928" i="1" a="1"/>
  <c r="E2928" i="1" s="1"/>
  <c r="E2929" i="1" a="1"/>
  <c r="E2929" i="1" s="1"/>
  <c r="E2930" i="1" a="1"/>
  <c r="E2930" i="1"/>
  <c r="E2931" i="1" a="1"/>
  <c r="E2931" i="1" s="1"/>
  <c r="E2932" i="1" a="1"/>
  <c r="E2932" i="1"/>
  <c r="E2933" i="1" a="1"/>
  <c r="E2933" i="1"/>
  <c r="E2934" i="1" a="1"/>
  <c r="E2934" i="1" s="1"/>
  <c r="E2935" i="1" a="1"/>
  <c r="E2935" i="1" s="1"/>
  <c r="E2936" i="1" a="1"/>
  <c r="E2936" i="1" s="1"/>
  <c r="E2937" i="1" a="1"/>
  <c r="E2937" i="1" s="1"/>
  <c r="E2938" i="1" a="1"/>
  <c r="E2938" i="1"/>
  <c r="E2939" i="1" a="1"/>
  <c r="E2939" i="1"/>
  <c r="E2940" i="1" a="1"/>
  <c r="E2940" i="1" s="1"/>
  <c r="E2941" i="1" a="1"/>
  <c r="E2941" i="1" s="1"/>
  <c r="E2942" i="1" a="1"/>
  <c r="E2942" i="1"/>
  <c r="E2943" i="1" a="1"/>
  <c r="E2943" i="1" s="1"/>
  <c r="E2944" i="1" a="1"/>
  <c r="E2944" i="1" s="1"/>
  <c r="E2945" i="1" a="1"/>
  <c r="E2945" i="1"/>
  <c r="E2946" i="1" a="1"/>
  <c r="E2946" i="1"/>
  <c r="E2947" i="1" a="1"/>
  <c r="E2947" i="1"/>
  <c r="E2948" i="1" a="1"/>
  <c r="E2948" i="1" s="1"/>
  <c r="E2949" i="1" a="1"/>
  <c r="E2949" i="1" s="1"/>
  <c r="E2950" i="1" a="1"/>
  <c r="E2950" i="1" s="1"/>
  <c r="E2951" i="1" a="1"/>
  <c r="E2951" i="1" s="1"/>
  <c r="E2952" i="1" a="1"/>
  <c r="E2952" i="1" s="1"/>
  <c r="E2953" i="1" a="1"/>
  <c r="E2953" i="1"/>
  <c r="E2954" i="1" a="1"/>
  <c r="E2954" i="1"/>
  <c r="E2955" i="1" a="1"/>
  <c r="E2955" i="1" s="1"/>
  <c r="E2956" i="1" a="1"/>
  <c r="E2956" i="1" s="1"/>
  <c r="E2957" i="1" a="1"/>
  <c r="E2957" i="1" s="1"/>
  <c r="E2958" i="1" a="1"/>
  <c r="E2958" i="1" s="1"/>
  <c r="E2959" i="1" a="1"/>
  <c r="E2959" i="1"/>
  <c r="E2960" i="1" a="1"/>
  <c r="E2960" i="1"/>
  <c r="E2961" i="1" a="1"/>
  <c r="E2961" i="1" s="1"/>
  <c r="E2962" i="1" a="1"/>
  <c r="E2962" i="1"/>
  <c r="E2963" i="1" a="1"/>
  <c r="E2963" i="1"/>
  <c r="E2964" i="1" a="1"/>
  <c r="E2964" i="1" s="1"/>
  <c r="E2965" i="1" a="1"/>
  <c r="E2965" i="1" s="1"/>
  <c r="E2966" i="1" a="1"/>
  <c r="E2966" i="1"/>
  <c r="E2967" i="1" a="1"/>
  <c r="E2967" i="1"/>
  <c r="E2968" i="1" a="1"/>
  <c r="E2968" i="1"/>
  <c r="E2969" i="1" a="1"/>
  <c r="E2969" i="1" s="1"/>
  <c r="E2970" i="1" a="1"/>
  <c r="E2970" i="1" s="1"/>
  <c r="E2971" i="1" a="1"/>
  <c r="E2971" i="1" s="1"/>
  <c r="E2972" i="1" a="1"/>
  <c r="E2972" i="1" s="1"/>
  <c r="E2973" i="1" a="1"/>
  <c r="E2973" i="1" s="1"/>
  <c r="E2974" i="1" a="1"/>
  <c r="E2974" i="1"/>
  <c r="E2975" i="1" a="1"/>
  <c r="E2975" i="1"/>
  <c r="E2976" i="1" a="1"/>
  <c r="E2976" i="1" s="1"/>
  <c r="E2977" i="1" a="1"/>
  <c r="E2977" i="1" s="1"/>
  <c r="E2978" i="1" a="1"/>
  <c r="E2978" i="1" s="1"/>
  <c r="E2979" i="1" a="1"/>
  <c r="E2979" i="1" s="1"/>
  <c r="E2980" i="1" a="1"/>
  <c r="E2980" i="1"/>
  <c r="E2981" i="1" a="1"/>
  <c r="E2981" i="1" s="1"/>
  <c r="E2982" i="1" a="1"/>
  <c r="E2982" i="1" s="1"/>
  <c r="E2983" i="1" a="1"/>
  <c r="E2983" i="1"/>
  <c r="E2984" i="1" a="1"/>
  <c r="E2984" i="1"/>
  <c r="E2985" i="1" a="1"/>
  <c r="E2985" i="1" s="1"/>
  <c r="E2986" i="1" a="1"/>
  <c r="E2986" i="1" s="1"/>
  <c r="E2987" i="1" a="1"/>
  <c r="E2987" i="1"/>
  <c r="E2988" i="1" a="1"/>
  <c r="E2988" i="1"/>
  <c r="E2989" i="1" a="1"/>
  <c r="E2989" i="1"/>
  <c r="E2990" i="1" a="1"/>
  <c r="E2990" i="1" s="1"/>
  <c r="E2991" i="1" a="1"/>
  <c r="E2991" i="1" s="1"/>
  <c r="E2992" i="1" a="1"/>
  <c r="E2992" i="1"/>
  <c r="E2993" i="1" a="1"/>
  <c r="E2993" i="1" s="1"/>
  <c r="E2994" i="1" a="1"/>
  <c r="E2994" i="1" s="1"/>
  <c r="E2995" i="1" a="1"/>
  <c r="E2995" i="1"/>
  <c r="E2996" i="1" a="1"/>
  <c r="E2996" i="1"/>
  <c r="E2997" i="1" a="1"/>
  <c r="E2997" i="1" s="1"/>
  <c r="E2998" i="1" a="1"/>
  <c r="E2998" i="1" s="1"/>
  <c r="E2999" i="1" a="1"/>
  <c r="E2999" i="1" s="1"/>
  <c r="E3000" i="1" a="1"/>
  <c r="E3000" i="1" s="1"/>
  <c r="E3001" i="1" a="1"/>
  <c r="E3001" i="1" s="1"/>
  <c r="E3002" i="1" a="1"/>
  <c r="E3002" i="1" s="1"/>
  <c r="E3003" i="1" a="1"/>
  <c r="E3003" i="1" s="1"/>
  <c r="E3004" i="1" a="1"/>
  <c r="E3004" i="1"/>
  <c r="E3005" i="1" a="1"/>
  <c r="E3005" i="1"/>
  <c r="E3006" i="1" a="1"/>
  <c r="E3006" i="1" s="1"/>
  <c r="E3007" i="1" a="1"/>
  <c r="E3007" i="1" s="1"/>
  <c r="E3008" i="1" a="1"/>
  <c r="E3008" i="1"/>
  <c r="E3009" i="1" a="1"/>
  <c r="E3009" i="1"/>
  <c r="E3010" i="1" a="1"/>
  <c r="E3010" i="1"/>
  <c r="E3011" i="1" a="1"/>
  <c r="E3011" i="1" s="1"/>
  <c r="E3012" i="1" a="1"/>
  <c r="E3012" i="1"/>
  <c r="E3013" i="1" a="1"/>
  <c r="E3013" i="1"/>
  <c r="E3014" i="1" a="1"/>
  <c r="E3014" i="1" s="1"/>
  <c r="E3015" i="1" a="1"/>
  <c r="E3015" i="1" s="1"/>
  <c r="E3016" i="1" a="1"/>
  <c r="E3016" i="1"/>
  <c r="E3017" i="1" a="1"/>
  <c r="E3017" i="1"/>
  <c r="E3018" i="1" a="1"/>
  <c r="E3018" i="1" s="1"/>
  <c r="E3019" i="1" a="1"/>
  <c r="E3019" i="1" s="1"/>
  <c r="E3020" i="1" a="1"/>
  <c r="E3020" i="1" s="1"/>
  <c r="E3021" i="1" a="1"/>
  <c r="E3021" i="1" s="1"/>
  <c r="E3022" i="1" a="1"/>
  <c r="E3022" i="1" s="1"/>
  <c r="E3023" i="1" a="1"/>
  <c r="E3023" i="1" s="1"/>
  <c r="E3024" i="1" a="1"/>
  <c r="E3024" i="1" s="1"/>
  <c r="E3025" i="1" a="1"/>
  <c r="E3025" i="1"/>
  <c r="E3026" i="1" a="1"/>
  <c r="E3026" i="1"/>
  <c r="E3027" i="1" a="1"/>
  <c r="E3027" i="1" s="1"/>
  <c r="E3028" i="1" a="1"/>
  <c r="E3028" i="1" s="1"/>
  <c r="E3029" i="1" a="1"/>
  <c r="E3029" i="1"/>
  <c r="E3030" i="1" a="1"/>
  <c r="E3030" i="1"/>
  <c r="E3031" i="1" a="1"/>
  <c r="E3031" i="1" s="1"/>
  <c r="E3032" i="1" a="1"/>
  <c r="E3032" i="1" s="1"/>
  <c r="E3033" i="1" a="1"/>
  <c r="E3033" i="1"/>
  <c r="E3034" i="1" a="1"/>
  <c r="E3034" i="1"/>
  <c r="E3035" i="1" a="1"/>
  <c r="E3035" i="1" s="1"/>
  <c r="E3036" i="1" a="1"/>
  <c r="E3036" i="1" s="1"/>
  <c r="E3037" i="1" a="1"/>
  <c r="E3037" i="1"/>
  <c r="E3038" i="1" a="1"/>
  <c r="E3038" i="1"/>
  <c r="E3039" i="1" a="1"/>
  <c r="E3039" i="1" s="1"/>
  <c r="E3040" i="1" a="1"/>
  <c r="E3040" i="1" s="1"/>
  <c r="E3041" i="1" a="1"/>
  <c r="E3041" i="1" s="1"/>
  <c r="E3042" i="1" a="1"/>
  <c r="E3042" i="1"/>
  <c r="E3043" i="1" a="1"/>
  <c r="E3043" i="1" s="1"/>
  <c r="E3044" i="1" a="1"/>
  <c r="E3044" i="1" s="1"/>
  <c r="E3045" i="1" a="1"/>
  <c r="E3045" i="1" s="1"/>
  <c r="E3046" i="1" a="1"/>
  <c r="E3046" i="1"/>
  <c r="E3047" i="1" a="1"/>
  <c r="E3047" i="1"/>
  <c r="E3048" i="1" a="1"/>
  <c r="E3048" i="1" s="1"/>
  <c r="E3049" i="1" a="1"/>
  <c r="E3049" i="1" s="1"/>
  <c r="E3050" i="1" a="1"/>
  <c r="E3050" i="1"/>
  <c r="E3051" i="1" a="1"/>
  <c r="E3051" i="1" s="1"/>
  <c r="E3052" i="1" a="1"/>
  <c r="E3052" i="1" s="1"/>
  <c r="E3053" i="1" a="1"/>
  <c r="E3053" i="1" s="1"/>
  <c r="E3054" i="1" a="1"/>
  <c r="E3054" i="1"/>
  <c r="E3055" i="1" a="1"/>
  <c r="E3055" i="1"/>
  <c r="E3056" i="1" a="1"/>
  <c r="E3056" i="1" s="1"/>
  <c r="E3057" i="1" a="1"/>
  <c r="E3057" i="1" s="1"/>
  <c r="E3058" i="1" a="1"/>
  <c r="E3058" i="1"/>
  <c r="E3059" i="1" a="1"/>
  <c r="E3059" i="1"/>
  <c r="E3060" i="1" a="1"/>
  <c r="E3060" i="1" s="1"/>
  <c r="E3061" i="1" a="1"/>
  <c r="E3061" i="1" s="1"/>
  <c r="E3062" i="1" a="1"/>
  <c r="E3062" i="1"/>
  <c r="E3063" i="1" a="1"/>
  <c r="E3063" i="1"/>
  <c r="E3064" i="1" a="1"/>
  <c r="E3064" i="1" s="1"/>
  <c r="E3065" i="1" a="1"/>
  <c r="E3065" i="1" s="1"/>
  <c r="E3066" i="1" a="1"/>
  <c r="E3066" i="1" s="1"/>
  <c r="E3067" i="1" a="1"/>
  <c r="E3067" i="1"/>
  <c r="E3068" i="1" a="1"/>
  <c r="E3068" i="1"/>
  <c r="E3069" i="1" a="1"/>
  <c r="E3069" i="1" s="1"/>
  <c r="E3070" i="1" a="1"/>
  <c r="E3070" i="1" s="1"/>
  <c r="E3071" i="1" a="1"/>
  <c r="E3071" i="1" s="1"/>
  <c r="E3072" i="1" a="1"/>
  <c r="E3072" i="1" s="1"/>
  <c r="E3073" i="1" a="1"/>
  <c r="E3073" i="1" s="1"/>
  <c r="E3074" i="1" a="1"/>
  <c r="E3074" i="1" s="1"/>
  <c r="E3075" i="1" a="1"/>
  <c r="E3075" i="1"/>
  <c r="E3076" i="1" a="1"/>
  <c r="E3076" i="1"/>
  <c r="E3077" i="1" a="1"/>
  <c r="E3077" i="1" s="1"/>
  <c r="E3078" i="1" a="1"/>
  <c r="E3078" i="1" s="1"/>
  <c r="E3079" i="1" a="1"/>
  <c r="E3079" i="1"/>
  <c r="E3080" i="1" a="1"/>
  <c r="E3080" i="1"/>
  <c r="E3081" i="1" a="1"/>
  <c r="E3081" i="1" s="1"/>
  <c r="E3082" i="1" a="1"/>
  <c r="E3082" i="1"/>
  <c r="E3083" i="1" a="1"/>
  <c r="E3083" i="1"/>
  <c r="E3084" i="1" a="1"/>
  <c r="E3084" i="1"/>
  <c r="E3085" i="1" a="1"/>
  <c r="E3085" i="1" s="1"/>
  <c r="E3086" i="1" a="1"/>
  <c r="E3086" i="1" s="1"/>
  <c r="E3087" i="1" a="1"/>
  <c r="E3087" i="1" s="1"/>
  <c r="E3088" i="1" a="1"/>
  <c r="E3088" i="1"/>
  <c r="E3089" i="1" a="1"/>
  <c r="E3089" i="1"/>
  <c r="E3090" i="1" a="1"/>
  <c r="E3090" i="1" s="1"/>
  <c r="E3091" i="1" a="1"/>
  <c r="E3091" i="1" s="1"/>
  <c r="E3092" i="1" a="1"/>
  <c r="E3092" i="1" s="1"/>
  <c r="E3093" i="1" a="1"/>
  <c r="E3093" i="1" s="1"/>
  <c r="E3094" i="1" a="1"/>
  <c r="E3094" i="1" s="1"/>
  <c r="E3095" i="1" a="1"/>
  <c r="E3095" i="1" s="1"/>
  <c r="E3096" i="1" a="1"/>
  <c r="E3096" i="1"/>
  <c r="E3097" i="1" a="1"/>
  <c r="E3097" i="1"/>
  <c r="E3098" i="1" a="1"/>
  <c r="E3098" i="1" s="1"/>
  <c r="E3099" i="1" a="1"/>
  <c r="E3099" i="1" s="1"/>
  <c r="E3100" i="1" a="1"/>
  <c r="E3100" i="1"/>
  <c r="E3101" i="1" a="1"/>
  <c r="E3101" i="1" s="1"/>
  <c r="E3102" i="1" a="1"/>
  <c r="E3102" i="1" s="1"/>
  <c r="E3103" i="1" a="1"/>
  <c r="E3103" i="1"/>
  <c r="E3104" i="1" a="1"/>
  <c r="E3104" i="1"/>
  <c r="E3105" i="1" a="1"/>
  <c r="E3105" i="1"/>
  <c r="E3106" i="1" a="1"/>
  <c r="E3106" i="1" s="1"/>
  <c r="E3107" i="1" a="1"/>
  <c r="E3107" i="1" s="1"/>
  <c r="E3108" i="1" a="1"/>
  <c r="E3108" i="1" s="1"/>
  <c r="E3109" i="1" a="1"/>
  <c r="E3109" i="1"/>
  <c r="E3110" i="1" a="1"/>
  <c r="E3110" i="1"/>
  <c r="E3111" i="1" a="1"/>
  <c r="E3111" i="1" s="1"/>
  <c r="E3112" i="1" a="1"/>
  <c r="E3112" i="1"/>
  <c r="E3113" i="1" a="1"/>
  <c r="E3113" i="1" s="1"/>
  <c r="E3114" i="1" a="1"/>
  <c r="E3114" i="1" s="1"/>
  <c r="E3115" i="1" a="1"/>
  <c r="E3115" i="1" s="1"/>
  <c r="E3116" i="1" a="1"/>
  <c r="E3116" i="1" s="1"/>
  <c r="E3117" i="1" a="1"/>
  <c r="E3117" i="1"/>
  <c r="E3118" i="1" a="1"/>
  <c r="E3118" i="1"/>
  <c r="E3119" i="1" a="1"/>
  <c r="E3119" i="1" s="1"/>
  <c r="E3120" i="1" a="1"/>
  <c r="E3120" i="1" s="1"/>
  <c r="E3121" i="1" a="1"/>
  <c r="E3121" i="1" s="1"/>
  <c r="E3122" i="1" a="1"/>
  <c r="E3122" i="1" s="1"/>
  <c r="E3123" i="1" a="1"/>
  <c r="E3123" i="1" s="1"/>
  <c r="E3124" i="1" a="1"/>
  <c r="E3124" i="1"/>
  <c r="E3125" i="1" a="1"/>
  <c r="E3125" i="1"/>
  <c r="E3126" i="1" a="1"/>
  <c r="E3126" i="1"/>
  <c r="E3127" i="1" a="1"/>
  <c r="E3127" i="1" s="1"/>
  <c r="E3128" i="1" a="1"/>
  <c r="E3128" i="1" s="1"/>
  <c r="E3129" i="1" a="1"/>
  <c r="E3129" i="1" s="1"/>
  <c r="E3130" i="1" a="1"/>
  <c r="E3130" i="1"/>
  <c r="E3131" i="1" a="1"/>
  <c r="E3131" i="1" s="1"/>
  <c r="E3132" i="1" a="1"/>
  <c r="E3132" i="1"/>
  <c r="E3133" i="1" a="1"/>
  <c r="E3133" i="1"/>
  <c r="E3134" i="1" a="1"/>
  <c r="E3134" i="1" s="1"/>
  <c r="E3135" i="1" a="1"/>
  <c r="E3135" i="1" s="1"/>
  <c r="E3136" i="1" a="1"/>
  <c r="E3136" i="1" s="1"/>
  <c r="E3137" i="1" a="1"/>
  <c r="E3137" i="1" s="1"/>
  <c r="E3138" i="1" a="1"/>
  <c r="E3138" i="1"/>
  <c r="E3139" i="1" a="1"/>
  <c r="E3139" i="1"/>
  <c r="E3140" i="1" a="1"/>
  <c r="E3140" i="1" s="1"/>
  <c r="E3141" i="1" a="1"/>
  <c r="E3141" i="1" s="1"/>
  <c r="E3142" i="1" a="1"/>
  <c r="E3142" i="1"/>
  <c r="E3143" i="1" a="1"/>
  <c r="E3143" i="1" s="1"/>
  <c r="E3144" i="1" a="1"/>
  <c r="E3144" i="1" s="1"/>
  <c r="E3145" i="1" a="1"/>
  <c r="E3145" i="1"/>
  <c r="E3146" i="1" a="1"/>
  <c r="E3146" i="1"/>
  <c r="E3147" i="1" a="1"/>
  <c r="E3147" i="1"/>
  <c r="E3148" i="1" a="1"/>
  <c r="E3148" i="1" s="1"/>
  <c r="E3149" i="1" a="1"/>
  <c r="E3149" i="1" s="1"/>
  <c r="E3150" i="1" a="1"/>
  <c r="E3150" i="1" s="1"/>
  <c r="E3151" i="1" a="1"/>
  <c r="E3151" i="1" s="1"/>
  <c r="E3152" i="1" a="1"/>
  <c r="E3152" i="1" s="1"/>
  <c r="E3153" i="1" a="1"/>
  <c r="E3153" i="1"/>
  <c r="E3154" i="1" a="1"/>
  <c r="E3154" i="1"/>
  <c r="E3155" i="1" a="1"/>
  <c r="E3155" i="1" s="1"/>
  <c r="E3156" i="1" a="1"/>
  <c r="E3156" i="1" s="1"/>
  <c r="E3157" i="1" a="1"/>
  <c r="E3157" i="1" s="1"/>
  <c r="E3158" i="1" a="1"/>
  <c r="E3158" i="1" s="1"/>
  <c r="E3159" i="1" a="1"/>
  <c r="E3159" i="1"/>
  <c r="E3160" i="1" a="1"/>
  <c r="E3160" i="1"/>
  <c r="E3161" i="1" a="1"/>
  <c r="E3161" i="1" s="1"/>
  <c r="E3162" i="1" a="1"/>
  <c r="E3162" i="1"/>
  <c r="E3163" i="1" a="1"/>
  <c r="E3163" i="1"/>
  <c r="E3164" i="1" a="1"/>
  <c r="E3164" i="1" s="1"/>
  <c r="E3165" i="1" a="1"/>
  <c r="E3165" i="1" s="1"/>
  <c r="E3166" i="1" a="1"/>
  <c r="E3166" i="1"/>
  <c r="E3167" i="1" a="1"/>
  <c r="E3167" i="1"/>
  <c r="E3168" i="1" a="1"/>
  <c r="E3168" i="1"/>
  <c r="E3169" i="1" a="1"/>
  <c r="E3169" i="1" s="1"/>
  <c r="E3170" i="1" a="1"/>
  <c r="E3170" i="1" s="1"/>
  <c r="E3171" i="1" a="1"/>
  <c r="E3171" i="1" s="1"/>
  <c r="E3172" i="1" a="1"/>
  <c r="E3172" i="1" s="1"/>
  <c r="E3173" i="1" a="1"/>
  <c r="E3173" i="1" s="1"/>
  <c r="E3174" i="1" a="1"/>
  <c r="E3174" i="1"/>
  <c r="E3175" i="1" a="1"/>
  <c r="E3175" i="1"/>
  <c r="E3176" i="1" a="1"/>
  <c r="E3176" i="1" s="1"/>
  <c r="E3177" i="1" a="1"/>
  <c r="E3177" i="1" s="1"/>
  <c r="E3178" i="1" a="1"/>
  <c r="E3178" i="1" s="1"/>
  <c r="E3179" i="1" a="1"/>
  <c r="E3179" i="1" s="1"/>
  <c r="E3180" i="1" a="1"/>
  <c r="E3180" i="1"/>
  <c r="E3181" i="1" a="1"/>
  <c r="E3181" i="1" s="1"/>
  <c r="E3182" i="1" a="1"/>
  <c r="E3182" i="1" s="1"/>
  <c r="E3183" i="1" a="1"/>
  <c r="E3183" i="1"/>
  <c r="E3184" i="1" a="1"/>
  <c r="E3184" i="1"/>
  <c r="E3185" i="1" a="1"/>
  <c r="E3185" i="1" s="1"/>
  <c r="E3186" i="1" a="1"/>
  <c r="E3186" i="1" s="1"/>
  <c r="E3187" i="1" a="1"/>
  <c r="E3187" i="1"/>
  <c r="E3188" i="1" a="1"/>
  <c r="E3188" i="1"/>
  <c r="E3189" i="1" a="1"/>
  <c r="E3189" i="1"/>
  <c r="E3190" i="1" a="1"/>
  <c r="E3190" i="1" s="1"/>
  <c r="E3191" i="1" a="1"/>
  <c r="E3191" i="1" s="1"/>
  <c r="E3192" i="1" a="1"/>
  <c r="E3192" i="1"/>
  <c r="E3193" i="1" a="1"/>
  <c r="E3193" i="1" s="1"/>
  <c r="E3194" i="1" a="1"/>
  <c r="E3194" i="1" s="1"/>
  <c r="E3195" i="1" a="1"/>
  <c r="E3195" i="1"/>
  <c r="E3196" i="1" a="1"/>
  <c r="E3196" i="1"/>
  <c r="E3197" i="1" a="1"/>
  <c r="E3197" i="1" s="1"/>
  <c r="E3198" i="1" a="1"/>
  <c r="E3198" i="1" s="1"/>
  <c r="E3199" i="1" a="1"/>
  <c r="E3199" i="1" s="1"/>
  <c r="E3200" i="1" a="1"/>
  <c r="E3200" i="1" s="1"/>
  <c r="E3201" i="1" a="1"/>
  <c r="E3201" i="1" s="1"/>
  <c r="E3202" i="1" a="1"/>
  <c r="E3202" i="1" s="1"/>
  <c r="E3203" i="1" a="1"/>
  <c r="E3203" i="1" s="1"/>
  <c r="E3204" i="1" a="1"/>
  <c r="E3204" i="1"/>
  <c r="E3205" i="1" a="1"/>
  <c r="E3205" i="1"/>
  <c r="E3206" i="1" a="1"/>
  <c r="E3206" i="1" s="1"/>
  <c r="E3207" i="1" a="1"/>
  <c r="E3207" i="1" s="1"/>
  <c r="E3208" i="1" a="1"/>
  <c r="E3208" i="1"/>
  <c r="E3209" i="1" a="1"/>
  <c r="E3209" i="1"/>
  <c r="E3210" i="1" a="1"/>
  <c r="E3210" i="1"/>
  <c r="E3211" i="1" a="1"/>
  <c r="E3211" i="1" s="1"/>
  <c r="E3212" i="1" a="1"/>
  <c r="E3212" i="1"/>
  <c r="E3213" i="1" a="1"/>
  <c r="E3213" i="1"/>
  <c r="E3214" i="1" a="1"/>
  <c r="E3214" i="1" s="1"/>
  <c r="E3215" i="1" a="1"/>
  <c r="E3215" i="1" s="1"/>
  <c r="E3216" i="1" a="1"/>
  <c r="E3216" i="1"/>
  <c r="E3217" i="1" a="1"/>
  <c r="E3217" i="1"/>
  <c r="E3218" i="1" a="1"/>
  <c r="E3218" i="1" s="1"/>
  <c r="E3219" i="1" a="1"/>
  <c r="E3219" i="1" s="1"/>
  <c r="E3220" i="1" a="1"/>
  <c r="E3220" i="1" s="1"/>
  <c r="E3221" i="1" a="1"/>
  <c r="E3221" i="1" s="1"/>
  <c r="E3222" i="1" a="1"/>
  <c r="E3222" i="1" s="1"/>
  <c r="E3223" i="1" a="1"/>
  <c r="E3223" i="1" s="1"/>
  <c r="E3224" i="1" a="1"/>
  <c r="E3224" i="1" s="1"/>
  <c r="E3225" i="1" a="1"/>
  <c r="E3225" i="1"/>
  <c r="E3226" i="1" a="1"/>
  <c r="E3226" i="1"/>
  <c r="E3227" i="1" a="1"/>
  <c r="E3227" i="1" s="1"/>
  <c r="E3228" i="1" a="1"/>
  <c r="E3228" i="1" s="1"/>
  <c r="E3229" i="1" a="1"/>
  <c r="E3229" i="1"/>
  <c r="E3230" i="1" a="1"/>
  <c r="E3230" i="1"/>
  <c r="E3231" i="1" a="1"/>
  <c r="E3231" i="1" s="1"/>
  <c r="E3232" i="1" a="1"/>
  <c r="E3232" i="1" s="1"/>
  <c r="E3233" i="1" a="1"/>
  <c r="E3233" i="1"/>
  <c r="E3234" i="1" a="1"/>
  <c r="E3234" i="1"/>
  <c r="E3235" i="1" a="1"/>
  <c r="E3235" i="1" s="1"/>
  <c r="E3236" i="1" a="1"/>
  <c r="E3236" i="1" s="1"/>
  <c r="E3237" i="1" a="1"/>
  <c r="E3237" i="1"/>
  <c r="E3238" i="1" a="1"/>
  <c r="E3238" i="1"/>
  <c r="E3239" i="1" a="1"/>
  <c r="E3239" i="1" s="1"/>
  <c r="E3240" i="1" a="1"/>
  <c r="E3240" i="1" s="1"/>
  <c r="E3241" i="1" a="1"/>
  <c r="E3241" i="1" s="1"/>
  <c r="E3242" i="1" a="1"/>
  <c r="E3242" i="1"/>
  <c r="E3243" i="1" a="1"/>
  <c r="E3243" i="1" s="1"/>
  <c r="E3244" i="1" a="1"/>
  <c r="E3244" i="1" s="1"/>
  <c r="E3245" i="1" a="1"/>
  <c r="E3245" i="1" s="1"/>
  <c r="E3246" i="1" a="1"/>
  <c r="E3246" i="1"/>
  <c r="E3247" i="1" a="1"/>
  <c r="E3247" i="1"/>
  <c r="E3248" i="1" a="1"/>
  <c r="E3248" i="1" s="1"/>
  <c r="E3249" i="1" a="1"/>
  <c r="E3249" i="1" s="1"/>
  <c r="E3250" i="1" a="1"/>
  <c r="E3250" i="1"/>
  <c r="E3251" i="1" a="1"/>
  <c r="E3251" i="1" s="1"/>
  <c r="E3252" i="1" a="1"/>
  <c r="E3252" i="1" s="1"/>
  <c r="E3253" i="1" a="1"/>
  <c r="E3253" i="1" s="1"/>
  <c r="E3254" i="1" a="1"/>
  <c r="E3254" i="1"/>
  <c r="E3255" i="1" a="1"/>
  <c r="E3255" i="1"/>
  <c r="E3256" i="1" a="1"/>
  <c r="E3256" i="1" s="1"/>
  <c r="E3257" i="1" a="1"/>
  <c r="E3257" i="1" s="1"/>
  <c r="E3258" i="1" a="1"/>
  <c r="E3258" i="1"/>
  <c r="E3259" i="1" a="1"/>
  <c r="E3259" i="1"/>
  <c r="E3260" i="1" a="1"/>
  <c r="E3260" i="1" s="1"/>
  <c r="E3261" i="1" a="1"/>
  <c r="E3261" i="1" s="1"/>
  <c r="E3262" i="1" a="1"/>
  <c r="E3262" i="1"/>
  <c r="E3263" i="1" a="1"/>
  <c r="E3263" i="1"/>
  <c r="E3264" i="1" a="1"/>
  <c r="E3264" i="1" s="1"/>
  <c r="E3265" i="1" a="1"/>
  <c r="E3265" i="1" s="1"/>
  <c r="E3266" i="1" a="1"/>
  <c r="E3266" i="1" s="1"/>
  <c r="E3267" i="1" a="1"/>
  <c r="E3267" i="1"/>
  <c r="E3268" i="1" a="1"/>
  <c r="E3268" i="1"/>
  <c r="E3269" i="1" a="1"/>
  <c r="E3269" i="1" s="1"/>
  <c r="E3270" i="1" a="1"/>
  <c r="E3270" i="1" s="1"/>
  <c r="E3271" i="1" a="1"/>
  <c r="E3271" i="1" s="1"/>
  <c r="E3272" i="1" a="1"/>
  <c r="E3272" i="1" s="1"/>
  <c r="E3273" i="1" a="1"/>
  <c r="E3273" i="1" s="1"/>
  <c r="E3274" i="1" a="1"/>
  <c r="E3274" i="1" s="1"/>
  <c r="E3275" i="1" a="1"/>
  <c r="E3275" i="1"/>
  <c r="E3276" i="1" a="1"/>
  <c r="E3276" i="1"/>
  <c r="E3277" i="1" a="1"/>
  <c r="E3277" i="1" s="1"/>
  <c r="E3278" i="1" a="1"/>
  <c r="E3278" i="1" s="1"/>
  <c r="E3279" i="1" a="1"/>
  <c r="E3279" i="1"/>
  <c r="E3280" i="1" a="1"/>
  <c r="E3280" i="1" s="1"/>
  <c r="E3281" i="1" a="1"/>
  <c r="E3281" i="1" s="1"/>
  <c r="E3282" i="1" a="1"/>
  <c r="E3282" i="1" s="1"/>
  <c r="E3283" i="1" a="1"/>
  <c r="E3283" i="1" s="1"/>
  <c r="E3284" i="1" a="1"/>
  <c r="E3284" i="1" s="1"/>
  <c r="E3285" i="1" a="1"/>
  <c r="E3285" i="1" s="1"/>
  <c r="E3286" i="1" a="1"/>
  <c r="E3286" i="1"/>
  <c r="E3287" i="1" a="1"/>
  <c r="E3287" i="1"/>
  <c r="E3288" i="1" a="1"/>
  <c r="E3288" i="1" s="1"/>
  <c r="E3289" i="1" a="1"/>
  <c r="E3289" i="1" s="1"/>
  <c r="E3290" i="1" a="1"/>
  <c r="E3290" i="1"/>
  <c r="E3291" i="1" a="1"/>
  <c r="E3291" i="1" s="1"/>
  <c r="E3292" i="1" a="1"/>
  <c r="E3292" i="1"/>
  <c r="E3293" i="1" a="1"/>
  <c r="E3293" i="1" s="1"/>
  <c r="E3294" i="1" a="1"/>
  <c r="E3294" i="1" s="1"/>
  <c r="E3295" i="1" a="1"/>
  <c r="E3295" i="1" s="1"/>
  <c r="E3296" i="1" a="1"/>
  <c r="E3296" i="1" s="1"/>
  <c r="E3297" i="1" a="1"/>
  <c r="E3297" i="1"/>
  <c r="E3298" i="1" a="1"/>
  <c r="E3298" i="1"/>
  <c r="E3299" i="1" a="1"/>
  <c r="E3299" i="1" s="1"/>
  <c r="E3300" i="1" a="1"/>
  <c r="E3300" i="1" s="1"/>
  <c r="E3301" i="1" a="1"/>
  <c r="E3301" i="1" s="1"/>
  <c r="E3302" i="1" a="1"/>
  <c r="E3302" i="1" s="1"/>
  <c r="E3303" i="1" a="1"/>
  <c r="E3303" i="1" s="1"/>
  <c r="E3304" i="1" a="1"/>
  <c r="E3304" i="1"/>
  <c r="E3305" i="1" a="1"/>
  <c r="E3305" i="1" s="1"/>
  <c r="E3306" i="1" a="1"/>
  <c r="E3306" i="1" s="1"/>
  <c r="E3307" i="1" a="1"/>
  <c r="E3307" i="1"/>
  <c r="E3308" i="1" a="1"/>
  <c r="E3308" i="1" s="1"/>
  <c r="E3309" i="1" a="1"/>
  <c r="E3309" i="1" s="1"/>
  <c r="E3310" i="1" a="1"/>
  <c r="E3310" i="1" s="1"/>
  <c r="E3311" i="1" a="1"/>
  <c r="E3311" i="1" s="1"/>
  <c r="E3312" i="1" a="1"/>
  <c r="E3312" i="1" s="1"/>
  <c r="E3313" i="1" a="1"/>
  <c r="E3313" i="1" s="1"/>
  <c r="E3314" i="1" a="1"/>
  <c r="E3314" i="1"/>
  <c r="E3315" i="1" a="1"/>
  <c r="E3315" i="1"/>
  <c r="E3316" i="1" a="1"/>
  <c r="E3316" i="1" s="1"/>
  <c r="E3317" i="1" a="1"/>
  <c r="E3317" i="1" s="1"/>
  <c r="E3318" i="1" a="1"/>
  <c r="E3318" i="1" s="1"/>
  <c r="E3319" i="1" a="1"/>
  <c r="E3319" i="1" s="1"/>
  <c r="E3320" i="1" a="1"/>
  <c r="E3320" i="1"/>
  <c r="E3321" i="1" a="1"/>
  <c r="E3321" i="1" s="1"/>
  <c r="E3322" i="1" a="1"/>
  <c r="E3322" i="1"/>
  <c r="E3323" i="1" a="1"/>
  <c r="E3323" i="1"/>
  <c r="E3324" i="1" a="1"/>
  <c r="E3324" i="1"/>
  <c r="E3325" i="1" a="1"/>
  <c r="E3325" i="1" s="1"/>
  <c r="E3326" i="1" a="1"/>
  <c r="E3326" i="1" s="1"/>
  <c r="E3327" i="1" a="1"/>
  <c r="E3327" i="1" s="1"/>
  <c r="E3328" i="1" a="1"/>
  <c r="E3328" i="1" s="1"/>
  <c r="E3329" i="1" a="1"/>
  <c r="E3329" i="1" s="1"/>
  <c r="E3330" i="1" a="1"/>
  <c r="E3330" i="1" s="1"/>
  <c r="E3331" i="1" a="1"/>
  <c r="E3331" i="1" s="1"/>
  <c r="E3332" i="1" a="1"/>
  <c r="E3332" i="1" s="1"/>
  <c r="E3333" i="1" a="1"/>
  <c r="E3333" i="1" s="1"/>
  <c r="E3334" i="1" a="1"/>
  <c r="E3334" i="1" s="1"/>
  <c r="E3335" i="1" a="1"/>
  <c r="E3335" i="1"/>
  <c r="E3336" i="1" a="1"/>
  <c r="E3336" i="1"/>
  <c r="E3337" i="1" a="1"/>
  <c r="E3337" i="1" s="1"/>
  <c r="E3338" i="1" a="1"/>
  <c r="E3338" i="1" s="1"/>
  <c r="E3339" i="1" a="1"/>
  <c r="E3339" i="1"/>
  <c r="E3340" i="1" a="1"/>
  <c r="E3340" i="1"/>
  <c r="E3341" i="1" a="1"/>
  <c r="E3341" i="1" s="1"/>
  <c r="E3342" i="1" a="1"/>
  <c r="E3342" i="1" s="1"/>
  <c r="E3343" i="1" a="1"/>
  <c r="E3343" i="1" s="1"/>
  <c r="E3344" i="1" a="1"/>
  <c r="E3344" i="1" s="1"/>
  <c r="E3345" i="1" a="1"/>
  <c r="E3345" i="1" s="1"/>
  <c r="E3346" i="1" a="1"/>
  <c r="E3346" i="1"/>
  <c r="E3347" i="1" a="1"/>
  <c r="E3347" i="1" s="1"/>
  <c r="E3348" i="1" a="1"/>
  <c r="E3348" i="1"/>
  <c r="E3349" i="1" a="1"/>
  <c r="E3349" i="1" s="1"/>
  <c r="E3350" i="1" a="1"/>
  <c r="E3350" i="1" s="1"/>
  <c r="E3351" i="1" a="1"/>
  <c r="E3351" i="1" s="1"/>
  <c r="E3352" i="1" a="1"/>
  <c r="E3352" i="1" s="1"/>
  <c r="E3353" i="1" a="1"/>
  <c r="E3353" i="1" s="1"/>
  <c r="E3354" i="1" a="1"/>
  <c r="E3354" i="1" s="1"/>
  <c r="E3355" i="1" a="1"/>
  <c r="E3355" i="1" s="1"/>
  <c r="E3356" i="1" a="1"/>
  <c r="E3356" i="1" s="1"/>
  <c r="E3357" i="1" a="1"/>
  <c r="E3357" i="1" s="1"/>
  <c r="E3358" i="1" a="1"/>
  <c r="E3358" i="1"/>
  <c r="E3359" i="1" a="1"/>
  <c r="E3359" i="1"/>
  <c r="E3360" i="1" a="1"/>
  <c r="E3360" i="1" s="1"/>
  <c r="E3361" i="1" a="1"/>
  <c r="E3361" i="1" s="1"/>
  <c r="E3362" i="1" a="1"/>
  <c r="E3362" i="1" s="1"/>
  <c r="E3363" i="1" a="1"/>
  <c r="E3363" i="1" s="1"/>
  <c r="E3364" i="1" a="1"/>
  <c r="E3364" i="1"/>
  <c r="E3365" i="1" a="1"/>
  <c r="E3365" i="1"/>
  <c r="E3366" i="1" a="1"/>
  <c r="E3366" i="1" s="1"/>
  <c r="E3367" i="1" a="1"/>
  <c r="E3367" i="1" s="1"/>
  <c r="E3368" i="1" a="1"/>
  <c r="E3368" i="1" s="1"/>
  <c r="E3369" i="1" a="1"/>
  <c r="E3369" i="1" s="1"/>
  <c r="E3370" i="1" a="1"/>
  <c r="E3370" i="1" s="1"/>
  <c r="E3371" i="1" a="1"/>
  <c r="E3371" i="1" s="1"/>
  <c r="E3372" i="1" a="1"/>
  <c r="E3372" i="1"/>
  <c r="E3373" i="1" a="1"/>
  <c r="E3373" i="1"/>
  <c r="E3374" i="1" a="1"/>
  <c r="E3374" i="1" s="1"/>
  <c r="E3375" i="1" a="1"/>
  <c r="E3375" i="1" s="1"/>
  <c r="E3376" i="1" a="1"/>
  <c r="E3376" i="1" s="1"/>
  <c r="E3377" i="1" a="1"/>
  <c r="E3377" i="1"/>
  <c r="E3378" i="1" a="1"/>
  <c r="E3378" i="1" s="1"/>
  <c r="E3379" i="1" a="1"/>
  <c r="E3379" i="1" s="1"/>
  <c r="E3380" i="1" a="1"/>
  <c r="E3380" i="1" s="1"/>
  <c r="E3381" i="1" a="1"/>
  <c r="E3381" i="1" s="1"/>
  <c r="E3382" i="1" a="1"/>
  <c r="E3382" i="1" s="1"/>
  <c r="E3383" i="1" a="1"/>
  <c r="E3383" i="1"/>
  <c r="E3384" i="1" a="1"/>
  <c r="E3384" i="1" s="1"/>
  <c r="E3385" i="1" a="1"/>
  <c r="E3385" i="1"/>
  <c r="E3386" i="1" a="1"/>
  <c r="E3386" i="1" s="1"/>
  <c r="E3387" i="1" a="1"/>
  <c r="E3387" i="1" s="1"/>
  <c r="E3388" i="1" a="1"/>
  <c r="E3388" i="1" s="1"/>
  <c r="E3389" i="1" a="1"/>
  <c r="E3389" i="1" s="1"/>
  <c r="E3390" i="1" a="1"/>
  <c r="E3390" i="1" s="1"/>
  <c r="E3391" i="1" a="1"/>
  <c r="E3391" i="1" s="1"/>
  <c r="E3392" i="1" a="1"/>
  <c r="E3392" i="1"/>
  <c r="E3393" i="1" a="1"/>
  <c r="E3393" i="1" s="1"/>
  <c r="E3394" i="1" a="1"/>
  <c r="E3394" i="1" s="1"/>
  <c r="E3395" i="1" a="1"/>
  <c r="E3395" i="1"/>
  <c r="E3396" i="1" a="1"/>
  <c r="E3396" i="1"/>
  <c r="E3397" i="1" a="1"/>
  <c r="E3397" i="1" s="1"/>
  <c r="E3398" i="1" a="1"/>
  <c r="E3398" i="1"/>
  <c r="E3399" i="1" a="1"/>
  <c r="E3399" i="1"/>
  <c r="E3400" i="1" a="1"/>
  <c r="E3400" i="1"/>
  <c r="E3401" i="1" a="1"/>
  <c r="E3401" i="1" s="1"/>
  <c r="E3402" i="1" a="1"/>
  <c r="E3402" i="1"/>
  <c r="E3403" i="1" a="1"/>
  <c r="E3403" i="1" s="1"/>
  <c r="E3404" i="1" a="1"/>
  <c r="E3404" i="1" s="1"/>
  <c r="E3405" i="1" a="1"/>
  <c r="E3405" i="1" s="1"/>
  <c r="E3406" i="1" a="1"/>
  <c r="E3406" i="1" s="1"/>
  <c r="E3407" i="1" a="1"/>
  <c r="E3407" i="1"/>
  <c r="E3408" i="1" a="1"/>
  <c r="E3408" i="1"/>
  <c r="E3409" i="1" a="1"/>
  <c r="E3409" i="1" s="1"/>
  <c r="E3410" i="1" a="1"/>
  <c r="E3410" i="1" s="1"/>
  <c r="E3411" i="1" a="1"/>
  <c r="E3411" i="1" s="1"/>
  <c r="E3412" i="1" a="1"/>
  <c r="E3412" i="1"/>
  <c r="E3413" i="1" a="1"/>
  <c r="E3413" i="1" s="1"/>
  <c r="E3414" i="1" a="1"/>
  <c r="E3414" i="1" s="1"/>
  <c r="E3415" i="1" a="1"/>
  <c r="E3415" i="1" s="1"/>
  <c r="E3416" i="1" a="1"/>
  <c r="E3416" i="1"/>
  <c r="E3417" i="1" a="1"/>
  <c r="E3417" i="1"/>
  <c r="E3418" i="1" a="1"/>
  <c r="E3418" i="1" s="1"/>
  <c r="E3419" i="1" a="1"/>
  <c r="E3419" i="1"/>
  <c r="E3420" i="1" a="1"/>
  <c r="E3420" i="1" s="1"/>
  <c r="E3421" i="1" a="1"/>
  <c r="E3421" i="1" s="1"/>
  <c r="E3422" i="1" a="1"/>
  <c r="E3422" i="1"/>
  <c r="E3423" i="1" a="1"/>
  <c r="E3423" i="1"/>
  <c r="E3424" i="1" a="1"/>
  <c r="E3424" i="1" s="1"/>
  <c r="E3425" i="1" a="1"/>
  <c r="E3425" i="1"/>
  <c r="E3426" i="1" a="1"/>
  <c r="E3426" i="1" s="1"/>
  <c r="E3427" i="1" a="1"/>
  <c r="E3427" i="1" s="1"/>
  <c r="E3428" i="1" a="1"/>
  <c r="E3428" i="1"/>
  <c r="E3429" i="1" a="1"/>
  <c r="E3429" i="1"/>
  <c r="E3430" i="1" a="1"/>
  <c r="E3430" i="1" s="1"/>
  <c r="E3431" i="1" a="1"/>
  <c r="E3431" i="1" s="1"/>
  <c r="E3432" i="1" a="1"/>
  <c r="E3432" i="1" s="1"/>
  <c r="E3433" i="1" a="1"/>
  <c r="E3433" i="1"/>
  <c r="E3434" i="1" a="1"/>
  <c r="E3434" i="1"/>
  <c r="E3435" i="1" a="1"/>
  <c r="E3435" i="1"/>
  <c r="E3436" i="1" a="1"/>
  <c r="E3436" i="1" s="1"/>
  <c r="E3437" i="1" a="1"/>
  <c r="E3437" i="1" s="1"/>
  <c r="E3438" i="1" a="1"/>
  <c r="E3438" i="1" s="1"/>
  <c r="E3439" i="1" a="1"/>
  <c r="E3439" i="1" s="1"/>
  <c r="E3440" i="1" a="1"/>
  <c r="E3440" i="1" s="1"/>
  <c r="E3441" i="1" a="1"/>
  <c r="E3441" i="1" s="1"/>
  <c r="E3442" i="1" a="1"/>
  <c r="E3442" i="1"/>
  <c r="E3443" i="1" a="1"/>
  <c r="E3443" i="1" s="1"/>
  <c r="E3444" i="1" a="1"/>
  <c r="E3444" i="1" s="1"/>
  <c r="E3445" i="1" a="1"/>
  <c r="E3445" i="1" s="1"/>
  <c r="E3446" i="1" a="1"/>
  <c r="E3446" i="1"/>
  <c r="E3447" i="1" a="1"/>
  <c r="E3447" i="1" s="1"/>
  <c r="E3448" i="1" a="1"/>
  <c r="E3448" i="1" s="1"/>
  <c r="E3449" i="1" a="1"/>
  <c r="E3449" i="1" s="1"/>
  <c r="E3450" i="1" a="1"/>
  <c r="E3450" i="1" s="1"/>
  <c r="E3451" i="1" a="1"/>
  <c r="E3451" i="1" s="1"/>
  <c r="E3452" i="1" a="1"/>
  <c r="E3452" i="1" s="1"/>
  <c r="E3453" i="1" a="1"/>
  <c r="E3453" i="1"/>
  <c r="E3454" i="1" a="1"/>
  <c r="E3454" i="1"/>
  <c r="E3455" i="1" a="1"/>
  <c r="E3455" i="1" s="1"/>
  <c r="E3456" i="1" a="1"/>
  <c r="E3456" i="1" s="1"/>
  <c r="E3457" i="1" a="1"/>
  <c r="E3457" i="1" s="1"/>
  <c r="E3458" i="1" a="1"/>
  <c r="E3458" i="1" s="1"/>
  <c r="E3459" i="1" a="1"/>
  <c r="E3459" i="1" s="1"/>
  <c r="E3460" i="1" a="1"/>
  <c r="E3460" i="1"/>
  <c r="E3461" i="1" a="1"/>
  <c r="E3461" i="1"/>
  <c r="E3462" i="1" a="1"/>
  <c r="E3462" i="1" s="1"/>
  <c r="E3463" i="1" a="1"/>
  <c r="E3463" i="1" s="1"/>
  <c r="E3464" i="1" a="1"/>
  <c r="E3464" i="1" s="1"/>
  <c r="E3465" i="1" a="1"/>
  <c r="E3465" i="1" s="1"/>
  <c r="E3466" i="1" a="1"/>
  <c r="E3466" i="1"/>
  <c r="E3467" i="1" a="1"/>
  <c r="E3467" i="1" s="1"/>
  <c r="E3468" i="1" a="1"/>
  <c r="E3468" i="1" s="1"/>
  <c r="E3469" i="1" a="1"/>
  <c r="E3469" i="1" s="1"/>
  <c r="E3470" i="1" a="1"/>
  <c r="E3470" i="1"/>
  <c r="E3471" i="1" a="1"/>
  <c r="E3471" i="1" s="1"/>
  <c r="E3472" i="1" a="1"/>
  <c r="E3472" i="1"/>
  <c r="E3473" i="1" a="1"/>
  <c r="E3473" i="1" s="1"/>
  <c r="E3474" i="1" a="1"/>
  <c r="E3474" i="1" s="1"/>
  <c r="E3475" i="1" a="1"/>
  <c r="E3475" i="1" s="1"/>
  <c r="E3476" i="1" a="1"/>
  <c r="E3476" i="1" s="1"/>
  <c r="E3477" i="1" a="1"/>
  <c r="E3477" i="1" s="1"/>
  <c r="E3478" i="1" a="1"/>
  <c r="E3478" i="1"/>
  <c r="E3479" i="1" a="1"/>
  <c r="E3479" i="1" s="1"/>
  <c r="E3480" i="1" a="1"/>
  <c r="E3480" i="1" s="1"/>
  <c r="E3481" i="1" a="1"/>
  <c r="E3481" i="1" s="1"/>
  <c r="E3482" i="1" a="1"/>
  <c r="E3482" i="1"/>
  <c r="E3483" i="1" a="1"/>
  <c r="E3483" i="1" s="1"/>
  <c r="E3484" i="1" a="1"/>
  <c r="E3484" i="1"/>
  <c r="E3485" i="1" a="1"/>
  <c r="E3485" i="1" s="1"/>
  <c r="E3486" i="1" a="1"/>
  <c r="E3486" i="1" s="1"/>
  <c r="E3487" i="1" a="1"/>
  <c r="E3487" i="1" s="1"/>
  <c r="E3488" i="1" a="1"/>
  <c r="E3488" i="1" s="1"/>
  <c r="E3489" i="1" a="1"/>
  <c r="E3489" i="1" s="1"/>
  <c r="E3490" i="1" a="1"/>
  <c r="E3490" i="1"/>
  <c r="E3491" i="1" a="1"/>
  <c r="E3491" i="1"/>
  <c r="E3492" i="1" a="1"/>
  <c r="E3492" i="1" s="1"/>
  <c r="E3493" i="1" a="1"/>
  <c r="E3493" i="1" s="1"/>
  <c r="E3494" i="1" a="1"/>
  <c r="E3494" i="1" s="1"/>
  <c r="E3495" i="1" a="1"/>
  <c r="E3495" i="1" s="1"/>
  <c r="E3496" i="1" a="1"/>
  <c r="E3496" i="1" s="1"/>
  <c r="E3497" i="1" a="1"/>
  <c r="E3497" i="1" s="1"/>
  <c r="E3498" i="1" a="1"/>
  <c r="E3498" i="1" s="1"/>
  <c r="E3499" i="1" a="1"/>
  <c r="E3499" i="1" s="1"/>
  <c r="E3500" i="1" a="1"/>
  <c r="E3500" i="1" s="1"/>
  <c r="E3501" i="1" a="1"/>
  <c r="E3501" i="1" s="1"/>
  <c r="E3502" i="1" a="1"/>
  <c r="E3502" i="1" s="1"/>
  <c r="E3503" i="1" a="1"/>
  <c r="E3503" i="1" s="1"/>
  <c r="E3504" i="1" a="1"/>
  <c r="E3504" i="1" s="1"/>
  <c r="E3505" i="1" a="1"/>
  <c r="E3505" i="1" s="1"/>
  <c r="E3506" i="1" a="1"/>
  <c r="E3506" i="1" s="1"/>
  <c r="E3507" i="1" a="1"/>
  <c r="E3507" i="1" s="1"/>
  <c r="E3508" i="1" a="1"/>
  <c r="E3508" i="1" s="1"/>
  <c r="E3509" i="1" a="1"/>
  <c r="E3509" i="1" s="1"/>
  <c r="E3510" i="1" a="1"/>
  <c r="E3510" i="1" s="1"/>
  <c r="E3511" i="1" a="1"/>
  <c r="E3511" i="1"/>
  <c r="E3512" i="1" a="1"/>
  <c r="E3512" i="1"/>
  <c r="E3513" i="1" a="1"/>
  <c r="E3513" i="1" s="1"/>
  <c r="E3514" i="1" a="1"/>
  <c r="E3514" i="1" s="1"/>
  <c r="E3515" i="1" a="1"/>
  <c r="E3515" i="1" s="1"/>
  <c r="E3516" i="1" a="1"/>
  <c r="E3516" i="1" s="1"/>
  <c r="E3517" i="1" a="1"/>
  <c r="E3517" i="1" s="1"/>
  <c r="E3518" i="1" a="1"/>
  <c r="E3518" i="1" s="1"/>
  <c r="E3519" i="1" a="1"/>
  <c r="E3519" i="1" s="1"/>
  <c r="E3520" i="1" a="1"/>
  <c r="E3520" i="1" s="1"/>
  <c r="E3521" i="1" a="1"/>
  <c r="E3521" i="1" s="1"/>
  <c r="E3522" i="1" a="1"/>
  <c r="E3522" i="1" s="1"/>
  <c r="E3523" i="1" a="1"/>
  <c r="E3523" i="1" s="1"/>
  <c r="E3524" i="1" a="1"/>
  <c r="E3524" i="1" s="1"/>
  <c r="E3525" i="1" a="1"/>
  <c r="E3525" i="1" s="1"/>
  <c r="E3526" i="1" a="1"/>
  <c r="E3526" i="1" s="1"/>
  <c r="E3527" i="1" a="1"/>
  <c r="E3527" i="1" s="1"/>
  <c r="E3528" i="1" a="1"/>
  <c r="E3528" i="1" s="1"/>
  <c r="E3529" i="1" a="1"/>
  <c r="E3529" i="1" s="1"/>
  <c r="E3530" i="1" a="1"/>
  <c r="E3530" i="1" s="1"/>
  <c r="E3531" i="1" a="1"/>
  <c r="E3531" i="1"/>
  <c r="E3532" i="1" a="1"/>
  <c r="E3532" i="1" s="1"/>
  <c r="E3533" i="1" a="1"/>
  <c r="E3533" i="1" s="1"/>
  <c r="E3534" i="1" a="1"/>
  <c r="E3534" i="1" s="1"/>
  <c r="E3535" i="1" a="1"/>
  <c r="E3535" i="1" s="1"/>
  <c r="E3536" i="1" a="1"/>
  <c r="E3536" i="1" s="1"/>
  <c r="E3537" i="1" a="1"/>
  <c r="E3537" i="1" s="1"/>
  <c r="E3538" i="1" a="1"/>
  <c r="E3538" i="1" s="1"/>
  <c r="E3539" i="1" a="1"/>
  <c r="E3539" i="1" s="1"/>
  <c r="E3540" i="1" a="1"/>
  <c r="E3540" i="1" s="1"/>
  <c r="E3541" i="1" a="1"/>
  <c r="E3541" i="1"/>
  <c r="E3542" i="1" a="1"/>
  <c r="E3542" i="1"/>
  <c r="E3543" i="1" a="1"/>
  <c r="E3543" i="1" s="1"/>
  <c r="E3544" i="1" a="1"/>
  <c r="E3544" i="1"/>
  <c r="E3545" i="1" a="1"/>
  <c r="E3545" i="1" s="1"/>
  <c r="E3546" i="1" a="1"/>
  <c r="E3546" i="1" s="1"/>
  <c r="E3547" i="1" a="1"/>
  <c r="E3547" i="1" s="1"/>
  <c r="E3548" i="1" a="1"/>
  <c r="E3548" i="1" s="1"/>
  <c r="E3549" i="1" a="1"/>
  <c r="E3549" i="1" s="1"/>
  <c r="E3550" i="1" a="1"/>
  <c r="E3550" i="1" s="1"/>
  <c r="E3551" i="1" a="1"/>
  <c r="E3551" i="1" s="1"/>
  <c r="E3552" i="1" a="1"/>
  <c r="E3552" i="1" s="1"/>
  <c r="E3553" i="1" a="1"/>
  <c r="E3553" i="1" s="1"/>
  <c r="E3554" i="1" a="1"/>
  <c r="E3554" i="1" s="1"/>
  <c r="E3555" i="1" a="1"/>
  <c r="E3555" i="1" s="1"/>
  <c r="E3556" i="1" a="1"/>
  <c r="E3556" i="1"/>
  <c r="E3557" i="1" a="1"/>
  <c r="E3557" i="1" s="1"/>
  <c r="E3558" i="1" a="1"/>
  <c r="E3558" i="1" s="1"/>
  <c r="E3559" i="1" a="1"/>
  <c r="E3559" i="1" s="1"/>
  <c r="E3560" i="1" a="1"/>
  <c r="E3560" i="1" s="1"/>
  <c r="E3561" i="1" a="1"/>
  <c r="E3561" i="1" s="1"/>
  <c r="E3562" i="1" a="1"/>
  <c r="E3562" i="1" s="1"/>
  <c r="E3563" i="1" a="1"/>
  <c r="E3563" i="1" s="1"/>
  <c r="E3564" i="1" a="1"/>
  <c r="E3564" i="1" s="1"/>
  <c r="E3565" i="1" a="1"/>
  <c r="E3565" i="1" s="1"/>
  <c r="E3566" i="1" a="1"/>
  <c r="E3566" i="1" s="1"/>
  <c r="E3567" i="1" a="1"/>
  <c r="E3567" i="1" s="1"/>
  <c r="E3568" i="1" a="1"/>
  <c r="E3568" i="1" s="1"/>
  <c r="E3569" i="1" a="1"/>
  <c r="E3569" i="1" s="1"/>
  <c r="E3570" i="1" a="1"/>
  <c r="E3570" i="1" s="1"/>
  <c r="E3571" i="1" a="1"/>
  <c r="E3571" i="1"/>
  <c r="E3572" i="1" a="1"/>
  <c r="E3572" i="1"/>
  <c r="E3573" i="1" a="1"/>
  <c r="E3573" i="1" s="1"/>
  <c r="E3574" i="1" a="1"/>
  <c r="E3574" i="1" s="1"/>
  <c r="E3575" i="1" a="1"/>
  <c r="E3575" i="1" s="1"/>
  <c r="E3576" i="1" a="1"/>
  <c r="E3576" i="1" s="1"/>
  <c r="E3577" i="1" a="1"/>
  <c r="E3577" i="1" s="1"/>
  <c r="E3578" i="1" a="1"/>
  <c r="E3578" i="1" s="1"/>
  <c r="E3579" i="1" a="1"/>
  <c r="E3579" i="1" s="1"/>
  <c r="E3580" i="1" a="1"/>
  <c r="E3580" i="1" s="1"/>
  <c r="E3581" i="1" a="1"/>
  <c r="E3581" i="1"/>
  <c r="E3582" i="1" a="1"/>
  <c r="E3582" i="1" s="1"/>
  <c r="E3583" i="1" a="1"/>
  <c r="E3583" i="1" s="1"/>
  <c r="E3584" i="1" a="1"/>
  <c r="E3584" i="1" s="1"/>
  <c r="E3585" i="1" a="1"/>
  <c r="E3585" i="1" s="1"/>
  <c r="E3586" i="1" a="1"/>
  <c r="E3586" i="1" s="1"/>
  <c r="E3587" i="1" a="1"/>
  <c r="E3587" i="1" s="1"/>
  <c r="E3588" i="1" a="1"/>
  <c r="E3588" i="1" s="1"/>
  <c r="E3589" i="1" a="1"/>
  <c r="E3589" i="1" s="1"/>
  <c r="E3590" i="1" a="1"/>
  <c r="E3590" i="1" s="1"/>
  <c r="E3591" i="1" a="1"/>
  <c r="E3591" i="1" s="1"/>
  <c r="E3592" i="1" a="1"/>
  <c r="E3592" i="1" s="1"/>
  <c r="E3593" i="1" a="1"/>
  <c r="E3593" i="1" s="1"/>
  <c r="E3594" i="1" a="1"/>
  <c r="E3594" i="1"/>
  <c r="E3595" i="1" a="1"/>
  <c r="E3595" i="1" s="1"/>
  <c r="E3596" i="1" a="1"/>
  <c r="E3596" i="1" s="1"/>
  <c r="E3597" i="1" a="1"/>
  <c r="E3597" i="1" s="1"/>
  <c r="E3598" i="1" a="1"/>
  <c r="E3598" i="1" s="1"/>
  <c r="E3599" i="1" a="1"/>
  <c r="E3599" i="1" s="1"/>
  <c r="E3600" i="1" a="1"/>
  <c r="E3600" i="1" s="1"/>
  <c r="E3601" i="1" a="1"/>
  <c r="E3601" i="1" s="1"/>
  <c r="E3602" i="1" a="1"/>
  <c r="E3602" i="1"/>
  <c r="E3603" i="1" a="1"/>
  <c r="E3603" i="1" s="1"/>
  <c r="E3604" i="1" a="1"/>
  <c r="E3604" i="1"/>
  <c r="E3605" i="1" a="1"/>
  <c r="E3605" i="1" s="1"/>
  <c r="E3606" i="1" a="1"/>
  <c r="E3606" i="1"/>
  <c r="E3607" i="1" a="1"/>
  <c r="E3607" i="1" s="1"/>
  <c r="E3608" i="1" a="1"/>
  <c r="E3608" i="1" s="1"/>
  <c r="E3609" i="1" a="1"/>
  <c r="E3609" i="1" s="1"/>
  <c r="E3610" i="1" a="1"/>
  <c r="E3610" i="1"/>
  <c r="E3611" i="1" a="1"/>
  <c r="E3611" i="1"/>
  <c r="E3612" i="1" a="1"/>
  <c r="E3612" i="1" s="1"/>
  <c r="E3613" i="1" a="1"/>
  <c r="E3613" i="1" s="1"/>
  <c r="E3614" i="1" a="1"/>
  <c r="E3614" i="1" s="1"/>
  <c r="E3615" i="1" a="1"/>
  <c r="E3615" i="1" s="1"/>
  <c r="E3616" i="1" a="1"/>
  <c r="E3616" i="1" s="1"/>
  <c r="E3617" i="1" a="1"/>
  <c r="E3617" i="1" s="1"/>
  <c r="E3618" i="1" a="1"/>
  <c r="E3618" i="1" s="1"/>
  <c r="E3619" i="1" a="1"/>
  <c r="E3619" i="1" s="1"/>
  <c r="E3620" i="1" a="1"/>
  <c r="E3620" i="1" s="1"/>
  <c r="E3621" i="1" a="1"/>
  <c r="E3621" i="1" s="1"/>
  <c r="E3622" i="1" a="1"/>
  <c r="E3622" i="1" s="1"/>
  <c r="E3623" i="1" a="1"/>
  <c r="E3623" i="1"/>
  <c r="E3624" i="1" a="1"/>
  <c r="E3624" i="1" s="1"/>
  <c r="E3625" i="1" a="1"/>
  <c r="E3625" i="1" s="1"/>
  <c r="E3626" i="1" a="1"/>
  <c r="E3626" i="1" s="1"/>
  <c r="E3627" i="1" a="1"/>
  <c r="E3627" i="1" s="1"/>
  <c r="E3628" i="1" a="1"/>
  <c r="E3628" i="1" s="1"/>
  <c r="E3629" i="1" a="1"/>
  <c r="E3629" i="1" s="1"/>
  <c r="E3630" i="1" a="1"/>
  <c r="E3630" i="1" s="1"/>
  <c r="E3631" i="1" a="1"/>
  <c r="E3631" i="1"/>
  <c r="E3632" i="1" a="1"/>
  <c r="E3632" i="1"/>
  <c r="E3633" i="1" a="1"/>
  <c r="E3633" i="1" s="1"/>
  <c r="E3634" i="1" a="1"/>
  <c r="E3634" i="1" s="1"/>
  <c r="E3635" i="1" a="1"/>
  <c r="E3635" i="1" s="1"/>
  <c r="E3636" i="1" a="1"/>
  <c r="E3636" i="1" s="1"/>
  <c r="E3637" i="1" a="1"/>
  <c r="E3637" i="1" s="1"/>
  <c r="E3638" i="1" a="1"/>
  <c r="E3638" i="1" s="1"/>
  <c r="E3639" i="1" a="1"/>
  <c r="E3639" i="1" s="1"/>
  <c r="E3640" i="1" a="1"/>
  <c r="E3640" i="1" s="1"/>
  <c r="E3641" i="1" a="1"/>
  <c r="E3641" i="1" s="1"/>
  <c r="E3642" i="1" a="1"/>
  <c r="E3642" i="1" s="1"/>
  <c r="E3643" i="1" a="1"/>
  <c r="E3643" i="1" s="1"/>
  <c r="E3644" i="1" a="1"/>
  <c r="E3644" i="1" s="1"/>
  <c r="E3645" i="1" a="1"/>
  <c r="E3645" i="1" s="1"/>
  <c r="E3646" i="1" a="1"/>
  <c r="E3646" i="1" s="1"/>
  <c r="E3647" i="1" a="1"/>
  <c r="E3647" i="1" s="1"/>
  <c r="E3648" i="1" a="1"/>
  <c r="E3648" i="1" s="1"/>
  <c r="E3649" i="1" a="1"/>
  <c r="E3649" i="1" s="1"/>
  <c r="E3650" i="1" a="1"/>
  <c r="E3650" i="1" s="1"/>
  <c r="E3651" i="1" a="1"/>
  <c r="E3651" i="1" s="1"/>
  <c r="E3652" i="1" a="1"/>
  <c r="E3652" i="1"/>
  <c r="E3653" i="1" a="1"/>
  <c r="E3653" i="1" s="1"/>
  <c r="E3654" i="1" a="1"/>
  <c r="E3654" i="1"/>
  <c r="E3655" i="1" a="1"/>
  <c r="E3655" i="1" s="1"/>
  <c r="E3656" i="1" a="1"/>
  <c r="E3656" i="1" s="1"/>
  <c r="E3657" i="1" a="1"/>
  <c r="E3657" i="1" s="1"/>
  <c r="E3658" i="1" a="1"/>
  <c r="E3658" i="1" s="1"/>
  <c r="E3659" i="1" a="1"/>
  <c r="E3659" i="1" s="1"/>
  <c r="E3660" i="1" a="1"/>
  <c r="E3660" i="1" s="1"/>
  <c r="E3661" i="1" a="1"/>
  <c r="E3661" i="1" s="1"/>
  <c r="E3662" i="1" a="1"/>
  <c r="E3662" i="1"/>
  <c r="E3663" i="1" a="1"/>
  <c r="E3663" i="1"/>
  <c r="E3664" i="1" a="1"/>
  <c r="E3664" i="1" s="1"/>
  <c r="E3665" i="1" a="1"/>
  <c r="E3665" i="1" s="1"/>
  <c r="E3666" i="1" a="1"/>
  <c r="E3666" i="1" s="1"/>
  <c r="E3667" i="1" a="1"/>
  <c r="E3667" i="1" s="1"/>
  <c r="E3668" i="1" a="1"/>
  <c r="E3668" i="1" s="1"/>
  <c r="E3669" i="1" a="1"/>
  <c r="E3669" i="1" s="1"/>
  <c r="E3670" i="1" a="1"/>
  <c r="E3670" i="1" s="1"/>
  <c r="E3671" i="1" a="1"/>
  <c r="E3671" i="1" s="1"/>
  <c r="E3672" i="1" a="1"/>
  <c r="E3672" i="1"/>
  <c r="E3673" i="1" a="1"/>
  <c r="E3673" i="1" s="1"/>
  <c r="E3674" i="1" a="1"/>
  <c r="E3674" i="1" s="1"/>
  <c r="E3675" i="1" a="1"/>
  <c r="E3675" i="1" s="1"/>
  <c r="E3676" i="1" a="1"/>
  <c r="E3676" i="1" s="1"/>
  <c r="E3677" i="1" a="1"/>
  <c r="E3677" i="1" s="1"/>
  <c r="E3678" i="1" a="1"/>
  <c r="E3678" i="1"/>
  <c r="E3679" i="1" a="1"/>
  <c r="E3679" i="1" s="1"/>
  <c r="E3680" i="1" a="1"/>
  <c r="E3680" i="1" s="1"/>
  <c r="E3681" i="1" a="1"/>
  <c r="E3681" i="1" s="1"/>
  <c r="E3682" i="1" a="1"/>
  <c r="E3682" i="1"/>
  <c r="E3683" i="1" a="1"/>
  <c r="E3683" i="1" s="1"/>
  <c r="E3684" i="1" a="1"/>
  <c r="E3684" i="1" s="1"/>
  <c r="E3685" i="1" a="1"/>
  <c r="E3685" i="1" s="1"/>
  <c r="E3686" i="1" a="1"/>
  <c r="E3686" i="1" s="1"/>
  <c r="E3687" i="1" a="1"/>
  <c r="E3687" i="1" s="1"/>
  <c r="E3688" i="1" a="1"/>
  <c r="E3688" i="1" s="1"/>
  <c r="E3689" i="1" a="1"/>
  <c r="E3689" i="1" s="1"/>
  <c r="E3690" i="1" a="1"/>
  <c r="E3690" i="1" s="1"/>
  <c r="E3691" i="1" a="1"/>
  <c r="E3691" i="1" s="1"/>
  <c r="E3692" i="1" a="1"/>
  <c r="E3692" i="1" s="1"/>
  <c r="E3693" i="1" a="1"/>
  <c r="E3693" i="1" s="1"/>
  <c r="E3694" i="1" a="1"/>
  <c r="E3694" i="1" s="1"/>
  <c r="E3695" i="1" a="1"/>
  <c r="E3695" i="1" s="1"/>
  <c r="E3696" i="1" a="1"/>
  <c r="E3696" i="1" s="1"/>
  <c r="E3697" i="1" a="1"/>
  <c r="E3697" i="1" s="1"/>
  <c r="E3698" i="1" a="1"/>
  <c r="E3698" i="1" s="1"/>
  <c r="E3699" i="1" a="1"/>
  <c r="E3699" i="1" s="1"/>
  <c r="E3700" i="1" a="1"/>
  <c r="E3700" i="1" s="1"/>
  <c r="E3701" i="1" a="1"/>
  <c r="E3701" i="1" s="1"/>
  <c r="E3702" i="1" a="1"/>
  <c r="E3702" i="1" s="1"/>
  <c r="E3703" i="1" a="1"/>
  <c r="E3703" i="1" s="1"/>
  <c r="E3704" i="1" a="1"/>
  <c r="E3704" i="1" s="1"/>
  <c r="E3705" i="1" a="1"/>
  <c r="E3705" i="1" s="1"/>
  <c r="E3706" i="1" a="1"/>
  <c r="E3706" i="1" s="1"/>
  <c r="E3707" i="1" a="1"/>
  <c r="E3707" i="1" s="1"/>
  <c r="E3708" i="1" a="1"/>
  <c r="E3708" i="1" s="1"/>
  <c r="E3709" i="1" a="1"/>
  <c r="E3709" i="1" s="1"/>
  <c r="E3710" i="1" a="1"/>
  <c r="E3710" i="1" s="1"/>
  <c r="E3711" i="1" a="1"/>
  <c r="E3711" i="1"/>
  <c r="E3712" i="1" a="1"/>
  <c r="E3712" i="1"/>
  <c r="E3713" i="1" a="1"/>
  <c r="E3713" i="1" s="1"/>
  <c r="E3714" i="1" a="1"/>
  <c r="E3714" i="1"/>
  <c r="E3715" i="1" a="1"/>
  <c r="E3715" i="1" s="1"/>
  <c r="E3716" i="1" a="1"/>
  <c r="E3716" i="1" s="1"/>
  <c r="E3717" i="1" a="1"/>
  <c r="E3717" i="1" s="1"/>
  <c r="E3718" i="1" a="1"/>
  <c r="E3718" i="1" s="1"/>
  <c r="E3719" i="1" a="1"/>
  <c r="E3719" i="1" s="1"/>
  <c r="E3720" i="1" a="1"/>
  <c r="E3720" i="1" s="1"/>
  <c r="E3721" i="1" a="1"/>
  <c r="E3721" i="1"/>
  <c r="E3722" i="1" a="1"/>
  <c r="E3722" i="1"/>
  <c r="E3723" i="1" a="1"/>
  <c r="E3723" i="1" s="1"/>
  <c r="E3724" i="1" a="1"/>
  <c r="E3724" i="1" s="1"/>
  <c r="E3725" i="1" a="1"/>
  <c r="E3725" i="1" s="1"/>
  <c r="E3726" i="1" a="1"/>
  <c r="E3726" i="1"/>
  <c r="E3727" i="1" a="1"/>
  <c r="E3727" i="1" s="1"/>
  <c r="E3728" i="1" a="1"/>
  <c r="E3728" i="1" s="1"/>
  <c r="E3729" i="1" a="1"/>
  <c r="E3729" i="1" s="1"/>
  <c r="E3730" i="1" a="1"/>
  <c r="E3730" i="1" s="1"/>
  <c r="E3731" i="1" a="1"/>
  <c r="E3731" i="1" s="1"/>
  <c r="E3732" i="1" a="1"/>
  <c r="E3732" i="1" s="1"/>
  <c r="E3733" i="1" a="1"/>
  <c r="E3733" i="1" s="1"/>
  <c r="E3734" i="1" a="1"/>
  <c r="E3734" i="1"/>
  <c r="E3735" i="1" a="1"/>
  <c r="E3735" i="1" s="1"/>
  <c r="E3736" i="1" a="1"/>
  <c r="E3736" i="1" s="1"/>
  <c r="E3737" i="1" a="1"/>
  <c r="E3737" i="1" s="1"/>
  <c r="E3738" i="1" a="1"/>
  <c r="E3738" i="1"/>
  <c r="E3739" i="1" a="1"/>
  <c r="E3739" i="1" s="1"/>
  <c r="E3740" i="1" a="1"/>
  <c r="E3740" i="1" s="1"/>
  <c r="E3741" i="1" a="1"/>
  <c r="E3741" i="1" s="1"/>
  <c r="E3742" i="1" a="1"/>
  <c r="E3742" i="1"/>
  <c r="E3743" i="1" a="1"/>
  <c r="E3743" i="1" s="1"/>
  <c r="E3744" i="1" a="1"/>
  <c r="E3744" i="1" s="1"/>
  <c r="E3745" i="1" a="1"/>
  <c r="E3745" i="1" s="1"/>
  <c r="E3746" i="1" a="1"/>
  <c r="E3746" i="1" s="1"/>
  <c r="E3747" i="1" a="1"/>
  <c r="E3747" i="1" s="1"/>
  <c r="E3748" i="1" a="1"/>
  <c r="E3748" i="1" s="1"/>
  <c r="E3749" i="1" a="1"/>
  <c r="E3749" i="1" s="1"/>
  <c r="E3750" i="1" a="1"/>
  <c r="E3750" i="1"/>
  <c r="E3751" i="1" a="1"/>
  <c r="E3751" i="1"/>
  <c r="E3752" i="1" a="1"/>
  <c r="E3752" i="1"/>
  <c r="E3753" i="1" a="1"/>
  <c r="E3753" i="1" s="1"/>
  <c r="E3754" i="1" a="1"/>
  <c r="E3754" i="1" s="1"/>
  <c r="E3755" i="1" a="1"/>
  <c r="E3755" i="1" s="1"/>
  <c r="E3756" i="1" a="1"/>
  <c r="E3756" i="1"/>
  <c r="E3757" i="1" a="1"/>
  <c r="E3757" i="1" s="1"/>
  <c r="E3758" i="1" a="1"/>
  <c r="E3758" i="1" s="1"/>
  <c r="E3759" i="1" a="1"/>
  <c r="E3759" i="1" s="1"/>
  <c r="E3760" i="1" a="1"/>
  <c r="E3760" i="1" s="1"/>
  <c r="E3761" i="1" a="1"/>
  <c r="E3761" i="1" s="1"/>
  <c r="E3762" i="1" a="1"/>
  <c r="E3762" i="1" s="1"/>
  <c r="E3763" i="1" a="1"/>
  <c r="E3763" i="1" s="1"/>
  <c r="E3764" i="1" a="1"/>
  <c r="E3764" i="1"/>
  <c r="E3765" i="1" a="1"/>
  <c r="E3765" i="1" s="1"/>
  <c r="E3766" i="1" a="1"/>
  <c r="E3766" i="1" s="1"/>
  <c r="E3767" i="1" a="1"/>
  <c r="E3767" i="1" s="1"/>
  <c r="E3768" i="1" a="1"/>
  <c r="E3768" i="1"/>
  <c r="E3769" i="1" a="1"/>
  <c r="E3769" i="1" s="1"/>
  <c r="E3770" i="1" a="1"/>
  <c r="E3770" i="1" s="1"/>
  <c r="E3771" i="1" a="1"/>
  <c r="E3771" i="1" s="1"/>
  <c r="E3772" i="1" a="1"/>
  <c r="E3772" i="1"/>
  <c r="E3773" i="1" a="1"/>
  <c r="E3773" i="1"/>
  <c r="E3774" i="1" a="1"/>
  <c r="E3774" i="1"/>
  <c r="E3775" i="1" a="1"/>
  <c r="E3775" i="1" s="1"/>
  <c r="E3776" i="1" a="1"/>
  <c r="E3776" i="1"/>
  <c r="E3777" i="1" a="1"/>
  <c r="E3777" i="1" s="1"/>
  <c r="E3778" i="1" a="1"/>
  <c r="E3778" i="1" s="1"/>
  <c r="E3779" i="1" a="1"/>
  <c r="E3779" i="1" s="1"/>
  <c r="E3780" i="1" a="1"/>
  <c r="E3780" i="1" s="1"/>
  <c r="E3781" i="1" a="1"/>
  <c r="E3781" i="1"/>
  <c r="E3782" i="1" a="1"/>
  <c r="E3782" i="1" s="1"/>
  <c r="E3783" i="1" a="1"/>
  <c r="E3783" i="1" s="1"/>
  <c r="E3784" i="1" a="1"/>
  <c r="E3784" i="1" s="1"/>
  <c r="E3785" i="1" a="1"/>
  <c r="E3785" i="1" s="1"/>
  <c r="E3786" i="1" a="1"/>
  <c r="E3786" i="1"/>
  <c r="E3787" i="1" a="1"/>
  <c r="E3787" i="1" s="1"/>
  <c r="E3788" i="1" a="1"/>
  <c r="E3788" i="1"/>
  <c r="E3789" i="1" a="1"/>
  <c r="E3789" i="1" s="1"/>
  <c r="E3790" i="1" a="1"/>
  <c r="E3790" i="1" s="1"/>
  <c r="E3791" i="1" a="1"/>
  <c r="E3791" i="1" s="1"/>
  <c r="E3792" i="1" a="1"/>
  <c r="E3792" i="1" s="1"/>
  <c r="E3793" i="1" a="1"/>
  <c r="E3793" i="1" s="1"/>
  <c r="E3794" i="1" a="1"/>
  <c r="E3794" i="1"/>
  <c r="E3795" i="1" a="1"/>
  <c r="E3795" i="1" s="1"/>
  <c r="E3796" i="1" a="1"/>
  <c r="E3796" i="1" s="1"/>
  <c r="E3797" i="1" a="1"/>
  <c r="E3797" i="1" s="1"/>
  <c r="E3798" i="1" a="1"/>
  <c r="E3798" i="1"/>
  <c r="E3799" i="1" a="1"/>
  <c r="E3799" i="1" s="1"/>
  <c r="E3800" i="1" a="1"/>
  <c r="E3800" i="1"/>
  <c r="E3801" i="1" a="1"/>
  <c r="E3801" i="1" s="1"/>
  <c r="E3802" i="1" a="1"/>
  <c r="E3802" i="1"/>
  <c r="E3803" i="1" a="1"/>
  <c r="E3803" i="1" s="1"/>
  <c r="E3804" i="1" a="1"/>
  <c r="E3804" i="1" s="1"/>
  <c r="E3805" i="1" a="1"/>
  <c r="E3805" i="1" s="1"/>
  <c r="E3806" i="1" a="1"/>
  <c r="E3806" i="1"/>
  <c r="E3807" i="1" a="1"/>
  <c r="E3807" i="1" s="1"/>
  <c r="E3808" i="1" a="1"/>
  <c r="E3808" i="1" s="1"/>
  <c r="E3809" i="1" a="1"/>
  <c r="E3809" i="1" s="1"/>
  <c r="E3810" i="1" a="1"/>
  <c r="E3810" i="1"/>
  <c r="E3811" i="1" a="1"/>
  <c r="E3811" i="1"/>
  <c r="E3812" i="1" a="1"/>
  <c r="E3812" i="1" s="1"/>
  <c r="E3813" i="1" a="1"/>
  <c r="E3813" i="1" s="1"/>
  <c r="E3814" i="1" a="1"/>
  <c r="E3814" i="1" s="1"/>
  <c r="E3815" i="1" a="1"/>
  <c r="E3815" i="1" s="1"/>
  <c r="E3816" i="1" a="1"/>
  <c r="E3816" i="1"/>
  <c r="E3817" i="1" a="1"/>
  <c r="E3817" i="1" s="1"/>
  <c r="E3818" i="1" a="1"/>
  <c r="E3818" i="1"/>
  <c r="E3819" i="1" a="1"/>
  <c r="E3819" i="1" s="1"/>
  <c r="E3820" i="1" a="1"/>
  <c r="E3820" i="1" s="1"/>
  <c r="E3821" i="1" a="1"/>
  <c r="E3821" i="1" s="1"/>
  <c r="E3822" i="1" a="1"/>
  <c r="E3822" i="1" s="1"/>
  <c r="E3823" i="1" a="1"/>
  <c r="E3823" i="1" s="1"/>
  <c r="E3824" i="1" a="1"/>
  <c r="E3824" i="1" s="1"/>
  <c r="E3825" i="1" a="1"/>
  <c r="E3825" i="1" s="1"/>
  <c r="E3826" i="1" a="1"/>
  <c r="E3826" i="1" s="1"/>
  <c r="E3827" i="1" a="1"/>
  <c r="E3827" i="1" s="1"/>
  <c r="E3828" i="1" a="1"/>
  <c r="E3828" i="1"/>
  <c r="E3829" i="1" a="1"/>
  <c r="E3829" i="1" s="1"/>
  <c r="E3830" i="1" a="1"/>
  <c r="E3830" i="1" s="1"/>
  <c r="E3831" i="1" a="1"/>
  <c r="E3831" i="1" s="1"/>
  <c r="E3832" i="1" a="1"/>
  <c r="E3832" i="1"/>
  <c r="E3833" i="1" a="1"/>
  <c r="E3833" i="1"/>
  <c r="E3834" i="1" a="1"/>
  <c r="E3834" i="1"/>
  <c r="E3835" i="1" a="1"/>
  <c r="E3835" i="1" s="1"/>
  <c r="E3836" i="1" a="1"/>
  <c r="E3836" i="1" s="1"/>
  <c r="E3837" i="1" a="1"/>
  <c r="E3837" i="1" s="1"/>
  <c r="E3838" i="1" a="1"/>
  <c r="E3838" i="1" s="1"/>
  <c r="E3839" i="1" a="1"/>
  <c r="E3839" i="1" s="1"/>
  <c r="E3840" i="1" a="1"/>
  <c r="E3840" i="1"/>
  <c r="E3841" i="1" a="1"/>
  <c r="E3841" i="1" s="1"/>
  <c r="E3842" i="1" a="1"/>
  <c r="E3842" i="1" s="1"/>
  <c r="E3843" i="1" a="1"/>
  <c r="E3843" i="1" s="1"/>
  <c r="E3844" i="1" a="1"/>
  <c r="E3844" i="1" s="1"/>
  <c r="E3845" i="1" a="1"/>
  <c r="E3845" i="1" s="1"/>
  <c r="E3846" i="1" a="1"/>
  <c r="E3846" i="1" s="1"/>
  <c r="E3847" i="1" a="1"/>
  <c r="E3847" i="1" s="1"/>
  <c r="E3848" i="1" a="1"/>
  <c r="E3848" i="1" s="1"/>
  <c r="E3849" i="1" a="1"/>
  <c r="E3849" i="1" s="1"/>
  <c r="E3850" i="1" a="1"/>
  <c r="E3850" i="1" s="1"/>
  <c r="E3851" i="1" a="1"/>
  <c r="E3851" i="1" s="1"/>
  <c r="E3852" i="1" a="1"/>
  <c r="E3852" i="1"/>
  <c r="E3853" i="1" a="1"/>
  <c r="E3853" i="1" s="1"/>
  <c r="E3854" i="1" a="1"/>
  <c r="E3854" i="1" s="1"/>
  <c r="E3855" i="1" a="1"/>
  <c r="E3855" i="1" s="1"/>
  <c r="E3856" i="1" a="1"/>
  <c r="E3856" i="1" s="1"/>
  <c r="E3857" i="1" a="1"/>
  <c r="E3857" i="1" s="1"/>
  <c r="E3858" i="1" a="1"/>
  <c r="E3858" i="1" s="1"/>
  <c r="E3859" i="1" a="1"/>
  <c r="E3859" i="1" s="1"/>
  <c r="E3860" i="1" a="1"/>
  <c r="E3860" i="1" s="1"/>
  <c r="E3861" i="1" a="1"/>
  <c r="E3861" i="1"/>
  <c r="E3862" i="1" a="1"/>
  <c r="E3862" i="1" s="1"/>
  <c r="E3863" i="1" a="1"/>
  <c r="E3863" i="1"/>
  <c r="E3864" i="1" a="1"/>
  <c r="E3864" i="1" s="1"/>
  <c r="E3865" i="1" a="1"/>
  <c r="E3865" i="1" s="1"/>
  <c r="E3866" i="1" a="1"/>
  <c r="E3866" i="1"/>
  <c r="E3867" i="1" a="1"/>
  <c r="E3867" i="1" s="1"/>
  <c r="E3868" i="1" a="1"/>
  <c r="E3868" i="1" s="1"/>
  <c r="E3869" i="1" a="1"/>
  <c r="E3869" i="1" s="1"/>
  <c r="E3870" i="1" a="1"/>
  <c r="E3870" i="1" s="1"/>
  <c r="E3871" i="1" a="1"/>
  <c r="E3871" i="1" s="1"/>
  <c r="E3872" i="1" a="1"/>
  <c r="E3872" i="1" s="1"/>
  <c r="E3873" i="1" a="1"/>
  <c r="E3873" i="1" s="1"/>
  <c r="E3874" i="1" a="1"/>
  <c r="E3874" i="1" s="1"/>
  <c r="E3875" i="1" a="1"/>
  <c r="E3875" i="1" s="1"/>
  <c r="E3876" i="1" a="1"/>
  <c r="E3876" i="1" s="1"/>
  <c r="E3877" i="1" a="1"/>
  <c r="E3877" i="1" s="1"/>
  <c r="E3878" i="1" a="1"/>
  <c r="E3878" i="1" s="1"/>
  <c r="E3879" i="1" a="1"/>
  <c r="E3879" i="1" s="1"/>
  <c r="E3880" i="1" a="1"/>
  <c r="E3880" i="1" s="1"/>
  <c r="E3881" i="1" a="1"/>
  <c r="E3881" i="1" s="1"/>
  <c r="E3882" i="1" a="1"/>
  <c r="E3882" i="1"/>
  <c r="E3883" i="1" a="1"/>
  <c r="E3883" i="1" s="1"/>
  <c r="E3884" i="1" a="1"/>
  <c r="E3884" i="1"/>
  <c r="E3885" i="1" a="1"/>
  <c r="E3885" i="1" s="1"/>
  <c r="E3886" i="1" a="1"/>
  <c r="E3886" i="1" s="1"/>
  <c r="E3887" i="1" a="1"/>
  <c r="E3887" i="1" s="1"/>
  <c r="E3888" i="1" a="1"/>
  <c r="E3888" i="1" s="1"/>
  <c r="E3889" i="1" a="1"/>
  <c r="E3889" i="1" s="1"/>
  <c r="E3890" i="1" a="1"/>
  <c r="E3890" i="1" s="1"/>
  <c r="E3891" i="1" a="1"/>
  <c r="E3891" i="1"/>
  <c r="E3892" i="1" a="1"/>
  <c r="E3892" i="1"/>
  <c r="E3893" i="1" a="1"/>
  <c r="E3893" i="1" s="1"/>
  <c r="E3894" i="1" a="1"/>
  <c r="E3894" i="1" s="1"/>
  <c r="E3895" i="1" a="1"/>
  <c r="E3895" i="1" s="1"/>
  <c r="E3896" i="1" a="1"/>
  <c r="E3896" i="1"/>
  <c r="E3897" i="1" a="1"/>
  <c r="E3897" i="1" s="1"/>
  <c r="E3898" i="1" a="1"/>
  <c r="E3898" i="1" s="1"/>
  <c r="E3899" i="1" a="1"/>
  <c r="E3899" i="1" s="1"/>
  <c r="E3900" i="1" a="1"/>
  <c r="E3900" i="1" s="1"/>
  <c r="E3901" i="1" a="1"/>
  <c r="E3901" i="1" s="1"/>
  <c r="E3902" i="1" a="1"/>
  <c r="E3902" i="1" s="1"/>
  <c r="E3903" i="1" a="1"/>
  <c r="E3903" i="1" s="1"/>
  <c r="E3904" i="1" a="1"/>
  <c r="E3904" i="1" s="1"/>
  <c r="E3905" i="1" a="1"/>
  <c r="E3905" i="1" s="1"/>
  <c r="E3906" i="1" a="1"/>
  <c r="E3906" i="1" s="1"/>
  <c r="E3907" i="1" a="1"/>
  <c r="E3907" i="1" s="1"/>
  <c r="E3908" i="1" a="1"/>
  <c r="E3908" i="1"/>
  <c r="E3909" i="1" a="1"/>
  <c r="E3909" i="1" s="1"/>
  <c r="E3910" i="1" a="1"/>
  <c r="E3910" i="1" s="1"/>
  <c r="E3911" i="1" a="1"/>
  <c r="E3911" i="1"/>
  <c r="E3912" i="1" a="1"/>
  <c r="E3912" i="1" s="1"/>
  <c r="E3913" i="1" a="1"/>
  <c r="E3913" i="1" s="1"/>
  <c r="E3914" i="1" a="1"/>
  <c r="E3914" i="1"/>
  <c r="E3915" i="1" a="1"/>
  <c r="E3915" i="1" s="1"/>
  <c r="E3916" i="1" a="1"/>
  <c r="E3916" i="1" s="1"/>
  <c r="E3917" i="1" a="1"/>
  <c r="E3917" i="1" s="1"/>
  <c r="E3918" i="1" a="1"/>
  <c r="E3918" i="1" s="1"/>
  <c r="E3919" i="1" a="1"/>
  <c r="E3919" i="1" s="1"/>
  <c r="E3920" i="1" a="1"/>
  <c r="E3920" i="1" s="1"/>
  <c r="E3921" i="1" a="1"/>
  <c r="E3921" i="1"/>
  <c r="E3922" i="1" a="1"/>
  <c r="E3922" i="1"/>
  <c r="E3923" i="1" a="1"/>
  <c r="E3923" i="1" s="1"/>
  <c r="E3924" i="1" a="1"/>
  <c r="E3924" i="1" s="1"/>
  <c r="E3925" i="1" a="1"/>
  <c r="E3925" i="1" s="1"/>
  <c r="E3926" i="1" a="1"/>
  <c r="E3926" i="1"/>
  <c r="E3927" i="1" a="1"/>
  <c r="E3927" i="1" s="1"/>
  <c r="E3928" i="1" a="1"/>
  <c r="E3928" i="1" s="1"/>
  <c r="E3929" i="1" a="1"/>
  <c r="E3929" i="1" s="1"/>
  <c r="E3930" i="1" a="1"/>
  <c r="E3930" i="1" s="1"/>
  <c r="E3931" i="1" a="1"/>
  <c r="E3931" i="1" s="1"/>
  <c r="E3932" i="1" a="1"/>
  <c r="E3932" i="1" s="1"/>
  <c r="E3933" i="1" a="1"/>
  <c r="E3933" i="1" s="1"/>
  <c r="E3934" i="1" a="1"/>
  <c r="E3934" i="1"/>
  <c r="E3935" i="1" a="1"/>
  <c r="E3935" i="1" s="1"/>
  <c r="E3936" i="1" a="1"/>
  <c r="E3936" i="1" s="1"/>
  <c r="E3937" i="1" a="1"/>
  <c r="E3937" i="1" s="1"/>
  <c r="E3938" i="1" a="1"/>
  <c r="E3938" i="1"/>
  <c r="E3939" i="1" a="1"/>
  <c r="E3939" i="1" s="1"/>
  <c r="E3940" i="1" a="1"/>
  <c r="E3940" i="1" s="1"/>
  <c r="E3941" i="1" a="1"/>
  <c r="E3941" i="1"/>
  <c r="E3942" i="1" a="1"/>
  <c r="E3942" i="1" s="1"/>
  <c r="E3943" i="1" a="1"/>
  <c r="E3943" i="1" s="1"/>
  <c r="E3944" i="1" a="1"/>
  <c r="E3944" i="1" s="1"/>
  <c r="E3945" i="1" a="1"/>
  <c r="E3945" i="1" s="1"/>
  <c r="E3946" i="1" a="1"/>
  <c r="E3946" i="1"/>
  <c r="E3947" i="1" a="1"/>
  <c r="E3947" i="1" s="1"/>
  <c r="E3948" i="1" a="1"/>
  <c r="E3948" i="1" s="1"/>
  <c r="E3949" i="1" a="1"/>
  <c r="E3949" i="1" s="1"/>
  <c r="E3950" i="1" a="1"/>
  <c r="E3950" i="1"/>
  <c r="E3951" i="1" a="1"/>
  <c r="E3951" i="1"/>
  <c r="E3952" i="1" a="1"/>
  <c r="E3952" i="1"/>
  <c r="E3953" i="1" a="1"/>
  <c r="E3953" i="1" s="1"/>
  <c r="E3954" i="1" a="1"/>
  <c r="E3954" i="1" s="1"/>
  <c r="E3955" i="1" a="1"/>
  <c r="E3955" i="1" s="1"/>
  <c r="E3956" i="1" a="1"/>
  <c r="E3956" i="1"/>
  <c r="E3957" i="1" a="1"/>
  <c r="E3957" i="1" s="1"/>
  <c r="E3958" i="1" a="1"/>
  <c r="E3958" i="1" s="1"/>
  <c r="E3959" i="1" a="1"/>
  <c r="E3959" i="1" s="1"/>
  <c r="E3960" i="1" a="1"/>
  <c r="E3960" i="1" s="1"/>
  <c r="E3961" i="1" a="1"/>
  <c r="E3961" i="1" s="1"/>
  <c r="E3962" i="1" a="1"/>
  <c r="E3962" i="1" s="1"/>
  <c r="E3963" i="1" a="1"/>
  <c r="E3963" i="1" s="1"/>
  <c r="E3964" i="1" a="1"/>
  <c r="E3964" i="1"/>
  <c r="E3965" i="1" a="1"/>
  <c r="E3965" i="1" s="1"/>
  <c r="E3966" i="1" a="1"/>
  <c r="E3966" i="1" s="1"/>
  <c r="E3967" i="1" a="1"/>
  <c r="E3967" i="1" s="1"/>
  <c r="E3968" i="1" a="1"/>
  <c r="E3968" i="1"/>
  <c r="E3969" i="1" a="1"/>
  <c r="E3969" i="1" s="1"/>
  <c r="E3970" i="1" a="1"/>
  <c r="E3970" i="1" s="1"/>
  <c r="E3971" i="1" a="1"/>
  <c r="E3971" i="1"/>
  <c r="E3972" i="1" a="1"/>
  <c r="E3972" i="1"/>
  <c r="E3973" i="1" a="1"/>
  <c r="E3973" i="1" s="1"/>
  <c r="E3974" i="1" a="1"/>
  <c r="E3974" i="1"/>
  <c r="E3975" i="1" a="1"/>
  <c r="E3975" i="1" s="1"/>
  <c r="E3976" i="1" a="1"/>
  <c r="E3976" i="1"/>
  <c r="E3977" i="1" a="1"/>
  <c r="E3977" i="1" s="1"/>
  <c r="E3978" i="1" a="1"/>
  <c r="E3978" i="1" s="1"/>
  <c r="E3979" i="1" a="1"/>
  <c r="E3979" i="1" s="1"/>
  <c r="E3980" i="1" a="1"/>
  <c r="E3980" i="1" s="1"/>
  <c r="E3981" i="1" a="1"/>
  <c r="E3981" i="1"/>
  <c r="E3982" i="1" a="1"/>
  <c r="E3982" i="1" s="1"/>
  <c r="E3983" i="1" a="1"/>
  <c r="E3983" i="1" s="1"/>
  <c r="E3984" i="1" a="1"/>
  <c r="E3984" i="1" s="1"/>
  <c r="E3985" i="1" a="1"/>
  <c r="E3985" i="1" s="1"/>
  <c r="E3986" i="1" a="1"/>
  <c r="E3986" i="1"/>
  <c r="E3987" i="1" a="1"/>
  <c r="E3987" i="1" s="1"/>
  <c r="E3988" i="1" a="1"/>
  <c r="E3988" i="1" s="1"/>
  <c r="E3989" i="1" a="1"/>
  <c r="E3989" i="1" s="1"/>
  <c r="E3990" i="1" a="1"/>
  <c r="E3990" i="1" s="1"/>
  <c r="E3991" i="1" a="1"/>
  <c r="E3991" i="1"/>
  <c r="E3992" i="1" a="1"/>
  <c r="E3992" i="1" s="1"/>
  <c r="E3993" i="1" a="1"/>
  <c r="E3993" i="1" s="1"/>
  <c r="E3994" i="1" a="1"/>
  <c r="E3994" i="1"/>
  <c r="E3995" i="1" a="1"/>
  <c r="E3995" i="1" s="1"/>
  <c r="E3996" i="1" a="1"/>
  <c r="E3996" i="1" s="1"/>
  <c r="E3997" i="1" a="1"/>
  <c r="E3997" i="1" s="1"/>
  <c r="E3998" i="1" a="1"/>
  <c r="E3998" i="1"/>
  <c r="E3999" i="1" a="1"/>
  <c r="E3999" i="1" s="1"/>
  <c r="E4000" i="1" a="1"/>
  <c r="E4000" i="1"/>
  <c r="E4001" i="1" a="1"/>
  <c r="E4001" i="1" s="1"/>
  <c r="E4002" i="1" a="1"/>
  <c r="E4002" i="1"/>
  <c r="E4003" i="1" a="1"/>
  <c r="E4003" i="1" s="1"/>
  <c r="E4004" i="1" a="1"/>
  <c r="E4004" i="1"/>
  <c r="E4005" i="1" a="1"/>
  <c r="E4005" i="1" s="1"/>
  <c r="E4006" i="1" a="1"/>
  <c r="E4006" i="1"/>
  <c r="E4007" i="1" a="1"/>
  <c r="E4007" i="1" s="1"/>
  <c r="E4008" i="1" a="1"/>
  <c r="E4008" i="1" s="1"/>
  <c r="E4009" i="1" a="1"/>
  <c r="E4009" i="1" s="1"/>
  <c r="E4010" i="1" a="1"/>
  <c r="E4010" i="1"/>
  <c r="E4011" i="1" a="1"/>
  <c r="E4011" i="1"/>
  <c r="E4012" i="1" a="1"/>
  <c r="E4012" i="1" s="1"/>
  <c r="E4013" i="1" a="1"/>
  <c r="E4013" i="1" s="1"/>
  <c r="E4014" i="1" a="1"/>
  <c r="E4014" i="1"/>
  <c r="E4015" i="1" a="1"/>
  <c r="E4015" i="1" s="1"/>
  <c r="E4016" i="1" a="1"/>
  <c r="E4016" i="1"/>
  <c r="E4017" i="1" a="1"/>
  <c r="E4017" i="1" s="1"/>
  <c r="E4018" i="1" a="1"/>
  <c r="E4018" i="1"/>
  <c r="E4019" i="1" a="1"/>
  <c r="E4019" i="1" s="1"/>
  <c r="E4020" i="1" a="1"/>
  <c r="E4020" i="1" s="1"/>
  <c r="E4021" i="1" a="1"/>
  <c r="E4021" i="1" s="1"/>
  <c r="E4022" i="1" a="1"/>
  <c r="E4022" i="1" s="1"/>
  <c r="E4023" i="1" a="1"/>
  <c r="E4023" i="1"/>
  <c r="E4024" i="1" a="1"/>
  <c r="E4024" i="1" s="1"/>
  <c r="E4025" i="1" a="1"/>
  <c r="E4025" i="1" s="1"/>
  <c r="E4026" i="1" a="1"/>
  <c r="E4026" i="1" s="1"/>
  <c r="E4027" i="1" a="1"/>
  <c r="E4027" i="1" s="1"/>
  <c r="E4028" i="1" a="1"/>
  <c r="E4028" i="1"/>
  <c r="E4029" i="1" a="1"/>
  <c r="E4029" i="1" s="1"/>
  <c r="E4030" i="1" a="1"/>
  <c r="E4030" i="1"/>
  <c r="E4031" i="1" a="1"/>
  <c r="E4031" i="1" s="1"/>
  <c r="E4032" i="1" a="1"/>
  <c r="E4032" i="1"/>
  <c r="E4033" i="1" a="1"/>
  <c r="E4033" i="1"/>
  <c r="E4034" i="1" a="1"/>
  <c r="E4034" i="1"/>
  <c r="E4035" i="1" a="1"/>
  <c r="E4035" i="1" s="1"/>
  <c r="E4036" i="1" a="1"/>
  <c r="E4036" i="1" s="1"/>
  <c r="E4037" i="1" a="1"/>
  <c r="E4037" i="1" s="1"/>
  <c r="E4038" i="1" a="1"/>
  <c r="E4038" i="1" s="1"/>
  <c r="E4039" i="1" a="1"/>
  <c r="E4039" i="1" s="1"/>
  <c r="E4040" i="1" a="1"/>
  <c r="E4040" i="1"/>
  <c r="E4041" i="1" a="1"/>
  <c r="E4041" i="1" s="1"/>
  <c r="E4042" i="1" a="1"/>
  <c r="E4042" i="1" s="1"/>
  <c r="E4043" i="1" a="1"/>
  <c r="E4043" i="1" s="1"/>
  <c r="E4044" i="1" a="1"/>
  <c r="E4044" i="1" s="1"/>
  <c r="E4045" i="1" a="1"/>
  <c r="E4045" i="1" s="1"/>
  <c r="E4046" i="1" a="1"/>
  <c r="E4046" i="1"/>
  <c r="E4047" i="1" a="1"/>
  <c r="E4047" i="1" s="1"/>
  <c r="E4048" i="1" a="1"/>
  <c r="E4048" i="1" s="1"/>
  <c r="E4049" i="1" a="1"/>
  <c r="E4049" i="1" s="1"/>
  <c r="E4050" i="1" a="1"/>
  <c r="E4050" i="1" s="1"/>
  <c r="E4051" i="1" a="1"/>
  <c r="E4051" i="1" s="1"/>
  <c r="E4052" i="1" a="1"/>
  <c r="E4052" i="1"/>
  <c r="E4053" i="1" a="1"/>
  <c r="E4053" i="1"/>
  <c r="E4054" i="1" a="1"/>
  <c r="E4054" i="1" s="1"/>
  <c r="E4055" i="1" a="1"/>
  <c r="E4055" i="1" s="1"/>
  <c r="E4056" i="1" a="1"/>
  <c r="E4056" i="1" s="1"/>
  <c r="E4057" i="1" a="1"/>
  <c r="E4057" i="1" s="1"/>
  <c r="E4058" i="1" a="1"/>
  <c r="E4058" i="1" s="1"/>
  <c r="E4059" i="1" a="1"/>
  <c r="E4059" i="1" s="1"/>
  <c r="E4060" i="1" a="1"/>
  <c r="E4060" i="1" s="1"/>
  <c r="E4061" i="1" a="1"/>
  <c r="E4061" i="1"/>
  <c r="E4062" i="1" a="1"/>
  <c r="E4062" i="1"/>
  <c r="E4063" i="1" a="1"/>
  <c r="E4063" i="1"/>
  <c r="E4064" i="1" a="1"/>
  <c r="E4064" i="1" s="1"/>
  <c r="E4065" i="1" a="1"/>
  <c r="E4065" i="1" s="1"/>
  <c r="E4066" i="1" a="1"/>
  <c r="E4066" i="1" s="1"/>
  <c r="E4067" i="1" a="1"/>
  <c r="E4067" i="1" s="1"/>
  <c r="E4068" i="1" a="1"/>
  <c r="E4068" i="1" s="1"/>
  <c r="E4069" i="1" a="1"/>
  <c r="E4069" i="1" s="1"/>
  <c r="E4070" i="1" a="1"/>
  <c r="E4070" i="1" s="1"/>
  <c r="E4071" i="1" a="1"/>
  <c r="E4071" i="1" s="1"/>
  <c r="E4072" i="1" a="1"/>
  <c r="E4072" i="1" s="1"/>
  <c r="E4073" i="1" a="1"/>
  <c r="E4073" i="1" s="1"/>
  <c r="E4074" i="1" a="1"/>
  <c r="E4074" i="1" s="1"/>
  <c r="E4075" i="1" a="1"/>
  <c r="E4075" i="1" s="1"/>
  <c r="E4076" i="1" a="1"/>
  <c r="E4076" i="1" s="1"/>
  <c r="E4077" i="1" a="1"/>
  <c r="E4077" i="1" s="1"/>
  <c r="E4078" i="1" a="1"/>
  <c r="E4078" i="1" s="1"/>
  <c r="E4079" i="1" a="1"/>
  <c r="E4079" i="1" s="1"/>
  <c r="E4080" i="1" a="1"/>
  <c r="E4080" i="1" s="1"/>
  <c r="E4081" i="1" a="1"/>
  <c r="E4081" i="1" s="1"/>
  <c r="E4082" i="1" a="1"/>
  <c r="E4082" i="1"/>
  <c r="E4083" i="1" a="1"/>
  <c r="E4083" i="1" s="1"/>
  <c r="E4084" i="1" a="1"/>
  <c r="E4084" i="1"/>
  <c r="E4085" i="1" a="1"/>
  <c r="E4085" i="1" s="1"/>
  <c r="E4086" i="1" a="1"/>
  <c r="E4086" i="1" s="1"/>
  <c r="E4087" i="1" a="1"/>
  <c r="E4087" i="1" s="1"/>
  <c r="E4088" i="1" a="1"/>
  <c r="E4088" i="1" s="1"/>
  <c r="E4089" i="1" a="1"/>
  <c r="E4089" i="1" s="1"/>
  <c r="E4090" i="1" a="1"/>
  <c r="E4090" i="1" s="1"/>
  <c r="E4091" i="1" a="1"/>
  <c r="E4091" i="1"/>
  <c r="E4092" i="1" a="1"/>
  <c r="E4092" i="1"/>
  <c r="E4093" i="1" a="1"/>
  <c r="E4093" i="1" s="1"/>
  <c r="E4094" i="1" a="1"/>
  <c r="E4094" i="1" s="1"/>
  <c r="E4095" i="1" a="1"/>
  <c r="E4095" i="1" s="1"/>
  <c r="E4096" i="1" a="1"/>
  <c r="E4096" i="1"/>
  <c r="E4097" i="1" a="1"/>
  <c r="E4097" i="1" s="1"/>
  <c r="E4098" i="1" a="1"/>
  <c r="E4098" i="1" s="1"/>
  <c r="E4099" i="1" a="1"/>
  <c r="E4099" i="1" s="1"/>
  <c r="E4100" i="1" a="1"/>
  <c r="E4100" i="1" s="1"/>
  <c r="E4101" i="1" a="1"/>
  <c r="E4101" i="1" s="1"/>
  <c r="E4102" i="1" a="1"/>
  <c r="E4102" i="1" s="1"/>
  <c r="E4103" i="1" a="1"/>
  <c r="E4103" i="1" s="1"/>
  <c r="E4104" i="1" a="1"/>
  <c r="E4104" i="1" s="1"/>
  <c r="E4105" i="1" a="1"/>
  <c r="E4105" i="1" s="1"/>
  <c r="E4106" i="1" a="1"/>
  <c r="E4106" i="1" s="1"/>
  <c r="E4107" i="1" a="1"/>
  <c r="E4107" i="1" s="1"/>
  <c r="E4108" i="1" a="1"/>
  <c r="E4108" i="1" s="1"/>
  <c r="E4109" i="1" a="1"/>
  <c r="E4109" i="1" s="1"/>
  <c r="E4110" i="1" a="1"/>
  <c r="E4110" i="1" s="1"/>
  <c r="E4111" i="1" a="1"/>
  <c r="E4111" i="1"/>
  <c r="E4112" i="1" a="1"/>
  <c r="E4112" i="1"/>
  <c r="E4113" i="1" a="1"/>
  <c r="E4113" i="1" s="1"/>
  <c r="E4114" i="1" a="1"/>
  <c r="E4114" i="1"/>
  <c r="E4115" i="1" a="1"/>
  <c r="E4115" i="1" s="1"/>
  <c r="E4116" i="1" a="1"/>
  <c r="E4116" i="1" s="1"/>
  <c r="E4117" i="1" a="1"/>
  <c r="E4117" i="1" s="1"/>
  <c r="E4118" i="1" a="1"/>
  <c r="E4118" i="1" s="1"/>
  <c r="E4119" i="1" a="1"/>
  <c r="E4119" i="1" s="1"/>
  <c r="E4120" i="1" a="1"/>
  <c r="E4120" i="1" s="1"/>
  <c r="E4121" i="1" a="1"/>
  <c r="E4121" i="1"/>
  <c r="E4122" i="1" a="1"/>
  <c r="E4122" i="1"/>
  <c r="E4123" i="1" a="1"/>
  <c r="E4123" i="1" s="1"/>
  <c r="E4124" i="1" a="1"/>
  <c r="E4124" i="1" s="1"/>
  <c r="E4125" i="1" a="1"/>
  <c r="E4125" i="1" s="1"/>
  <c r="E4126" i="1" a="1"/>
  <c r="E4126" i="1"/>
  <c r="E4127" i="1" a="1"/>
  <c r="E4127" i="1" s="1"/>
  <c r="E4128" i="1" a="1"/>
  <c r="E4128" i="1" s="1"/>
  <c r="E4129" i="1" a="1"/>
  <c r="E4129" i="1" s="1"/>
  <c r="E4130" i="1" a="1"/>
  <c r="E4130" i="1" s="1"/>
  <c r="E4131" i="1" a="1"/>
  <c r="E4131" i="1" s="1"/>
  <c r="E4132" i="1" a="1"/>
  <c r="E4132" i="1"/>
  <c r="E4133" i="1" a="1"/>
  <c r="E4133" i="1" s="1"/>
  <c r="E4134" i="1" a="1"/>
  <c r="E4134" i="1"/>
  <c r="E4135" i="1" a="1"/>
  <c r="E4135" i="1" s="1"/>
  <c r="E4136" i="1" a="1"/>
  <c r="E4136" i="1" s="1"/>
  <c r="E4137" i="1" a="1"/>
  <c r="E4137" i="1" s="1"/>
  <c r="E4138" i="1" a="1"/>
  <c r="E4138" i="1"/>
  <c r="E4139" i="1" a="1"/>
  <c r="E4139" i="1" s="1"/>
  <c r="E4140" i="1" a="1"/>
  <c r="E4140" i="1" s="1"/>
  <c r="E4141" i="1" a="1"/>
  <c r="E4141" i="1"/>
  <c r="E4142" i="1" a="1"/>
  <c r="E4142" i="1" s="1"/>
  <c r="E4143" i="1" a="1"/>
  <c r="E4143" i="1" s="1"/>
  <c r="E4144" i="1" a="1"/>
  <c r="E4144" i="1"/>
  <c r="E4145" i="1" a="1"/>
  <c r="E4145" i="1" s="1"/>
  <c r="E4146" i="1" a="1"/>
  <c r="E4146" i="1" s="1"/>
  <c r="E4147" i="1" a="1"/>
  <c r="E4147" i="1" s="1"/>
  <c r="E4148" i="1" a="1"/>
  <c r="E4148" i="1" s="1"/>
  <c r="E4149" i="1" a="1"/>
  <c r="E4149" i="1" s="1"/>
  <c r="E4150" i="1" a="1"/>
  <c r="E4150" i="1"/>
  <c r="E4151" i="1" a="1"/>
  <c r="E4151" i="1"/>
  <c r="E4152" i="1" a="1"/>
  <c r="E4152" i="1"/>
  <c r="E4153" i="1" a="1"/>
  <c r="E4153" i="1" s="1"/>
  <c r="E4154" i="1" a="1"/>
  <c r="E4154" i="1" s="1"/>
  <c r="E4155" i="1" a="1"/>
  <c r="E4155" i="1" s="1"/>
  <c r="E4156" i="1" a="1"/>
  <c r="E4156" i="1"/>
  <c r="E4157" i="1" a="1"/>
  <c r="E4157" i="1" s="1"/>
  <c r="E4158" i="1" a="1"/>
  <c r="E4158" i="1"/>
  <c r="E4159" i="1" a="1"/>
  <c r="E4159" i="1" s="1"/>
  <c r="E4160" i="1" a="1"/>
  <c r="E4160" i="1" s="1"/>
  <c r="E4161" i="1" a="1"/>
  <c r="E4161" i="1" s="1"/>
  <c r="E4162" i="1" a="1"/>
  <c r="E4162" i="1" s="1"/>
  <c r="E4163" i="1" a="1"/>
  <c r="E4163" i="1" s="1"/>
  <c r="E4164" i="1" a="1"/>
  <c r="E4164" i="1" s="1"/>
  <c r="E4165" i="1" a="1"/>
  <c r="E4165" i="1" s="1"/>
  <c r="E4166" i="1" a="1"/>
  <c r="E4166" i="1" s="1"/>
  <c r="E4167" i="1" a="1"/>
  <c r="E4167" i="1" s="1"/>
  <c r="E4168" i="1" a="1"/>
  <c r="E4168" i="1"/>
  <c r="E4169" i="1" a="1"/>
  <c r="E4169" i="1" s="1"/>
  <c r="E4170" i="1" a="1"/>
  <c r="E4170" i="1"/>
  <c r="E4171" i="1" a="1"/>
  <c r="E4171" i="1"/>
  <c r="E4172" i="1" a="1"/>
  <c r="E4172" i="1"/>
  <c r="E4173" i="1" a="1"/>
  <c r="E4173" i="1"/>
  <c r="E4174" i="1" a="1"/>
  <c r="E4174" i="1"/>
  <c r="E4175" i="1" a="1"/>
  <c r="E4175" i="1" s="1"/>
  <c r="E4176" i="1" a="1"/>
  <c r="E4176" i="1" s="1"/>
  <c r="E4177" i="1" a="1"/>
  <c r="E4177" i="1" s="1"/>
  <c r="E4178" i="1" a="1"/>
  <c r="E4178" i="1" s="1"/>
  <c r="E4179" i="1" a="1"/>
  <c r="E4179" i="1" s="1"/>
  <c r="E4180" i="1" a="1"/>
  <c r="E4180" i="1"/>
  <c r="E4181" i="1" a="1"/>
  <c r="E4181" i="1"/>
  <c r="E4182" i="1" a="1"/>
  <c r="E4182" i="1" s="1"/>
  <c r="E4183" i="1" a="1"/>
  <c r="E4183" i="1" s="1"/>
  <c r="E4184" i="1" a="1"/>
  <c r="E4184" i="1" s="1"/>
  <c r="E4185" i="1" a="1"/>
  <c r="E4185" i="1" s="1"/>
  <c r="E4186" i="1" a="1"/>
  <c r="E4186" i="1"/>
  <c r="E4187" i="1" a="1"/>
  <c r="E4187" i="1" s="1"/>
  <c r="E4188" i="1" a="1"/>
  <c r="E4188" i="1" s="1"/>
  <c r="E4189" i="1" a="1"/>
  <c r="E4189" i="1" s="1"/>
  <c r="E4190" i="1" a="1"/>
  <c r="E4190" i="1" s="1"/>
  <c r="E4191" i="1" a="1"/>
  <c r="E4191" i="1"/>
  <c r="E4192" i="1" a="1"/>
  <c r="E4192" i="1" s="1"/>
  <c r="E4193" i="1" a="1"/>
  <c r="E4193" i="1" s="1"/>
  <c r="E4194" i="1" a="1"/>
  <c r="E4194" i="1"/>
  <c r="E4195" i="1" a="1"/>
  <c r="E4195" i="1" s="1"/>
  <c r="E4196" i="1" a="1"/>
  <c r="E4196" i="1" s="1"/>
  <c r="E4197" i="1" a="1"/>
  <c r="E4197" i="1" s="1"/>
  <c r="E4198" i="1" a="1"/>
  <c r="E4198" i="1"/>
  <c r="E4199" i="1" a="1"/>
  <c r="E4199" i="1" s="1"/>
  <c r="E4200" i="1" a="1"/>
  <c r="E4200" i="1"/>
  <c r="E4201" i="1" a="1"/>
  <c r="E4201" i="1"/>
  <c r="E4202" i="1" a="1"/>
  <c r="E4202" i="1"/>
  <c r="E4203" i="1" a="1"/>
  <c r="E4203" i="1" s="1"/>
  <c r="E4204" i="1" a="1"/>
  <c r="E4204" i="1"/>
  <c r="E4205" i="1" a="1"/>
  <c r="E4205" i="1" s="1"/>
  <c r="E4206" i="1" a="1"/>
  <c r="E4206" i="1" s="1"/>
  <c r="E4207" i="1" a="1"/>
  <c r="E4207" i="1" s="1"/>
  <c r="E4208" i="1" a="1"/>
  <c r="E4208" i="1" s="1"/>
  <c r="E4209" i="1" a="1"/>
  <c r="E4209" i="1" s="1"/>
  <c r="E4210" i="1" a="1"/>
  <c r="E4210" i="1" s="1"/>
  <c r="E4211" i="1" a="1"/>
  <c r="E4211" i="1"/>
  <c r="E4212" i="1" a="1"/>
  <c r="E4212" i="1" s="1"/>
  <c r="E4213" i="1" a="1"/>
  <c r="E4213" i="1" s="1"/>
  <c r="E4214" i="1" a="1"/>
  <c r="E4214" i="1" s="1"/>
  <c r="E4215" i="1" a="1"/>
  <c r="E4215" i="1" s="1"/>
  <c r="E4216" i="1" a="1"/>
  <c r="E4216" i="1" s="1"/>
  <c r="E4217" i="1" a="1"/>
  <c r="E4217" i="1" s="1"/>
  <c r="E4218" i="1" a="1"/>
  <c r="E4218" i="1" s="1"/>
  <c r="E4219" i="1" a="1"/>
  <c r="E4219" i="1" s="1"/>
  <c r="E4220" i="1" a="1"/>
  <c r="E4220" i="1" s="1"/>
  <c r="E4221" i="1" a="1"/>
  <c r="E4221" i="1"/>
  <c r="E4222" i="1" a="1"/>
  <c r="E4222" i="1"/>
  <c r="E4223" i="1" a="1"/>
  <c r="E4223" i="1"/>
  <c r="E4224" i="1" a="1"/>
  <c r="E4224" i="1" s="1"/>
  <c r="E4225" i="1" a="1"/>
  <c r="E4225" i="1" s="1"/>
  <c r="E4226" i="1" a="1"/>
  <c r="E4226" i="1" s="1"/>
  <c r="E4227" i="1" a="1"/>
  <c r="E4227" i="1" s="1"/>
  <c r="E4228" i="1" a="1"/>
  <c r="E4228" i="1" s="1"/>
  <c r="E4229" i="1" a="1"/>
  <c r="E4229" i="1" s="1"/>
  <c r="E4230" i="1" a="1"/>
  <c r="E4230" i="1" s="1"/>
  <c r="E4231" i="1" a="1"/>
  <c r="E4231" i="1" s="1"/>
  <c r="E4232" i="1" a="1"/>
  <c r="E4232" i="1"/>
  <c r="E4233" i="1" a="1"/>
  <c r="E4233" i="1" s="1"/>
  <c r="E4234" i="1" a="1"/>
  <c r="E4234" i="1" s="1"/>
  <c r="E4235" i="1" a="1"/>
  <c r="E4235" i="1" s="1"/>
  <c r="E4236" i="1" a="1"/>
  <c r="E4236" i="1" s="1"/>
  <c r="E4237" i="1" a="1"/>
  <c r="E4237" i="1" s="1"/>
  <c r="E4238" i="1" a="1"/>
  <c r="E4238" i="1" s="1"/>
  <c r="E4239" i="1" a="1"/>
  <c r="E4239" i="1"/>
  <c r="E4240" i="1" a="1"/>
  <c r="E4240" i="1" s="1"/>
  <c r="E4241" i="1" a="1"/>
  <c r="E4241" i="1" s="1"/>
  <c r="E4242" i="1" a="1"/>
  <c r="E4242" i="1" s="1"/>
  <c r="E4243" i="1" a="1"/>
  <c r="E4243" i="1"/>
  <c r="E4244" i="1" a="1"/>
  <c r="E4244" i="1" s="1"/>
  <c r="E4245" i="1" a="1"/>
  <c r="E4245" i="1" s="1"/>
  <c r="E4246" i="1" a="1"/>
  <c r="E4246" i="1"/>
  <c r="E4247" i="1" a="1"/>
  <c r="E4247" i="1" s="1"/>
  <c r="E4248" i="1" a="1"/>
  <c r="E4248" i="1"/>
  <c r="E4249" i="1" a="1"/>
  <c r="E4249" i="1" s="1"/>
  <c r="E4250" i="1" a="1"/>
  <c r="E4250" i="1" s="1"/>
  <c r="E4251" i="1" a="1"/>
  <c r="E4251" i="1"/>
  <c r="E4252" i="1" a="1"/>
  <c r="E4252" i="1"/>
  <c r="E4253" i="1" a="1"/>
  <c r="E4253" i="1" s="1"/>
  <c r="E4254" i="1" a="1"/>
  <c r="E4254" i="1"/>
  <c r="E4255" i="1" a="1"/>
  <c r="E4255" i="1" s="1"/>
  <c r="E4256" i="1" a="1"/>
  <c r="E4256" i="1" s="1"/>
  <c r="E4257" i="1" a="1"/>
  <c r="E4257" i="1"/>
  <c r="E4258" i="1" a="1"/>
  <c r="E4258" i="1" s="1"/>
  <c r="E4259" i="1" a="1"/>
  <c r="E4259" i="1" s="1"/>
  <c r="E4260" i="1" a="1"/>
  <c r="E4260" i="1"/>
  <c r="E4261" i="1" a="1"/>
  <c r="E4261" i="1" s="1"/>
  <c r="E4262" i="1" a="1"/>
  <c r="E4262" i="1" s="1"/>
  <c r="E4263" i="1" a="1"/>
  <c r="E4263" i="1" s="1"/>
  <c r="E4264" i="1" a="1"/>
  <c r="E4264" i="1" s="1"/>
  <c r="E4265" i="1" a="1"/>
  <c r="E4265" i="1"/>
  <c r="E4266" i="1" a="1"/>
  <c r="E4266" i="1"/>
  <c r="E4267" i="1" a="1"/>
  <c r="E4267" i="1"/>
  <c r="E4268" i="1" a="1"/>
  <c r="E4268" i="1" s="1"/>
  <c r="E4269" i="1" a="1"/>
  <c r="E4269" i="1"/>
  <c r="E4270" i="1" a="1"/>
  <c r="E4270" i="1" s="1"/>
  <c r="E4271" i="1" a="1"/>
  <c r="E4271" i="1" s="1"/>
  <c r="E4272" i="1" a="1"/>
  <c r="E4272" i="1"/>
  <c r="E4273" i="1" a="1"/>
  <c r="E4273" i="1" s="1"/>
  <c r="E4274" i="1" a="1"/>
  <c r="E4274" i="1" s="1"/>
  <c r="E4275" i="1" a="1"/>
  <c r="E4275" i="1"/>
  <c r="E4276" i="1" a="1"/>
  <c r="E4276" i="1" s="1"/>
  <c r="E4277" i="1" a="1"/>
  <c r="E4277" i="1" s="1"/>
  <c r="E4278" i="1" a="1"/>
  <c r="E4278" i="1"/>
  <c r="E4279" i="1" a="1"/>
  <c r="E4279" i="1"/>
  <c r="E4280" i="1" a="1"/>
  <c r="E4280" i="1" s="1"/>
  <c r="E4281" i="1" a="1"/>
  <c r="E4281" i="1"/>
  <c r="E4282" i="1" a="1"/>
  <c r="E4282" i="1" s="1"/>
  <c r="E4283" i="1" a="1"/>
  <c r="E4283" i="1" s="1"/>
  <c r="E4284" i="1" a="1"/>
  <c r="E4284" i="1"/>
  <c r="E4285" i="1" a="1"/>
  <c r="E4285" i="1" s="1"/>
  <c r="E4286" i="1" a="1"/>
  <c r="E4286" i="1"/>
  <c r="E4287" i="1" a="1"/>
  <c r="E4287" i="1"/>
  <c r="E4288" i="1" a="1"/>
  <c r="E4288" i="1"/>
  <c r="E4289" i="1" a="1"/>
  <c r="E4289" i="1" s="1"/>
  <c r="E4290" i="1" a="1"/>
  <c r="E4290" i="1"/>
  <c r="E4291" i="1" a="1"/>
  <c r="E4291" i="1" s="1"/>
  <c r="E4292" i="1" a="1"/>
  <c r="E4292" i="1" s="1"/>
  <c r="E4293" i="1" a="1"/>
  <c r="E4293" i="1" s="1"/>
  <c r="E4294" i="1" a="1"/>
  <c r="E4294" i="1" s="1"/>
  <c r="E4295" i="1" a="1"/>
  <c r="E4295" i="1" s="1"/>
  <c r="E4296" i="1" a="1"/>
  <c r="E4296" i="1"/>
  <c r="E4297" i="1" a="1"/>
  <c r="E4297" i="1" s="1"/>
  <c r="E4298" i="1" a="1"/>
  <c r="E4298" i="1" s="1"/>
  <c r="E4299" i="1" a="1"/>
  <c r="E4299" i="1"/>
  <c r="E4300" i="1" a="1"/>
  <c r="E4300" i="1"/>
  <c r="E4301" i="1" a="1"/>
  <c r="E4301" i="1" s="1"/>
  <c r="E4302" i="1" a="1"/>
  <c r="E4302" i="1"/>
  <c r="E4303" i="1" a="1"/>
  <c r="E4303" i="1" s="1"/>
  <c r="E4304" i="1" a="1"/>
  <c r="E4304" i="1"/>
  <c r="E4305" i="1" a="1"/>
  <c r="E4305" i="1"/>
  <c r="E4306" i="1" a="1"/>
  <c r="E4306" i="1" s="1"/>
  <c r="E4307" i="1" a="1"/>
  <c r="E4307" i="1"/>
  <c r="E4308" i="1" a="1"/>
  <c r="E4308" i="1"/>
  <c r="E4309" i="1" a="1"/>
  <c r="E4309" i="1"/>
  <c r="E4310" i="1" a="1"/>
  <c r="E4310" i="1" s="1"/>
  <c r="E4311" i="1" a="1"/>
  <c r="E4311" i="1"/>
  <c r="E4312" i="1" a="1"/>
  <c r="E4312" i="1" s="1"/>
  <c r="E4313" i="1" a="1"/>
  <c r="E4313" i="1" s="1"/>
  <c r="E4314" i="1" a="1"/>
  <c r="E4314" i="1" s="1"/>
  <c r="E4315" i="1" a="1"/>
  <c r="E4315" i="1" s="1"/>
  <c r="E4316" i="1" a="1"/>
  <c r="E4316" i="1" s="1"/>
  <c r="E4317" i="1" a="1"/>
  <c r="E4317" i="1"/>
  <c r="E4318" i="1" a="1"/>
  <c r="E4318" i="1" s="1"/>
  <c r="E4319" i="1" a="1"/>
  <c r="E4319" i="1" s="1"/>
  <c r="E4320" i="1" a="1"/>
  <c r="E4320" i="1"/>
  <c r="E4321" i="1" a="1"/>
  <c r="E4321" i="1"/>
  <c r="E4322" i="1" a="1"/>
  <c r="E4322" i="1" s="1"/>
  <c r="E4323" i="1" a="1"/>
  <c r="E4323" i="1" s="1"/>
  <c r="E4324" i="1" a="1"/>
  <c r="E4324" i="1" s="1"/>
  <c r="E4325" i="1" a="1"/>
  <c r="E4325" i="1"/>
  <c r="E4326" i="1" a="1"/>
  <c r="E4326" i="1"/>
  <c r="E4327" i="1" a="1"/>
  <c r="E4327" i="1" s="1"/>
  <c r="E4328" i="1" a="1"/>
  <c r="E4328" i="1"/>
  <c r="E4329" i="1" a="1"/>
  <c r="E4329" i="1"/>
  <c r="E4330" i="1" a="1"/>
  <c r="E4330" i="1"/>
  <c r="E4331" i="1" a="1"/>
  <c r="E4331" i="1" s="1"/>
  <c r="E4332" i="1" a="1"/>
  <c r="E4332" i="1"/>
  <c r="E4333" i="1" a="1"/>
  <c r="E4333" i="1" s="1"/>
  <c r="E4334" i="1" a="1"/>
  <c r="E4334" i="1"/>
  <c r="E4335" i="1" a="1"/>
  <c r="E4335" i="1" s="1"/>
  <c r="E4336" i="1" a="1"/>
  <c r="E4336" i="1" s="1"/>
  <c r="E4337" i="1" a="1"/>
  <c r="E4337" i="1" s="1"/>
  <c r="E4338" i="1" a="1"/>
  <c r="E4338" i="1"/>
  <c r="E4339" i="1" a="1"/>
  <c r="E4339" i="1" s="1"/>
  <c r="E4340" i="1" a="1"/>
  <c r="E4340" i="1" s="1"/>
  <c r="E4341" i="1" a="1"/>
  <c r="E4341" i="1"/>
  <c r="E4342" i="1" a="1"/>
  <c r="E4342" i="1"/>
  <c r="E4343" i="1" a="1"/>
  <c r="E4343" i="1" s="1"/>
  <c r="E4344" i="1" a="1"/>
  <c r="E4344" i="1" s="1"/>
  <c r="E4345" i="1" a="1"/>
  <c r="E4345" i="1" s="1"/>
  <c r="E4346" i="1" a="1"/>
  <c r="E4346" i="1"/>
  <c r="E4347" i="1" a="1"/>
  <c r="E4347" i="1" s="1"/>
  <c r="E4348" i="1" a="1"/>
  <c r="E4348" i="1" s="1"/>
  <c r="E4349" i="1" a="1"/>
  <c r="E4349" i="1"/>
  <c r="E4350" i="1" a="1"/>
  <c r="E4350" i="1"/>
  <c r="E4351" i="1" a="1"/>
  <c r="E4351" i="1"/>
  <c r="E4352" i="1" a="1"/>
  <c r="E4352" i="1" s="1"/>
  <c r="E4353" i="1" a="1"/>
  <c r="E4353" i="1" s="1"/>
  <c r="E4354" i="1" a="1"/>
  <c r="E4354" i="1" s="1"/>
  <c r="E4355" i="1" a="1"/>
  <c r="E4355" i="1"/>
  <c r="E4356" i="1" a="1"/>
  <c r="E4356" i="1" s="1"/>
  <c r="E4357" i="1" a="1"/>
  <c r="E4357" i="1" s="1"/>
  <c r="E4358" i="1" a="1"/>
  <c r="E4358" i="1" s="1"/>
  <c r="E4359" i="1" a="1"/>
  <c r="E4359" i="1"/>
  <c r="E4360" i="1" a="1"/>
  <c r="E4360" i="1" s="1"/>
  <c r="E4361" i="1" a="1"/>
  <c r="E4361" i="1" s="1"/>
  <c r="E4362" i="1" a="1"/>
  <c r="E4362" i="1" s="1"/>
  <c r="E4363" i="1" a="1"/>
  <c r="E4363" i="1" s="1"/>
  <c r="E4364" i="1" a="1"/>
  <c r="E4364" i="1"/>
  <c r="E4365" i="1" a="1"/>
  <c r="E4365" i="1" s="1"/>
  <c r="E4366" i="1" a="1"/>
  <c r="E4366" i="1" s="1"/>
  <c r="E4367" i="1" a="1"/>
  <c r="E4367" i="1"/>
  <c r="E4368" i="1" a="1"/>
  <c r="E4368" i="1" s="1"/>
  <c r="E4369" i="1" a="1"/>
  <c r="E4369" i="1" s="1"/>
  <c r="E4370" i="1" a="1"/>
  <c r="E4370" i="1"/>
  <c r="E4371" i="1" a="1"/>
  <c r="E4371" i="1"/>
  <c r="E4372" i="1" a="1"/>
  <c r="E4372" i="1"/>
  <c r="E4373" i="1" a="1"/>
  <c r="E4373" i="1" s="1"/>
  <c r="E4374" i="1" a="1"/>
  <c r="E4374" i="1"/>
  <c r="E4375" i="1" a="1"/>
  <c r="E4375" i="1" s="1"/>
  <c r="E4376" i="1" a="1"/>
  <c r="E4376" i="1"/>
  <c r="E4377" i="1" a="1"/>
  <c r="E4377" i="1" s="1"/>
  <c r="E4378" i="1" a="1"/>
  <c r="E4378" i="1" s="1"/>
  <c r="E4379" i="1" a="1"/>
  <c r="E4379" i="1" s="1"/>
  <c r="E4380" i="1" a="1"/>
  <c r="E4380" i="1"/>
  <c r="E4381" i="1" a="1"/>
  <c r="E4381" i="1" s="1"/>
  <c r="E4382" i="1" a="1"/>
  <c r="E4382" i="1" s="1"/>
  <c r="E4383" i="1" a="1"/>
  <c r="E4383" i="1" s="1"/>
  <c r="E4384" i="1" a="1"/>
  <c r="E4384" i="1" s="1"/>
  <c r="E4385" i="1" a="1"/>
  <c r="E4385" i="1"/>
  <c r="E4386" i="1" a="1"/>
  <c r="E4386" i="1" s="1"/>
  <c r="E4387" i="1" a="1"/>
  <c r="E4387" i="1" s="1"/>
  <c r="E4388" i="1" a="1"/>
  <c r="E4388" i="1"/>
  <c r="E4389" i="1" a="1"/>
  <c r="E4389" i="1" s="1"/>
  <c r="E4390" i="1" a="1"/>
  <c r="E4390" i="1" s="1"/>
  <c r="E4391" i="1" a="1"/>
  <c r="E4391" i="1"/>
  <c r="E4392" i="1" a="1"/>
  <c r="E4392" i="1"/>
  <c r="E4393" i="1" a="1"/>
  <c r="E4393" i="1" s="1"/>
  <c r="E4394" i="1" a="1"/>
  <c r="E4394" i="1" s="1"/>
  <c r="E4395" i="1" a="1"/>
  <c r="E4395" i="1"/>
  <c r="E4396" i="1" a="1"/>
  <c r="E4396" i="1" s="1"/>
  <c r="E4397" i="1" a="1"/>
  <c r="E4397" i="1"/>
  <c r="E4398" i="1" a="1"/>
  <c r="E4398" i="1" s="1"/>
  <c r="E4399" i="1" a="1"/>
  <c r="E4399" i="1" s="1"/>
  <c r="E4400" i="1" a="1"/>
  <c r="E4400" i="1" s="1"/>
  <c r="E4401" i="1" a="1"/>
  <c r="E4401" i="1"/>
  <c r="E4402" i="1" a="1"/>
  <c r="E4402" i="1" s="1"/>
  <c r="E4403" i="1" a="1"/>
  <c r="E4403" i="1" s="1"/>
  <c r="E4404" i="1" a="1"/>
  <c r="E4404" i="1"/>
  <c r="E4405" i="1" a="1"/>
  <c r="E4405" i="1" s="1"/>
  <c r="E4406" i="1" a="1"/>
  <c r="E4406" i="1"/>
  <c r="E4407" i="1" a="1"/>
  <c r="E4407" i="1" s="1"/>
  <c r="E4408" i="1" a="1"/>
  <c r="E4408" i="1" s="1"/>
  <c r="E4409" i="1" a="1"/>
  <c r="E4409" i="1"/>
  <c r="E4410" i="1" a="1"/>
  <c r="E4410" i="1" s="1"/>
  <c r="E4411" i="1" a="1"/>
  <c r="E4411" i="1" s="1"/>
  <c r="E4412" i="1" a="1"/>
  <c r="E4412" i="1"/>
  <c r="E4413" i="1" a="1"/>
  <c r="E4413" i="1" s="1"/>
  <c r="E4414" i="1" a="1"/>
  <c r="E4414" i="1" s="1"/>
  <c r="E4415" i="1" a="1"/>
  <c r="E4415" i="1" s="1"/>
  <c r="E4416" i="1" a="1"/>
  <c r="E4416" i="1"/>
  <c r="E4417" i="1" a="1"/>
  <c r="E4417" i="1" s="1"/>
  <c r="E4418" i="1" a="1"/>
  <c r="E4418" i="1"/>
  <c r="E4419" i="1" a="1"/>
  <c r="E4419" i="1" s="1"/>
  <c r="E4420" i="1" a="1"/>
  <c r="E4420" i="1" s="1"/>
  <c r="E4421" i="1" a="1"/>
  <c r="E4421" i="1" s="1"/>
  <c r="E4422" i="1" a="1"/>
  <c r="E4422" i="1"/>
  <c r="E4423" i="1" a="1"/>
  <c r="E4423" i="1" s="1"/>
  <c r="E4424" i="1" a="1"/>
  <c r="E4424" i="1"/>
  <c r="E4425" i="1" a="1"/>
  <c r="E4425" i="1"/>
  <c r="E4426" i="1" a="1"/>
  <c r="E4426" i="1" s="1"/>
  <c r="E4427" i="1" a="1"/>
  <c r="E4427" i="1"/>
  <c r="E4428" i="1" a="1"/>
  <c r="E4428" i="1" s="1"/>
  <c r="E4429" i="1" a="1"/>
  <c r="E4429" i="1" s="1"/>
  <c r="E4430" i="1" a="1"/>
  <c r="E4430" i="1"/>
  <c r="E4431" i="1" a="1"/>
  <c r="E4431" i="1" s="1"/>
  <c r="E4432" i="1" a="1"/>
  <c r="E4432" i="1" s="1"/>
  <c r="E4433" i="1" a="1"/>
  <c r="E4433" i="1" s="1"/>
  <c r="E4434" i="1" a="1"/>
  <c r="E4434" i="1" s="1"/>
  <c r="E4435" i="1" a="1"/>
  <c r="E4435" i="1" s="1"/>
  <c r="E4436" i="1" a="1"/>
  <c r="E4436" i="1" s="1"/>
  <c r="E4437" i="1" a="1"/>
  <c r="E4437" i="1"/>
  <c r="E4438" i="1" a="1"/>
  <c r="E4438" i="1" s="1"/>
  <c r="E4439" i="1" a="1"/>
  <c r="E4439" i="1"/>
  <c r="E4440" i="1" a="1"/>
  <c r="E4440" i="1" s="1"/>
  <c r="E4441" i="1" a="1"/>
  <c r="E4441" i="1" s="1"/>
  <c r="E4442" i="1" a="1"/>
  <c r="E4442" i="1" s="1"/>
  <c r="E4443" i="1" a="1"/>
  <c r="E4443" i="1" s="1"/>
  <c r="E4444" i="1" a="1"/>
  <c r="E4444" i="1"/>
  <c r="E4445" i="1" a="1"/>
  <c r="E4445" i="1"/>
  <c r="E4446" i="1" a="1"/>
  <c r="E4446" i="1"/>
  <c r="E4447" i="1" a="1"/>
  <c r="E4447" i="1" s="1"/>
  <c r="E4448" i="1" a="1"/>
  <c r="E4448" i="1"/>
  <c r="E4449" i="1" a="1"/>
  <c r="E4449" i="1" s="1"/>
  <c r="E4450" i="1" a="1"/>
  <c r="E4450" i="1" s="1"/>
  <c r="E4451" i="1" a="1"/>
  <c r="E4451" i="1"/>
  <c r="E4452" i="1" a="1"/>
  <c r="E4452" i="1" s="1"/>
  <c r="E4453" i="1" a="1"/>
  <c r="E4453" i="1" s="1"/>
  <c r="E4454" i="1" a="1"/>
  <c r="E4454" i="1"/>
  <c r="E4455" i="1" a="1"/>
  <c r="E4455" i="1" s="1"/>
  <c r="E4456" i="1" a="1"/>
  <c r="E4456" i="1" s="1"/>
  <c r="E4457" i="1" a="1"/>
  <c r="E4457" i="1" s="1"/>
  <c r="E4458" i="1" a="1"/>
  <c r="E4458" i="1"/>
  <c r="E4459" i="1" a="1"/>
  <c r="E4459" i="1" s="1"/>
  <c r="E4460" i="1" a="1"/>
  <c r="E4460" i="1"/>
  <c r="E4461" i="1" a="1"/>
  <c r="E4461" i="1" s="1"/>
  <c r="E4462" i="1" a="1"/>
  <c r="E4462" i="1" s="1"/>
  <c r="E4463" i="1" a="1"/>
  <c r="E4463" i="1" s="1"/>
  <c r="E4464" i="1" a="1"/>
  <c r="E4464" i="1" s="1"/>
  <c r="E4465" i="1" a="1"/>
  <c r="E4465" i="1"/>
  <c r="E4466" i="1" a="1"/>
  <c r="E4466" i="1"/>
  <c r="E4467" i="1" a="1"/>
  <c r="E4467" i="1"/>
  <c r="E4468" i="1" a="1"/>
  <c r="E4468" i="1" s="1"/>
  <c r="E4469" i="1" a="1"/>
  <c r="E4469" i="1"/>
  <c r="E4470" i="1" a="1"/>
  <c r="E4470" i="1" s="1"/>
  <c r="E4471" i="1" a="1"/>
  <c r="E4471" i="1" s="1"/>
  <c r="E4472" i="1" a="1"/>
  <c r="E4472" i="1"/>
  <c r="E4473" i="1" a="1"/>
  <c r="E4473" i="1" s="1"/>
  <c r="E4474" i="1" a="1"/>
  <c r="E4474" i="1" s="1"/>
  <c r="E4475" i="1" a="1"/>
  <c r="E4475" i="1"/>
  <c r="E4476" i="1" a="1"/>
  <c r="E4476" i="1" s="1"/>
  <c r="E4477" i="1" a="1"/>
  <c r="E4477" i="1" s="1"/>
  <c r="E4478" i="1" a="1"/>
  <c r="E4478" i="1" s="1"/>
  <c r="E4479" i="1" a="1"/>
  <c r="E4479" i="1"/>
  <c r="E4480" i="1" a="1"/>
  <c r="E4480" i="1" s="1"/>
  <c r="E4481" i="1" a="1"/>
  <c r="E4481" i="1"/>
  <c r="E4482" i="1" a="1"/>
  <c r="E4482" i="1" s="1"/>
  <c r="E4483" i="1" a="1"/>
  <c r="E4483" i="1" s="1"/>
  <c r="E4484" i="1" a="1"/>
  <c r="E4484" i="1" s="1"/>
  <c r="E4485" i="1" a="1"/>
  <c r="E4485" i="1" s="1"/>
  <c r="E4486" i="1" a="1"/>
  <c r="E4486" i="1"/>
  <c r="E4487" i="1" a="1"/>
  <c r="E4487" i="1"/>
  <c r="E4488" i="1" a="1"/>
  <c r="E4488" i="1"/>
  <c r="E4489" i="1" a="1"/>
  <c r="E4489" i="1" s="1"/>
  <c r="E4490" i="1" a="1"/>
  <c r="E4490" i="1"/>
  <c r="E4491" i="1" a="1"/>
  <c r="E4491" i="1" s="1"/>
  <c r="E4492" i="1" a="1"/>
  <c r="E4492" i="1" s="1"/>
  <c r="E4493" i="1" a="1"/>
  <c r="E4493" i="1" s="1"/>
  <c r="E4494" i="1" a="1"/>
  <c r="E4494" i="1" s="1"/>
  <c r="E4495" i="1" a="1"/>
  <c r="E4495" i="1" s="1"/>
  <c r="E4496" i="1" a="1"/>
  <c r="E4496" i="1"/>
  <c r="E4497" i="1" a="1"/>
  <c r="E4497" i="1" s="1"/>
  <c r="E4498" i="1" a="1"/>
  <c r="E4498" i="1" s="1"/>
  <c r="E4499" i="1" a="1"/>
  <c r="E4499" i="1" s="1"/>
  <c r="E4500" i="1" a="1"/>
  <c r="E4500" i="1"/>
  <c r="E4501" i="1" a="1"/>
  <c r="E4501" i="1" s="1"/>
  <c r="E4502" i="1" a="1"/>
  <c r="E4502" i="1"/>
  <c r="E4503" i="1" a="1"/>
  <c r="E4503" i="1" s="1"/>
  <c r="E4504" i="1" a="1"/>
  <c r="E4504" i="1"/>
  <c r="E4505" i="1" a="1"/>
  <c r="E4505" i="1" s="1"/>
  <c r="E4506" i="1" a="1"/>
  <c r="E4506" i="1" s="1"/>
  <c r="E4507" i="1" a="1"/>
  <c r="E4507" i="1"/>
  <c r="E4508" i="1" a="1"/>
  <c r="E4508" i="1"/>
  <c r="E4509" i="1" a="1"/>
  <c r="E4509" i="1"/>
  <c r="E4510" i="1" a="1"/>
  <c r="E4510" i="1" s="1"/>
  <c r="E4511" i="1" a="1"/>
  <c r="E4511" i="1"/>
  <c r="E4512" i="1" a="1"/>
  <c r="E4512" i="1" s="1"/>
  <c r="E4513" i="1" a="1"/>
  <c r="E4513" i="1" s="1"/>
  <c r="E4514" i="1" a="1"/>
  <c r="E4514" i="1" s="1"/>
  <c r="E4515" i="1" a="1"/>
  <c r="E4515" i="1" s="1"/>
  <c r="E4516" i="1" a="1"/>
  <c r="E4516" i="1"/>
  <c r="E4517" i="1" a="1"/>
  <c r="E4517" i="1"/>
  <c r="E4518" i="1" a="1"/>
  <c r="E4518" i="1" s="1"/>
  <c r="E4519" i="1" a="1"/>
  <c r="E4519" i="1" s="1"/>
  <c r="E4520" i="1" a="1"/>
  <c r="E4520" i="1" s="1"/>
  <c r="E4521" i="1" a="1"/>
  <c r="E4521" i="1"/>
  <c r="E4522" i="1" a="1"/>
  <c r="E4522" i="1" s="1"/>
  <c r="E4523" i="1" a="1"/>
  <c r="E4523" i="1" s="1"/>
  <c r="E4524" i="1" a="1"/>
  <c r="E4524" i="1" s="1"/>
  <c r="E4525" i="1" a="1"/>
  <c r="E4525" i="1"/>
  <c r="E4526" i="1" a="1"/>
  <c r="E4526" i="1" s="1"/>
  <c r="E4527" i="1" a="1"/>
  <c r="E4527" i="1" s="1"/>
  <c r="E4528" i="1" a="1"/>
  <c r="E4528" i="1"/>
  <c r="E4529" i="1" a="1"/>
  <c r="E4529" i="1"/>
  <c r="E4530" i="1" a="1"/>
  <c r="E4530" i="1"/>
  <c r="E4531" i="1" a="1"/>
  <c r="E4531" i="1" s="1"/>
  <c r="E4532" i="1" a="1"/>
  <c r="E4532" i="1"/>
  <c r="E4533" i="1" a="1"/>
  <c r="E4533" i="1" s="1"/>
  <c r="E4534" i="1" a="1"/>
  <c r="E4534" i="1"/>
  <c r="E4535" i="1" a="1"/>
  <c r="E4535" i="1" s="1"/>
  <c r="E4536" i="1" a="1"/>
  <c r="E4536" i="1" s="1"/>
  <c r="E4537" i="1" a="1"/>
  <c r="E4537" i="1"/>
  <c r="E4538" i="1" a="1"/>
  <c r="E4538" i="1"/>
  <c r="E4539" i="1" a="1"/>
  <c r="E4539" i="1" s="1"/>
  <c r="E4540" i="1" a="1"/>
  <c r="E4540" i="1" s="1"/>
  <c r="E4541" i="1" a="1"/>
  <c r="E4541" i="1" s="1"/>
  <c r="E4542" i="1" a="1"/>
  <c r="E4542" i="1"/>
  <c r="E4543" i="1" a="1"/>
  <c r="E4543" i="1" s="1"/>
  <c r="E4544" i="1" a="1"/>
  <c r="E4544" i="1" s="1"/>
  <c r="E4545" i="1" a="1"/>
  <c r="E4545" i="1" s="1"/>
  <c r="E4546" i="1" a="1"/>
  <c r="E4546" i="1"/>
  <c r="E4547" i="1" a="1"/>
  <c r="E4547" i="1" s="1"/>
  <c r="E4548" i="1" a="1"/>
  <c r="E4548" i="1" s="1"/>
  <c r="E4549" i="1" a="1"/>
  <c r="E4549" i="1"/>
  <c r="E4550" i="1" a="1"/>
  <c r="E4550" i="1"/>
  <c r="E4551" i="1" a="1"/>
  <c r="E4551" i="1"/>
  <c r="E4552" i="1" a="1"/>
  <c r="E4552" i="1" s="1"/>
  <c r="E4553" i="1" a="1"/>
  <c r="E4553" i="1" s="1"/>
  <c r="E4554" i="1" a="1"/>
  <c r="E4554" i="1" s="1"/>
  <c r="E4555" i="1" a="1"/>
  <c r="E4555" i="1"/>
  <c r="E4556" i="1" a="1"/>
  <c r="E4556" i="1" s="1"/>
  <c r="E4557" i="1" a="1"/>
  <c r="E4557" i="1" s="1"/>
  <c r="E4558" i="1" a="1"/>
  <c r="E4558" i="1"/>
  <c r="E4559" i="1" a="1"/>
  <c r="E4559" i="1"/>
  <c r="E4560" i="1" a="1"/>
  <c r="E4560" i="1" s="1"/>
  <c r="E4561" i="1" a="1"/>
  <c r="E4561" i="1" s="1"/>
  <c r="E4562" i="1" a="1"/>
  <c r="E4562" i="1" s="1"/>
  <c r="E4563" i="1" a="1"/>
  <c r="E4563" i="1" s="1"/>
  <c r="E4564" i="1" a="1"/>
  <c r="E4564" i="1"/>
  <c r="E4565" i="1" a="1"/>
  <c r="E4565" i="1" s="1"/>
  <c r="E4566" i="1" a="1"/>
  <c r="E4566" i="1" s="1"/>
  <c r="E4567" i="1" a="1"/>
  <c r="E4567" i="1"/>
  <c r="E4568" i="1" a="1"/>
  <c r="E4568" i="1" s="1"/>
  <c r="E4569" i="1" a="1"/>
  <c r="E4569" i="1" s="1"/>
  <c r="E4570" i="1" a="1"/>
  <c r="E4570" i="1"/>
  <c r="E4571" i="1" a="1"/>
  <c r="E4571" i="1"/>
  <c r="E4572" i="1" a="1"/>
  <c r="E4572" i="1"/>
  <c r="E4573" i="1" a="1"/>
  <c r="E4573" i="1" s="1"/>
  <c r="E4574" i="1" a="1"/>
  <c r="E4574" i="1"/>
  <c r="E4575" i="1" a="1"/>
  <c r="E4575" i="1" s="1"/>
  <c r="E4576" i="1" a="1"/>
  <c r="E4576" i="1"/>
  <c r="E4577" i="1" a="1"/>
  <c r="E4577" i="1" s="1"/>
  <c r="E4578" i="1" a="1"/>
  <c r="E4578" i="1" s="1"/>
  <c r="E4579" i="1" a="1"/>
  <c r="E4579" i="1"/>
  <c r="E4580" i="1" a="1"/>
  <c r="E4580" i="1"/>
  <c r="E4581" i="1" a="1"/>
  <c r="E4581" i="1" s="1"/>
  <c r="E4582" i="1" a="1"/>
  <c r="E4582" i="1" s="1"/>
  <c r="E4583" i="1" a="1"/>
  <c r="E4583" i="1" s="1"/>
  <c r="E4584" i="1" a="1"/>
  <c r="E4584" i="1" s="1"/>
  <c r="E4585" i="1" a="1"/>
  <c r="E4585" i="1"/>
  <c r="E4586" i="1" a="1"/>
  <c r="E4586" i="1" s="1"/>
  <c r="E4587" i="1" a="1"/>
  <c r="E4587" i="1" s="1"/>
  <c r="E4588" i="1" a="1"/>
  <c r="E4588" i="1"/>
  <c r="E4589" i="1" a="1"/>
  <c r="E4589" i="1" s="1"/>
  <c r="E4590" i="1" a="1"/>
  <c r="E4590" i="1" s="1"/>
  <c r="E4591" i="1" a="1"/>
  <c r="E4591" i="1"/>
  <c r="E4592" i="1" a="1"/>
  <c r="E4592" i="1"/>
  <c r="E4593" i="1" a="1"/>
  <c r="E4593" i="1" s="1"/>
  <c r="E4594" i="1" a="1"/>
  <c r="E4594" i="1" s="1"/>
  <c r="E4595" i="1" a="1"/>
  <c r="E4595" i="1"/>
  <c r="E4596" i="1" a="1"/>
  <c r="E4596" i="1" s="1"/>
  <c r="E4597" i="1" a="1"/>
  <c r="E4597" i="1"/>
  <c r="E4598" i="1" a="1"/>
  <c r="E4598" i="1" s="1"/>
  <c r="E4599" i="1" a="1"/>
  <c r="E4599" i="1" s="1"/>
  <c r="E4600" i="1" a="1"/>
  <c r="E4600" i="1"/>
  <c r="E4601" i="1" a="1"/>
  <c r="E4601" i="1"/>
  <c r="E4602" i="1" a="1"/>
  <c r="E4602" i="1" s="1"/>
  <c r="E4603" i="1" a="1"/>
  <c r="E4603" i="1" s="1"/>
  <c r="E4604" i="1" a="1"/>
  <c r="E4604" i="1"/>
  <c r="E4605" i="1" a="1"/>
  <c r="E4605" i="1" s="1"/>
  <c r="E4606" i="1" a="1"/>
  <c r="E4606" i="1"/>
  <c r="E4607" i="1" a="1"/>
  <c r="E4607" i="1" s="1"/>
  <c r="E4608" i="1" a="1"/>
  <c r="E4608" i="1" s="1"/>
  <c r="E4609" i="1" a="1"/>
  <c r="E4609" i="1"/>
  <c r="E4610" i="1" a="1"/>
  <c r="E4610" i="1" s="1"/>
  <c r="E4611" i="1" a="1"/>
  <c r="E4611" i="1" s="1"/>
  <c r="E4612" i="1" a="1"/>
  <c r="E4612" i="1"/>
  <c r="E4613" i="1" a="1"/>
  <c r="E4613" i="1" s="1"/>
  <c r="E4614" i="1" a="1"/>
  <c r="E4614" i="1" s="1"/>
  <c r="E4615" i="1" a="1"/>
  <c r="E4615" i="1" s="1"/>
  <c r="E4616" i="1" a="1"/>
  <c r="E4616" i="1"/>
  <c r="E4617" i="1" a="1"/>
  <c r="E4617" i="1" s="1"/>
  <c r="E4618" i="1" a="1"/>
  <c r="E4618" i="1"/>
  <c r="E4619" i="1" a="1"/>
  <c r="E4619" i="1" s="1"/>
  <c r="E4620" i="1" a="1"/>
  <c r="E4620" i="1" s="1"/>
  <c r="E4621" i="1" a="1"/>
  <c r="E4621" i="1"/>
  <c r="E4622" i="1" a="1"/>
  <c r="E4622" i="1"/>
  <c r="E4623" i="1" a="1"/>
  <c r="E4623" i="1" s="1"/>
  <c r="E4624" i="1" a="1"/>
  <c r="E4624" i="1"/>
  <c r="E4625" i="1" a="1"/>
  <c r="E4625" i="1"/>
  <c r="E4626" i="1" a="1"/>
  <c r="E4626" i="1" s="1"/>
  <c r="E4627" i="1" a="1"/>
  <c r="E4627" i="1"/>
  <c r="E4628" i="1" a="1"/>
  <c r="E4628" i="1" s="1"/>
  <c r="E4629" i="1" a="1"/>
  <c r="E4629" i="1" s="1"/>
  <c r="E4630" i="1" a="1"/>
  <c r="E4630" i="1"/>
  <c r="E4631" i="1" a="1"/>
  <c r="E4631" i="1" s="1"/>
  <c r="E4632" i="1" a="1"/>
  <c r="E4632" i="1" s="1"/>
  <c r="E4633" i="1" a="1"/>
  <c r="E4633" i="1" s="1"/>
  <c r="E4634" i="1" a="1"/>
  <c r="E4634" i="1" s="1"/>
  <c r="E4635" i="1" a="1"/>
  <c r="E4635" i="1"/>
  <c r="E4636" i="1" a="1"/>
  <c r="E4636" i="1" s="1"/>
  <c r="E4637" i="1" a="1"/>
  <c r="E4637" i="1"/>
  <c r="E4638" i="1" a="1"/>
  <c r="E4638" i="1" s="1"/>
  <c r="E4639" i="1" a="1"/>
  <c r="E4639" i="1"/>
  <c r="E4640" i="1" a="1"/>
  <c r="E4640" i="1" s="1"/>
  <c r="E4641" i="1" a="1"/>
  <c r="E4641" i="1" s="1"/>
  <c r="E4642" i="1" a="1"/>
  <c r="E4642" i="1"/>
  <c r="E4643" i="1" a="1"/>
  <c r="E4643" i="1" s="1"/>
  <c r="E4644" i="1" a="1"/>
  <c r="E4644" i="1"/>
  <c r="E4645" i="1" a="1"/>
  <c r="E4645" i="1"/>
  <c r="E4646" i="1" a="1"/>
  <c r="E4646" i="1"/>
  <c r="E4647" i="1" a="1"/>
  <c r="E4647" i="1" s="1"/>
  <c r="E4648" i="1" a="1"/>
  <c r="E4648" i="1"/>
  <c r="E4649" i="1" a="1"/>
  <c r="E4649" i="1" s="1"/>
  <c r="E4650" i="1" a="1"/>
  <c r="E4650" i="1" s="1"/>
  <c r="E4651" i="1" a="1"/>
  <c r="E4651" i="1"/>
  <c r="E4652" i="1" a="1"/>
  <c r="E4652" i="1" s="1"/>
  <c r="E4653" i="1" a="1"/>
  <c r="E4653" i="1" s="1"/>
  <c r="E4654" i="1" a="1"/>
  <c r="E4654" i="1"/>
  <c r="E4655" i="1" a="1"/>
  <c r="E4655" i="1" s="1"/>
  <c r="E4656" i="1" a="1"/>
  <c r="E4656" i="1"/>
  <c r="E4657" i="1" a="1"/>
  <c r="E4657" i="1" s="1"/>
  <c r="E4658" i="1" a="1"/>
  <c r="E4658" i="1"/>
  <c r="E4659" i="1" a="1"/>
  <c r="E4659" i="1" s="1"/>
  <c r="E4660" i="1" a="1"/>
  <c r="E4660" i="1"/>
  <c r="E4661" i="1" a="1"/>
  <c r="E4661" i="1" s="1"/>
  <c r="E4662" i="1" a="1"/>
  <c r="E4662" i="1" s="1"/>
  <c r="E4663" i="1" a="1"/>
  <c r="E4663" i="1" s="1"/>
  <c r="E4664" i="1" a="1"/>
  <c r="E4664" i="1" s="1"/>
  <c r="E4665" i="1" a="1"/>
  <c r="E4665" i="1"/>
  <c r="E4666" i="1" a="1"/>
  <c r="E4666" i="1"/>
  <c r="E4667" i="1" a="1"/>
  <c r="E4667" i="1"/>
  <c r="E4668" i="1" a="1"/>
  <c r="E4668" i="1" s="1"/>
  <c r="E4669" i="1" a="1"/>
  <c r="E4669" i="1"/>
  <c r="E4670" i="1" a="1"/>
  <c r="E4670" i="1" s="1"/>
  <c r="E4671" i="1" a="1"/>
  <c r="E4671" i="1" s="1"/>
  <c r="E4672" i="1" a="1"/>
  <c r="E4672" i="1"/>
  <c r="E4673" i="1" a="1"/>
  <c r="E4673" i="1" s="1"/>
  <c r="E4674" i="1" a="1"/>
  <c r="E4674" i="1"/>
  <c r="E4675" i="1" a="1"/>
  <c r="E4675" i="1"/>
  <c r="E4676" i="1" a="1"/>
  <c r="E4676" i="1" s="1"/>
  <c r="E4677" i="1" a="1"/>
  <c r="E4677" i="1"/>
  <c r="E4678" i="1" a="1"/>
  <c r="E4678" i="1" s="1"/>
  <c r="E4679" i="1" a="1"/>
  <c r="E4679" i="1"/>
  <c r="E4680" i="1" a="1"/>
  <c r="E4680" i="1" s="1"/>
  <c r="E4681" i="1" a="1"/>
  <c r="E4681" i="1" s="1"/>
  <c r="E4682" i="1" a="1"/>
  <c r="E4682" i="1" s="1"/>
  <c r="E4683" i="1" a="1"/>
  <c r="E4683" i="1" s="1"/>
  <c r="E4684" i="1" a="1"/>
  <c r="E4684" i="1" s="1"/>
  <c r="E4685" i="1" a="1"/>
  <c r="E4685" i="1" s="1"/>
  <c r="E4686" i="1" a="1"/>
  <c r="E4686" i="1"/>
  <c r="E4687" i="1" a="1"/>
  <c r="E4687" i="1"/>
  <c r="E4688" i="1" a="1"/>
  <c r="E4688" i="1"/>
  <c r="E4689" i="1" a="1"/>
  <c r="E4689" i="1" s="1"/>
  <c r="E4690" i="1" a="1"/>
  <c r="E4690" i="1"/>
  <c r="E4691" i="1" a="1"/>
  <c r="E4691" i="1" s="1"/>
  <c r="E4692" i="1" a="1"/>
  <c r="E4692" i="1" s="1"/>
  <c r="E4693" i="1" a="1"/>
  <c r="E4693" i="1" s="1"/>
  <c r="E4694" i="1" a="1"/>
  <c r="E4694" i="1" s="1"/>
  <c r="E4695" i="1" a="1"/>
  <c r="E4695" i="1"/>
  <c r="E4696" i="1" a="1"/>
  <c r="E4696" i="1"/>
  <c r="E4697" i="1" a="1"/>
  <c r="E4697" i="1" s="1"/>
  <c r="E4698" i="1" a="1"/>
  <c r="E4698" i="1"/>
  <c r="E4699" i="1" a="1"/>
  <c r="E4699" i="1" s="1"/>
  <c r="E4700" i="1" a="1"/>
  <c r="E4700" i="1"/>
  <c r="E4701" i="1" a="1"/>
  <c r="E4701" i="1" s="1"/>
  <c r="E4702" i="1" a="1"/>
  <c r="E4702" i="1" s="1"/>
  <c r="E4703" i="1" a="1"/>
  <c r="E4703" i="1" s="1"/>
  <c r="E4704" i="1" a="1"/>
  <c r="E4704" i="1"/>
  <c r="E4705" i="1" a="1"/>
  <c r="E4705" i="1" s="1"/>
  <c r="E4706" i="1" a="1"/>
  <c r="E4706" i="1" s="1"/>
  <c r="E4707" i="1" a="1"/>
  <c r="E4707" i="1"/>
  <c r="E4708" i="1" a="1"/>
  <c r="E4708" i="1"/>
  <c r="E4709" i="1" a="1"/>
  <c r="E4709" i="1"/>
  <c r="E4710" i="1" a="1"/>
  <c r="E4710" i="1" s="1"/>
  <c r="E4711" i="1" a="1"/>
  <c r="E4711" i="1"/>
  <c r="E4712" i="1" a="1"/>
  <c r="E4712" i="1" s="1"/>
  <c r="E4713" i="1" a="1"/>
  <c r="E4713" i="1" s="1"/>
  <c r="E4714" i="1" a="1"/>
  <c r="E4714" i="1"/>
  <c r="E4715" i="1" a="1"/>
  <c r="E4715" i="1" s="1"/>
  <c r="E4716" i="1" a="1"/>
  <c r="E4716" i="1"/>
  <c r="E4717" i="1" a="1"/>
  <c r="E4717" i="1"/>
  <c r="E4718" i="1" a="1"/>
  <c r="E4718" i="1" s="1"/>
  <c r="E4719" i="1" a="1"/>
  <c r="E4719" i="1"/>
  <c r="E4720" i="1" a="1"/>
  <c r="E4720" i="1" s="1"/>
  <c r="E4721" i="1" a="1"/>
  <c r="E4721" i="1"/>
  <c r="E4722" i="1" a="1"/>
  <c r="E4722" i="1" s="1"/>
  <c r="E4723" i="1" a="1"/>
  <c r="E4723" i="1" s="1"/>
  <c r="E4724" i="1" a="1"/>
  <c r="E4724" i="1" s="1"/>
  <c r="E4725" i="1" a="1"/>
  <c r="E4725" i="1"/>
  <c r="E4726" i="1" a="1"/>
  <c r="E4726" i="1" s="1"/>
  <c r="E4727" i="1" a="1"/>
  <c r="E4727" i="1" s="1"/>
  <c r="E4728" i="1" a="1"/>
  <c r="E4728" i="1"/>
  <c r="E4729" i="1" a="1"/>
  <c r="E4729" i="1"/>
  <c r="E4730" i="1" a="1"/>
  <c r="E4730" i="1"/>
  <c r="E4731" i="1" a="1"/>
  <c r="E4731" i="1" s="1"/>
  <c r="E4732" i="1" a="1"/>
  <c r="E4732" i="1"/>
  <c r="E4733" i="1" a="1"/>
  <c r="E4733" i="1" s="1"/>
  <c r="E4734" i="1" a="1"/>
  <c r="E4734" i="1" s="1"/>
  <c r="E4735" i="1" a="1"/>
  <c r="E4735" i="1"/>
  <c r="E4736" i="1" a="1"/>
  <c r="E4736" i="1" s="1"/>
  <c r="E4737" i="1" a="1"/>
  <c r="E4737" i="1"/>
  <c r="E4738" i="1" a="1"/>
  <c r="E4738" i="1"/>
  <c r="E4739" i="1" a="1"/>
  <c r="E4739" i="1" s="1"/>
  <c r="E4740" i="1" a="1"/>
  <c r="E4740" i="1"/>
  <c r="E4741" i="1" a="1"/>
  <c r="E4741" i="1" s="1"/>
  <c r="E4742" i="1" a="1"/>
  <c r="E4742" i="1"/>
  <c r="E4743" i="1" a="1"/>
  <c r="E4743" i="1" s="1"/>
  <c r="E4744" i="1" a="1"/>
  <c r="E4744" i="1" s="1"/>
  <c r="E4745" i="1" a="1"/>
  <c r="E4745" i="1" s="1"/>
  <c r="E4746" i="1" a="1"/>
  <c r="E4746" i="1"/>
  <c r="E4747" i="1" a="1"/>
  <c r="E4747" i="1" s="1"/>
  <c r="E4748" i="1" a="1"/>
  <c r="E4748" i="1" s="1"/>
  <c r="E4749" i="1" a="1"/>
  <c r="E4749" i="1"/>
  <c r="E4750" i="1" a="1"/>
  <c r="E4750" i="1"/>
  <c r="E4751" i="1" a="1"/>
  <c r="E4751" i="1"/>
  <c r="E4752" i="1" a="1"/>
  <c r="E4752" i="1" s="1"/>
  <c r="E4753" i="1" a="1"/>
  <c r="E4753" i="1" s="1"/>
  <c r="E4754" i="1" a="1"/>
  <c r="E4754" i="1" s="1"/>
  <c r="E4755" i="1" a="1"/>
  <c r="E4755" i="1" s="1"/>
  <c r="E4756" i="1" a="1"/>
  <c r="E4756" i="1"/>
  <c r="E4757" i="1" a="1"/>
  <c r="E4757" i="1" s="1"/>
  <c r="E4758" i="1" a="1"/>
  <c r="E4758" i="1"/>
  <c r="E4759" i="1" a="1"/>
  <c r="E4759" i="1"/>
  <c r="E4760" i="1" a="1"/>
  <c r="E4760" i="1" s="1"/>
  <c r="E4761" i="1" a="1"/>
  <c r="E4761" i="1"/>
  <c r="E4762" i="1" a="1"/>
  <c r="E4762" i="1" s="1"/>
  <c r="E4763" i="1" a="1"/>
  <c r="E4763" i="1" s="1"/>
  <c r="E4764" i="1" a="1"/>
  <c r="E4764" i="1"/>
  <c r="E4765" i="1" a="1"/>
  <c r="E4765" i="1" s="1"/>
  <c r="E4766" i="1" a="1"/>
  <c r="E4766" i="1" s="1"/>
  <c r="E4767" i="1" a="1"/>
  <c r="E4767" i="1"/>
  <c r="E4768" i="1" a="1"/>
  <c r="E4768" i="1" s="1"/>
  <c r="E4769" i="1" a="1"/>
  <c r="E4769" i="1" s="1"/>
  <c r="E4770" i="1" a="1"/>
  <c r="E4770" i="1"/>
  <c r="E4771" i="1" a="1"/>
  <c r="E4771" i="1"/>
  <c r="E4772" i="1" a="1"/>
  <c r="E4772" i="1"/>
  <c r="E4773" i="1" a="1"/>
  <c r="E4773" i="1" s="1"/>
  <c r="E4774" i="1" a="1"/>
  <c r="E4774" i="1"/>
  <c r="E4775" i="1" a="1"/>
  <c r="E4775" i="1" s="1"/>
  <c r="E4776" i="1" a="1"/>
  <c r="E4776" i="1" s="1"/>
  <c r="E4777" i="1" a="1"/>
  <c r="E4777" i="1"/>
  <c r="E4778" i="1" a="1"/>
  <c r="E4778" i="1" s="1"/>
  <c r="E4779" i="1" a="1"/>
  <c r="E4779" i="1"/>
  <c r="E4780" i="1" a="1"/>
  <c r="E4780" i="1"/>
  <c r="E4781" i="1" a="1"/>
  <c r="E4781" i="1" s="1"/>
  <c r="E4782" i="1" a="1"/>
  <c r="E4782" i="1"/>
  <c r="E4783" i="1" a="1"/>
  <c r="E4783" i="1" s="1"/>
  <c r="E4784" i="1" a="1"/>
  <c r="E4784" i="1" s="1"/>
  <c r="E4785" i="1" a="1"/>
  <c r="E4785" i="1"/>
  <c r="E4786" i="1" a="1"/>
  <c r="E4786" i="1" s="1"/>
  <c r="E4787" i="1" a="1"/>
  <c r="E4787" i="1" s="1"/>
  <c r="E4788" i="1" a="1"/>
  <c r="E4788" i="1"/>
  <c r="E4789" i="1" a="1"/>
  <c r="E4789" i="1" s="1"/>
  <c r="E4790" i="1" a="1"/>
  <c r="E4790" i="1" s="1"/>
  <c r="E4791" i="1" a="1"/>
  <c r="E4791" i="1"/>
  <c r="E4792" i="1" a="1"/>
  <c r="E4792" i="1"/>
  <c r="E4793" i="1" a="1"/>
  <c r="E4793" i="1" s="1"/>
  <c r="E4794" i="1" a="1"/>
  <c r="E4794" i="1" s="1"/>
  <c r="E4795" i="1" a="1"/>
  <c r="E4795" i="1"/>
  <c r="E4796" i="1" a="1"/>
  <c r="E4796" i="1" s="1"/>
  <c r="E4797" i="1" a="1"/>
  <c r="E4797" i="1" s="1"/>
  <c r="E4798" i="1" a="1"/>
  <c r="E4798" i="1"/>
  <c r="E4799" i="1" a="1"/>
  <c r="E4799" i="1" s="1"/>
  <c r="E4800" i="1" a="1"/>
  <c r="E4800" i="1"/>
  <c r="E4801" i="1" a="1"/>
  <c r="E4801" i="1"/>
  <c r="E4802" i="1" a="1"/>
  <c r="E4802" i="1" s="1"/>
  <c r="E4803" i="1" a="1"/>
  <c r="E4803" i="1" s="1"/>
  <c r="E4804" i="1" a="1"/>
  <c r="E4804" i="1"/>
  <c r="E4805" i="1" a="1"/>
  <c r="E4805" i="1" s="1"/>
  <c r="E4806" i="1" a="1"/>
  <c r="E4806" i="1"/>
  <c r="E4807" i="1" a="1"/>
  <c r="E4807" i="1" s="1"/>
  <c r="E4808" i="1" a="1"/>
  <c r="E4808" i="1" s="1"/>
  <c r="E4809" i="1" a="1"/>
  <c r="E4809" i="1"/>
  <c r="E4810" i="1" a="1"/>
  <c r="E4810" i="1" s="1"/>
  <c r="E4811" i="1" a="1"/>
  <c r="E4811" i="1" s="1"/>
  <c r="E4812" i="1" a="1"/>
  <c r="E4812" i="1"/>
  <c r="E4813" i="1" a="1"/>
  <c r="E4813" i="1"/>
  <c r="E4814" i="1" a="1"/>
  <c r="E4814" i="1"/>
  <c r="E4815" i="1" a="1"/>
  <c r="E4815" i="1" s="1"/>
  <c r="E4816" i="1" a="1"/>
  <c r="E4816" i="1" s="1"/>
  <c r="E4817" i="1" a="1"/>
  <c r="E4817" i="1" s="1"/>
  <c r="E4818" i="1" a="1"/>
  <c r="E4818" i="1" s="1"/>
  <c r="E4819" i="1" a="1"/>
  <c r="E4819" i="1"/>
  <c r="E4820" i="1" a="1"/>
  <c r="E4820" i="1" s="1"/>
  <c r="E4821" i="1" a="1"/>
  <c r="E4821" i="1" s="1"/>
  <c r="E4822" i="1" a="1"/>
  <c r="E4822" i="1"/>
  <c r="E4823" i="1" a="1"/>
  <c r="E4823" i="1"/>
  <c r="E4824" i="1" a="1"/>
  <c r="E4824" i="1"/>
  <c r="E4825" i="1" a="1"/>
  <c r="E4825" i="1" s="1"/>
  <c r="E4826" i="1" a="1"/>
  <c r="E4826" i="1" s="1"/>
  <c r="E4827" i="1" a="1"/>
  <c r="E4827" i="1" s="1"/>
  <c r="E4828" i="1" a="1"/>
  <c r="E4828" i="1" s="1"/>
  <c r="E4829" i="1" a="1"/>
  <c r="E4829" i="1" s="1"/>
  <c r="E4830" i="1" a="1"/>
  <c r="E4830" i="1" s="1"/>
  <c r="E4831" i="1" a="1"/>
  <c r="E4831" i="1" s="1"/>
  <c r="E4832" i="1" a="1"/>
  <c r="E4832" i="1"/>
  <c r="E4833" i="1" a="1"/>
  <c r="E4833" i="1" s="1"/>
  <c r="E4834" i="1" a="1"/>
  <c r="E4834" i="1" s="1"/>
  <c r="E4835" i="1" a="1"/>
  <c r="E4835" i="1" s="1"/>
  <c r="E4836" i="1" a="1"/>
  <c r="E4836" i="1" s="1"/>
  <c r="E4837" i="1" a="1"/>
  <c r="E4837" i="1" s="1"/>
  <c r="E4838" i="1" a="1"/>
  <c r="E4838" i="1" s="1"/>
  <c r="E4839" i="1" a="1"/>
  <c r="E4839" i="1" s="1"/>
  <c r="E4840" i="1" a="1"/>
  <c r="E4840" i="1" s="1"/>
  <c r="E4841" i="1" a="1"/>
  <c r="E4841" i="1" s="1"/>
  <c r="E4842" i="1" a="1"/>
  <c r="E4842" i="1"/>
  <c r="E4843" i="1" a="1"/>
  <c r="E4843" i="1" s="1"/>
  <c r="E4844" i="1" a="1"/>
  <c r="E4844" i="1" s="1"/>
  <c r="E4845" i="1" a="1"/>
  <c r="E4845" i="1" s="1"/>
  <c r="E4846" i="1" a="1"/>
  <c r="E4846" i="1" s="1"/>
  <c r="E4847" i="1" a="1"/>
  <c r="E4847" i="1" s="1"/>
  <c r="E4848" i="1" a="1"/>
  <c r="E4848" i="1" s="1"/>
  <c r="E4849" i="1" a="1"/>
  <c r="E4849" i="1" s="1"/>
  <c r="E4850" i="1" a="1"/>
  <c r="E4850" i="1" s="1"/>
  <c r="E4851" i="1" a="1"/>
  <c r="E4851" i="1" s="1"/>
  <c r="E4852" i="1" a="1"/>
  <c r="E4852" i="1" s="1"/>
  <c r="E4853" i="1" a="1"/>
  <c r="E4853" i="1" s="1"/>
  <c r="E4854" i="1" a="1"/>
  <c r="E4854" i="1" s="1"/>
  <c r="E4855" i="1" a="1"/>
  <c r="E4855" i="1" s="1"/>
  <c r="E4856" i="1" a="1"/>
  <c r="E4856" i="1" s="1"/>
  <c r="E4857" i="1" a="1"/>
  <c r="E4857" i="1" s="1"/>
  <c r="E4858" i="1" a="1"/>
  <c r="E4858" i="1" s="1"/>
  <c r="E4859" i="1" a="1"/>
  <c r="E4859" i="1" s="1"/>
  <c r="E4860" i="1" a="1"/>
  <c r="E4860" i="1" s="1"/>
  <c r="E4861" i="1" a="1"/>
  <c r="E4861" i="1" s="1"/>
  <c r="E4862" i="1" a="1"/>
  <c r="E4862" i="1" s="1"/>
  <c r="E4863" i="1" a="1"/>
  <c r="E4863" i="1" s="1"/>
  <c r="E4864" i="1" a="1"/>
  <c r="E4864" i="1" s="1"/>
  <c r="E4865" i="1" a="1"/>
  <c r="E4865" i="1" s="1"/>
  <c r="E4866" i="1" a="1"/>
  <c r="E4866" i="1" s="1"/>
  <c r="E4867" i="1" a="1"/>
  <c r="E4867" i="1" s="1"/>
  <c r="E4868" i="1" a="1"/>
  <c r="E4868" i="1" s="1"/>
  <c r="E4869" i="1" a="1"/>
  <c r="E4869" i="1" s="1"/>
  <c r="E4870" i="1" a="1"/>
  <c r="E4870" i="1" s="1"/>
  <c r="E4871" i="1" a="1"/>
  <c r="E4871" i="1" s="1"/>
  <c r="E4872" i="1" a="1"/>
  <c r="E4872" i="1" s="1"/>
  <c r="E4873" i="1" a="1"/>
  <c r="E4873" i="1" s="1"/>
  <c r="E4874" i="1" a="1"/>
  <c r="E4874" i="1" s="1"/>
  <c r="E4875" i="1" a="1"/>
  <c r="E4875" i="1" s="1"/>
  <c r="E4876" i="1" a="1"/>
  <c r="E4876" i="1" s="1"/>
  <c r="E4877" i="1" a="1"/>
  <c r="E4877" i="1" s="1"/>
  <c r="E4878" i="1" a="1"/>
  <c r="E4878" i="1" s="1"/>
  <c r="E4879" i="1" a="1"/>
  <c r="E4879" i="1" s="1"/>
  <c r="E4880" i="1" a="1"/>
  <c r="E4880" i="1" s="1"/>
  <c r="E4881" i="1" a="1"/>
  <c r="E4881" i="1" s="1"/>
  <c r="E4882" i="1" a="1"/>
  <c r="E4882" i="1" s="1"/>
  <c r="E4883" i="1" a="1"/>
  <c r="E4883" i="1" s="1"/>
  <c r="E4884" i="1" a="1"/>
  <c r="E4884" i="1" s="1"/>
  <c r="E4885" i="1" a="1"/>
  <c r="E4885" i="1" s="1"/>
  <c r="E4886" i="1" a="1"/>
  <c r="E4886" i="1" s="1"/>
  <c r="E4887" i="1" a="1"/>
  <c r="E4887" i="1" s="1"/>
  <c r="E4888" i="1" a="1"/>
  <c r="E4888" i="1" s="1"/>
  <c r="E4889" i="1" a="1"/>
  <c r="E4889" i="1" s="1"/>
  <c r="E4890" i="1" a="1"/>
  <c r="E4890" i="1" s="1"/>
  <c r="E4891" i="1" a="1"/>
  <c r="E4891" i="1" s="1"/>
  <c r="E4892" i="1" a="1"/>
  <c r="E4892" i="1" s="1"/>
  <c r="E4893" i="1" a="1"/>
  <c r="E4893" i="1" s="1"/>
  <c r="E4894" i="1" a="1"/>
  <c r="E4894" i="1" s="1"/>
  <c r="E4895" i="1" a="1"/>
  <c r="E4895" i="1" s="1"/>
  <c r="E4896" i="1" a="1"/>
  <c r="E4896" i="1" s="1"/>
  <c r="E4897" i="1" a="1"/>
  <c r="E4897" i="1" s="1"/>
  <c r="E4898" i="1" a="1"/>
  <c r="E4898" i="1" s="1"/>
  <c r="E4899" i="1" a="1"/>
  <c r="E4899" i="1" s="1"/>
  <c r="E4900" i="1" a="1"/>
  <c r="E4900" i="1" s="1"/>
  <c r="E4901" i="1" a="1"/>
  <c r="E4901" i="1" s="1"/>
  <c r="E4902" i="1" a="1"/>
  <c r="E4902" i="1" s="1"/>
  <c r="E4903" i="1" a="1"/>
  <c r="E4903" i="1" s="1"/>
  <c r="E4904" i="1" a="1"/>
  <c r="E4904" i="1" s="1"/>
  <c r="E4905" i="1" a="1"/>
  <c r="E4905" i="1" s="1"/>
  <c r="E4906" i="1" a="1"/>
  <c r="E4906" i="1" s="1"/>
  <c r="E4907" i="1" a="1"/>
  <c r="E4907" i="1" s="1"/>
  <c r="E4908" i="1" a="1"/>
  <c r="E4908" i="1" s="1"/>
  <c r="E4909" i="1" a="1"/>
  <c r="E4909" i="1" s="1"/>
  <c r="E4910" i="1" a="1"/>
  <c r="E4910" i="1" s="1"/>
  <c r="E4911" i="1" a="1"/>
  <c r="E4911" i="1" s="1"/>
  <c r="E4912" i="1" a="1"/>
  <c r="E4912" i="1" s="1"/>
  <c r="E4913" i="1" a="1"/>
  <c r="E4913" i="1" s="1"/>
  <c r="E4914" i="1" a="1"/>
  <c r="E4914" i="1" s="1"/>
  <c r="E4915" i="1" a="1"/>
  <c r="E4915" i="1" s="1"/>
  <c r="E4916" i="1" a="1"/>
  <c r="E4916" i="1" s="1"/>
  <c r="E4917" i="1" a="1"/>
  <c r="E4917" i="1" s="1"/>
  <c r="E4918" i="1" a="1"/>
  <c r="E4918" i="1" s="1"/>
  <c r="E4919" i="1" a="1"/>
  <c r="E4919" i="1" s="1"/>
  <c r="E4920" i="1" a="1"/>
  <c r="E4920" i="1" s="1"/>
  <c r="E4921" i="1" a="1"/>
  <c r="E4921" i="1" s="1"/>
  <c r="E4922" i="1" a="1"/>
  <c r="E4922" i="1" s="1"/>
  <c r="E4923" i="1" a="1"/>
  <c r="E4923" i="1" s="1"/>
  <c r="E4924" i="1" a="1"/>
  <c r="E4924" i="1" s="1"/>
  <c r="E4925" i="1" a="1"/>
  <c r="E4925" i="1" s="1"/>
  <c r="E4926" i="1" a="1"/>
  <c r="E4926" i="1" s="1"/>
  <c r="E4927" i="1" a="1"/>
  <c r="E4927" i="1" s="1"/>
  <c r="E4928" i="1" a="1"/>
  <c r="E4928" i="1" s="1"/>
  <c r="E4929" i="1" a="1"/>
  <c r="E4929" i="1" s="1"/>
  <c r="E4930" i="1" a="1"/>
  <c r="E4930" i="1" s="1"/>
  <c r="E4931" i="1" a="1"/>
  <c r="E4931" i="1" s="1"/>
  <c r="E4932" i="1" a="1"/>
  <c r="E4932" i="1" s="1"/>
  <c r="E4933" i="1" a="1"/>
  <c r="E4933" i="1" s="1"/>
  <c r="E4934" i="1" a="1"/>
  <c r="E4934" i="1" s="1"/>
  <c r="E4935" i="1" a="1"/>
  <c r="E4935" i="1" s="1"/>
  <c r="E4936" i="1" a="1"/>
  <c r="E4936" i="1" s="1"/>
  <c r="D2" i="1" a="1"/>
  <c r="D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/>
  <c r="D11" i="1" a="1"/>
  <c r="D11" i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/>
  <c r="D21" i="1" a="1"/>
  <c r="D21" i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/>
  <c r="D41" i="1" a="1"/>
  <c r="D41" i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/>
  <c r="D51" i="1" a="1"/>
  <c r="D51" i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/>
  <c r="D71" i="1" a="1"/>
  <c r="D71" i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/>
  <c r="D101" i="1" a="1"/>
  <c r="D101" i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/>
  <c r="D151" i="1" a="1"/>
  <c r="D151" i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/>
  <c r="D201" i="1" a="1"/>
  <c r="D201" i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/>
  <c r="D251" i="1" a="1"/>
  <c r="D251" i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/>
  <c r="D540" i="1" a="1"/>
  <c r="D540" i="1" s="1"/>
  <c r="D541" i="1" a="1"/>
  <c r="D541" i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/>
  <c r="D580" i="1" a="1"/>
  <c r="D580" i="1"/>
  <c r="D581" i="1" a="1"/>
  <c r="D581" i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/>
  <c r="D620" i="1" a="1"/>
  <c r="D620" i="1"/>
  <c r="D621" i="1" a="1"/>
  <c r="D621" i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/>
  <c r="D660" i="1" a="1"/>
  <c r="D660" i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/>
  <c r="D700" i="1" a="1"/>
  <c r="D700" i="1"/>
  <c r="D701" i="1" a="1"/>
  <c r="D701" i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 s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/>
  <c r="D926" i="1" a="1"/>
  <c r="D926" i="1"/>
  <c r="D927" i="1" a="1"/>
  <c r="D927" i="1"/>
  <c r="D928" i="1" a="1"/>
  <c r="D928" i="1"/>
  <c r="D929" i="1" a="1"/>
  <c r="D929" i="1"/>
  <c r="D930" i="1" a="1"/>
  <c r="D930" i="1"/>
  <c r="D931" i="1" a="1"/>
  <c r="D931" i="1"/>
  <c r="D932" i="1" a="1"/>
  <c r="D932" i="1"/>
  <c r="D933" i="1" a="1"/>
  <c r="D933" i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/>
  <c r="D946" i="1" a="1"/>
  <c r="D946" i="1"/>
  <c r="D947" i="1" a="1"/>
  <c r="D947" i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/>
  <c r="D956" i="1" a="1"/>
  <c r="D956" i="1" s="1"/>
  <c r="D957" i="1" a="1"/>
  <c r="D957" i="1" s="1"/>
  <c r="D958" i="1" a="1"/>
  <c r="D958" i="1" s="1"/>
  <c r="D959" i="1" a="1"/>
  <c r="D959" i="1" s="1"/>
  <c r="D960" i="1" a="1"/>
  <c r="D960" i="1" s="1"/>
  <c r="D961" i="1" a="1"/>
  <c r="D961" i="1" s="1"/>
  <c r="D962" i="1" a="1"/>
  <c r="D962" i="1" s="1"/>
  <c r="D963" i="1" a="1"/>
  <c r="D963" i="1" s="1"/>
  <c r="D964" i="1" a="1"/>
  <c r="D964" i="1" s="1"/>
  <c r="D965" i="1" a="1"/>
  <c r="D965" i="1"/>
  <c r="D966" i="1" a="1"/>
  <c r="D966" i="1" s="1"/>
  <c r="D967" i="1" a="1"/>
  <c r="D967" i="1" s="1"/>
  <c r="D968" i="1" a="1"/>
  <c r="D968" i="1" s="1"/>
  <c r="D969" i="1" a="1"/>
  <c r="D969" i="1" s="1"/>
  <c r="D970" i="1" a="1"/>
  <c r="D970" i="1" s="1"/>
  <c r="D971" i="1" a="1"/>
  <c r="D971" i="1" s="1"/>
  <c r="D972" i="1" a="1"/>
  <c r="D972" i="1"/>
  <c r="D973" i="1" a="1"/>
  <c r="D973" i="1"/>
  <c r="D974" i="1" a="1"/>
  <c r="D974" i="1" s="1"/>
  <c r="D975" i="1" a="1"/>
  <c r="D975" i="1" s="1"/>
  <c r="D976" i="1" a="1"/>
  <c r="D976" i="1" s="1"/>
  <c r="D977" i="1" a="1"/>
  <c r="D977" i="1" s="1"/>
  <c r="D978" i="1" a="1"/>
  <c r="D978" i="1" s="1"/>
  <c r="D979" i="1" a="1"/>
  <c r="D979" i="1" s="1"/>
  <c r="D980" i="1" a="1"/>
  <c r="D980" i="1" s="1"/>
  <c r="D981" i="1" a="1"/>
  <c r="D981" i="1" s="1"/>
  <c r="D982" i="1" a="1"/>
  <c r="D982" i="1" s="1"/>
  <c r="D983" i="1" a="1"/>
  <c r="D983" i="1" s="1"/>
  <c r="D984" i="1" a="1"/>
  <c r="D984" i="1" s="1"/>
  <c r="D985" i="1" a="1"/>
  <c r="D985" i="1"/>
  <c r="D986" i="1" a="1"/>
  <c r="D986" i="1" s="1"/>
  <c r="D987" i="1" a="1"/>
  <c r="D987" i="1" s="1"/>
  <c r="D988" i="1" a="1"/>
  <c r="D988" i="1" s="1"/>
  <c r="D989" i="1" a="1"/>
  <c r="D989" i="1" s="1"/>
  <c r="D990" i="1" a="1"/>
  <c r="D990" i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 s="1"/>
  <c r="D998" i="1" a="1"/>
  <c r="D998" i="1" s="1"/>
  <c r="D999" i="1" a="1"/>
  <c r="D999" i="1"/>
  <c r="D1000" i="1" a="1"/>
  <c r="D1000" i="1"/>
  <c r="D1001" i="1" a="1"/>
  <c r="D1001" i="1"/>
  <c r="D1002" i="1" a="1"/>
  <c r="D1002" i="1"/>
  <c r="D1003" i="1" a="1"/>
  <c r="D1003" i="1"/>
  <c r="D1004" i="1" a="1"/>
  <c r="D1004" i="1" s="1"/>
  <c r="D1005" i="1" a="1"/>
  <c r="D1005" i="1" s="1"/>
  <c r="D1006" i="1" a="1"/>
  <c r="D1006" i="1" s="1"/>
  <c r="D1007" i="1" a="1"/>
  <c r="D1007" i="1" s="1"/>
  <c r="D1008" i="1" a="1"/>
  <c r="D1008" i="1" s="1"/>
  <c r="D1009" i="1" a="1"/>
  <c r="D1009" i="1"/>
  <c r="D1010" i="1" a="1"/>
  <c r="D1010" i="1"/>
  <c r="D1011" i="1" a="1"/>
  <c r="D1011" i="1" s="1"/>
  <c r="D1012" i="1" a="1"/>
  <c r="D1012" i="1" s="1"/>
  <c r="D1013" i="1" a="1"/>
  <c r="D1013" i="1" s="1"/>
  <c r="D1014" i="1" a="1"/>
  <c r="D1014" i="1" s="1"/>
  <c r="D1015" i="1" a="1"/>
  <c r="D1015" i="1"/>
  <c r="D1016" i="1" a="1"/>
  <c r="D1016" i="1"/>
  <c r="D1017" i="1" a="1"/>
  <c r="D1017" i="1"/>
  <c r="D1018" i="1" a="1"/>
  <c r="D1018" i="1"/>
  <c r="D1019" i="1" a="1"/>
  <c r="D1019" i="1" s="1"/>
  <c r="D1020" i="1" a="1"/>
  <c r="D1020" i="1" s="1"/>
  <c r="D1021" i="1" a="1"/>
  <c r="D1021" i="1"/>
  <c r="D1022" i="1" a="1"/>
  <c r="D1022" i="1"/>
  <c r="D1023" i="1" a="1"/>
  <c r="D1023" i="1"/>
  <c r="D1024" i="1" a="1"/>
  <c r="D1024" i="1" s="1"/>
  <c r="D1025" i="1" a="1"/>
  <c r="D1025" i="1" s="1"/>
  <c r="D1026" i="1" a="1"/>
  <c r="D1026" i="1" s="1"/>
  <c r="D1027" i="1" a="1"/>
  <c r="D1027" i="1" s="1"/>
  <c r="D1028" i="1" a="1"/>
  <c r="D1028" i="1" s="1"/>
  <c r="D1029" i="1" a="1"/>
  <c r="D1029" i="1" s="1"/>
  <c r="D1030" i="1" a="1"/>
  <c r="D1030" i="1"/>
  <c r="D1031" i="1" a="1"/>
  <c r="D1031" i="1" s="1"/>
  <c r="D1032" i="1" a="1"/>
  <c r="D1032" i="1" s="1"/>
  <c r="D1033" i="1" a="1"/>
  <c r="D1033" i="1" s="1"/>
  <c r="D1034" i="1" a="1"/>
  <c r="D1034" i="1" s="1"/>
  <c r="D1035" i="1" a="1"/>
  <c r="D1035" i="1"/>
  <c r="D1036" i="1" a="1"/>
  <c r="D1036" i="1"/>
  <c r="D1037" i="1" a="1"/>
  <c r="D1037" i="1"/>
  <c r="D1038" i="1" a="1"/>
  <c r="D1038" i="1"/>
  <c r="D1039" i="1" a="1"/>
  <c r="D1039" i="1"/>
  <c r="D1040" i="1" a="1"/>
  <c r="D1040" i="1" s="1"/>
  <c r="D1041" i="1" a="1"/>
  <c r="D1041" i="1" s="1"/>
  <c r="D1042" i="1" a="1"/>
  <c r="D1042" i="1"/>
  <c r="D1043" i="1" a="1"/>
  <c r="D1043" i="1"/>
  <c r="D1044" i="1" a="1"/>
  <c r="D1044" i="1" s="1"/>
  <c r="D1045" i="1" a="1"/>
  <c r="D1045" i="1" s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 s="1"/>
  <c r="D1051" i="1" a="1"/>
  <c r="D1051" i="1" s="1"/>
  <c r="D1052" i="1" a="1"/>
  <c r="D1052" i="1" s="1"/>
  <c r="D1053" i="1" a="1"/>
  <c r="D1053" i="1" s="1"/>
  <c r="D1054" i="1" a="1"/>
  <c r="D1054" i="1" s="1"/>
  <c r="D1055" i="1" a="1"/>
  <c r="D1055" i="1"/>
  <c r="D1056" i="1" a="1"/>
  <c r="D1056" i="1"/>
  <c r="D1057" i="1" a="1"/>
  <c r="D1057" i="1"/>
  <c r="D1058" i="1" a="1"/>
  <c r="D1058" i="1"/>
  <c r="D1059" i="1" a="1"/>
  <c r="D1059" i="1"/>
  <c r="D1060" i="1" a="1"/>
  <c r="D1060" i="1"/>
  <c r="D1061" i="1" a="1"/>
  <c r="D1061" i="1" s="1"/>
  <c r="D1062" i="1" a="1"/>
  <c r="D1062" i="1" s="1"/>
  <c r="D1063" i="1" a="1"/>
  <c r="D1063" i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 s="1"/>
  <c r="D1069" i="1" a="1"/>
  <c r="D1069" i="1" s="1"/>
  <c r="D1070" i="1" a="1"/>
  <c r="D1070" i="1" s="1"/>
  <c r="D1071" i="1" a="1"/>
  <c r="D1071" i="1" s="1"/>
  <c r="D1072" i="1" a="1"/>
  <c r="D1072" i="1"/>
  <c r="D1073" i="1" a="1"/>
  <c r="D1073" i="1" s="1"/>
  <c r="D1074" i="1" a="1"/>
  <c r="D1074" i="1" s="1"/>
  <c r="D1075" i="1" a="1"/>
  <c r="D1075" i="1"/>
  <c r="D1076" i="1" a="1"/>
  <c r="D1076" i="1"/>
  <c r="D1077" i="1" a="1"/>
  <c r="D1077" i="1"/>
  <c r="D1078" i="1" a="1"/>
  <c r="D1078" i="1"/>
  <c r="D1079" i="1" a="1"/>
  <c r="D1079" i="1"/>
  <c r="D1080" i="1" a="1"/>
  <c r="D1080" i="1"/>
  <c r="D1081" i="1" a="1"/>
  <c r="D1081" i="1"/>
  <c r="D1082" i="1" a="1"/>
  <c r="D1082" i="1" s="1"/>
  <c r="D1083" i="1" a="1"/>
  <c r="D1083" i="1" s="1"/>
  <c r="D1084" i="1" a="1"/>
  <c r="D1084" i="1" s="1"/>
  <c r="D1085" i="1" a="1"/>
  <c r="D1085" i="1" s="1"/>
  <c r="D1086" i="1" a="1"/>
  <c r="D1086" i="1" s="1"/>
  <c r="D1087" i="1" a="1"/>
  <c r="D1087" i="1" s="1"/>
  <c r="D1088" i="1" a="1"/>
  <c r="D1088" i="1" s="1"/>
  <c r="D1089" i="1" a="1"/>
  <c r="D1089" i="1" s="1"/>
  <c r="D1090" i="1" a="1"/>
  <c r="D1090" i="1" s="1"/>
  <c r="D1091" i="1" a="1"/>
  <c r="D1091" i="1" s="1"/>
  <c r="D1092" i="1" a="1"/>
  <c r="D1092" i="1" s="1"/>
  <c r="D1093" i="1" a="1"/>
  <c r="D1093" i="1" s="1"/>
  <c r="D1094" i="1" a="1"/>
  <c r="D1094" i="1" s="1"/>
  <c r="D1095" i="1" a="1"/>
  <c r="D1095" i="1"/>
  <c r="D1096" i="1" a="1"/>
  <c r="D1096" i="1"/>
  <c r="D1097" i="1" a="1"/>
  <c r="D1097" i="1"/>
  <c r="D1098" i="1" a="1"/>
  <c r="D1098" i="1"/>
  <c r="D1099" i="1" a="1"/>
  <c r="D1099" i="1"/>
  <c r="D1100" i="1" a="1"/>
  <c r="D1100" i="1"/>
  <c r="D1101" i="1" a="1"/>
  <c r="D1101" i="1"/>
  <c r="D1102" i="1" a="1"/>
  <c r="D1102" i="1"/>
  <c r="D1103" i="1" a="1"/>
  <c r="D1103" i="1" s="1"/>
  <c r="D1104" i="1" a="1"/>
  <c r="D1104" i="1" s="1"/>
  <c r="D1105" i="1" a="1"/>
  <c r="D1105" i="1" s="1"/>
  <c r="D1106" i="1" a="1"/>
  <c r="D1106" i="1" s="1"/>
  <c r="D1107" i="1" a="1"/>
  <c r="D1107" i="1" s="1"/>
  <c r="D1108" i="1" a="1"/>
  <c r="D1108" i="1" s="1"/>
  <c r="D1109" i="1" a="1"/>
  <c r="D1109" i="1" s="1"/>
  <c r="D1110" i="1" a="1"/>
  <c r="D1110" i="1" s="1"/>
  <c r="D1111" i="1" a="1"/>
  <c r="D1111" i="1" s="1"/>
  <c r="D1112" i="1" a="1"/>
  <c r="D1112" i="1" s="1"/>
  <c r="D1113" i="1" a="1"/>
  <c r="D1113" i="1" s="1"/>
  <c r="D1114" i="1" a="1"/>
  <c r="D1114" i="1" s="1"/>
  <c r="D1115" i="1" a="1"/>
  <c r="D1115" i="1" s="1"/>
  <c r="D1116" i="1" a="1"/>
  <c r="D1116" i="1" s="1"/>
  <c r="D1117" i="1" a="1"/>
  <c r="D1117" i="1" s="1"/>
  <c r="D1118" i="1" a="1"/>
  <c r="D1118" i="1" s="1"/>
  <c r="D1119" i="1" a="1"/>
  <c r="D1119" i="1" s="1"/>
  <c r="D1120" i="1" a="1"/>
  <c r="D1120" i="1" s="1"/>
  <c r="D1121" i="1" a="1"/>
  <c r="D1121" i="1" s="1"/>
  <c r="D1122" i="1" a="1"/>
  <c r="D1122" i="1" s="1"/>
  <c r="D1123" i="1" a="1"/>
  <c r="D1123" i="1" s="1"/>
  <c r="D1124" i="1" a="1"/>
  <c r="D1124" i="1" s="1"/>
  <c r="D1125" i="1" a="1"/>
  <c r="D1125" i="1"/>
  <c r="D1126" i="1" a="1"/>
  <c r="D1126" i="1" s="1"/>
  <c r="D1127" i="1" a="1"/>
  <c r="D1127" i="1" s="1"/>
  <c r="D1128" i="1" a="1"/>
  <c r="D1128" i="1" s="1"/>
  <c r="D1129" i="1" a="1"/>
  <c r="D1129" i="1" s="1"/>
  <c r="D1130" i="1" a="1"/>
  <c r="D1130" i="1" s="1"/>
  <c r="D1131" i="1" a="1"/>
  <c r="D1131" i="1" s="1"/>
  <c r="D1132" i="1" a="1"/>
  <c r="D1132" i="1" s="1"/>
  <c r="D1133" i="1" a="1"/>
  <c r="D1133" i="1" s="1"/>
  <c r="D1134" i="1" a="1"/>
  <c r="D1134" i="1" s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 s="1"/>
  <c r="D1142" i="1" a="1"/>
  <c r="D1142" i="1" s="1"/>
  <c r="D1143" i="1" a="1"/>
  <c r="D1143" i="1" s="1"/>
  <c r="D1144" i="1" a="1"/>
  <c r="D1144" i="1" s="1"/>
  <c r="D1145" i="1" a="1"/>
  <c r="D1145" i="1" s="1"/>
  <c r="D1146" i="1" a="1"/>
  <c r="D1146" i="1" s="1"/>
  <c r="D1147" i="1" a="1"/>
  <c r="D1147" i="1" s="1"/>
  <c r="D1148" i="1" a="1"/>
  <c r="D1148" i="1" s="1"/>
  <c r="D1149" i="1" a="1"/>
  <c r="D1149" i="1" s="1"/>
  <c r="D1150" i="1" a="1"/>
  <c r="D1150" i="1" s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 s="1"/>
  <c r="D1157" i="1" a="1"/>
  <c r="D1157" i="1" s="1"/>
  <c r="D1158" i="1" a="1"/>
  <c r="D1158" i="1" s="1"/>
  <c r="D1159" i="1" a="1"/>
  <c r="D1159" i="1" s="1"/>
  <c r="D1160" i="1" a="1"/>
  <c r="D1160" i="1" s="1"/>
  <c r="D1161" i="1" a="1"/>
  <c r="D1161" i="1" s="1"/>
  <c r="D1162" i="1" a="1"/>
  <c r="D1162" i="1" s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/>
  <c r="D1168" i="1" a="1"/>
  <c r="D1168" i="1" s="1"/>
  <c r="D1169" i="1" a="1"/>
  <c r="D1169" i="1" s="1"/>
  <c r="D1170" i="1" a="1"/>
  <c r="D1170" i="1" s="1"/>
  <c r="D1171" i="1" a="1"/>
  <c r="D1171" i="1" s="1"/>
  <c r="D1172" i="1" a="1"/>
  <c r="D1172" i="1" s="1"/>
  <c r="D1173" i="1" a="1"/>
  <c r="D1173" i="1" s="1"/>
  <c r="D1174" i="1" a="1"/>
  <c r="D1174" i="1" s="1"/>
  <c r="D1175" i="1" a="1"/>
  <c r="D1175" i="1" s="1"/>
  <c r="D1176" i="1" a="1"/>
  <c r="D1176" i="1" s="1"/>
  <c r="D1177" i="1" a="1"/>
  <c r="D1177" i="1" s="1"/>
  <c r="D1178" i="1" a="1"/>
  <c r="D1178" i="1" s="1"/>
  <c r="D1179" i="1" a="1"/>
  <c r="D1179" i="1" s="1"/>
  <c r="D1180" i="1" a="1"/>
  <c r="D1180" i="1" s="1"/>
  <c r="D1181" i="1" a="1"/>
  <c r="D1181" i="1" s="1"/>
  <c r="D1182" i="1" a="1"/>
  <c r="D1182" i="1" s="1"/>
  <c r="D1183" i="1" a="1"/>
  <c r="D1183" i="1" s="1"/>
  <c r="D1184" i="1" a="1"/>
  <c r="D1184" i="1" s="1"/>
  <c r="D1185" i="1" a="1"/>
  <c r="D1185" i="1" s="1"/>
  <c r="D1186" i="1" a="1"/>
  <c r="D1186" i="1" s="1"/>
  <c r="D1187" i="1" a="1"/>
  <c r="D1187" i="1" s="1"/>
  <c r="D1188" i="1" a="1"/>
  <c r="D1188" i="1" s="1"/>
  <c r="D1189" i="1" a="1"/>
  <c r="D1189" i="1" s="1"/>
  <c r="D1190" i="1" a="1"/>
  <c r="D1190" i="1" s="1"/>
  <c r="D1191" i="1" a="1"/>
  <c r="D1191" i="1" s="1"/>
  <c r="D1192" i="1" a="1"/>
  <c r="D1192" i="1" s="1"/>
  <c r="D1193" i="1" a="1"/>
  <c r="D1193" i="1" s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/>
  <c r="D1200" i="1" a="1"/>
  <c r="D1200" i="1"/>
  <c r="D1201" i="1" a="1"/>
  <c r="D1201" i="1"/>
  <c r="D1202" i="1" a="1"/>
  <c r="D1202" i="1"/>
  <c r="D1203" i="1" a="1"/>
  <c r="D1203" i="1"/>
  <c r="D1204" i="1" a="1"/>
  <c r="D1204" i="1" s="1"/>
  <c r="D1205" i="1" a="1"/>
  <c r="D1205" i="1" s="1"/>
  <c r="D1206" i="1" a="1"/>
  <c r="D1206" i="1" s="1"/>
  <c r="D1207" i="1" a="1"/>
  <c r="D1207" i="1" s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 s="1"/>
  <c r="D1213" i="1" a="1"/>
  <c r="D1213" i="1" s="1"/>
  <c r="D1214" i="1" a="1"/>
  <c r="D1214" i="1" s="1"/>
  <c r="D1215" i="1" a="1"/>
  <c r="D1215" i="1"/>
  <c r="D1216" i="1" a="1"/>
  <c r="D1216" i="1"/>
  <c r="D1217" i="1" a="1"/>
  <c r="D1217" i="1"/>
  <c r="D1218" i="1" a="1"/>
  <c r="D1218" i="1"/>
  <c r="D1219" i="1" a="1"/>
  <c r="D1219" i="1" s="1"/>
  <c r="D1220" i="1" a="1"/>
  <c r="D1220" i="1" s="1"/>
  <c r="D1221" i="1" a="1"/>
  <c r="D1221" i="1" s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 s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 s="1"/>
  <c r="D1232" i="1" a="1"/>
  <c r="D1232" i="1" s="1"/>
  <c r="D1233" i="1" a="1"/>
  <c r="D1233" i="1" s="1"/>
  <c r="D1234" i="1" a="1"/>
  <c r="D1234" i="1" s="1"/>
  <c r="D1235" i="1" a="1"/>
  <c r="D1235" i="1" s="1"/>
  <c r="D1236" i="1" a="1"/>
  <c r="D1236" i="1" s="1"/>
  <c r="D1237" i="1" a="1"/>
  <c r="D1237" i="1" s="1"/>
  <c r="D1238" i="1" a="1"/>
  <c r="D1238" i="1" s="1"/>
  <c r="D1239" i="1" a="1"/>
  <c r="D1239" i="1" s="1"/>
  <c r="D1240" i="1" a="1"/>
  <c r="D1240" i="1" s="1"/>
  <c r="D1241" i="1" a="1"/>
  <c r="D1241" i="1"/>
  <c r="D1242" i="1" a="1"/>
  <c r="D1242" i="1"/>
  <c r="D1243" i="1" a="1"/>
  <c r="D1243" i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 s="1"/>
  <c r="D1249" i="1" a="1"/>
  <c r="D1249" i="1" s="1"/>
  <c r="D1250" i="1" a="1"/>
  <c r="D1250" i="1" s="1"/>
  <c r="D1251" i="1" a="1"/>
  <c r="D1251" i="1" s="1"/>
  <c r="D1252" i="1" a="1"/>
  <c r="D1252" i="1" s="1"/>
  <c r="D1253" i="1" a="1"/>
  <c r="D1253" i="1" s="1"/>
  <c r="D1254" i="1" a="1"/>
  <c r="D1254" i="1" s="1"/>
  <c r="D1255" i="1" a="1"/>
  <c r="D1255" i="1"/>
  <c r="D1256" i="1" a="1"/>
  <c r="D1256" i="1"/>
  <c r="D1257" i="1" a="1"/>
  <c r="D1257" i="1"/>
  <c r="D1258" i="1" a="1"/>
  <c r="D1258" i="1"/>
  <c r="D1259" i="1" a="1"/>
  <c r="D1259" i="1"/>
  <c r="D1260" i="1" a="1"/>
  <c r="D1260" i="1"/>
  <c r="D1261" i="1" a="1"/>
  <c r="D1261" i="1" s="1"/>
  <c r="D1262" i="1" a="1"/>
  <c r="D1262" i="1" s="1"/>
  <c r="D1263" i="1" a="1"/>
  <c r="D1263" i="1" s="1"/>
  <c r="D1264" i="1" a="1"/>
  <c r="D1264" i="1" s="1"/>
  <c r="D1265" i="1" a="1"/>
  <c r="D1265" i="1" s="1"/>
  <c r="D1266" i="1" a="1"/>
  <c r="D1266" i="1" s="1"/>
  <c r="D1267" i="1" a="1"/>
  <c r="D1267" i="1" s="1"/>
  <c r="D1268" i="1" a="1"/>
  <c r="D1268" i="1" s="1"/>
  <c r="D1269" i="1" a="1"/>
  <c r="D1269" i="1" s="1"/>
  <c r="D1270" i="1" a="1"/>
  <c r="D1270" i="1" s="1"/>
  <c r="D1271" i="1" a="1"/>
  <c r="D1271" i="1" s="1"/>
  <c r="D1272" i="1" a="1"/>
  <c r="D1272" i="1" s="1"/>
  <c r="D1273" i="1" a="1"/>
  <c r="D1273" i="1" s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 s="1"/>
  <c r="D1280" i="1" a="1"/>
  <c r="D1280" i="1" s="1"/>
  <c r="D1281" i="1" a="1"/>
  <c r="D1281" i="1" s="1"/>
  <c r="D1282" i="1" a="1"/>
  <c r="D1282" i="1" s="1"/>
  <c r="D1283" i="1" a="1"/>
  <c r="D1283" i="1"/>
  <c r="D1284" i="1" a="1"/>
  <c r="D1284" i="1" s="1"/>
  <c r="D1285" i="1" a="1"/>
  <c r="D1285" i="1" s="1"/>
  <c r="D1286" i="1" a="1"/>
  <c r="D1286" i="1" s="1"/>
  <c r="D1287" i="1" a="1"/>
  <c r="D1287" i="1" s="1"/>
  <c r="D1288" i="1" a="1"/>
  <c r="D1288" i="1" s="1"/>
  <c r="D1289" i="1" a="1"/>
  <c r="D1289" i="1" s="1"/>
  <c r="D1290" i="1" a="1"/>
  <c r="D1290" i="1" s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/>
  <c r="D1296" i="1" a="1"/>
  <c r="D1296" i="1"/>
  <c r="D1297" i="1" a="1"/>
  <c r="D1297" i="1"/>
  <c r="D1298" i="1" a="1"/>
  <c r="D1298" i="1"/>
  <c r="D1299" i="1" a="1"/>
  <c r="D1299" i="1"/>
  <c r="D1300" i="1" a="1"/>
  <c r="D1300" i="1"/>
  <c r="D1301" i="1" a="1"/>
  <c r="D1301" i="1"/>
  <c r="D1302" i="1" a="1"/>
  <c r="D1302" i="1"/>
  <c r="D1303" i="1" a="1"/>
  <c r="D1303" i="1" s="1"/>
  <c r="D1304" i="1" a="1"/>
  <c r="D1304" i="1" s="1"/>
  <c r="D1305" i="1" a="1"/>
  <c r="D1305" i="1" s="1"/>
  <c r="D1306" i="1" a="1"/>
  <c r="D1306" i="1" s="1"/>
  <c r="D1307" i="1" a="1"/>
  <c r="D1307" i="1" s="1"/>
  <c r="D1308" i="1" a="1"/>
  <c r="D1308" i="1" s="1"/>
  <c r="D1309" i="1" a="1"/>
  <c r="D1309" i="1" s="1"/>
  <c r="D1310" i="1" a="1"/>
  <c r="D1310" i="1" s="1"/>
  <c r="D1311" i="1" a="1"/>
  <c r="D1311" i="1" s="1"/>
  <c r="D1312" i="1" a="1"/>
  <c r="D1312" i="1" s="1"/>
  <c r="D1313" i="1" a="1"/>
  <c r="D1313" i="1" s="1"/>
  <c r="D1314" i="1" a="1"/>
  <c r="D1314" i="1" s="1"/>
  <c r="D1315" i="1" a="1"/>
  <c r="D1315" i="1"/>
  <c r="D1316" i="1" a="1"/>
  <c r="D1316" i="1"/>
  <c r="D1317" i="1" a="1"/>
  <c r="D1317" i="1"/>
  <c r="D1318" i="1" a="1"/>
  <c r="D1318" i="1"/>
  <c r="D1319" i="1" a="1"/>
  <c r="D1319" i="1"/>
  <c r="D1320" i="1" a="1"/>
  <c r="D1320" i="1"/>
  <c r="D1321" i="1" a="1"/>
  <c r="D1321" i="1" s="1"/>
  <c r="D1322" i="1" a="1"/>
  <c r="D1322" i="1" s="1"/>
  <c r="D1323" i="1" a="1"/>
  <c r="D1323" i="1" s="1"/>
  <c r="D1324" i="1" a="1"/>
  <c r="D1324" i="1" s="1"/>
  <c r="D1325" i="1" a="1"/>
  <c r="D1325" i="1"/>
  <c r="D1326" i="1" a="1"/>
  <c r="D1326" i="1" s="1"/>
  <c r="D1327" i="1" a="1"/>
  <c r="D1327" i="1" s="1"/>
  <c r="D1328" i="1" a="1"/>
  <c r="D1328" i="1" s="1"/>
  <c r="D1329" i="1" a="1"/>
  <c r="D1329" i="1" s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 s="1"/>
  <c r="D1335" i="1" a="1"/>
  <c r="D1335" i="1" s="1"/>
  <c r="D1336" i="1" a="1"/>
  <c r="D1336" i="1"/>
  <c r="D1337" i="1" a="1"/>
  <c r="D1337" i="1"/>
  <c r="D1338" i="1" a="1"/>
  <c r="D1338" i="1"/>
  <c r="D1339" i="1" a="1"/>
  <c r="D1339" i="1"/>
  <c r="D1340" i="1" a="1"/>
  <c r="D1340" i="1"/>
  <c r="D1341" i="1" a="1"/>
  <c r="D1341" i="1"/>
  <c r="D1342" i="1" a="1"/>
  <c r="D1342" i="1" s="1"/>
  <c r="D1343" i="1" a="1"/>
  <c r="D1343" i="1" s="1"/>
  <c r="D1344" i="1" a="1"/>
  <c r="D1344" i="1" s="1"/>
  <c r="D1345" i="1" a="1"/>
  <c r="D1345" i="1" s="1"/>
  <c r="D1346" i="1" a="1"/>
  <c r="D1346" i="1" s="1"/>
  <c r="D1347" i="1" a="1"/>
  <c r="D1347" i="1" s="1"/>
  <c r="D1348" i="1" a="1"/>
  <c r="D1348" i="1" s="1"/>
  <c r="D1349" i="1" a="1"/>
  <c r="D1349" i="1" s="1"/>
  <c r="D1350" i="1" a="1"/>
  <c r="D1350" i="1" s="1"/>
  <c r="D1351" i="1" a="1"/>
  <c r="D1351" i="1" s="1"/>
  <c r="D1352" i="1" a="1"/>
  <c r="D1352" i="1" s="1"/>
  <c r="D1353" i="1" a="1"/>
  <c r="D1353" i="1" s="1"/>
  <c r="D1354" i="1" a="1"/>
  <c r="D1354" i="1" s="1"/>
  <c r="D1355" i="1" a="1"/>
  <c r="D1355" i="1" s="1"/>
  <c r="D1356" i="1" a="1"/>
  <c r="D1356" i="1" s="1"/>
  <c r="D1357" i="1" a="1"/>
  <c r="D1357" i="1"/>
  <c r="D1358" i="1" a="1"/>
  <c r="D1358" i="1"/>
  <c r="D1359" i="1" a="1"/>
  <c r="D1359" i="1"/>
  <c r="D1360" i="1" a="1"/>
  <c r="D1360" i="1"/>
  <c r="D1361" i="1" a="1"/>
  <c r="D1361" i="1"/>
  <c r="D1362" i="1" a="1"/>
  <c r="D1362" i="1"/>
  <c r="D1363" i="1" a="1"/>
  <c r="D1363" i="1" s="1"/>
  <c r="D1364" i="1" a="1"/>
  <c r="D1364" i="1" s="1"/>
  <c r="D1365" i="1" a="1"/>
  <c r="D1365" i="1" s="1"/>
  <c r="D1366" i="1" a="1"/>
  <c r="D1366" i="1" s="1"/>
  <c r="D1367" i="1" a="1"/>
  <c r="D1367" i="1"/>
  <c r="D1368" i="1" a="1"/>
  <c r="D1368" i="1" s="1"/>
  <c r="D1369" i="1" a="1"/>
  <c r="D1369" i="1" s="1"/>
  <c r="D1370" i="1" a="1"/>
  <c r="D1370" i="1" s="1"/>
  <c r="D1371" i="1" a="1"/>
  <c r="D1371" i="1" s="1"/>
  <c r="D1372" i="1" a="1"/>
  <c r="D1372" i="1" s="1"/>
  <c r="D1373" i="1" a="1"/>
  <c r="D1373" i="1" s="1"/>
  <c r="D1374" i="1" a="1"/>
  <c r="D1374" i="1" s="1"/>
  <c r="D1375" i="1" a="1"/>
  <c r="D1375" i="1" s="1"/>
  <c r="D1376" i="1" a="1"/>
  <c r="D1376" i="1" s="1"/>
  <c r="D1377" i="1" a="1"/>
  <c r="D1377" i="1" s="1"/>
  <c r="D1378" i="1" a="1"/>
  <c r="D1378" i="1"/>
  <c r="D1379" i="1" a="1"/>
  <c r="D1379" i="1"/>
  <c r="D1380" i="1" a="1"/>
  <c r="D1380" i="1"/>
  <c r="D1381" i="1" a="1"/>
  <c r="D1381" i="1"/>
  <c r="D1382" i="1" a="1"/>
  <c r="D1382" i="1"/>
  <c r="D1383" i="1" a="1"/>
  <c r="D1383" i="1"/>
  <c r="D1384" i="1" a="1"/>
  <c r="D1384" i="1" s="1"/>
  <c r="D1385" i="1" a="1"/>
  <c r="D1385" i="1" s="1"/>
  <c r="D1386" i="1" a="1"/>
  <c r="D1386" i="1" s="1"/>
  <c r="D1387" i="1" a="1"/>
  <c r="D1387" i="1" s="1"/>
  <c r="D1388" i="1" a="1"/>
  <c r="D1388" i="1" s="1"/>
  <c r="D1389" i="1" a="1"/>
  <c r="D1389" i="1" s="1"/>
  <c r="D1390" i="1" a="1"/>
  <c r="D1390" i="1" s="1"/>
  <c r="D1391" i="1" a="1"/>
  <c r="D1391" i="1" s="1"/>
  <c r="D1392" i="1" a="1"/>
  <c r="D1392" i="1" s="1"/>
  <c r="D1393" i="1" a="1"/>
  <c r="D1393" i="1" s="1"/>
  <c r="D1394" i="1" a="1"/>
  <c r="D1394" i="1" s="1"/>
  <c r="D1395" i="1" a="1"/>
  <c r="D1395" i="1" s="1"/>
  <c r="D1396" i="1" a="1"/>
  <c r="D1396" i="1"/>
  <c r="D1397" i="1" a="1"/>
  <c r="D1397" i="1"/>
  <c r="D1398" i="1" a="1"/>
  <c r="D1398" i="1" s="1"/>
  <c r="D1399" i="1" a="1"/>
  <c r="D1399" i="1" s="1"/>
  <c r="D1400" i="1" a="1"/>
  <c r="D1400" i="1" s="1"/>
  <c r="D1401" i="1" a="1"/>
  <c r="D1401" i="1" s="1"/>
  <c r="D1402" i="1" a="1"/>
  <c r="D1402" i="1" s="1"/>
  <c r="D1403" i="1" a="1"/>
  <c r="D1403" i="1" s="1"/>
  <c r="D1404" i="1" a="1"/>
  <c r="D1404" i="1" s="1"/>
  <c r="D1405" i="1" a="1"/>
  <c r="D1405" i="1" s="1"/>
  <c r="D1406" i="1" a="1"/>
  <c r="D1406" i="1" s="1"/>
  <c r="D1407" i="1" a="1"/>
  <c r="D1407" i="1" s="1"/>
  <c r="D1408" i="1" a="1"/>
  <c r="D1408" i="1" s="1"/>
  <c r="D1409" i="1" a="1"/>
  <c r="D1409" i="1"/>
  <c r="D1410" i="1" a="1"/>
  <c r="D1410" i="1" s="1"/>
  <c r="D1411" i="1" a="1"/>
  <c r="D1411" i="1" s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/>
  <c r="D1418" i="1" a="1"/>
  <c r="D1418" i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 s="1"/>
  <c r="D1424" i="1" a="1"/>
  <c r="D1424" i="1" s="1"/>
  <c r="D1425" i="1" a="1"/>
  <c r="D1425" i="1" s="1"/>
  <c r="D1426" i="1" a="1"/>
  <c r="D1426" i="1" s="1"/>
  <c r="D1427" i="1" a="1"/>
  <c r="D1427" i="1" s="1"/>
  <c r="D1428" i="1" a="1"/>
  <c r="D1428" i="1" s="1"/>
  <c r="D1429" i="1" a="1"/>
  <c r="D1429" i="1" s="1"/>
  <c r="D1430" i="1" a="1"/>
  <c r="D1430" i="1" s="1"/>
  <c r="D1431" i="1" a="1"/>
  <c r="D1431" i="1" s="1"/>
  <c r="D1432" i="1" a="1"/>
  <c r="D1432" i="1" s="1"/>
  <c r="D1433" i="1" a="1"/>
  <c r="D1433" i="1" s="1"/>
  <c r="D1434" i="1" a="1"/>
  <c r="D1434" i="1" s="1"/>
  <c r="D1435" i="1" a="1"/>
  <c r="D1435" i="1" s="1"/>
  <c r="D1436" i="1" a="1"/>
  <c r="D1436" i="1"/>
  <c r="D1437" i="1" a="1"/>
  <c r="D1437" i="1" s="1"/>
  <c r="D1438" i="1" a="1"/>
  <c r="D1438" i="1" s="1"/>
  <c r="D1439" i="1" a="1"/>
  <c r="D1439" i="1" s="1"/>
  <c r="D1440" i="1" a="1"/>
  <c r="D1440" i="1" s="1"/>
  <c r="D1441" i="1" a="1"/>
  <c r="D1441" i="1"/>
  <c r="D1442" i="1" a="1"/>
  <c r="D1442" i="1"/>
  <c r="D1443" i="1" a="1"/>
  <c r="D1443" i="1"/>
  <c r="D1444" i="1" a="1"/>
  <c r="D1444" i="1" s="1"/>
  <c r="D1445" i="1" a="1"/>
  <c r="D1445" i="1" s="1"/>
  <c r="D1446" i="1" a="1"/>
  <c r="D1446" i="1" s="1"/>
  <c r="D1447" i="1" a="1"/>
  <c r="D1447" i="1" s="1"/>
  <c r="D1448" i="1" a="1"/>
  <c r="D1448" i="1" s="1"/>
  <c r="D1449" i="1" a="1"/>
  <c r="D1449" i="1" s="1"/>
  <c r="D1450" i="1" a="1"/>
  <c r="D1450" i="1"/>
  <c r="D1451" i="1" a="1"/>
  <c r="D1451" i="1"/>
  <c r="D1452" i="1" a="1"/>
  <c r="D1452" i="1" s="1"/>
  <c r="D1453" i="1" a="1"/>
  <c r="D1453" i="1" s="1"/>
  <c r="D1454" i="1" a="1"/>
  <c r="D1454" i="1" s="1"/>
  <c r="D1455" i="1" a="1"/>
  <c r="D1455" i="1" s="1"/>
  <c r="D1456" i="1" a="1"/>
  <c r="D1456" i="1" s="1"/>
  <c r="D1457" i="1" a="1"/>
  <c r="D1457" i="1"/>
  <c r="D1458" i="1" a="1"/>
  <c r="D1458" i="1"/>
  <c r="D1459" i="1" a="1"/>
  <c r="D1459" i="1"/>
  <c r="D1460" i="1" a="1"/>
  <c r="D1460" i="1"/>
  <c r="D1461" i="1" a="1"/>
  <c r="D1461" i="1" s="1"/>
  <c r="D1462" i="1" a="1"/>
  <c r="D1462" i="1" s="1"/>
  <c r="D1463" i="1" a="1"/>
  <c r="D1463" i="1" s="1"/>
  <c r="D1464" i="1" a="1"/>
  <c r="D1464" i="1" s="1"/>
  <c r="D1465" i="1" a="1"/>
  <c r="D1465" i="1" s="1"/>
  <c r="D1466" i="1" a="1"/>
  <c r="D1466" i="1" s="1"/>
  <c r="D1467" i="1" a="1"/>
  <c r="D1467" i="1" s="1"/>
  <c r="D1468" i="1" a="1"/>
  <c r="D1468" i="1" s="1"/>
  <c r="D1469" i="1" a="1"/>
  <c r="D1469" i="1" s="1"/>
  <c r="D1470" i="1" a="1"/>
  <c r="D1470" i="1" s="1"/>
  <c r="D1471" i="1" a="1"/>
  <c r="D1471" i="1" s="1"/>
  <c r="D1472" i="1" a="1"/>
  <c r="D1472" i="1" s="1"/>
  <c r="D1473" i="1" a="1"/>
  <c r="D1473" i="1" s="1"/>
  <c r="D1474" i="1" a="1"/>
  <c r="D1474" i="1" s="1"/>
  <c r="D1475" i="1" a="1"/>
  <c r="D1475" i="1" s="1"/>
  <c r="D1476" i="1" a="1"/>
  <c r="D1476" i="1" s="1"/>
  <c r="D1477" i="1" a="1"/>
  <c r="D1477" i="1" s="1"/>
  <c r="D1478" i="1" a="1"/>
  <c r="D1478" i="1"/>
  <c r="D1479" i="1" a="1"/>
  <c r="D1479" i="1" s="1"/>
  <c r="D1480" i="1" a="1"/>
  <c r="D1480" i="1" s="1"/>
  <c r="D1481" i="1" a="1"/>
  <c r="D1481" i="1"/>
  <c r="D1482" i="1" a="1"/>
  <c r="D1482" i="1" s="1"/>
  <c r="D1483" i="1" a="1"/>
  <c r="D1483" i="1" s="1"/>
  <c r="D1484" i="1" a="1"/>
  <c r="D1484" i="1" s="1"/>
  <c r="D1485" i="1" a="1"/>
  <c r="D1485" i="1" s="1"/>
  <c r="D1486" i="1" a="1"/>
  <c r="D1486" i="1" s="1"/>
  <c r="D1487" i="1" a="1"/>
  <c r="D1487" i="1" s="1"/>
  <c r="D1488" i="1" a="1"/>
  <c r="D1488" i="1" s="1"/>
  <c r="D1489" i="1" a="1"/>
  <c r="D1489" i="1"/>
  <c r="D1490" i="1" a="1"/>
  <c r="D1490" i="1"/>
  <c r="D1491" i="1" a="1"/>
  <c r="D1491" i="1" s="1"/>
  <c r="D1492" i="1" a="1"/>
  <c r="D1492" i="1" s="1"/>
  <c r="D1493" i="1" a="1"/>
  <c r="D1493" i="1" s="1"/>
  <c r="D1494" i="1" a="1"/>
  <c r="D1494" i="1" s="1"/>
  <c r="D1495" i="1" a="1"/>
  <c r="D1495" i="1" s="1"/>
  <c r="D1496" i="1" a="1"/>
  <c r="D1496" i="1"/>
  <c r="D1497" i="1" a="1"/>
  <c r="D1497" i="1" s="1"/>
  <c r="D1498" i="1" a="1"/>
  <c r="D1498" i="1" s="1"/>
  <c r="D1499" i="1" a="1"/>
  <c r="D1499" i="1" s="1"/>
  <c r="D1500" i="1" a="1"/>
  <c r="D1500" i="1" s="1"/>
  <c r="D1501" i="1" a="1"/>
  <c r="D1501" i="1" s="1"/>
  <c r="D1502" i="1" a="1"/>
  <c r="D1502" i="1" s="1"/>
  <c r="D1503" i="1" a="1"/>
  <c r="D1503" i="1" s="1"/>
  <c r="D1504" i="1" a="1"/>
  <c r="D1504" i="1" s="1"/>
  <c r="D1505" i="1" a="1"/>
  <c r="D1505" i="1" s="1"/>
  <c r="D1506" i="1" a="1"/>
  <c r="D1506" i="1" s="1"/>
  <c r="D1507" i="1" a="1"/>
  <c r="D1507" i="1" s="1"/>
  <c r="D1508" i="1" a="1"/>
  <c r="D1508" i="1"/>
  <c r="D1509" i="1" a="1"/>
  <c r="D1509" i="1" s="1"/>
  <c r="D1510" i="1" a="1"/>
  <c r="D1510" i="1" s="1"/>
  <c r="D1511" i="1" a="1"/>
  <c r="D1511" i="1" s="1"/>
  <c r="D1512" i="1" a="1"/>
  <c r="D1512" i="1" s="1"/>
  <c r="D1513" i="1" a="1"/>
  <c r="D1513" i="1"/>
  <c r="D1514" i="1" a="1"/>
  <c r="D1514" i="1" s="1"/>
  <c r="D1515" i="1" a="1"/>
  <c r="D1515" i="1" s="1"/>
  <c r="D1516" i="1" a="1"/>
  <c r="D1516" i="1" s="1"/>
  <c r="D1517" i="1" a="1"/>
  <c r="D1517" i="1"/>
  <c r="D1518" i="1" a="1"/>
  <c r="D1518" i="1" s="1"/>
  <c r="D1519" i="1" a="1"/>
  <c r="D1519" i="1" s="1"/>
  <c r="D1520" i="1" a="1"/>
  <c r="D1520" i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 s="1"/>
  <c r="D1527" i="1" a="1"/>
  <c r="D1527" i="1" s="1"/>
  <c r="D1528" i="1" a="1"/>
  <c r="D1528" i="1" s="1"/>
  <c r="D1529" i="1" a="1"/>
  <c r="D1529" i="1"/>
  <c r="D1530" i="1" a="1"/>
  <c r="D1530" i="1" s="1"/>
  <c r="D1531" i="1" a="1"/>
  <c r="D1531" i="1" s="1"/>
  <c r="D1532" i="1" a="1"/>
  <c r="D1532" i="1" s="1"/>
  <c r="D1533" i="1" a="1"/>
  <c r="D1533" i="1" s="1"/>
  <c r="D1534" i="1" a="1"/>
  <c r="D1534" i="1" s="1"/>
  <c r="D1535" i="1" a="1"/>
  <c r="D1535" i="1" s="1"/>
  <c r="D1536" i="1" a="1"/>
  <c r="D1536" i="1"/>
  <c r="D1537" i="1" a="1"/>
  <c r="D1537" i="1" s="1"/>
  <c r="D1538" i="1" a="1"/>
  <c r="D1538" i="1" s="1"/>
  <c r="D1539" i="1" a="1"/>
  <c r="D1539" i="1" s="1"/>
  <c r="D1540" i="1" a="1"/>
  <c r="D1540" i="1" s="1"/>
  <c r="D1541" i="1" a="1"/>
  <c r="D1541" i="1" s="1"/>
  <c r="D1542" i="1" a="1"/>
  <c r="D1542" i="1" s="1"/>
  <c r="D1543" i="1" a="1"/>
  <c r="D1543" i="1"/>
  <c r="D1544" i="1" a="1"/>
  <c r="D1544" i="1" s="1"/>
  <c r="D1545" i="1" a="1"/>
  <c r="D1545" i="1" s="1"/>
  <c r="D1546" i="1" a="1"/>
  <c r="D1546" i="1" s="1"/>
  <c r="D1547" i="1" a="1"/>
  <c r="D1547" i="1" s="1"/>
  <c r="D1548" i="1" a="1"/>
  <c r="D1548" i="1" s="1"/>
  <c r="D1549" i="1" a="1"/>
  <c r="D1549" i="1" s="1"/>
  <c r="D1550" i="1" a="1"/>
  <c r="D1550" i="1"/>
  <c r="D1551" i="1" a="1"/>
  <c r="D1551" i="1" s="1"/>
  <c r="D1552" i="1" a="1"/>
  <c r="D1552" i="1" s="1"/>
  <c r="D1553" i="1" a="1"/>
  <c r="D1553" i="1" s="1"/>
  <c r="D1554" i="1" a="1"/>
  <c r="D1554" i="1" s="1"/>
  <c r="D1555" i="1" a="1"/>
  <c r="D1555" i="1"/>
  <c r="D1556" i="1" a="1"/>
  <c r="D1556" i="1" s="1"/>
  <c r="D1557" i="1" a="1"/>
  <c r="D1557" i="1" s="1"/>
  <c r="D1558" i="1" a="1"/>
  <c r="D1558" i="1" s="1"/>
  <c r="D1559" i="1" a="1"/>
  <c r="D1559" i="1"/>
  <c r="D1560" i="1" a="1"/>
  <c r="D1560" i="1" s="1"/>
  <c r="D1561" i="1" a="1"/>
  <c r="D1561" i="1" s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 s="1"/>
  <c r="D1568" i="1" a="1"/>
  <c r="D1568" i="1" s="1"/>
  <c r="D1569" i="1" a="1"/>
  <c r="D1569" i="1" s="1"/>
  <c r="D1570" i="1" a="1"/>
  <c r="D1570" i="1" s="1"/>
  <c r="D1571" i="1" a="1"/>
  <c r="D1571" i="1" s="1"/>
  <c r="D1572" i="1" a="1"/>
  <c r="D1572" i="1" s="1"/>
  <c r="D1573" i="1" a="1"/>
  <c r="D1573" i="1"/>
  <c r="D1574" i="1" a="1"/>
  <c r="D1574" i="1" s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 s="1"/>
  <c r="D1580" i="1" a="1"/>
  <c r="D1580" i="1"/>
  <c r="D1581" i="1" a="1"/>
  <c r="D1581" i="1" s="1"/>
  <c r="D1582" i="1" a="1"/>
  <c r="D1582" i="1" s="1"/>
  <c r="D1583" i="1" a="1"/>
  <c r="D1583" i="1" s="1"/>
  <c r="D1584" i="1" a="1"/>
  <c r="D1584" i="1" s="1"/>
  <c r="D1585" i="1" a="1"/>
  <c r="D1585" i="1" s="1"/>
  <c r="D1586" i="1" a="1"/>
  <c r="D1586" i="1" s="1"/>
  <c r="D1587" i="1" a="1"/>
  <c r="D1587" i="1" s="1"/>
  <c r="D1588" i="1" a="1"/>
  <c r="D1588" i="1" s="1"/>
  <c r="D1589" i="1" a="1"/>
  <c r="D1589" i="1" s="1"/>
  <c r="D1590" i="1" a="1"/>
  <c r="D1590" i="1" s="1"/>
  <c r="D1591" i="1" a="1"/>
  <c r="D1591" i="1" s="1"/>
  <c r="D1592" i="1" a="1"/>
  <c r="D1592" i="1" s="1"/>
  <c r="D1593" i="1" a="1"/>
  <c r="D1593" i="1" s="1"/>
  <c r="D1594" i="1" a="1"/>
  <c r="D1594" i="1" s="1"/>
  <c r="D1595" i="1" a="1"/>
  <c r="D1595" i="1" s="1"/>
  <c r="D1596" i="1" a="1"/>
  <c r="D1596" i="1"/>
  <c r="D1597" i="1" a="1"/>
  <c r="D1597" i="1"/>
  <c r="D1598" i="1" a="1"/>
  <c r="D1598" i="1" s="1"/>
  <c r="D1599" i="1" a="1"/>
  <c r="D1599" i="1" s="1"/>
  <c r="D1600" i="1" a="1"/>
  <c r="D1600" i="1" s="1"/>
  <c r="D1601" i="1" a="1"/>
  <c r="D1601" i="1"/>
  <c r="D1602" i="1" a="1"/>
  <c r="D1602" i="1" s="1"/>
  <c r="D1603" i="1" a="1"/>
  <c r="D1603" i="1" s="1"/>
  <c r="D1604" i="1" a="1"/>
  <c r="D1604" i="1" s="1"/>
  <c r="D1605" i="1" a="1"/>
  <c r="D1605" i="1" s="1"/>
  <c r="D1606" i="1" a="1"/>
  <c r="D1606" i="1"/>
  <c r="D1607" i="1" a="1"/>
  <c r="D1607" i="1" s="1"/>
  <c r="D1608" i="1" a="1"/>
  <c r="D1608" i="1" s="1"/>
  <c r="D1609" i="1" a="1"/>
  <c r="D1609" i="1" s="1"/>
  <c r="D1610" i="1" a="1"/>
  <c r="D1610" i="1" s="1"/>
  <c r="D1611" i="1" a="1"/>
  <c r="D1611" i="1" s="1"/>
  <c r="D1612" i="1" a="1"/>
  <c r="D1612" i="1" s="1"/>
  <c r="D1613" i="1" a="1"/>
  <c r="D1613" i="1" s="1"/>
  <c r="D1614" i="1" a="1"/>
  <c r="D1614" i="1" s="1"/>
  <c r="D1615" i="1" a="1"/>
  <c r="D1615" i="1"/>
  <c r="D1616" i="1" a="1"/>
  <c r="D1616" i="1" s="1"/>
  <c r="D1617" i="1" a="1"/>
  <c r="D1617" i="1" s="1"/>
  <c r="D1618" i="1" a="1"/>
  <c r="D1618" i="1" s="1"/>
  <c r="D1619" i="1" a="1"/>
  <c r="D1619" i="1" s="1"/>
  <c r="D1620" i="1" a="1"/>
  <c r="D1620" i="1" s="1"/>
  <c r="D1621" i="1" a="1"/>
  <c r="D1621" i="1" s="1"/>
  <c r="D1622" i="1" a="1"/>
  <c r="D1622" i="1" s="1"/>
  <c r="D1623" i="1" a="1"/>
  <c r="D1623" i="1" s="1"/>
  <c r="D1624" i="1" a="1"/>
  <c r="D1624" i="1" s="1"/>
  <c r="D1625" i="1" a="1"/>
  <c r="D1625" i="1" s="1"/>
  <c r="D1626" i="1" a="1"/>
  <c r="D1626" i="1"/>
  <c r="D1627" i="1" a="1"/>
  <c r="D1627" i="1"/>
  <c r="D1628" i="1" a="1"/>
  <c r="D1628" i="1" s="1"/>
  <c r="D1629" i="1" a="1"/>
  <c r="D1629" i="1" s="1"/>
  <c r="D1630" i="1" a="1"/>
  <c r="D1630" i="1" s="1"/>
  <c r="D1631" i="1" a="1"/>
  <c r="D1631" i="1" s="1"/>
  <c r="D1632" i="1" a="1"/>
  <c r="D1632" i="1" s="1"/>
  <c r="D1633" i="1" a="1"/>
  <c r="D1633" i="1" s="1"/>
  <c r="D1634" i="1" a="1"/>
  <c r="D1634" i="1" s="1"/>
  <c r="D1635" i="1" a="1"/>
  <c r="D1635" i="1" s="1"/>
  <c r="D1636" i="1" a="1"/>
  <c r="D1636" i="1" s="1"/>
  <c r="D1637" i="1" a="1"/>
  <c r="D1637" i="1" s="1"/>
  <c r="D1638" i="1" a="1"/>
  <c r="D1638" i="1"/>
  <c r="D1639" i="1" a="1"/>
  <c r="D1639" i="1"/>
  <c r="D1640" i="1" a="1"/>
  <c r="D1640" i="1" s="1"/>
  <c r="D1641" i="1" a="1"/>
  <c r="D1641" i="1" s="1"/>
  <c r="D1642" i="1" a="1"/>
  <c r="D1642" i="1" s="1"/>
  <c r="D1643" i="1" a="1"/>
  <c r="D1643" i="1" s="1"/>
  <c r="D1644" i="1" a="1"/>
  <c r="D1644" i="1" s="1"/>
  <c r="D1645" i="1" a="1"/>
  <c r="D1645" i="1"/>
  <c r="D1646" i="1" a="1"/>
  <c r="D1646" i="1" s="1"/>
  <c r="D1647" i="1" a="1"/>
  <c r="D1647" i="1" s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 s="1"/>
  <c r="D1655" i="1" a="1"/>
  <c r="D1655" i="1" s="1"/>
  <c r="D1656" i="1" a="1"/>
  <c r="D1656" i="1" s="1"/>
  <c r="D1657" i="1" a="1"/>
  <c r="D1657" i="1" s="1"/>
  <c r="D1658" i="1" a="1"/>
  <c r="D1658" i="1" s="1"/>
  <c r="D1659" i="1" a="1"/>
  <c r="D1659" i="1"/>
  <c r="D1660" i="1" a="1"/>
  <c r="D1660" i="1"/>
  <c r="D1661" i="1" a="1"/>
  <c r="D1661" i="1" s="1"/>
  <c r="D1662" i="1" a="1"/>
  <c r="D1662" i="1" s="1"/>
  <c r="D1663" i="1" a="1"/>
  <c r="D1663" i="1" s="1"/>
  <c r="D1664" i="1" a="1"/>
  <c r="D1664" i="1" s="1"/>
  <c r="D1665" i="1" a="1"/>
  <c r="D1665" i="1" s="1"/>
  <c r="D1666" i="1" a="1"/>
  <c r="D1666" i="1" s="1"/>
  <c r="D1667" i="1" a="1"/>
  <c r="D1667" i="1" s="1"/>
  <c r="D1668" i="1" a="1"/>
  <c r="D1668" i="1"/>
  <c r="D1669" i="1" a="1"/>
  <c r="D1669" i="1"/>
  <c r="D1670" i="1" a="1"/>
  <c r="D1670" i="1" s="1"/>
  <c r="D1671" i="1" a="1"/>
  <c r="D1671" i="1" s="1"/>
  <c r="D1672" i="1" a="1"/>
  <c r="D1672" i="1" s="1"/>
  <c r="D1673" i="1" a="1"/>
  <c r="D1673" i="1" s="1"/>
  <c r="D1674" i="1" a="1"/>
  <c r="D1674" i="1" s="1"/>
  <c r="D1675" i="1" a="1"/>
  <c r="D1675" i="1"/>
  <c r="D1676" i="1" a="1"/>
  <c r="D1676" i="1" s="1"/>
  <c r="D1677" i="1" a="1"/>
  <c r="D1677" i="1" s="1"/>
  <c r="D1678" i="1" a="1"/>
  <c r="D1678" i="1" s="1"/>
  <c r="D1679" i="1" a="1"/>
  <c r="D1679" i="1" s="1"/>
  <c r="D1680" i="1" a="1"/>
  <c r="D1680" i="1" s="1"/>
  <c r="D1681" i="1" a="1"/>
  <c r="D1681" i="1" s="1"/>
  <c r="D1682" i="1" a="1"/>
  <c r="D1682" i="1" s="1"/>
  <c r="D1683" i="1" a="1"/>
  <c r="D1683" i="1"/>
  <c r="D1684" i="1" a="1"/>
  <c r="D1684" i="1" s="1"/>
  <c r="D1685" i="1" a="1"/>
  <c r="D1685" i="1" s="1"/>
  <c r="D1686" i="1" a="1"/>
  <c r="D1686" i="1" s="1"/>
  <c r="D1687" i="1" a="1"/>
  <c r="D1687" i="1" s="1"/>
  <c r="D1688" i="1" a="1"/>
  <c r="D1688" i="1" s="1"/>
  <c r="D1689" i="1" a="1"/>
  <c r="D1689" i="1"/>
  <c r="D1690" i="1" a="1"/>
  <c r="D1690" i="1"/>
  <c r="D1691" i="1" a="1"/>
  <c r="D1691" i="1" s="1"/>
  <c r="D1692" i="1" a="1"/>
  <c r="D1692" i="1" s="1"/>
  <c r="D1693" i="1" a="1"/>
  <c r="D1693" i="1" s="1"/>
  <c r="D1694" i="1" a="1"/>
  <c r="D1694" i="1" s="1"/>
  <c r="D1695" i="1" a="1"/>
  <c r="D1695" i="1" s="1"/>
  <c r="D1696" i="1" a="1"/>
  <c r="D1696" i="1"/>
  <c r="D1697" i="1" a="1"/>
  <c r="D1697" i="1" s="1"/>
  <c r="D1698" i="1" a="1"/>
  <c r="D1698" i="1" s="1"/>
  <c r="D1699" i="1" a="1"/>
  <c r="D1699" i="1"/>
  <c r="D1700" i="1" a="1"/>
  <c r="D1700" i="1" s="1"/>
  <c r="D1701" i="1" a="1"/>
  <c r="D1701" i="1" s="1"/>
  <c r="D1702" i="1" a="1"/>
  <c r="D1702" i="1" s="1"/>
  <c r="D1703" i="1" a="1"/>
  <c r="D1703" i="1" s="1"/>
  <c r="D1704" i="1" a="1"/>
  <c r="D1704" i="1" s="1"/>
  <c r="D1705" i="1" a="1"/>
  <c r="D1705" i="1" s="1"/>
  <c r="D1706" i="1" a="1"/>
  <c r="D1706" i="1" s="1"/>
  <c r="D1707" i="1" a="1"/>
  <c r="D1707" i="1" s="1"/>
  <c r="D1708" i="1" a="1"/>
  <c r="D1708" i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/>
  <c r="D1714" i="1" a="1"/>
  <c r="D1714" i="1" s="1"/>
  <c r="D1715" i="1" a="1"/>
  <c r="D1715" i="1" s="1"/>
  <c r="D1716" i="1" a="1"/>
  <c r="D1716" i="1" s="1"/>
  <c r="D1717" i="1" a="1"/>
  <c r="D1717" i="1"/>
  <c r="D1718" i="1" a="1"/>
  <c r="D1718" i="1" s="1"/>
  <c r="D1719" i="1" a="1"/>
  <c r="D1719" i="1" s="1"/>
  <c r="D1720" i="1" a="1"/>
  <c r="D1720" i="1" s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/>
  <c r="D1726" i="1" a="1"/>
  <c r="D1726" i="1" s="1"/>
  <c r="D1727" i="1" a="1"/>
  <c r="D1727" i="1" s="1"/>
  <c r="D1728" i="1" a="1"/>
  <c r="D1728" i="1" s="1"/>
  <c r="D1729" i="1" a="1"/>
  <c r="D1729" i="1" s="1"/>
  <c r="D1730" i="1" a="1"/>
  <c r="D1730" i="1" s="1"/>
  <c r="D1731" i="1" a="1"/>
  <c r="D1731" i="1"/>
  <c r="D1732" i="1" a="1"/>
  <c r="D1732" i="1" s="1"/>
  <c r="D1733" i="1" a="1"/>
  <c r="D1733" i="1" s="1"/>
  <c r="D1734" i="1" a="1"/>
  <c r="D1734" i="1" s="1"/>
  <c r="D1735" i="1" a="1"/>
  <c r="D1735" i="1" s="1"/>
  <c r="D1736" i="1" a="1"/>
  <c r="D1736" i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 s="1"/>
  <c r="D1743" i="1" a="1"/>
  <c r="D1743" i="1"/>
  <c r="D1744" i="1" a="1"/>
  <c r="D1744" i="1" s="1"/>
  <c r="D1745" i="1" a="1"/>
  <c r="D1745" i="1" s="1"/>
  <c r="D1746" i="1" a="1"/>
  <c r="D1746" i="1"/>
  <c r="D1747" i="1" a="1"/>
  <c r="D1747" i="1" s="1"/>
  <c r="D1748" i="1" a="1"/>
  <c r="D1748" i="1" s="1"/>
  <c r="D1749" i="1" a="1"/>
  <c r="D1749" i="1" s="1"/>
  <c r="D1750" i="1" a="1"/>
  <c r="D1750" i="1" s="1"/>
  <c r="D1751" i="1" a="1"/>
  <c r="D1751" i="1" s="1"/>
  <c r="D1752" i="1" a="1"/>
  <c r="D1752" i="1" s="1"/>
  <c r="D1753" i="1" a="1"/>
  <c r="D1753" i="1" s="1"/>
  <c r="D1754" i="1" a="1"/>
  <c r="D1754" i="1"/>
  <c r="D1755" i="1" a="1"/>
  <c r="D1755" i="1"/>
  <c r="D1756" i="1" a="1"/>
  <c r="D1756" i="1" s="1"/>
  <c r="D1757" i="1" a="1"/>
  <c r="D1757" i="1" s="1"/>
  <c r="D1758" i="1" a="1"/>
  <c r="D1758" i="1" s="1"/>
  <c r="D1759" i="1" a="1"/>
  <c r="D1759" i="1"/>
  <c r="D1760" i="1" a="1"/>
  <c r="D1760" i="1" s="1"/>
  <c r="D1761" i="1" a="1"/>
  <c r="D1761" i="1" s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 s="1"/>
  <c r="D1770" i="1" a="1"/>
  <c r="D1770" i="1" s="1"/>
  <c r="D1771" i="1" a="1"/>
  <c r="D1771" i="1"/>
  <c r="D1772" i="1" a="1"/>
  <c r="D1772" i="1" s="1"/>
  <c r="D1773" i="1" a="1"/>
  <c r="D1773" i="1" s="1"/>
  <c r="D1774" i="1" a="1"/>
  <c r="D1774" i="1" s="1"/>
  <c r="D1775" i="1" a="1"/>
  <c r="D1775" i="1"/>
  <c r="D1776" i="1" a="1"/>
  <c r="D1776" i="1"/>
  <c r="D1777" i="1" a="1"/>
  <c r="D1777" i="1" s="1"/>
  <c r="D1778" i="1" a="1"/>
  <c r="D1778" i="1" s="1"/>
  <c r="D1779" i="1" a="1"/>
  <c r="D1779" i="1" s="1"/>
  <c r="D1780" i="1" a="1"/>
  <c r="D1780" i="1"/>
  <c r="D1781" i="1" a="1"/>
  <c r="D1781" i="1" s="1"/>
  <c r="D1782" i="1" a="1"/>
  <c r="D1782" i="1" s="1"/>
  <c r="D1783" i="1" a="1"/>
  <c r="D1783" i="1" s="1"/>
  <c r="D1784" i="1" a="1"/>
  <c r="D1784" i="1" s="1"/>
  <c r="D1785" i="1" a="1"/>
  <c r="D1785" i="1" s="1"/>
  <c r="D1786" i="1" a="1"/>
  <c r="D1786" i="1" s="1"/>
  <c r="D1787" i="1" a="1"/>
  <c r="D1787" i="1" s="1"/>
  <c r="D1788" i="1" a="1"/>
  <c r="D1788" i="1" s="1"/>
  <c r="D1789" i="1" a="1"/>
  <c r="D1789" i="1" s="1"/>
  <c r="D1790" i="1" a="1"/>
  <c r="D1790" i="1" s="1"/>
  <c r="D1791" i="1" a="1"/>
  <c r="D1791" i="1" s="1"/>
  <c r="D1792" i="1" a="1"/>
  <c r="D1792" i="1" s="1"/>
  <c r="D1793" i="1" a="1"/>
  <c r="D1793" i="1" s="1"/>
  <c r="D1794" i="1" a="1"/>
  <c r="D1794" i="1"/>
  <c r="D1795" i="1" a="1"/>
  <c r="D1795" i="1" s="1"/>
  <c r="D1796" i="1" a="1"/>
  <c r="D1796" i="1" s="1"/>
  <c r="D1797" i="1" a="1"/>
  <c r="D1797" i="1" s="1"/>
  <c r="D1798" i="1" a="1"/>
  <c r="D1798" i="1" s="1"/>
  <c r="D1799" i="1" a="1"/>
  <c r="D1799" i="1"/>
  <c r="D1800" i="1" a="1"/>
  <c r="D1800" i="1" s="1"/>
  <c r="D1801" i="1" a="1"/>
  <c r="D1801" i="1" s="1"/>
  <c r="D1802" i="1" a="1"/>
  <c r="D1802" i="1" s="1"/>
  <c r="D1803" i="1" a="1"/>
  <c r="D1803" i="1"/>
  <c r="D1804" i="1" a="1"/>
  <c r="D1804" i="1" s="1"/>
  <c r="D1805" i="1" a="1"/>
  <c r="D1805" i="1" s="1"/>
  <c r="D1806" i="1" a="1"/>
  <c r="D1806" i="1" s="1"/>
  <c r="D1807" i="1" a="1"/>
  <c r="D1807" i="1" s="1"/>
  <c r="D1808" i="1" a="1"/>
  <c r="D1808" i="1" s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 s="1"/>
  <c r="D1815" i="1" a="1"/>
  <c r="D1815" i="1"/>
  <c r="D1816" i="1" a="1"/>
  <c r="D1816" i="1" s="1"/>
  <c r="D1817" i="1" a="1"/>
  <c r="D1817" i="1" s="1"/>
  <c r="D1818" i="1" a="1"/>
  <c r="D1818" i="1" s="1"/>
  <c r="D1819" i="1" a="1"/>
  <c r="D1819" i="1" s="1"/>
  <c r="D1820" i="1" a="1"/>
  <c r="D1820" i="1" s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 s="1"/>
  <c r="D1826" i="1" a="1"/>
  <c r="D1826" i="1"/>
  <c r="D1827" i="1" a="1"/>
  <c r="D1827" i="1"/>
  <c r="D1828" i="1" a="1"/>
  <c r="D1828" i="1" s="1"/>
  <c r="D1829" i="1" a="1"/>
  <c r="D1829" i="1" s="1"/>
  <c r="D1830" i="1" a="1"/>
  <c r="D1830" i="1"/>
  <c r="D1831" i="1" a="1"/>
  <c r="D1831" i="1" s="1"/>
  <c r="D1832" i="1" a="1"/>
  <c r="D1832" i="1" s="1"/>
  <c r="D1833" i="1" a="1"/>
  <c r="D1833" i="1"/>
  <c r="D1834" i="1" a="1"/>
  <c r="D1834" i="1" s="1"/>
  <c r="D1835" i="1" a="1"/>
  <c r="D1835" i="1" s="1"/>
  <c r="D1836" i="1" a="1"/>
  <c r="D1836" i="1"/>
  <c r="D1837" i="1" a="1"/>
  <c r="D1837" i="1" s="1"/>
  <c r="D1838" i="1" a="1"/>
  <c r="D1838" i="1" s="1"/>
  <c r="D1839" i="1" a="1"/>
  <c r="D1839" i="1" s="1"/>
  <c r="D1840" i="1" a="1"/>
  <c r="D1840" i="1" s="1"/>
  <c r="D1841" i="1" a="1"/>
  <c r="D1841" i="1"/>
  <c r="D1842" i="1" a="1"/>
  <c r="D1842" i="1" s="1"/>
  <c r="D1843" i="1" a="1"/>
  <c r="D1843" i="1" s="1"/>
  <c r="D1844" i="1" a="1"/>
  <c r="D1844" i="1" s="1"/>
  <c r="D1845" i="1" a="1"/>
  <c r="D1845" i="1" s="1"/>
  <c r="D1846" i="1" a="1"/>
  <c r="D1846" i="1" s="1"/>
  <c r="D1847" i="1" a="1"/>
  <c r="D1847" i="1"/>
  <c r="D1848" i="1" a="1"/>
  <c r="D1848" i="1" s="1"/>
  <c r="D1849" i="1" a="1"/>
  <c r="D1849" i="1" s="1"/>
  <c r="D1850" i="1" a="1"/>
  <c r="D1850" i="1" s="1"/>
  <c r="D1851" i="1" a="1"/>
  <c r="D1851" i="1"/>
  <c r="D1852" i="1" a="1"/>
  <c r="D1852" i="1" s="1"/>
  <c r="D1853" i="1" a="1"/>
  <c r="D1853" i="1" s="1"/>
  <c r="D1854" i="1" a="1"/>
  <c r="D1854" i="1"/>
  <c r="D1855" i="1" a="1"/>
  <c r="D1855" i="1" s="1"/>
  <c r="D1856" i="1" a="1"/>
  <c r="D1856" i="1" s="1"/>
  <c r="D1857" i="1" a="1"/>
  <c r="D1857" i="1"/>
  <c r="D1858" i="1" a="1"/>
  <c r="D1858" i="1" s="1"/>
  <c r="D1859" i="1" a="1"/>
  <c r="D1859" i="1" s="1"/>
  <c r="D1860" i="1" a="1"/>
  <c r="D1860" i="1" s="1"/>
  <c r="D1861" i="1" a="1"/>
  <c r="D1861" i="1" s="1"/>
  <c r="D1862" i="1" a="1"/>
  <c r="D1862" i="1" s="1"/>
  <c r="D1863" i="1" a="1"/>
  <c r="D1863" i="1" s="1"/>
  <c r="D1864" i="1" a="1"/>
  <c r="D1864" i="1" s="1"/>
  <c r="D1865" i="1" a="1"/>
  <c r="D1865" i="1" s="1"/>
  <c r="D1866" i="1" a="1"/>
  <c r="D1866" i="1"/>
  <c r="D1867" i="1" a="1"/>
  <c r="D1867" i="1" s="1"/>
  <c r="D1868" i="1" a="1"/>
  <c r="D1868" i="1" s="1"/>
  <c r="D1869" i="1" a="1"/>
  <c r="D1869" i="1" s="1"/>
  <c r="D1870" i="1" a="1"/>
  <c r="D1870" i="1" s="1"/>
  <c r="D1871" i="1" a="1"/>
  <c r="D1871" i="1" s="1"/>
  <c r="D1872" i="1" a="1"/>
  <c r="D1872" i="1" s="1"/>
  <c r="D1873" i="1" a="1"/>
  <c r="D1873" i="1"/>
  <c r="D1874" i="1" a="1"/>
  <c r="D1874" i="1" s="1"/>
  <c r="D1875" i="1" a="1"/>
  <c r="D1875" i="1" s="1"/>
  <c r="D1876" i="1" a="1"/>
  <c r="D1876" i="1" s="1"/>
  <c r="D1877" i="1" a="1"/>
  <c r="D1877" i="1" s="1"/>
  <c r="D1878" i="1" a="1"/>
  <c r="D1878" i="1" s="1"/>
  <c r="D1879" i="1" a="1"/>
  <c r="D1879" i="1" s="1"/>
  <c r="D1880" i="1" a="1"/>
  <c r="D1880" i="1"/>
  <c r="D1881" i="1" a="1"/>
  <c r="D1881" i="1" s="1"/>
  <c r="D1882" i="1" a="1"/>
  <c r="D1882" i="1" s="1"/>
  <c r="D1883" i="1" a="1"/>
  <c r="D1883" i="1"/>
  <c r="D1884" i="1" a="1"/>
  <c r="D1884" i="1" s="1"/>
  <c r="D1885" i="1" a="1"/>
  <c r="D1885" i="1" s="1"/>
  <c r="D1886" i="1" a="1"/>
  <c r="D1886" i="1" s="1"/>
  <c r="D1887" i="1" a="1"/>
  <c r="D1887" i="1" s="1"/>
  <c r="D1888" i="1" a="1"/>
  <c r="D1888" i="1" s="1"/>
  <c r="D1889" i="1" a="1"/>
  <c r="D1889" i="1"/>
  <c r="D1890" i="1" a="1"/>
  <c r="D1890" i="1"/>
  <c r="D1891" i="1" a="1"/>
  <c r="D1891" i="1" s="1"/>
  <c r="D1892" i="1" a="1"/>
  <c r="D1892" i="1" s="1"/>
  <c r="D1893" i="1" a="1"/>
  <c r="D1893" i="1" s="1"/>
  <c r="D1894" i="1" a="1"/>
  <c r="D1894" i="1"/>
  <c r="D1895" i="1" a="1"/>
  <c r="D1895" i="1" s="1"/>
  <c r="D1896" i="1" a="1"/>
  <c r="D1896" i="1" s="1"/>
  <c r="D1897" i="1" a="1"/>
  <c r="D1897" i="1" s="1"/>
  <c r="D1898" i="1" a="1"/>
  <c r="D1898" i="1" s="1"/>
  <c r="D1899" i="1" a="1"/>
  <c r="D1899" i="1" s="1"/>
  <c r="D1900" i="1" a="1"/>
  <c r="D1900" i="1" s="1"/>
  <c r="D1901" i="1" a="1"/>
  <c r="D1901" i="1"/>
  <c r="D1902" i="1" a="1"/>
  <c r="D1902" i="1" s="1"/>
  <c r="D1903" i="1" a="1"/>
  <c r="D1903" i="1" s="1"/>
  <c r="D1904" i="1" a="1"/>
  <c r="D1904" i="1"/>
  <c r="D1905" i="1" a="1"/>
  <c r="D1905" i="1" s="1"/>
  <c r="D1906" i="1" a="1"/>
  <c r="D1906" i="1" s="1"/>
  <c r="D1907" i="1" a="1"/>
  <c r="D1907" i="1" s="1"/>
  <c r="D1908" i="1" a="1"/>
  <c r="D1908" i="1" s="1"/>
  <c r="D1909" i="1" a="1"/>
  <c r="D1909" i="1" s="1"/>
  <c r="D1910" i="1" a="1"/>
  <c r="D1910" i="1"/>
  <c r="D1911" i="1" a="1"/>
  <c r="D1911" i="1"/>
  <c r="D1912" i="1" a="1"/>
  <c r="D1912" i="1" s="1"/>
  <c r="D1913" i="1" a="1"/>
  <c r="D1913" i="1" s="1"/>
  <c r="D1914" i="1" a="1"/>
  <c r="D1914" i="1" s="1"/>
  <c r="D1915" i="1" a="1"/>
  <c r="D1915" i="1" s="1"/>
  <c r="D1916" i="1" a="1"/>
  <c r="D1916" i="1" s="1"/>
  <c r="D1917" i="1" a="1"/>
  <c r="D1917" i="1"/>
  <c r="D1918" i="1" a="1"/>
  <c r="D1918" i="1" s="1"/>
  <c r="D1919" i="1" a="1"/>
  <c r="D1919" i="1" s="1"/>
  <c r="D1920" i="1" a="1"/>
  <c r="D1920" i="1" s="1"/>
  <c r="D1921" i="1" a="1"/>
  <c r="D1921" i="1" s="1"/>
  <c r="D1922" i="1" a="1"/>
  <c r="D1922" i="1" s="1"/>
  <c r="D1923" i="1" a="1"/>
  <c r="D1923" i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 s="1"/>
  <c r="D1929" i="1" a="1"/>
  <c r="D1929" i="1"/>
  <c r="D1930" i="1" a="1"/>
  <c r="D1930" i="1" s="1"/>
  <c r="D1931" i="1" a="1"/>
  <c r="D1931" i="1" s="1"/>
  <c r="D1932" i="1" a="1"/>
  <c r="D1932" i="1" s="1"/>
  <c r="D1933" i="1" a="1"/>
  <c r="D1933" i="1" s="1"/>
  <c r="D1934" i="1" a="1"/>
  <c r="D1934" i="1" s="1"/>
  <c r="D1935" i="1" a="1"/>
  <c r="D1935" i="1" s="1"/>
  <c r="D1936" i="1" a="1"/>
  <c r="D1936" i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 s="1"/>
  <c r="D1942" i="1" a="1"/>
  <c r="D1942" i="1" s="1"/>
  <c r="D1943" i="1" a="1"/>
  <c r="D1943" i="1"/>
  <c r="D1944" i="1" a="1"/>
  <c r="D1944" i="1"/>
  <c r="D1945" i="1" a="1"/>
  <c r="D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/>
  <c r="D1951" i="1" a="1"/>
  <c r="D1951" i="1" s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 s="1"/>
  <c r="D1959" i="1" a="1"/>
  <c r="D1959" i="1"/>
  <c r="D1960" i="1" a="1"/>
  <c r="D1960" i="1" s="1"/>
  <c r="D1961" i="1" a="1"/>
  <c r="D1961" i="1" s="1"/>
  <c r="D1962" i="1" a="1"/>
  <c r="D1962" i="1" s="1"/>
  <c r="D1963" i="1" a="1"/>
  <c r="D1963" i="1" s="1"/>
  <c r="D1964" i="1" a="1"/>
  <c r="D1964" i="1" s="1"/>
  <c r="D1965" i="1" a="1"/>
  <c r="D1965" i="1" s="1"/>
  <c r="D1966" i="1" a="1"/>
  <c r="D1966" i="1" s="1"/>
  <c r="D1967" i="1" a="1"/>
  <c r="D1967" i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/>
  <c r="D1974" i="1" a="1"/>
  <c r="D1974" i="1" s="1"/>
  <c r="D1975" i="1" a="1"/>
  <c r="D1975" i="1" s="1"/>
  <c r="D1976" i="1" a="1"/>
  <c r="D1976" i="1" s="1"/>
  <c r="D1977" i="1" a="1"/>
  <c r="D1977" i="1" s="1"/>
  <c r="D1978" i="1" a="1"/>
  <c r="D1978" i="1"/>
  <c r="D1979" i="1" a="1"/>
  <c r="D1979" i="1" s="1"/>
  <c r="D1980" i="1" a="1"/>
  <c r="D1980" i="1" s="1"/>
  <c r="D1981" i="1" a="1"/>
  <c r="D1981" i="1" s="1"/>
  <c r="D1982" i="1" a="1"/>
  <c r="D1982" i="1" s="1"/>
  <c r="D1983" i="1" a="1"/>
  <c r="D1983" i="1" s="1"/>
  <c r="D1984" i="1" a="1"/>
  <c r="D1984" i="1"/>
  <c r="D1985" i="1" a="1"/>
  <c r="D1985" i="1"/>
  <c r="D1986" i="1" a="1"/>
  <c r="D1986" i="1"/>
  <c r="D1987" i="1" a="1"/>
  <c r="D1987" i="1" s="1"/>
  <c r="D1988" i="1" a="1"/>
  <c r="D1988" i="1" s="1"/>
  <c r="D1989" i="1" a="1"/>
  <c r="D1989" i="1" s="1"/>
  <c r="D1990" i="1" a="1"/>
  <c r="D1990" i="1" s="1"/>
  <c r="D1991" i="1" a="1"/>
  <c r="D1991" i="1" s="1"/>
  <c r="D1992" i="1" a="1"/>
  <c r="D1992" i="1" s="1"/>
  <c r="D1993" i="1" a="1"/>
  <c r="D1993" i="1" s="1"/>
  <c r="D1994" i="1" a="1"/>
  <c r="D1994" i="1"/>
  <c r="D1995" i="1" a="1"/>
  <c r="D1995" i="1" s="1"/>
  <c r="D1996" i="1" a="1"/>
  <c r="D1996" i="1" s="1"/>
  <c r="D1997" i="1" a="1"/>
  <c r="D1997" i="1" s="1"/>
  <c r="D1998" i="1" a="1"/>
  <c r="D1998" i="1" s="1"/>
  <c r="D1999" i="1" a="1"/>
  <c r="D1999" i="1" s="1"/>
  <c r="D2000" i="1" a="1"/>
  <c r="D2000" i="1" s="1"/>
  <c r="D2001" i="1" a="1"/>
  <c r="D2001" i="1"/>
  <c r="D2002" i="1" a="1"/>
  <c r="D2002" i="1" s="1"/>
  <c r="D2003" i="1" a="1"/>
  <c r="D2003" i="1" s="1"/>
  <c r="D2004" i="1" a="1"/>
  <c r="D2004" i="1" s="1"/>
  <c r="D2005" i="1" a="1"/>
  <c r="D2005" i="1" s="1"/>
  <c r="D2006" i="1" a="1"/>
  <c r="D2006" i="1"/>
  <c r="D2007" i="1" a="1"/>
  <c r="D2007" i="1" s="1"/>
  <c r="D2008" i="1" a="1"/>
  <c r="D2008" i="1" s="1"/>
  <c r="D2009" i="1" a="1"/>
  <c r="D2009" i="1"/>
  <c r="D2010" i="1" a="1"/>
  <c r="D2010" i="1" s="1"/>
  <c r="D2011" i="1" a="1"/>
  <c r="D2011" i="1" s="1"/>
  <c r="D2012" i="1" a="1"/>
  <c r="D2012" i="1" s="1"/>
  <c r="D2013" i="1" a="1"/>
  <c r="D2013" i="1" s="1"/>
  <c r="D2014" i="1" a="1"/>
  <c r="D2014" i="1" s="1"/>
  <c r="D2015" i="1" a="1"/>
  <c r="D2015" i="1" s="1"/>
  <c r="D2016" i="1" a="1"/>
  <c r="D2016" i="1" s="1"/>
  <c r="D2017" i="1" a="1"/>
  <c r="D2017" i="1"/>
  <c r="D2018" i="1" a="1"/>
  <c r="D2018" i="1" s="1"/>
  <c r="D2019" i="1" a="1"/>
  <c r="D2019" i="1" s="1"/>
  <c r="D2020" i="1" a="1"/>
  <c r="D2020" i="1" s="1"/>
  <c r="D2021" i="1" a="1"/>
  <c r="D2021" i="1" s="1"/>
  <c r="D2022" i="1" a="1"/>
  <c r="D2022" i="1" s="1"/>
  <c r="D2023" i="1" a="1"/>
  <c r="D2023" i="1"/>
  <c r="D2024" i="1" a="1"/>
  <c r="D2024" i="1"/>
  <c r="D2025" i="1" a="1"/>
  <c r="D2025" i="1" s="1"/>
  <c r="D2026" i="1" a="1"/>
  <c r="D2026" i="1" s="1"/>
  <c r="D2027" i="1" a="1"/>
  <c r="D2027" i="1"/>
  <c r="D2028" i="1" a="1"/>
  <c r="D2028" i="1" s="1"/>
  <c r="D2029" i="1" a="1"/>
  <c r="D2029" i="1" s="1"/>
  <c r="D2030" i="1" a="1"/>
  <c r="D2030" i="1"/>
  <c r="D2031" i="1" a="1"/>
  <c r="D2031" i="1" s="1"/>
  <c r="D2032" i="1" a="1"/>
  <c r="D2032" i="1" s="1"/>
  <c r="D2033" i="1" a="1"/>
  <c r="D2033" i="1" s="1"/>
  <c r="D2034" i="1" a="1"/>
  <c r="D2034" i="1" s="1"/>
  <c r="D2035" i="1" a="1"/>
  <c r="D2035" i="1" s="1"/>
  <c r="D2036" i="1" a="1"/>
  <c r="D2036" i="1" s="1"/>
  <c r="D2037" i="1" a="1"/>
  <c r="D2037" i="1" s="1"/>
  <c r="D2038" i="1" a="1"/>
  <c r="D2038" i="1"/>
  <c r="D2039" i="1" a="1"/>
  <c r="D2039" i="1" s="1"/>
  <c r="D2040" i="1" a="1"/>
  <c r="D2040" i="1" s="1"/>
  <c r="D2041" i="1" a="1"/>
  <c r="D2041" i="1"/>
  <c r="D2042" i="1" a="1"/>
  <c r="D2042" i="1" s="1"/>
  <c r="D2043" i="1" a="1"/>
  <c r="D2043" i="1" s="1"/>
  <c r="D2044" i="1" a="1"/>
  <c r="D2044" i="1"/>
  <c r="D2045" i="1" a="1"/>
  <c r="D2045" i="1" s="1"/>
  <c r="D2046" i="1" a="1"/>
  <c r="D2046" i="1" s="1"/>
  <c r="D2047" i="1" a="1"/>
  <c r="D2047" i="1" s="1"/>
  <c r="D2048" i="1" a="1"/>
  <c r="D2048" i="1" s="1"/>
  <c r="D2049" i="1" a="1"/>
  <c r="D2049" i="1" s="1"/>
  <c r="D2050" i="1" a="1"/>
  <c r="D2050" i="1" s="1"/>
  <c r="D2051" i="1" a="1"/>
  <c r="D2051" i="1" s="1"/>
  <c r="D2052" i="1" a="1"/>
  <c r="D2052" i="1" s="1"/>
  <c r="D2053" i="1" a="1"/>
  <c r="D2053" i="1"/>
  <c r="D2054" i="1" a="1"/>
  <c r="D2054" i="1"/>
  <c r="D2055" i="1" a="1"/>
  <c r="D2055" i="1" s="1"/>
  <c r="D2056" i="1" a="1"/>
  <c r="D2056" i="1" s="1"/>
  <c r="D2057" i="1" a="1"/>
  <c r="D2057" i="1"/>
  <c r="D2058" i="1" a="1"/>
  <c r="D2058" i="1" s="1"/>
  <c r="D2059" i="1" a="1"/>
  <c r="D2059" i="1" s="1"/>
  <c r="D2060" i="1" a="1"/>
  <c r="D2060" i="1" s="1"/>
  <c r="D2061" i="1" a="1"/>
  <c r="D2061" i="1" s="1"/>
  <c r="D2062" i="1" a="1"/>
  <c r="D2062" i="1" s="1"/>
  <c r="D2063" i="1" a="1"/>
  <c r="D2063" i="1" s="1"/>
  <c r="D2064" i="1" a="1"/>
  <c r="D2064" i="1" s="1"/>
  <c r="D2065" i="1" a="1"/>
  <c r="D2065" i="1"/>
  <c r="D2066" i="1" a="1"/>
  <c r="D2066" i="1"/>
  <c r="D2067" i="1" a="1"/>
  <c r="D2067" i="1" s="1"/>
  <c r="D2068" i="1" a="1"/>
  <c r="D2068" i="1" s="1"/>
  <c r="D2069" i="1" a="1"/>
  <c r="D2069" i="1" s="1"/>
  <c r="D2070" i="1" a="1"/>
  <c r="D2070" i="1" s="1"/>
  <c r="D2071" i="1" a="1"/>
  <c r="D2071" i="1"/>
  <c r="D2072" i="1" a="1"/>
  <c r="D2072" i="1" s="1"/>
  <c r="D2073" i="1" a="1"/>
  <c r="D2073" i="1" s="1"/>
  <c r="D2074" i="1" a="1"/>
  <c r="D2074" i="1"/>
  <c r="D2075" i="1" a="1"/>
  <c r="D2075" i="1" s="1"/>
  <c r="D2076" i="1" a="1"/>
  <c r="D2076" i="1" s="1"/>
  <c r="D2077" i="1" a="1"/>
  <c r="D2077" i="1" s="1"/>
  <c r="D2078" i="1" a="1"/>
  <c r="D2078" i="1"/>
  <c r="D2079" i="1" a="1"/>
  <c r="D2079" i="1" s="1"/>
  <c r="D2080" i="1" a="1"/>
  <c r="D2080" i="1" s="1"/>
  <c r="D2081" i="1" a="1"/>
  <c r="D2081" i="1" s="1"/>
  <c r="D2082" i="1" a="1"/>
  <c r="D2082" i="1" s="1"/>
  <c r="D2083" i="1" a="1"/>
  <c r="D2083" i="1" s="1"/>
  <c r="D2084" i="1" a="1"/>
  <c r="D2084" i="1" s="1"/>
  <c r="D2085" i="1" a="1"/>
  <c r="D2085" i="1"/>
  <c r="D2086" i="1" a="1"/>
  <c r="D2086" i="1"/>
  <c r="D2087" i="1" a="1"/>
  <c r="D2087" i="1" s="1"/>
  <c r="D2088" i="1" a="1"/>
  <c r="D2088" i="1" s="1"/>
  <c r="D2089" i="1" a="1"/>
  <c r="D2089" i="1" s="1"/>
  <c r="D2090" i="1" a="1"/>
  <c r="D2090" i="1" s="1"/>
  <c r="D2091" i="1" a="1"/>
  <c r="D2091" i="1" s="1"/>
  <c r="D2092" i="1" a="1"/>
  <c r="D2092" i="1" s="1"/>
  <c r="D2093" i="1" a="1"/>
  <c r="D2093" i="1" s="1"/>
  <c r="D2094" i="1" a="1"/>
  <c r="D2094" i="1"/>
  <c r="D2095" i="1" a="1"/>
  <c r="D2095" i="1" s="1"/>
  <c r="D2096" i="1" a="1"/>
  <c r="D2096" i="1" s="1"/>
  <c r="D2097" i="1" a="1"/>
  <c r="D2097" i="1" s="1"/>
  <c r="D2098" i="1" a="1"/>
  <c r="D2098" i="1" s="1"/>
  <c r="D2099" i="1" a="1"/>
  <c r="D2099" i="1"/>
  <c r="D2100" i="1" a="1"/>
  <c r="D2100" i="1" s="1"/>
  <c r="D2101" i="1" a="1"/>
  <c r="D2101" i="1" s="1"/>
  <c r="D2102" i="1" a="1"/>
  <c r="D2102" i="1" s="1"/>
  <c r="D2103" i="1" a="1"/>
  <c r="D2103" i="1" s="1"/>
  <c r="D2104" i="1" a="1"/>
  <c r="D2104" i="1" s="1"/>
  <c r="D2105" i="1" a="1"/>
  <c r="D2105" i="1" s="1"/>
  <c r="D2106" i="1" a="1"/>
  <c r="D2106" i="1" s="1"/>
  <c r="D2107" i="1" a="1"/>
  <c r="D2107" i="1" s="1"/>
  <c r="D2108" i="1" a="1"/>
  <c r="D2108" i="1" s="1"/>
  <c r="D2109" i="1" a="1"/>
  <c r="D2109" i="1"/>
  <c r="D2110" i="1" a="1"/>
  <c r="D2110" i="1" s="1"/>
  <c r="D2111" i="1" a="1"/>
  <c r="D2111" i="1" s="1"/>
  <c r="D2112" i="1" a="1"/>
  <c r="D2112" i="1" s="1"/>
  <c r="D2113" i="1" a="1"/>
  <c r="D2113" i="1" s="1"/>
  <c r="D2114" i="1" a="1"/>
  <c r="D2114" i="1" s="1"/>
  <c r="D2115" i="1" a="1"/>
  <c r="D2115" i="1"/>
  <c r="D2116" i="1" a="1"/>
  <c r="D2116" i="1" s="1"/>
  <c r="D2117" i="1" a="1"/>
  <c r="D2117" i="1" s="1"/>
  <c r="D2118" i="1" a="1"/>
  <c r="D2118" i="1" s="1"/>
  <c r="D2119" i="1" a="1"/>
  <c r="D2119" i="1" s="1"/>
  <c r="D2120" i="1" a="1"/>
  <c r="D2120" i="1" s="1"/>
  <c r="D2121" i="1" a="1"/>
  <c r="D2121" i="1" s="1"/>
  <c r="D2122" i="1" a="1"/>
  <c r="D2122" i="1" s="1"/>
  <c r="D2123" i="1" a="1"/>
  <c r="D2123" i="1" s="1"/>
  <c r="D2124" i="1" a="1"/>
  <c r="D2124" i="1" s="1"/>
  <c r="D2125" i="1" a="1"/>
  <c r="D2125" i="1" s="1"/>
  <c r="D2126" i="1" a="1"/>
  <c r="D2126" i="1"/>
  <c r="D2127" i="1" a="1"/>
  <c r="D2127" i="1" s="1"/>
  <c r="D2128" i="1" a="1"/>
  <c r="D2128" i="1" s="1"/>
  <c r="D2129" i="1" a="1"/>
  <c r="D2129" i="1" s="1"/>
  <c r="D2130" i="1" a="1"/>
  <c r="D2130" i="1" s="1"/>
  <c r="D2131" i="1" a="1"/>
  <c r="D2131" i="1"/>
  <c r="D2132" i="1" a="1"/>
  <c r="D2132" i="1" s="1"/>
  <c r="D2133" i="1" a="1"/>
  <c r="D2133" i="1" s="1"/>
  <c r="D2134" i="1" a="1"/>
  <c r="D2134" i="1" s="1"/>
  <c r="D2135" i="1" a="1"/>
  <c r="D2135" i="1" s="1"/>
  <c r="D2136" i="1" a="1"/>
  <c r="D2136" i="1" s="1"/>
  <c r="D2137" i="1" a="1"/>
  <c r="D2137" i="1" s="1"/>
  <c r="D2138" i="1" a="1"/>
  <c r="D2138" i="1"/>
  <c r="D2139" i="1" a="1"/>
  <c r="D2139" i="1"/>
  <c r="D2140" i="1" a="1"/>
  <c r="D2140" i="1" s="1"/>
  <c r="D2141" i="1" a="1"/>
  <c r="D2141" i="1" s="1"/>
  <c r="D2142" i="1" a="1"/>
  <c r="D2142" i="1" s="1"/>
  <c r="D2143" i="1" a="1"/>
  <c r="D2143" i="1" s="1"/>
  <c r="D2144" i="1" a="1"/>
  <c r="D2144" i="1" s="1"/>
  <c r="D2145" i="1" a="1"/>
  <c r="D2145" i="1" s="1"/>
  <c r="D2146" i="1" a="1"/>
  <c r="D2146" i="1" s="1"/>
  <c r="D2147" i="1" a="1"/>
  <c r="D2147" i="1" s="1"/>
  <c r="D2148" i="1" a="1"/>
  <c r="D2148" i="1" s="1"/>
  <c r="D2149" i="1" a="1"/>
  <c r="D2149" i="1" s="1"/>
  <c r="D2150" i="1" a="1"/>
  <c r="D2150" i="1" s="1"/>
  <c r="D2151" i="1" a="1"/>
  <c r="D2151" i="1" s="1"/>
  <c r="D2152" i="1" a="1"/>
  <c r="D2152" i="1" s="1"/>
  <c r="D2153" i="1" a="1"/>
  <c r="D2153" i="1" s="1"/>
  <c r="D2154" i="1" a="1"/>
  <c r="D2154" i="1" s="1"/>
  <c r="D2155" i="1" a="1"/>
  <c r="D2155" i="1" s="1"/>
  <c r="D2156" i="1" a="1"/>
  <c r="D2156" i="1" s="1"/>
  <c r="D2157" i="1" a="1"/>
  <c r="D2157" i="1"/>
  <c r="D2158" i="1" a="1"/>
  <c r="D2158" i="1" s="1"/>
  <c r="D2159" i="1" a="1"/>
  <c r="D2159" i="1" s="1"/>
  <c r="D2160" i="1" a="1"/>
  <c r="D2160" i="1" s="1"/>
  <c r="D2161" i="1" a="1"/>
  <c r="D2161" i="1" s="1"/>
  <c r="D2162" i="1" a="1"/>
  <c r="D2162" i="1" s="1"/>
  <c r="D2163" i="1" a="1"/>
  <c r="D2163" i="1" s="1"/>
  <c r="D2164" i="1" a="1"/>
  <c r="D2164" i="1" s="1"/>
  <c r="D2165" i="1" a="1"/>
  <c r="D2165" i="1" s="1"/>
  <c r="D2166" i="1" a="1"/>
  <c r="D2166" i="1" s="1"/>
  <c r="D2167" i="1" a="1"/>
  <c r="D2167" i="1" s="1"/>
  <c r="D2168" i="1" a="1"/>
  <c r="D2168" i="1"/>
  <c r="D2169" i="1" a="1"/>
  <c r="D2169" i="1" s="1"/>
  <c r="D2170" i="1" a="1"/>
  <c r="D2170" i="1" s="1"/>
  <c r="D2171" i="1" a="1"/>
  <c r="D2171" i="1"/>
  <c r="D2172" i="1" a="1"/>
  <c r="D2172" i="1" s="1"/>
  <c r="D2173" i="1" a="1"/>
  <c r="D2173" i="1" s="1"/>
  <c r="D2174" i="1" a="1"/>
  <c r="D2174" i="1" s="1"/>
  <c r="D2175" i="1" a="1"/>
  <c r="D2175" i="1" s="1"/>
  <c r="D2176" i="1" a="1"/>
  <c r="D2176" i="1" s="1"/>
  <c r="D2177" i="1" a="1"/>
  <c r="D2177" i="1" s="1"/>
  <c r="D2178" i="1" a="1"/>
  <c r="D2178" i="1" s="1"/>
  <c r="D2179" i="1" a="1"/>
  <c r="D2179" i="1" s="1"/>
  <c r="D2180" i="1" a="1"/>
  <c r="D2180" i="1" s="1"/>
  <c r="D2181" i="1" a="1"/>
  <c r="D2181" i="1" s="1"/>
  <c r="D2182" i="1" a="1"/>
  <c r="D2182" i="1" s="1"/>
  <c r="D2183" i="1" a="1"/>
  <c r="D2183" i="1"/>
  <c r="D2184" i="1" a="1"/>
  <c r="D2184" i="1" s="1"/>
  <c r="D2185" i="1" a="1"/>
  <c r="D2185" i="1"/>
  <c r="D2186" i="1" a="1"/>
  <c r="D2186" i="1" s="1"/>
  <c r="D2187" i="1" a="1"/>
  <c r="D2187" i="1" s="1"/>
  <c r="D2188" i="1" a="1"/>
  <c r="D2188" i="1" s="1"/>
  <c r="D2189" i="1" a="1"/>
  <c r="D2189" i="1" s="1"/>
  <c r="D2190" i="1" a="1"/>
  <c r="D2190" i="1" s="1"/>
  <c r="D2191" i="1" a="1"/>
  <c r="D2191" i="1" s="1"/>
  <c r="D2192" i="1" a="1"/>
  <c r="D2192" i="1" s="1"/>
  <c r="D2193" i="1" a="1"/>
  <c r="D2193" i="1" s="1"/>
  <c r="D2194" i="1" a="1"/>
  <c r="D2194" i="1" s="1"/>
  <c r="D2195" i="1" a="1"/>
  <c r="D2195" i="1" s="1"/>
  <c r="D2196" i="1" a="1"/>
  <c r="D2196" i="1" s="1"/>
  <c r="D2197" i="1" a="1"/>
  <c r="D2197" i="1" s="1"/>
  <c r="D2198" i="1" a="1"/>
  <c r="D2198" i="1" s="1"/>
  <c r="D2199" i="1" a="1"/>
  <c r="D2199" i="1"/>
  <c r="D2200" i="1" a="1"/>
  <c r="D2200" i="1" s="1"/>
  <c r="D2201" i="1" a="1"/>
  <c r="D2201" i="1" s="1"/>
  <c r="D2202" i="1" a="1"/>
  <c r="D2202" i="1" s="1"/>
  <c r="D2203" i="1" a="1"/>
  <c r="D2203" i="1" s="1"/>
  <c r="D2204" i="1" a="1"/>
  <c r="D2204" i="1"/>
  <c r="D2205" i="1" a="1"/>
  <c r="D2205" i="1" s="1"/>
  <c r="D2206" i="1" a="1"/>
  <c r="D2206" i="1" s="1"/>
  <c r="D2207" i="1" a="1"/>
  <c r="D2207" i="1" s="1"/>
  <c r="D2208" i="1" a="1"/>
  <c r="D2208" i="1" s="1"/>
  <c r="D2209" i="1" a="1"/>
  <c r="D2209" i="1" s="1"/>
  <c r="D2210" i="1" a="1"/>
  <c r="D2210" i="1" s="1"/>
  <c r="D2211" i="1" a="1"/>
  <c r="D2211" i="1" s="1"/>
  <c r="D2212" i="1" a="1"/>
  <c r="D2212" i="1" s="1"/>
  <c r="D2213" i="1" a="1"/>
  <c r="D2213" i="1" s="1"/>
  <c r="D2214" i="1" a="1"/>
  <c r="D2214" i="1" s="1"/>
  <c r="D2215" i="1" a="1"/>
  <c r="D2215" i="1"/>
  <c r="D2216" i="1" a="1"/>
  <c r="D2216" i="1" s="1"/>
  <c r="D2217" i="1" a="1"/>
  <c r="D2217" i="1" s="1"/>
  <c r="D2218" i="1" a="1"/>
  <c r="D2218" i="1"/>
  <c r="D2219" i="1" a="1"/>
  <c r="D2219" i="1" s="1"/>
  <c r="D2220" i="1" a="1"/>
  <c r="D2220" i="1" s="1"/>
  <c r="D2221" i="1" a="1"/>
  <c r="D2221" i="1" s="1"/>
  <c r="D2222" i="1" a="1"/>
  <c r="D2222" i="1" s="1"/>
  <c r="D2223" i="1" a="1"/>
  <c r="D2223" i="1" s="1"/>
  <c r="D2224" i="1" a="1"/>
  <c r="D2224" i="1"/>
  <c r="D2225" i="1" a="1"/>
  <c r="D2225" i="1"/>
  <c r="D2226" i="1" a="1"/>
  <c r="D2226" i="1" s="1"/>
  <c r="D2227" i="1" a="1"/>
  <c r="D2227" i="1"/>
  <c r="D2228" i="1" a="1"/>
  <c r="D2228" i="1" s="1"/>
  <c r="D2229" i="1" a="1"/>
  <c r="D2229" i="1" s="1"/>
  <c r="D2230" i="1" a="1"/>
  <c r="D2230" i="1" s="1"/>
  <c r="D2231" i="1" a="1"/>
  <c r="D2231" i="1" s="1"/>
  <c r="D2232" i="1" a="1"/>
  <c r="D2232" i="1" s="1"/>
  <c r="D2233" i="1" a="1"/>
  <c r="D2233" i="1" s="1"/>
  <c r="D2234" i="1" a="1"/>
  <c r="D2234" i="1" s="1"/>
  <c r="D2235" i="1" a="1"/>
  <c r="D2235" i="1" s="1"/>
  <c r="D2236" i="1" a="1"/>
  <c r="D2236" i="1" s="1"/>
  <c r="D2237" i="1" a="1"/>
  <c r="D2237" i="1" s="1"/>
  <c r="D2238" i="1" a="1"/>
  <c r="D2238" i="1" s="1"/>
  <c r="D2239" i="1" a="1"/>
  <c r="D2239" i="1"/>
  <c r="D2240" i="1" a="1"/>
  <c r="D2240" i="1" s="1"/>
  <c r="D2241" i="1" a="1"/>
  <c r="D2241" i="1" s="1"/>
  <c r="D2242" i="1" a="1"/>
  <c r="D2242" i="1"/>
  <c r="D2243" i="1" a="1"/>
  <c r="D2243" i="1" s="1"/>
  <c r="D2244" i="1" a="1"/>
  <c r="D2244" i="1" s="1"/>
  <c r="D2245" i="1" a="1"/>
  <c r="D2245" i="1"/>
  <c r="D2246" i="1" a="1"/>
  <c r="D2246" i="1"/>
  <c r="D2247" i="1" a="1"/>
  <c r="D2247" i="1" s="1"/>
  <c r="D2248" i="1" a="1"/>
  <c r="D2248" i="1" s="1"/>
  <c r="D2249" i="1" a="1"/>
  <c r="D2249" i="1" s="1"/>
  <c r="D2250" i="1" a="1"/>
  <c r="D2250" i="1" s="1"/>
  <c r="D2251" i="1" a="1"/>
  <c r="D2251" i="1" s="1"/>
  <c r="D2252" i="1" a="1"/>
  <c r="D2252" i="1" s="1"/>
  <c r="D2253" i="1" a="1"/>
  <c r="D2253" i="1" s="1"/>
  <c r="D2254" i="1" a="1"/>
  <c r="D2254" i="1" s="1"/>
  <c r="D2255" i="1" a="1"/>
  <c r="D2255" i="1"/>
  <c r="D2256" i="1" a="1"/>
  <c r="D2256" i="1" s="1"/>
  <c r="D2257" i="1" a="1"/>
  <c r="D2257" i="1" s="1"/>
  <c r="D2258" i="1" a="1"/>
  <c r="D2258" i="1" s="1"/>
  <c r="D2259" i="1" a="1"/>
  <c r="D2259" i="1" s="1"/>
  <c r="D2260" i="1" a="1"/>
  <c r="D2260" i="1" s="1"/>
  <c r="D2261" i="1" a="1"/>
  <c r="D2261" i="1" s="1"/>
  <c r="D2262" i="1" a="1"/>
  <c r="D2262" i="1" s="1"/>
  <c r="D2263" i="1" a="1"/>
  <c r="D2263" i="1" s="1"/>
  <c r="D2264" i="1" a="1"/>
  <c r="D2264" i="1" s="1"/>
  <c r="D2265" i="1" a="1"/>
  <c r="D2265" i="1" s="1"/>
  <c r="D2266" i="1" a="1"/>
  <c r="D2266" i="1"/>
  <c r="D2267" i="1" a="1"/>
  <c r="D2267" i="1"/>
  <c r="D2268" i="1" a="1"/>
  <c r="D2268" i="1" s="1"/>
  <c r="D2269" i="1" a="1"/>
  <c r="D2269" i="1" s="1"/>
  <c r="D2270" i="1" a="1"/>
  <c r="D2270" i="1" s="1"/>
  <c r="D2271" i="1" a="1"/>
  <c r="D2271" i="1"/>
  <c r="D2272" i="1" a="1"/>
  <c r="D2272" i="1" s="1"/>
  <c r="D2273" i="1" a="1"/>
  <c r="D2273" i="1" s="1"/>
  <c r="D2274" i="1" a="1"/>
  <c r="D2274" i="1" s="1"/>
  <c r="D2275" i="1" a="1"/>
  <c r="D2275" i="1" s="1"/>
  <c r="D2276" i="1" a="1"/>
  <c r="D2276" i="1" s="1"/>
  <c r="D2277" i="1" a="1"/>
  <c r="D2277" i="1" s="1"/>
  <c r="D2278" i="1" a="1"/>
  <c r="D2278" i="1" s="1"/>
  <c r="D2279" i="1" a="1"/>
  <c r="D2279" i="1" s="1"/>
  <c r="D2280" i="1" a="1"/>
  <c r="D2280" i="1" s="1"/>
  <c r="D2281" i="1" a="1"/>
  <c r="D2281" i="1" s="1"/>
  <c r="D2282" i="1" a="1"/>
  <c r="D2282" i="1" s="1"/>
  <c r="D2283" i="1" a="1"/>
  <c r="D2283" i="1" s="1"/>
  <c r="D2284" i="1" a="1"/>
  <c r="D2284" i="1"/>
  <c r="D2285" i="1" a="1"/>
  <c r="D2285" i="1" s="1"/>
  <c r="D2286" i="1" a="1"/>
  <c r="D2286" i="1" s="1"/>
  <c r="D2287" i="1" a="1"/>
  <c r="D2287" i="1" s="1"/>
  <c r="D2288" i="1" a="1"/>
  <c r="D2288" i="1" s="1"/>
  <c r="D2289" i="1" a="1"/>
  <c r="D2289" i="1" s="1"/>
  <c r="D2290" i="1" a="1"/>
  <c r="D2290" i="1" s="1"/>
  <c r="D2291" i="1" a="1"/>
  <c r="D2291" i="1"/>
  <c r="D2292" i="1" a="1"/>
  <c r="D2292" i="1" s="1"/>
  <c r="D2293" i="1" a="1"/>
  <c r="D2293" i="1" s="1"/>
  <c r="D2294" i="1" a="1"/>
  <c r="D2294" i="1"/>
  <c r="D2295" i="1" a="1"/>
  <c r="D2295" i="1" s="1"/>
  <c r="D2296" i="1" a="1"/>
  <c r="D2296" i="1" s="1"/>
  <c r="D2297" i="1" a="1"/>
  <c r="D2297" i="1" s="1"/>
  <c r="D2298" i="1" a="1"/>
  <c r="D2298" i="1" s="1"/>
  <c r="D2299" i="1" a="1"/>
  <c r="D2299" i="1"/>
  <c r="D2300" i="1" a="1"/>
  <c r="D2300" i="1" s="1"/>
  <c r="D2301" i="1" a="1"/>
  <c r="D2301" i="1" s="1"/>
  <c r="D2302" i="1" a="1"/>
  <c r="D2302" i="1" s="1"/>
  <c r="D2303" i="1" a="1"/>
  <c r="D2303" i="1" s="1"/>
  <c r="D2304" i="1" a="1"/>
  <c r="D2304" i="1" s="1"/>
  <c r="D2305" i="1" a="1"/>
  <c r="D2305" i="1" s="1"/>
  <c r="D2306" i="1" a="1"/>
  <c r="D2306" i="1" s="1"/>
  <c r="D2307" i="1" a="1"/>
  <c r="D2307" i="1" s="1"/>
  <c r="D2308" i="1" a="1"/>
  <c r="D2308" i="1" s="1"/>
  <c r="D2309" i="1" a="1"/>
  <c r="D2309" i="1" s="1"/>
  <c r="D2310" i="1" a="1"/>
  <c r="D2310" i="1" s="1"/>
  <c r="D2311" i="1" a="1"/>
  <c r="D2311" i="1" s="1"/>
  <c r="D2312" i="1" a="1"/>
  <c r="D2312" i="1" s="1"/>
  <c r="D2313" i="1" a="1"/>
  <c r="D2313" i="1" s="1"/>
  <c r="D2314" i="1" a="1"/>
  <c r="D2314" i="1" s="1"/>
  <c r="D2315" i="1" a="1"/>
  <c r="D2315" i="1"/>
  <c r="D2316" i="1" a="1"/>
  <c r="D2316" i="1" s="1"/>
  <c r="D2317" i="1" a="1"/>
  <c r="D2317" i="1" s="1"/>
  <c r="D2318" i="1" a="1"/>
  <c r="D2318" i="1"/>
  <c r="D2319" i="1" a="1"/>
  <c r="D2319" i="1" s="1"/>
  <c r="D2320" i="1" a="1"/>
  <c r="D2320" i="1" s="1"/>
  <c r="D2321" i="1" a="1"/>
  <c r="D2321" i="1" s="1"/>
  <c r="D2322" i="1" a="1"/>
  <c r="D2322" i="1"/>
  <c r="D2323" i="1" a="1"/>
  <c r="D2323" i="1" s="1"/>
  <c r="D2324" i="1" a="1"/>
  <c r="D2324" i="1" s="1"/>
  <c r="D2325" i="1" a="1"/>
  <c r="D2325" i="1" s="1"/>
  <c r="D2326" i="1" a="1"/>
  <c r="D2326" i="1" s="1"/>
  <c r="D2327" i="1" a="1"/>
  <c r="D2327" i="1" s="1"/>
  <c r="D2328" i="1" a="1"/>
  <c r="D2328" i="1" s="1"/>
  <c r="D2329" i="1" a="1"/>
  <c r="D2329" i="1" s="1"/>
  <c r="D2330" i="1" a="1"/>
  <c r="D2330" i="1" s="1"/>
  <c r="D2331" i="1" a="1"/>
  <c r="D2331" i="1"/>
  <c r="D2332" i="1" a="1"/>
  <c r="D2332" i="1" s="1"/>
  <c r="D2333" i="1" a="1"/>
  <c r="D2333" i="1"/>
  <c r="D2334" i="1" a="1"/>
  <c r="D2334" i="1" s="1"/>
  <c r="D2335" i="1" a="1"/>
  <c r="D2335" i="1" s="1"/>
  <c r="D2336" i="1" a="1"/>
  <c r="D2336" i="1"/>
  <c r="D2337" i="1" a="1"/>
  <c r="D2337" i="1" s="1"/>
  <c r="D2338" i="1" a="1"/>
  <c r="D2338" i="1" s="1"/>
  <c r="D2339" i="1" a="1"/>
  <c r="D2339" i="1" s="1"/>
  <c r="D2340" i="1" a="1"/>
  <c r="D2340" i="1" s="1"/>
  <c r="D2341" i="1" a="1"/>
  <c r="D2341" i="1"/>
  <c r="D2342" i="1" a="1"/>
  <c r="D2342" i="1"/>
  <c r="D2343" i="1" a="1"/>
  <c r="D2343" i="1"/>
  <c r="D2344" i="1" a="1"/>
  <c r="D2344" i="1" s="1"/>
  <c r="D2345" i="1" a="1"/>
  <c r="D2345" i="1" s="1"/>
  <c r="D2346" i="1" a="1"/>
  <c r="D2346" i="1" s="1"/>
  <c r="D2347" i="1" a="1"/>
  <c r="D2347" i="1" s="1"/>
  <c r="D2348" i="1" a="1"/>
  <c r="D2348" i="1" s="1"/>
  <c r="D2349" i="1" a="1"/>
  <c r="D2349" i="1" s="1"/>
  <c r="D2350" i="1" a="1"/>
  <c r="D2350" i="1" s="1"/>
  <c r="D2351" i="1" a="1"/>
  <c r="D2351" i="1" s="1"/>
  <c r="D2352" i="1" a="1"/>
  <c r="D2352" i="1" s="1"/>
  <c r="D2353" i="1" a="1"/>
  <c r="D2353" i="1" s="1"/>
  <c r="D2354" i="1" a="1"/>
  <c r="D2354" i="1"/>
  <c r="D2355" i="1" a="1"/>
  <c r="D2355" i="1"/>
  <c r="D2356" i="1" a="1"/>
  <c r="D2356" i="1" s="1"/>
  <c r="D2357" i="1" a="1"/>
  <c r="D2357" i="1" s="1"/>
  <c r="D2358" i="1" a="1"/>
  <c r="D2358" i="1" s="1"/>
  <c r="D2359" i="1" a="1"/>
  <c r="D2359" i="1" s="1"/>
  <c r="D2360" i="1" a="1"/>
  <c r="D2360" i="1" s="1"/>
  <c r="D2361" i="1" a="1"/>
  <c r="D2361" i="1" s="1"/>
  <c r="D2362" i="1" a="1"/>
  <c r="D2362" i="1"/>
  <c r="D2363" i="1" a="1"/>
  <c r="D2363" i="1"/>
  <c r="D2364" i="1" a="1"/>
  <c r="D2364" i="1"/>
  <c r="D2365" i="1" a="1"/>
  <c r="D2365" i="1" s="1"/>
  <c r="D2366" i="1" a="1"/>
  <c r="D2366" i="1" s="1"/>
  <c r="D2367" i="1" a="1"/>
  <c r="D2367" i="1" s="1"/>
  <c r="D2368" i="1" a="1"/>
  <c r="D2368" i="1" s="1"/>
  <c r="D2369" i="1" a="1"/>
  <c r="D2369" i="1" s="1"/>
  <c r="D2370" i="1" a="1"/>
  <c r="D2370" i="1" s="1"/>
  <c r="D2371" i="1" a="1"/>
  <c r="D2371" i="1" s="1"/>
  <c r="D2372" i="1" a="1"/>
  <c r="D2372" i="1" s="1"/>
  <c r="D2373" i="1" a="1"/>
  <c r="D2373" i="1" s="1"/>
  <c r="D2374" i="1" a="1"/>
  <c r="D2374" i="1" s="1"/>
  <c r="D2375" i="1" a="1"/>
  <c r="D2375" i="1" s="1"/>
  <c r="D2376" i="1" a="1"/>
  <c r="D2376" i="1" s="1"/>
  <c r="D2377" i="1" a="1"/>
  <c r="D2377" i="1" s="1"/>
  <c r="D2378" i="1" a="1"/>
  <c r="D2378" i="1"/>
  <c r="D2379" i="1" a="1"/>
  <c r="D2379" i="1" s="1"/>
  <c r="D2380" i="1" a="1"/>
  <c r="D2380" i="1" s="1"/>
  <c r="D2381" i="1" a="1"/>
  <c r="D2381" i="1" s="1"/>
  <c r="D2382" i="1" a="1"/>
  <c r="D2382" i="1" s="1"/>
  <c r="D2383" i="1" a="1"/>
  <c r="D2383" i="1"/>
  <c r="D2384" i="1" a="1"/>
  <c r="D2384" i="1"/>
  <c r="D2385" i="1" a="1"/>
  <c r="D2385" i="1"/>
  <c r="D2386" i="1" a="1"/>
  <c r="D2386" i="1" s="1"/>
  <c r="D2387" i="1" a="1"/>
  <c r="D2387" i="1" s="1"/>
  <c r="D2388" i="1" a="1"/>
  <c r="D2388" i="1" s="1"/>
  <c r="D2389" i="1" a="1"/>
  <c r="D2389" i="1" s="1"/>
  <c r="D2390" i="1" a="1"/>
  <c r="D2390" i="1" s="1"/>
  <c r="D2391" i="1" a="1"/>
  <c r="D2391" i="1"/>
  <c r="D2392" i="1" a="1"/>
  <c r="D2392" i="1"/>
  <c r="D2393" i="1" a="1"/>
  <c r="D2393" i="1" s="1"/>
  <c r="D2394" i="1" a="1"/>
  <c r="D2394" i="1" s="1"/>
  <c r="D2395" i="1" a="1"/>
  <c r="D2395" i="1" s="1"/>
  <c r="D2396" i="1" a="1"/>
  <c r="D2396" i="1"/>
  <c r="D2397" i="1" a="1"/>
  <c r="D2397" i="1"/>
  <c r="D2398" i="1" a="1"/>
  <c r="D2398" i="1" s="1"/>
  <c r="D2399" i="1" a="1"/>
  <c r="D2399" i="1" s="1"/>
  <c r="D2400" i="1" a="1"/>
  <c r="D2400" i="1" s="1"/>
  <c r="D2401" i="1" a="1"/>
  <c r="D2401" i="1" s="1"/>
  <c r="D2402" i="1" a="1"/>
  <c r="D2402" i="1" s="1"/>
  <c r="D2403" i="1" a="1"/>
  <c r="D2403" i="1" s="1"/>
  <c r="D2404" i="1" a="1"/>
  <c r="D2404" i="1"/>
  <c r="D2405" i="1" a="1"/>
  <c r="D2405" i="1"/>
  <c r="D2406" i="1" a="1"/>
  <c r="D2406" i="1" s="1"/>
  <c r="D2407" i="1" a="1"/>
  <c r="D2407" i="1" s="1"/>
  <c r="D2408" i="1" a="1"/>
  <c r="D2408" i="1" s="1"/>
  <c r="D2409" i="1" a="1"/>
  <c r="D2409" i="1" s="1"/>
  <c r="D2410" i="1" a="1"/>
  <c r="D2410" i="1" s="1"/>
  <c r="D2411" i="1" a="1"/>
  <c r="D2411" i="1" s="1"/>
  <c r="D2412" i="1" a="1"/>
  <c r="D2412" i="1" s="1"/>
  <c r="D2413" i="1" a="1"/>
  <c r="D2413" i="1" s="1"/>
  <c r="D2414" i="1" a="1"/>
  <c r="D2414" i="1" s="1"/>
  <c r="D2415" i="1" a="1"/>
  <c r="D2415" i="1" s="1"/>
  <c r="D2416" i="1" a="1"/>
  <c r="D2416" i="1" s="1"/>
  <c r="D2417" i="1" a="1"/>
  <c r="D2417" i="1" s="1"/>
  <c r="D2418" i="1" a="1"/>
  <c r="D2418" i="1" s="1"/>
  <c r="D2419" i="1" a="1"/>
  <c r="D2419" i="1" s="1"/>
  <c r="D2420" i="1" a="1"/>
  <c r="D2420" i="1" s="1"/>
  <c r="D2421" i="1" a="1"/>
  <c r="D2421" i="1" s="1"/>
  <c r="D2422" i="1" a="1"/>
  <c r="D2422" i="1" s="1"/>
  <c r="D2423" i="1" a="1"/>
  <c r="D2423" i="1" s="1"/>
  <c r="D2424" i="1" a="1"/>
  <c r="D2424" i="1" s="1"/>
  <c r="D2425" i="1" a="1"/>
  <c r="D2425" i="1" s="1"/>
  <c r="D2426" i="1" a="1"/>
  <c r="D2426" i="1" s="1"/>
  <c r="D2427" i="1" a="1"/>
  <c r="D2427" i="1"/>
  <c r="D2428" i="1" a="1"/>
  <c r="D2428" i="1" s="1"/>
  <c r="D2429" i="1" a="1"/>
  <c r="D2429" i="1" s="1"/>
  <c r="D2430" i="1" a="1"/>
  <c r="D2430" i="1" s="1"/>
  <c r="D2431" i="1" a="1"/>
  <c r="D2431" i="1"/>
  <c r="D2432" i="1" a="1"/>
  <c r="D2432" i="1" s="1"/>
  <c r="D2433" i="1" a="1"/>
  <c r="D2433" i="1" s="1"/>
  <c r="D2434" i="1" a="1"/>
  <c r="D2434" i="1" s="1"/>
  <c r="D2435" i="1" a="1"/>
  <c r="D2435" i="1" s="1"/>
  <c r="D2436" i="1" a="1"/>
  <c r="D2436" i="1"/>
  <c r="D2437" i="1" a="1"/>
  <c r="D2437" i="1" s="1"/>
  <c r="D2438" i="1" a="1"/>
  <c r="D2438" i="1" s="1"/>
  <c r="D2439" i="1" a="1"/>
  <c r="D2439" i="1" s="1"/>
  <c r="D2440" i="1" a="1"/>
  <c r="D2440" i="1" s="1"/>
  <c r="D2441" i="1" a="1"/>
  <c r="D2441" i="1" s="1"/>
  <c r="D2442" i="1" a="1"/>
  <c r="D2442" i="1" s="1"/>
  <c r="D2443" i="1" a="1"/>
  <c r="D2443" i="1" s="1"/>
  <c r="D2444" i="1" a="1"/>
  <c r="D2444" i="1" s="1"/>
  <c r="D2445" i="1" a="1"/>
  <c r="D2445" i="1" s="1"/>
  <c r="D2446" i="1" a="1"/>
  <c r="D2446" i="1" s="1"/>
  <c r="D2447" i="1" a="1"/>
  <c r="D2447" i="1" s="1"/>
  <c r="D2448" i="1" a="1"/>
  <c r="D2448" i="1" s="1"/>
  <c r="D2449" i="1" a="1"/>
  <c r="D2449" i="1" s="1"/>
  <c r="D2450" i="1" a="1"/>
  <c r="D2450" i="1" s="1"/>
  <c r="D2451" i="1" a="1"/>
  <c r="D2451" i="1" s="1"/>
  <c r="D2452" i="1" a="1"/>
  <c r="D2452" i="1"/>
  <c r="D2453" i="1" a="1"/>
  <c r="D2453" i="1" s="1"/>
  <c r="D2454" i="1" a="1"/>
  <c r="D2454" i="1"/>
  <c r="D2455" i="1" a="1"/>
  <c r="D2455" i="1" s="1"/>
  <c r="D2456" i="1" a="1"/>
  <c r="D2456" i="1" s="1"/>
  <c r="D2457" i="1" a="1"/>
  <c r="D2457" i="1"/>
  <c r="D2458" i="1" a="1"/>
  <c r="D2458" i="1" s="1"/>
  <c r="D2459" i="1" a="1"/>
  <c r="D2459" i="1" s="1"/>
  <c r="D2460" i="1" a="1"/>
  <c r="D2460" i="1" s="1"/>
  <c r="D2461" i="1" a="1"/>
  <c r="D2461" i="1" s="1"/>
  <c r="D2462" i="1" a="1"/>
  <c r="D2462" i="1" s="1"/>
  <c r="D2463" i="1" a="1"/>
  <c r="D2463" i="1" s="1"/>
  <c r="D2464" i="1" a="1"/>
  <c r="D2464" i="1" s="1"/>
  <c r="D2465" i="1" a="1"/>
  <c r="D2465" i="1" s="1"/>
  <c r="D2466" i="1" a="1"/>
  <c r="D2466" i="1" s="1"/>
  <c r="D2467" i="1" a="1"/>
  <c r="D2467" i="1" s="1"/>
  <c r="D2468" i="1" a="1"/>
  <c r="D2468" i="1" s="1"/>
  <c r="D2469" i="1" a="1"/>
  <c r="D2469" i="1" s="1"/>
  <c r="D2470" i="1" a="1"/>
  <c r="D2470" i="1" s="1"/>
  <c r="D2471" i="1" a="1"/>
  <c r="D2471" i="1" s="1"/>
  <c r="D2472" i="1" a="1"/>
  <c r="D2472" i="1" s="1"/>
  <c r="D2473" i="1" a="1"/>
  <c r="D2473" i="1"/>
  <c r="D2474" i="1" a="1"/>
  <c r="D2474" i="1" s="1"/>
  <c r="D2475" i="1" a="1"/>
  <c r="D2475" i="1" s="1"/>
  <c r="D2476" i="1" a="1"/>
  <c r="D2476" i="1" s="1"/>
  <c r="D2477" i="1" a="1"/>
  <c r="D2477" i="1" s="1"/>
  <c r="D2478" i="1" a="1"/>
  <c r="D2478" i="1"/>
  <c r="D2479" i="1" a="1"/>
  <c r="D2479" i="1" s="1"/>
  <c r="D2480" i="1" a="1"/>
  <c r="D2480" i="1" s="1"/>
  <c r="D2481" i="1" a="1"/>
  <c r="D2481" i="1" s="1"/>
  <c r="D2482" i="1" a="1"/>
  <c r="D2482" i="1" s="1"/>
  <c r="D2483" i="1" a="1"/>
  <c r="D2483" i="1" s="1"/>
  <c r="D2484" i="1" a="1"/>
  <c r="D2484" i="1" s="1"/>
  <c r="D2485" i="1" a="1"/>
  <c r="D2485" i="1"/>
  <c r="D2486" i="1" a="1"/>
  <c r="D2486" i="1" s="1"/>
  <c r="D2487" i="1" a="1"/>
  <c r="D2487" i="1" s="1"/>
  <c r="D2488" i="1" a="1"/>
  <c r="D2488" i="1"/>
  <c r="D2489" i="1" a="1"/>
  <c r="D2489" i="1" s="1"/>
  <c r="D2490" i="1" a="1"/>
  <c r="D2490" i="1" s="1"/>
  <c r="D2491" i="1" a="1"/>
  <c r="D2491" i="1" s="1"/>
  <c r="D2492" i="1" a="1"/>
  <c r="D2492" i="1" s="1"/>
  <c r="D2493" i="1" a="1"/>
  <c r="D2493" i="1" s="1"/>
  <c r="D2494" i="1" a="1"/>
  <c r="D2494" i="1"/>
  <c r="D2495" i="1" a="1"/>
  <c r="D2495" i="1" s="1"/>
  <c r="D2496" i="1" a="1"/>
  <c r="D2496" i="1" s="1"/>
  <c r="D2497" i="1" a="1"/>
  <c r="D2497" i="1" s="1"/>
  <c r="D2498" i="1" a="1"/>
  <c r="D2498" i="1" s="1"/>
  <c r="D2499" i="1" a="1"/>
  <c r="D2499" i="1"/>
  <c r="D2500" i="1" a="1"/>
  <c r="D2500" i="1" s="1"/>
  <c r="D2501" i="1" a="1"/>
  <c r="D2501" i="1" s="1"/>
  <c r="D2502" i="1" a="1"/>
  <c r="D2502" i="1" s="1"/>
  <c r="D2503" i="1" a="1"/>
  <c r="D2503" i="1" s="1"/>
  <c r="D2504" i="1" a="1"/>
  <c r="D2504" i="1" s="1"/>
  <c r="D2505" i="1" a="1"/>
  <c r="D2505" i="1" s="1"/>
  <c r="D2506" i="1" a="1"/>
  <c r="D2506" i="1" s="1"/>
  <c r="D2507" i="1" a="1"/>
  <c r="D2507" i="1" s="1"/>
  <c r="D2508" i="1" a="1"/>
  <c r="D2508" i="1"/>
  <c r="D2509" i="1" a="1"/>
  <c r="D2509" i="1" s="1"/>
  <c r="D2510" i="1" a="1"/>
  <c r="D2510" i="1" s="1"/>
  <c r="D2511" i="1" a="1"/>
  <c r="D2511" i="1" s="1"/>
  <c r="D2512" i="1" a="1"/>
  <c r="D2512" i="1"/>
  <c r="D2513" i="1" a="1"/>
  <c r="D2513" i="1"/>
  <c r="D2514" i="1" a="1"/>
  <c r="D2514" i="1" s="1"/>
  <c r="D2515" i="1" a="1"/>
  <c r="D2515" i="1"/>
  <c r="D2516" i="1" a="1"/>
  <c r="D2516" i="1" s="1"/>
  <c r="D2517" i="1" a="1"/>
  <c r="D2517" i="1"/>
  <c r="D2518" i="1" a="1"/>
  <c r="D2518" i="1"/>
  <c r="D2519" i="1" a="1"/>
  <c r="D2519" i="1" s="1"/>
  <c r="D2520" i="1" a="1"/>
  <c r="D2520" i="1" s="1"/>
  <c r="D2521" i="1" a="1"/>
  <c r="D2521" i="1"/>
  <c r="D2522" i="1" a="1"/>
  <c r="D2522" i="1" s="1"/>
  <c r="D2523" i="1" a="1"/>
  <c r="D2523" i="1" s="1"/>
  <c r="D2524" i="1" a="1"/>
  <c r="D2524" i="1" s="1"/>
  <c r="D2525" i="1" a="1"/>
  <c r="D2525" i="1" s="1"/>
  <c r="D2526" i="1" a="1"/>
  <c r="D2526" i="1" s="1"/>
  <c r="D2527" i="1" a="1"/>
  <c r="D2527" i="1" s="1"/>
  <c r="D2528" i="1" a="1"/>
  <c r="D2528" i="1" s="1"/>
  <c r="D2529" i="1" a="1"/>
  <c r="D2529" i="1" s="1"/>
  <c r="D2530" i="1" a="1"/>
  <c r="D2530" i="1" s="1"/>
  <c r="D2531" i="1" a="1"/>
  <c r="D2531" i="1" s="1"/>
  <c r="D2532" i="1" a="1"/>
  <c r="D2532" i="1" s="1"/>
  <c r="D2533" i="1" a="1"/>
  <c r="D2533" i="1"/>
  <c r="D2534" i="1" a="1"/>
  <c r="D2534" i="1"/>
  <c r="D2535" i="1" a="1"/>
  <c r="D2535" i="1" s="1"/>
  <c r="D2536" i="1" a="1"/>
  <c r="D2536" i="1"/>
  <c r="D2537" i="1" a="1"/>
  <c r="D2537" i="1" s="1"/>
  <c r="D2538" i="1" a="1"/>
  <c r="D2538" i="1"/>
  <c r="D2539" i="1" a="1"/>
  <c r="D2539" i="1"/>
  <c r="D2540" i="1" a="1"/>
  <c r="D2540" i="1" s="1"/>
  <c r="D2541" i="1" a="1"/>
  <c r="D2541" i="1" s="1"/>
  <c r="D2542" i="1" a="1"/>
  <c r="D2542" i="1" s="1"/>
  <c r="D2543" i="1" a="1"/>
  <c r="D2543" i="1"/>
  <c r="D2544" i="1" a="1"/>
  <c r="D2544" i="1" s="1"/>
  <c r="D2545" i="1" a="1"/>
  <c r="D2545" i="1" s="1"/>
  <c r="D2546" i="1" a="1"/>
  <c r="D2546" i="1" s="1"/>
  <c r="D2547" i="1" a="1"/>
  <c r="D2547" i="1" s="1"/>
  <c r="D2548" i="1" a="1"/>
  <c r="D2548" i="1" s="1"/>
  <c r="D2549" i="1" a="1"/>
  <c r="D2549" i="1" s="1"/>
  <c r="D2550" i="1" a="1"/>
  <c r="D2550" i="1" s="1"/>
  <c r="D2551" i="1" a="1"/>
  <c r="D2551" i="1" s="1"/>
  <c r="D2552" i="1" a="1"/>
  <c r="D2552" i="1"/>
  <c r="D2553" i="1" a="1"/>
  <c r="D2553" i="1" s="1"/>
  <c r="D2554" i="1" a="1"/>
  <c r="D2554" i="1" s="1"/>
  <c r="D2555" i="1" a="1"/>
  <c r="D2555" i="1" s="1"/>
  <c r="D2556" i="1" a="1"/>
  <c r="D2556" i="1" s="1"/>
  <c r="D2557" i="1" a="1"/>
  <c r="D2557" i="1"/>
  <c r="D2558" i="1" a="1"/>
  <c r="D2558" i="1" s="1"/>
  <c r="D2559" i="1" a="1"/>
  <c r="D2559" i="1" s="1"/>
  <c r="D2560" i="1" a="1"/>
  <c r="D2560" i="1" s="1"/>
  <c r="D2561" i="1" a="1"/>
  <c r="D2561" i="1" s="1"/>
  <c r="D2562" i="1" a="1"/>
  <c r="D2562" i="1" s="1"/>
  <c r="D2563" i="1" a="1"/>
  <c r="D2563" i="1" s="1"/>
  <c r="D2564" i="1" a="1"/>
  <c r="D2564" i="1" s="1"/>
  <c r="D2565" i="1" a="1"/>
  <c r="D2565" i="1" s="1"/>
  <c r="D2566" i="1" a="1"/>
  <c r="D2566" i="1" s="1"/>
  <c r="D2567" i="1" a="1"/>
  <c r="D2567" i="1" s="1"/>
  <c r="D2568" i="1" a="1"/>
  <c r="D2568" i="1" s="1"/>
  <c r="D2569" i="1" a="1"/>
  <c r="D2569" i="1" s="1"/>
  <c r="D2570" i="1" a="1"/>
  <c r="D2570" i="1" s="1"/>
  <c r="D2571" i="1" a="1"/>
  <c r="D2571" i="1" s="1"/>
  <c r="D2572" i="1" a="1"/>
  <c r="D2572" i="1" s="1"/>
  <c r="D2573" i="1" a="1"/>
  <c r="D2573" i="1"/>
  <c r="D2574" i="1" a="1"/>
  <c r="D2574" i="1" s="1"/>
  <c r="D2575" i="1" a="1"/>
  <c r="D2575" i="1" s="1"/>
  <c r="D2576" i="1" a="1"/>
  <c r="D2576" i="1" s="1"/>
  <c r="D2577" i="1" a="1"/>
  <c r="D2577" i="1" s="1"/>
  <c r="D2578" i="1" a="1"/>
  <c r="D2578" i="1" s="1"/>
  <c r="D2579" i="1" a="1"/>
  <c r="D2579" i="1" s="1"/>
  <c r="D2580" i="1" a="1"/>
  <c r="D2580" i="1" s="1"/>
  <c r="D2581" i="1" a="1"/>
  <c r="D2581" i="1" s="1"/>
  <c r="D2582" i="1" a="1"/>
  <c r="D2582" i="1" s="1"/>
  <c r="D2583" i="1" a="1"/>
  <c r="D2583" i="1" s="1"/>
  <c r="D2584" i="1" a="1"/>
  <c r="D2584" i="1" s="1"/>
  <c r="D2585" i="1" a="1"/>
  <c r="D2585" i="1" s="1"/>
  <c r="D2586" i="1" a="1"/>
  <c r="D2586" i="1" s="1"/>
  <c r="D2587" i="1" a="1"/>
  <c r="D2587" i="1"/>
  <c r="D2588" i="1" a="1"/>
  <c r="D2588" i="1" s="1"/>
  <c r="D2589" i="1" a="1"/>
  <c r="D2589" i="1" s="1"/>
  <c r="D2590" i="1" a="1"/>
  <c r="D2590" i="1" s="1"/>
  <c r="D2591" i="1" a="1"/>
  <c r="D2591" i="1" s="1"/>
  <c r="D2592" i="1" a="1"/>
  <c r="D2592" i="1" s="1"/>
  <c r="D2593" i="1" a="1"/>
  <c r="D2593" i="1" s="1"/>
  <c r="D2594" i="1" a="1"/>
  <c r="D2594" i="1" s="1"/>
  <c r="D2595" i="1" a="1"/>
  <c r="D2595" i="1" s="1"/>
  <c r="D2596" i="1" a="1"/>
  <c r="D2596" i="1"/>
  <c r="D2597" i="1" a="1"/>
  <c r="D2597" i="1" s="1"/>
  <c r="D2598" i="1" a="1"/>
  <c r="D2598" i="1" s="1"/>
  <c r="D2599" i="1" a="1"/>
  <c r="D2599" i="1" s="1"/>
  <c r="D2600" i="1" a="1"/>
  <c r="D2600" i="1" s="1"/>
  <c r="D2601" i="1" a="1"/>
  <c r="D2601" i="1"/>
  <c r="D2602" i="1" a="1"/>
  <c r="D2602" i="1"/>
  <c r="D2603" i="1" a="1"/>
  <c r="D2603" i="1" s="1"/>
  <c r="D2604" i="1" a="1"/>
  <c r="D2604" i="1" s="1"/>
  <c r="D2605" i="1" a="1"/>
  <c r="D2605" i="1" s="1"/>
  <c r="D2606" i="1" a="1"/>
  <c r="D2606" i="1"/>
  <c r="D2607" i="1" a="1"/>
  <c r="D2607" i="1" s="1"/>
  <c r="D2608" i="1" a="1"/>
  <c r="D2608" i="1" s="1"/>
  <c r="D2609" i="1" a="1"/>
  <c r="D2609" i="1" s="1"/>
  <c r="D2610" i="1" a="1"/>
  <c r="D2610" i="1" s="1"/>
  <c r="D2611" i="1" a="1"/>
  <c r="D2611" i="1" s="1"/>
  <c r="D2612" i="1" a="1"/>
  <c r="D2612" i="1"/>
  <c r="D2613" i="1" a="1"/>
  <c r="D2613" i="1" s="1"/>
  <c r="D2614" i="1" a="1"/>
  <c r="D2614" i="1" s="1"/>
  <c r="D2615" i="1" a="1"/>
  <c r="D2615" i="1" s="1"/>
  <c r="D2616" i="1" a="1"/>
  <c r="D2616" i="1" s="1"/>
  <c r="D2617" i="1" a="1"/>
  <c r="D2617" i="1"/>
  <c r="D2618" i="1" a="1"/>
  <c r="D2618" i="1" s="1"/>
  <c r="D2619" i="1" a="1"/>
  <c r="D2619" i="1" s="1"/>
  <c r="D2620" i="1" a="1"/>
  <c r="D2620" i="1" s="1"/>
  <c r="D2621" i="1" a="1"/>
  <c r="D2621" i="1" s="1"/>
  <c r="D2622" i="1" a="1"/>
  <c r="D2622" i="1" s="1"/>
  <c r="D2623" i="1" a="1"/>
  <c r="D2623" i="1" s="1"/>
  <c r="D2624" i="1" a="1"/>
  <c r="D2624" i="1" s="1"/>
  <c r="D2625" i="1" a="1"/>
  <c r="D2625" i="1"/>
  <c r="D2626" i="1" a="1"/>
  <c r="D2626" i="1" s="1"/>
  <c r="D2627" i="1" a="1"/>
  <c r="D2627" i="1"/>
  <c r="D2628" i="1" a="1"/>
  <c r="D2628" i="1" s="1"/>
  <c r="D2629" i="1" a="1"/>
  <c r="D2629" i="1" s="1"/>
  <c r="D2630" i="1" a="1"/>
  <c r="D2630" i="1" s="1"/>
  <c r="D2631" i="1" a="1"/>
  <c r="D2631" i="1"/>
  <c r="D2632" i="1" a="1"/>
  <c r="D2632" i="1" s="1"/>
  <c r="D2633" i="1" a="1"/>
  <c r="D2633" i="1" s="1"/>
  <c r="D2634" i="1" a="1"/>
  <c r="D2634" i="1" s="1"/>
  <c r="D2635" i="1" a="1"/>
  <c r="D2635" i="1" s="1"/>
  <c r="D2636" i="1" a="1"/>
  <c r="D2636" i="1" s="1"/>
  <c r="D2637" i="1" a="1"/>
  <c r="D2637" i="1" s="1"/>
  <c r="D2638" i="1" a="1"/>
  <c r="D2638" i="1" s="1"/>
  <c r="D2639" i="1" a="1"/>
  <c r="D2639" i="1" s="1"/>
  <c r="D2640" i="1" a="1"/>
  <c r="D2640" i="1" s="1"/>
  <c r="D2641" i="1" a="1"/>
  <c r="D2641" i="1" s="1"/>
  <c r="D2642" i="1" a="1"/>
  <c r="D2642" i="1" s="1"/>
  <c r="D2643" i="1" a="1"/>
  <c r="D2643" i="1" s="1"/>
  <c r="D2644" i="1" a="1"/>
  <c r="D2644" i="1" s="1"/>
  <c r="D2645" i="1" a="1"/>
  <c r="D2645" i="1" s="1"/>
  <c r="D2646" i="1" a="1"/>
  <c r="D2646" i="1" s="1"/>
  <c r="D2647" i="1" a="1"/>
  <c r="D2647" i="1" s="1"/>
  <c r="D2648" i="1" a="1"/>
  <c r="D2648" i="1" s="1"/>
  <c r="D2649" i="1" a="1"/>
  <c r="D2649" i="1" s="1"/>
  <c r="D2650" i="1" a="1"/>
  <c r="D2650" i="1"/>
  <c r="D2651" i="1" a="1"/>
  <c r="D2651" i="1" s="1"/>
  <c r="D2652" i="1" a="1"/>
  <c r="D2652" i="1" s="1"/>
  <c r="D2653" i="1" a="1"/>
  <c r="D2653" i="1" s="1"/>
  <c r="D2654" i="1" a="1"/>
  <c r="D2654" i="1" s="1"/>
  <c r="D2655" i="1" a="1"/>
  <c r="D2655" i="1" s="1"/>
  <c r="D2656" i="1" a="1"/>
  <c r="D2656" i="1" s="1"/>
  <c r="D2657" i="1" a="1"/>
  <c r="D2657" i="1" s="1"/>
  <c r="D2658" i="1" a="1"/>
  <c r="D2658" i="1" s="1"/>
  <c r="D2659" i="1" a="1"/>
  <c r="D2659" i="1" s="1"/>
  <c r="D2660" i="1" a="1"/>
  <c r="D2660" i="1" s="1"/>
  <c r="D2661" i="1" a="1"/>
  <c r="D2661" i="1" s="1"/>
  <c r="D2662" i="1" a="1"/>
  <c r="D2662" i="1" s="1"/>
  <c r="D2663" i="1" a="1"/>
  <c r="D2663" i="1" s="1"/>
  <c r="D2664" i="1" a="1"/>
  <c r="D2664" i="1" s="1"/>
  <c r="D2665" i="1" a="1"/>
  <c r="D2665" i="1" s="1"/>
  <c r="D2666" i="1" a="1"/>
  <c r="D2666" i="1" s="1"/>
  <c r="D2667" i="1" a="1"/>
  <c r="D2667" i="1" s="1"/>
  <c r="D2668" i="1" a="1"/>
  <c r="D2668" i="1" s="1"/>
  <c r="D2669" i="1" a="1"/>
  <c r="D2669" i="1" s="1"/>
  <c r="D2670" i="1" a="1"/>
  <c r="D2670" i="1"/>
  <c r="D2671" i="1" a="1"/>
  <c r="D2671" i="1"/>
  <c r="D2672" i="1" a="1"/>
  <c r="D2672" i="1" s="1"/>
  <c r="D2673" i="1" a="1"/>
  <c r="D2673" i="1" s="1"/>
  <c r="D2674" i="1" a="1"/>
  <c r="D2674" i="1" s="1"/>
  <c r="D2675" i="1" a="1"/>
  <c r="D2675" i="1" s="1"/>
  <c r="D2676" i="1" a="1"/>
  <c r="D2676" i="1" s="1"/>
  <c r="D2677" i="1" a="1"/>
  <c r="D2677" i="1" s="1"/>
  <c r="D2678" i="1" a="1"/>
  <c r="D2678" i="1" s="1"/>
  <c r="D2679" i="1" a="1"/>
  <c r="D2679" i="1"/>
  <c r="D2680" i="1" a="1"/>
  <c r="D2680" i="1" s="1"/>
  <c r="D2681" i="1" a="1"/>
  <c r="D2681" i="1" s="1"/>
  <c r="D2682" i="1" a="1"/>
  <c r="D2682" i="1" s="1"/>
  <c r="D2683" i="1" a="1"/>
  <c r="D2683" i="1" s="1"/>
  <c r="D2684" i="1" a="1"/>
  <c r="D2684" i="1" s="1"/>
  <c r="D2685" i="1" a="1"/>
  <c r="D2685" i="1" s="1"/>
  <c r="D2686" i="1" a="1"/>
  <c r="D2686" i="1" s="1"/>
  <c r="D2687" i="1" a="1"/>
  <c r="D2687" i="1" s="1"/>
  <c r="D2688" i="1" a="1"/>
  <c r="D2688" i="1" s="1"/>
  <c r="D2689" i="1" a="1"/>
  <c r="D2689" i="1" s="1"/>
  <c r="D2690" i="1" a="1"/>
  <c r="D2690" i="1"/>
  <c r="D2691" i="1" a="1"/>
  <c r="D2691" i="1" s="1"/>
  <c r="D2692" i="1" a="1"/>
  <c r="D2692" i="1" s="1"/>
  <c r="D2693" i="1" a="1"/>
  <c r="D2693" i="1" s="1"/>
  <c r="D2694" i="1" a="1"/>
  <c r="D2694" i="1" s="1"/>
  <c r="D2695" i="1" a="1"/>
  <c r="D2695" i="1" s="1"/>
  <c r="D2696" i="1" a="1"/>
  <c r="D2696" i="1"/>
  <c r="D2697" i="1" a="1"/>
  <c r="D2697" i="1" s="1"/>
  <c r="D2698" i="1" a="1"/>
  <c r="D2698" i="1" s="1"/>
  <c r="D2699" i="1" a="1"/>
  <c r="D2699" i="1" s="1"/>
  <c r="D2700" i="1" a="1"/>
  <c r="D2700" i="1"/>
  <c r="D2701" i="1" a="1"/>
  <c r="D2701" i="1" s="1"/>
  <c r="D2702" i="1" a="1"/>
  <c r="D2702" i="1" s="1"/>
  <c r="D2703" i="1" a="1"/>
  <c r="D2703" i="1" s="1"/>
  <c r="D2704" i="1" a="1"/>
  <c r="D2704" i="1" s="1"/>
  <c r="D2705" i="1" a="1"/>
  <c r="D2705" i="1" s="1"/>
  <c r="D2706" i="1" a="1"/>
  <c r="D2706" i="1"/>
  <c r="D2707" i="1" a="1"/>
  <c r="D2707" i="1" s="1"/>
  <c r="D2708" i="1" a="1"/>
  <c r="D2708" i="1" s="1"/>
  <c r="D2709" i="1" a="1"/>
  <c r="D2709" i="1" s="1"/>
  <c r="D2710" i="1" a="1"/>
  <c r="D2710" i="1" s="1"/>
  <c r="D2711" i="1" a="1"/>
  <c r="D2711" i="1"/>
  <c r="D2712" i="1" a="1"/>
  <c r="D2712" i="1" s="1"/>
  <c r="D2713" i="1" a="1"/>
  <c r="D2713" i="1" s="1"/>
  <c r="D2714" i="1" a="1"/>
  <c r="D2714" i="1" s="1"/>
  <c r="D2715" i="1" a="1"/>
  <c r="D2715" i="1"/>
  <c r="D2716" i="1" a="1"/>
  <c r="D2716" i="1" s="1"/>
  <c r="D2717" i="1" a="1"/>
  <c r="D2717" i="1" s="1"/>
  <c r="D2718" i="1" a="1"/>
  <c r="D2718" i="1" s="1"/>
  <c r="D2719" i="1" a="1"/>
  <c r="D2719" i="1" s="1"/>
  <c r="D2720" i="1" a="1"/>
  <c r="D2720" i="1" s="1"/>
  <c r="D2721" i="1" a="1"/>
  <c r="D2721" i="1" s="1"/>
  <c r="D2722" i="1" a="1"/>
  <c r="D2722" i="1" s="1"/>
  <c r="D2723" i="1" a="1"/>
  <c r="D2723" i="1" s="1"/>
  <c r="D2724" i="1" a="1"/>
  <c r="D2724" i="1" s="1"/>
  <c r="D2725" i="1" a="1"/>
  <c r="D2725" i="1" s="1"/>
  <c r="D2726" i="1" a="1"/>
  <c r="D2726" i="1" s="1"/>
  <c r="D2727" i="1" a="1"/>
  <c r="D2727" i="1" s="1"/>
  <c r="D2728" i="1" a="1"/>
  <c r="D2728" i="1" s="1"/>
  <c r="D2729" i="1" a="1"/>
  <c r="D2729" i="1" s="1"/>
  <c r="D2730" i="1" a="1"/>
  <c r="D2730" i="1" s="1"/>
  <c r="D2731" i="1" a="1"/>
  <c r="D2731" i="1" s="1"/>
  <c r="D2732" i="1" a="1"/>
  <c r="D2732" i="1"/>
  <c r="D2733" i="1" a="1"/>
  <c r="D2733" i="1" s="1"/>
  <c r="D2734" i="1" a="1"/>
  <c r="D2734" i="1" s="1"/>
  <c r="D2735" i="1" a="1"/>
  <c r="D2735" i="1" s="1"/>
  <c r="D2736" i="1" a="1"/>
  <c r="D2736" i="1" s="1"/>
  <c r="D2737" i="1" a="1"/>
  <c r="D2737" i="1" s="1"/>
  <c r="D2738" i="1" a="1"/>
  <c r="D2738" i="1"/>
  <c r="D2739" i="1" a="1"/>
  <c r="D2739" i="1"/>
  <c r="D2740" i="1" a="1"/>
  <c r="D2740" i="1" s="1"/>
  <c r="D2741" i="1" a="1"/>
  <c r="D2741" i="1" s="1"/>
  <c r="D2742" i="1" a="1"/>
  <c r="D2742" i="1"/>
  <c r="D2743" i="1" a="1"/>
  <c r="D2743" i="1" s="1"/>
  <c r="D2744" i="1" a="1"/>
  <c r="D2744" i="1" s="1"/>
  <c r="D2745" i="1" a="1"/>
  <c r="D2745" i="1" s="1"/>
  <c r="D2746" i="1" a="1"/>
  <c r="D2746" i="1" s="1"/>
  <c r="D2747" i="1" a="1"/>
  <c r="D2747" i="1" s="1"/>
  <c r="D2748" i="1" a="1"/>
  <c r="D2748" i="1"/>
  <c r="D2749" i="1" a="1"/>
  <c r="D2749" i="1" s="1"/>
  <c r="D2750" i="1" a="1"/>
  <c r="D2750" i="1" s="1"/>
  <c r="D2751" i="1" a="1"/>
  <c r="D2751" i="1" s="1"/>
  <c r="D2752" i="1" a="1"/>
  <c r="D2752" i="1" s="1"/>
  <c r="D2753" i="1" a="1"/>
  <c r="D2753" i="1" s="1"/>
  <c r="D2754" i="1" a="1"/>
  <c r="D2754" i="1" s="1"/>
  <c r="D2755" i="1" a="1"/>
  <c r="D2755" i="1" s="1"/>
  <c r="D2756" i="1" a="1"/>
  <c r="D2756" i="1" s="1"/>
  <c r="D2757" i="1" a="1"/>
  <c r="D2757" i="1"/>
  <c r="D2758" i="1" a="1"/>
  <c r="D2758" i="1" s="1"/>
  <c r="D2759" i="1" a="1"/>
  <c r="D2759" i="1" s="1"/>
  <c r="D2760" i="1" a="1"/>
  <c r="D2760" i="1" s="1"/>
  <c r="D2761" i="1" a="1"/>
  <c r="D2761" i="1" s="1"/>
  <c r="D2762" i="1" a="1"/>
  <c r="D2762" i="1" s="1"/>
  <c r="D2763" i="1" a="1"/>
  <c r="D2763" i="1" s="1"/>
  <c r="D2764" i="1" a="1"/>
  <c r="D2764" i="1" s="1"/>
  <c r="D2765" i="1" a="1"/>
  <c r="D2765" i="1"/>
  <c r="D2766" i="1" a="1"/>
  <c r="D2766" i="1"/>
  <c r="D2767" i="1" a="1"/>
  <c r="D2767" i="1" s="1"/>
  <c r="D2768" i="1" a="1"/>
  <c r="D2768" i="1" s="1"/>
  <c r="D2769" i="1" a="1"/>
  <c r="D2769" i="1" s="1"/>
  <c r="D2770" i="1" a="1"/>
  <c r="D2770" i="1" s="1"/>
  <c r="D2771" i="1" a="1"/>
  <c r="D2771" i="1" s="1"/>
  <c r="D2772" i="1" a="1"/>
  <c r="D2772" i="1" s="1"/>
  <c r="D2773" i="1" a="1"/>
  <c r="D2773" i="1" s="1"/>
  <c r="D2774" i="1" a="1"/>
  <c r="D2774" i="1"/>
  <c r="D2775" i="1" a="1"/>
  <c r="D2775" i="1" s="1"/>
  <c r="D2776" i="1" a="1"/>
  <c r="D2776" i="1" s="1"/>
  <c r="D2777" i="1" a="1"/>
  <c r="D2777" i="1" s="1"/>
  <c r="D2778" i="1" a="1"/>
  <c r="D2778" i="1" s="1"/>
  <c r="D2779" i="1" a="1"/>
  <c r="D2779" i="1" s="1"/>
  <c r="D2780" i="1" a="1"/>
  <c r="D2780" i="1" s="1"/>
  <c r="D2781" i="1" a="1"/>
  <c r="D2781" i="1" s="1"/>
  <c r="D2782" i="1" a="1"/>
  <c r="D2782" i="1" s="1"/>
  <c r="D2783" i="1" a="1"/>
  <c r="D2783" i="1" s="1"/>
  <c r="D2784" i="1" a="1"/>
  <c r="D2784" i="1" s="1"/>
  <c r="D2785" i="1" a="1"/>
  <c r="D2785" i="1"/>
  <c r="D2786" i="1" a="1"/>
  <c r="D2786" i="1"/>
  <c r="D2787" i="1" a="1"/>
  <c r="D2787" i="1"/>
  <c r="D2788" i="1" a="1"/>
  <c r="D2788" i="1" s="1"/>
  <c r="D2789" i="1" a="1"/>
  <c r="D2789" i="1" s="1"/>
  <c r="D2790" i="1" a="1"/>
  <c r="D2790" i="1" s="1"/>
  <c r="D2791" i="1" a="1"/>
  <c r="D2791" i="1" s="1"/>
  <c r="D2792" i="1" a="1"/>
  <c r="D2792" i="1" s="1"/>
  <c r="D2793" i="1" a="1"/>
  <c r="D2793" i="1" s="1"/>
  <c r="D2794" i="1" a="1"/>
  <c r="D2794" i="1" s="1"/>
  <c r="D2795" i="1" a="1"/>
  <c r="D2795" i="1" s="1"/>
  <c r="D2796" i="1" a="1"/>
  <c r="D2796" i="1" s="1"/>
  <c r="D2797" i="1" a="1"/>
  <c r="D2797" i="1" s="1"/>
  <c r="D2798" i="1" a="1"/>
  <c r="D2798" i="1" s="1"/>
  <c r="D2799" i="1" a="1"/>
  <c r="D2799" i="1"/>
  <c r="D2800" i="1" a="1"/>
  <c r="D2800" i="1" s="1"/>
  <c r="D2801" i="1" a="1"/>
  <c r="D2801" i="1" s="1"/>
  <c r="D2802" i="1" a="1"/>
  <c r="D2802" i="1" s="1"/>
  <c r="D2803" i="1" a="1"/>
  <c r="D2803" i="1" s="1"/>
  <c r="D2804" i="1" a="1"/>
  <c r="D2804" i="1" s="1"/>
  <c r="D2805" i="1" a="1"/>
  <c r="D2805" i="1" s="1"/>
  <c r="D2806" i="1" a="1"/>
  <c r="D2806" i="1" s="1"/>
  <c r="D2807" i="1" a="1"/>
  <c r="D2807" i="1" s="1"/>
  <c r="D2808" i="1" a="1"/>
  <c r="D2808" i="1" s="1"/>
  <c r="D2809" i="1" a="1"/>
  <c r="D2809" i="1" s="1"/>
  <c r="D2810" i="1" a="1"/>
  <c r="D2810" i="1" s="1"/>
  <c r="D2811" i="1" a="1"/>
  <c r="D2811" i="1" s="1"/>
  <c r="D2812" i="1" a="1"/>
  <c r="D2812" i="1" s="1"/>
  <c r="D2813" i="1" a="1"/>
  <c r="D2813" i="1" s="1"/>
  <c r="D2814" i="1" a="1"/>
  <c r="D2814" i="1" s="1"/>
  <c r="D2815" i="1" a="1"/>
  <c r="D2815" i="1" s="1"/>
  <c r="D2816" i="1" a="1"/>
  <c r="D2816" i="1" s="1"/>
  <c r="D2817" i="1" a="1"/>
  <c r="D2817" i="1" s="1"/>
  <c r="D2818" i="1" a="1"/>
  <c r="D2818" i="1" s="1"/>
  <c r="D2819" i="1" a="1"/>
  <c r="D2819" i="1" s="1"/>
  <c r="D2820" i="1" a="1"/>
  <c r="D2820" i="1" s="1"/>
  <c r="D2821" i="1" a="1"/>
  <c r="D2821" i="1" s="1"/>
  <c r="D2822" i="1" a="1"/>
  <c r="D2822" i="1" s="1"/>
  <c r="D2823" i="1" a="1"/>
  <c r="D2823" i="1" s="1"/>
  <c r="D2824" i="1" a="1"/>
  <c r="D2824" i="1"/>
  <c r="D2825" i="1" a="1"/>
  <c r="D2825" i="1"/>
  <c r="D2826" i="1" a="1"/>
  <c r="D2826" i="1" s="1"/>
  <c r="D2827" i="1" a="1"/>
  <c r="D2827" i="1" s="1"/>
  <c r="D2828" i="1" a="1"/>
  <c r="D2828" i="1" s="1"/>
  <c r="D2829" i="1" a="1"/>
  <c r="D2829" i="1" s="1"/>
  <c r="D2830" i="1" a="1"/>
  <c r="D2830" i="1" s="1"/>
  <c r="D2831" i="1" a="1"/>
  <c r="D2831" i="1" s="1"/>
  <c r="D2832" i="1" a="1"/>
  <c r="D2832" i="1"/>
  <c r="D2833" i="1" a="1"/>
  <c r="D2833" i="1" s="1"/>
  <c r="D2834" i="1" a="1"/>
  <c r="D2834" i="1"/>
  <c r="D2835" i="1" a="1"/>
  <c r="D2835" i="1" s="1"/>
  <c r="D2836" i="1" a="1"/>
  <c r="D2836" i="1" s="1"/>
  <c r="D2837" i="1" a="1"/>
  <c r="D2837" i="1"/>
  <c r="D2838" i="1" a="1"/>
  <c r="D2838" i="1" s="1"/>
  <c r="D2839" i="1" a="1"/>
  <c r="D2839" i="1" s="1"/>
  <c r="D2840" i="1" a="1"/>
  <c r="D2840" i="1" s="1"/>
  <c r="D2841" i="1" a="1"/>
  <c r="D2841" i="1" s="1"/>
  <c r="D2842" i="1" a="1"/>
  <c r="D2842" i="1" s="1"/>
  <c r="D2843" i="1" a="1"/>
  <c r="D2843" i="1" s="1"/>
  <c r="D2844" i="1" a="1"/>
  <c r="D2844" i="1" s="1"/>
  <c r="D2845" i="1" a="1"/>
  <c r="D2845" i="1"/>
  <c r="D2846" i="1" a="1"/>
  <c r="D2846" i="1" s="1"/>
  <c r="D2847" i="1" a="1"/>
  <c r="D2847" i="1" s="1"/>
  <c r="D2848" i="1" a="1"/>
  <c r="D2848" i="1" s="1"/>
  <c r="D2849" i="1" a="1"/>
  <c r="D2849" i="1" s="1"/>
  <c r="D2850" i="1" a="1"/>
  <c r="D2850" i="1" s="1"/>
  <c r="D2851" i="1" a="1"/>
  <c r="D2851" i="1" s="1"/>
  <c r="D2852" i="1" a="1"/>
  <c r="D2852" i="1" s="1"/>
  <c r="D2853" i="1" a="1"/>
  <c r="D2853" i="1" s="1"/>
  <c r="D2854" i="1" a="1"/>
  <c r="D2854" i="1" s="1"/>
  <c r="D2855" i="1" a="1"/>
  <c r="D2855" i="1" s="1"/>
  <c r="D2856" i="1" a="1"/>
  <c r="D2856" i="1" s="1"/>
  <c r="D2857" i="1" a="1"/>
  <c r="D2857" i="1" s="1"/>
  <c r="D2858" i="1" a="1"/>
  <c r="D2858" i="1" s="1"/>
  <c r="D2859" i="1" a="1"/>
  <c r="D2859" i="1" s="1"/>
  <c r="D2860" i="1" a="1"/>
  <c r="D2860" i="1" s="1"/>
  <c r="D2861" i="1" a="1"/>
  <c r="D2861" i="1" s="1"/>
  <c r="D2862" i="1" a="1"/>
  <c r="D2862" i="1" s="1"/>
  <c r="D2863" i="1" a="1"/>
  <c r="D2863" i="1" s="1"/>
  <c r="D2864" i="1" a="1"/>
  <c r="D2864" i="1" s="1"/>
  <c r="D2865" i="1" a="1"/>
  <c r="D2865" i="1" s="1"/>
  <c r="D2866" i="1" a="1"/>
  <c r="D2866" i="1" s="1"/>
  <c r="D2867" i="1" a="1"/>
  <c r="D2867" i="1" s="1"/>
  <c r="D2868" i="1" a="1"/>
  <c r="D2868" i="1" s="1"/>
  <c r="D2869" i="1" a="1"/>
  <c r="D2869" i="1"/>
  <c r="D2870" i="1" a="1"/>
  <c r="D2870" i="1"/>
  <c r="D2871" i="1" a="1"/>
  <c r="D2871" i="1"/>
  <c r="D2872" i="1" a="1"/>
  <c r="D2872" i="1" s="1"/>
  <c r="D2873" i="1" a="1"/>
  <c r="D2873" i="1" s="1"/>
  <c r="D2874" i="1" a="1"/>
  <c r="D2874" i="1" s="1"/>
  <c r="D2875" i="1" a="1"/>
  <c r="D2875" i="1" s="1"/>
  <c r="D2876" i="1" a="1"/>
  <c r="D2876" i="1" s="1"/>
  <c r="D2877" i="1" a="1"/>
  <c r="D2877" i="1" s="1"/>
  <c r="D2878" i="1" a="1"/>
  <c r="D2878" i="1" s="1"/>
  <c r="D2879" i="1" a="1"/>
  <c r="D2879" i="1"/>
  <c r="D2880" i="1" a="1"/>
  <c r="D2880" i="1" s="1"/>
  <c r="D2881" i="1" a="1"/>
  <c r="D2881" i="1" s="1"/>
  <c r="D2882" i="1" a="1"/>
  <c r="D2882" i="1" s="1"/>
  <c r="D2883" i="1" a="1"/>
  <c r="D2883" i="1" s="1"/>
  <c r="D2884" i="1" a="1"/>
  <c r="D2884" i="1" s="1"/>
  <c r="D2885" i="1" a="1"/>
  <c r="D2885" i="1" s="1"/>
  <c r="D2886" i="1" a="1"/>
  <c r="D2886" i="1" s="1"/>
  <c r="D2887" i="1" a="1"/>
  <c r="D2887" i="1" s="1"/>
  <c r="D2888" i="1" a="1"/>
  <c r="D2888" i="1" s="1"/>
  <c r="D2889" i="1" a="1"/>
  <c r="D2889" i="1" s="1"/>
  <c r="D2890" i="1" a="1"/>
  <c r="D2890" i="1" s="1"/>
  <c r="D2891" i="1" a="1"/>
  <c r="D2891" i="1" s="1"/>
  <c r="D2892" i="1" a="1"/>
  <c r="D2892" i="1"/>
  <c r="D2893" i="1" a="1"/>
  <c r="D2893" i="1" s="1"/>
  <c r="D2894" i="1" a="1"/>
  <c r="D2894" i="1" s="1"/>
  <c r="D2895" i="1" a="1"/>
  <c r="D2895" i="1" s="1"/>
  <c r="D2896" i="1" a="1"/>
  <c r="D2896" i="1" s="1"/>
  <c r="D2897" i="1" a="1"/>
  <c r="D2897" i="1" s="1"/>
  <c r="D2898" i="1" a="1"/>
  <c r="D2898" i="1" s="1"/>
  <c r="D2899" i="1" a="1"/>
  <c r="D2899" i="1" s="1"/>
  <c r="D2900" i="1" a="1"/>
  <c r="D2900" i="1" s="1"/>
  <c r="D2901" i="1" a="1"/>
  <c r="D2901" i="1" s="1"/>
  <c r="D2902" i="1" a="1"/>
  <c r="D2902" i="1" s="1"/>
  <c r="D2903" i="1" a="1"/>
  <c r="D2903" i="1" s="1"/>
  <c r="D2904" i="1" a="1"/>
  <c r="D2904" i="1" s="1"/>
  <c r="D2905" i="1" a="1"/>
  <c r="D2905" i="1" s="1"/>
  <c r="D2906" i="1" a="1"/>
  <c r="D2906" i="1" s="1"/>
  <c r="D2907" i="1" a="1"/>
  <c r="D2907" i="1" s="1"/>
  <c r="D2908" i="1" a="1"/>
  <c r="D2908" i="1"/>
  <c r="D2909" i="1" a="1"/>
  <c r="D2909" i="1"/>
  <c r="D2910" i="1" a="1"/>
  <c r="D2910" i="1" s="1"/>
  <c r="D2911" i="1" a="1"/>
  <c r="D2911" i="1"/>
  <c r="D2912" i="1" a="1"/>
  <c r="D2912" i="1" s="1"/>
  <c r="D2913" i="1" a="1"/>
  <c r="D2913" i="1" s="1"/>
  <c r="D2914" i="1" a="1"/>
  <c r="D2914" i="1" s="1"/>
  <c r="D2915" i="1" a="1"/>
  <c r="D2915" i="1" s="1"/>
  <c r="D2916" i="1" a="1"/>
  <c r="D2916" i="1" s="1"/>
  <c r="D2917" i="1" a="1"/>
  <c r="D2917" i="1" s="1"/>
  <c r="D2918" i="1" a="1"/>
  <c r="D2918" i="1" s="1"/>
  <c r="D2919" i="1" a="1"/>
  <c r="D2919" i="1" s="1"/>
  <c r="D2920" i="1" a="1"/>
  <c r="D2920" i="1" s="1"/>
  <c r="D2921" i="1" a="1"/>
  <c r="D2921" i="1" s="1"/>
  <c r="D2922" i="1" a="1"/>
  <c r="D2922" i="1" s="1"/>
  <c r="D2923" i="1" a="1"/>
  <c r="D2923" i="1" s="1"/>
  <c r="D2924" i="1" a="1"/>
  <c r="D2924" i="1" s="1"/>
  <c r="D2925" i="1" a="1"/>
  <c r="D2925" i="1" s="1"/>
  <c r="D2926" i="1" a="1"/>
  <c r="D2926" i="1" s="1"/>
  <c r="D2927" i="1" a="1"/>
  <c r="D2927" i="1" s="1"/>
  <c r="D2928" i="1" a="1"/>
  <c r="D2928" i="1" s="1"/>
  <c r="D2929" i="1" a="1"/>
  <c r="D2929" i="1" s="1"/>
  <c r="D2930" i="1" a="1"/>
  <c r="D2930" i="1" s="1"/>
  <c r="D2931" i="1" a="1"/>
  <c r="D2931" i="1" s="1"/>
  <c r="D2932" i="1" a="1"/>
  <c r="D2932" i="1" s="1"/>
  <c r="D2933" i="1" a="1"/>
  <c r="D2933" i="1" s="1"/>
  <c r="D2934" i="1" a="1"/>
  <c r="D2934" i="1" s="1"/>
  <c r="D2935" i="1" a="1"/>
  <c r="D2935" i="1" s="1"/>
  <c r="D2936" i="1" a="1"/>
  <c r="D2936" i="1" s="1"/>
  <c r="D2937" i="1" a="1"/>
  <c r="D2937" i="1" s="1"/>
  <c r="D2938" i="1" a="1"/>
  <c r="D2938" i="1" s="1"/>
  <c r="D2939" i="1" a="1"/>
  <c r="D2939" i="1"/>
  <c r="D2940" i="1" a="1"/>
  <c r="D2940" i="1" s="1"/>
  <c r="D2941" i="1" a="1"/>
  <c r="D2941" i="1" s="1"/>
  <c r="D2942" i="1" a="1"/>
  <c r="D2942" i="1" s="1"/>
  <c r="D2943" i="1" a="1"/>
  <c r="D2943" i="1" s="1"/>
  <c r="D2944" i="1" a="1"/>
  <c r="D2944" i="1" s="1"/>
  <c r="D2945" i="1" a="1"/>
  <c r="D2945" i="1" s="1"/>
  <c r="D2946" i="1" a="1"/>
  <c r="D2946" i="1" s="1"/>
  <c r="D2947" i="1" a="1"/>
  <c r="D2947" i="1" s="1"/>
  <c r="D2948" i="1" a="1"/>
  <c r="D2948" i="1" s="1"/>
  <c r="D2949" i="1" a="1"/>
  <c r="D2949" i="1" s="1"/>
  <c r="D2950" i="1" a="1"/>
  <c r="D2950" i="1"/>
  <c r="D2951" i="1" a="1"/>
  <c r="D2951" i="1" s="1"/>
  <c r="D2952" i="1" a="1"/>
  <c r="D2952" i="1" s="1"/>
  <c r="D2953" i="1" a="1"/>
  <c r="D2953" i="1" s="1"/>
  <c r="D2954" i="1" a="1"/>
  <c r="D2954" i="1" s="1"/>
  <c r="D2955" i="1" a="1"/>
  <c r="D2955" i="1" s="1"/>
  <c r="D2956" i="1" a="1"/>
  <c r="D2956" i="1" s="1"/>
  <c r="D2957" i="1" a="1"/>
  <c r="D2957" i="1"/>
  <c r="D2958" i="1" a="1"/>
  <c r="D2958" i="1" s="1"/>
  <c r="D2959" i="1" a="1"/>
  <c r="D2959" i="1" s="1"/>
  <c r="D2960" i="1" a="1"/>
  <c r="D2960" i="1" s="1"/>
  <c r="D2961" i="1" a="1"/>
  <c r="D2961" i="1" s="1"/>
  <c r="D2962" i="1" a="1"/>
  <c r="D2962" i="1" s="1"/>
  <c r="D2963" i="1" a="1"/>
  <c r="D2963" i="1" s="1"/>
  <c r="D2964" i="1" a="1"/>
  <c r="D2964" i="1" s="1"/>
  <c r="D2965" i="1" a="1"/>
  <c r="D2965" i="1"/>
  <c r="D2966" i="1" a="1"/>
  <c r="D2966" i="1"/>
  <c r="D2967" i="1" a="1"/>
  <c r="D2967" i="1" s="1"/>
  <c r="D2968" i="1" a="1"/>
  <c r="D2968" i="1" s="1"/>
  <c r="D2969" i="1" a="1"/>
  <c r="D2969" i="1" s="1"/>
  <c r="D2970" i="1" a="1"/>
  <c r="D2970" i="1" s="1"/>
  <c r="D2971" i="1" a="1"/>
  <c r="D2971" i="1" s="1"/>
  <c r="D2972" i="1" a="1"/>
  <c r="D2972" i="1"/>
  <c r="D2973" i="1" a="1"/>
  <c r="D2973" i="1" s="1"/>
  <c r="D2974" i="1" a="1"/>
  <c r="D2974" i="1"/>
  <c r="D2975" i="1" a="1"/>
  <c r="D2975" i="1" s="1"/>
  <c r="D2976" i="1" a="1"/>
  <c r="D2976" i="1" s="1"/>
  <c r="D2977" i="1" a="1"/>
  <c r="D2977" i="1" s="1"/>
  <c r="D2978" i="1" a="1"/>
  <c r="D2978" i="1" s="1"/>
  <c r="D2979" i="1" a="1"/>
  <c r="D2979" i="1" s="1"/>
  <c r="D2980" i="1" a="1"/>
  <c r="D2980" i="1" s="1"/>
  <c r="D2981" i="1" a="1"/>
  <c r="D2981" i="1" s="1"/>
  <c r="D2982" i="1" a="1"/>
  <c r="D2982" i="1" s="1"/>
  <c r="D2983" i="1" a="1"/>
  <c r="D2983" i="1" s="1"/>
  <c r="D2984" i="1" a="1"/>
  <c r="D2984" i="1" s="1"/>
  <c r="D2985" i="1" a="1"/>
  <c r="D2985" i="1" s="1"/>
  <c r="D2986" i="1" a="1"/>
  <c r="D2986" i="1" s="1"/>
  <c r="D2987" i="1" a="1"/>
  <c r="D2987" i="1"/>
  <c r="D2988" i="1" a="1"/>
  <c r="D2988" i="1" s="1"/>
  <c r="D2989" i="1" a="1"/>
  <c r="D2989" i="1" s="1"/>
  <c r="D2990" i="1" a="1"/>
  <c r="D2990" i="1" s="1"/>
  <c r="D2991" i="1" a="1"/>
  <c r="D2991" i="1" s="1"/>
  <c r="D2992" i="1" a="1"/>
  <c r="D2992" i="1" s="1"/>
  <c r="D2993" i="1" a="1"/>
  <c r="D2993" i="1" s="1"/>
  <c r="D2994" i="1" a="1"/>
  <c r="D2994" i="1" s="1"/>
  <c r="D2995" i="1" a="1"/>
  <c r="D2995" i="1"/>
  <c r="D2996" i="1" a="1"/>
  <c r="D2996" i="1" s="1"/>
  <c r="D2997" i="1" a="1"/>
  <c r="D2997" i="1" s="1"/>
  <c r="D2998" i="1" a="1"/>
  <c r="D2998" i="1" s="1"/>
  <c r="D2999" i="1" a="1"/>
  <c r="D2999" i="1"/>
  <c r="D3000" i="1" a="1"/>
  <c r="D3000" i="1" s="1"/>
  <c r="D3001" i="1" a="1"/>
  <c r="D3001" i="1" s="1"/>
  <c r="D3002" i="1" a="1"/>
  <c r="D3002" i="1"/>
  <c r="D3003" i="1" a="1"/>
  <c r="D3003" i="1" s="1"/>
  <c r="D3004" i="1" a="1"/>
  <c r="D3004" i="1" s="1"/>
  <c r="D3005" i="1" a="1"/>
  <c r="D3005" i="1" s="1"/>
  <c r="D3006" i="1" a="1"/>
  <c r="D3006" i="1" s="1"/>
  <c r="D3007" i="1" a="1"/>
  <c r="D3007" i="1" s="1"/>
  <c r="D3008" i="1" a="1"/>
  <c r="D3008" i="1" s="1"/>
  <c r="D3009" i="1" a="1"/>
  <c r="D3009" i="1" s="1"/>
  <c r="D3010" i="1" a="1"/>
  <c r="D3010" i="1" s="1"/>
  <c r="D3011" i="1" a="1"/>
  <c r="D3011" i="1" s="1"/>
  <c r="D3012" i="1" a="1"/>
  <c r="D3012" i="1" s="1"/>
  <c r="D3013" i="1" a="1"/>
  <c r="D3013" i="1" s="1"/>
  <c r="D3014" i="1" a="1"/>
  <c r="D3014" i="1" s="1"/>
  <c r="D3015" i="1" a="1"/>
  <c r="D3015" i="1" s="1"/>
  <c r="D3016" i="1" a="1"/>
  <c r="D3016" i="1"/>
  <c r="D3017" i="1" a="1"/>
  <c r="D3017" i="1" s="1"/>
  <c r="D3018" i="1" a="1"/>
  <c r="D3018" i="1" s="1"/>
  <c r="D3019" i="1" a="1"/>
  <c r="D3019" i="1" s="1"/>
  <c r="D3020" i="1" a="1"/>
  <c r="D3020" i="1" s="1"/>
  <c r="D3021" i="1" a="1"/>
  <c r="D3021" i="1" s="1"/>
  <c r="D3022" i="1" a="1"/>
  <c r="D3022" i="1" s="1"/>
  <c r="D3023" i="1" a="1"/>
  <c r="D3023" i="1" s="1"/>
  <c r="D3024" i="1" a="1"/>
  <c r="D3024" i="1"/>
  <c r="D3025" i="1" a="1"/>
  <c r="D3025" i="1"/>
  <c r="D3026" i="1" a="1"/>
  <c r="D3026" i="1" s="1"/>
  <c r="D3027" i="1" a="1"/>
  <c r="D3027" i="1" s="1"/>
  <c r="D3028" i="1" a="1"/>
  <c r="D3028" i="1" s="1"/>
  <c r="D3029" i="1" a="1"/>
  <c r="D3029" i="1"/>
  <c r="D3030" i="1" a="1"/>
  <c r="D3030" i="1" s="1"/>
  <c r="D3031" i="1" a="1"/>
  <c r="D3031" i="1" s="1"/>
  <c r="D3032" i="1" a="1"/>
  <c r="D3032" i="1" s="1"/>
  <c r="D3033" i="1" a="1"/>
  <c r="D3033" i="1" s="1"/>
  <c r="D3034" i="1" a="1"/>
  <c r="D3034" i="1"/>
  <c r="D3035" i="1" a="1"/>
  <c r="D3035" i="1" s="1"/>
  <c r="D3036" i="1" a="1"/>
  <c r="D3036" i="1" s="1"/>
  <c r="D3037" i="1" a="1"/>
  <c r="D3037" i="1"/>
  <c r="D3038" i="1" a="1"/>
  <c r="D3038" i="1" s="1"/>
  <c r="D3039" i="1" a="1"/>
  <c r="D3039" i="1" s="1"/>
  <c r="D3040" i="1" a="1"/>
  <c r="D3040" i="1" s="1"/>
  <c r="D3041" i="1" a="1"/>
  <c r="D3041" i="1" s="1"/>
  <c r="D3042" i="1" a="1"/>
  <c r="D3042" i="1" s="1"/>
  <c r="D3043" i="1" a="1"/>
  <c r="D3043" i="1" s="1"/>
  <c r="D3044" i="1" a="1"/>
  <c r="D3044" i="1" s="1"/>
  <c r="D3045" i="1" a="1"/>
  <c r="D3045" i="1"/>
  <c r="D3046" i="1" a="1"/>
  <c r="D3046" i="1"/>
  <c r="D3047" i="1" a="1"/>
  <c r="D3047" i="1" s="1"/>
  <c r="D3048" i="1" a="1"/>
  <c r="D3048" i="1" s="1"/>
  <c r="D3049" i="1" a="1"/>
  <c r="D3049" i="1"/>
  <c r="D3050" i="1" a="1"/>
  <c r="D3050" i="1"/>
  <c r="D3051" i="1" a="1"/>
  <c r="D3051" i="1" s="1"/>
  <c r="D3052" i="1" a="1"/>
  <c r="D3052" i="1" s="1"/>
  <c r="D3053" i="1" a="1"/>
  <c r="D3053" i="1" s="1"/>
  <c r="D3054" i="1" a="1"/>
  <c r="D3054" i="1" s="1"/>
  <c r="D3055" i="1" a="1"/>
  <c r="D3055" i="1"/>
  <c r="D3056" i="1" a="1"/>
  <c r="D3056" i="1" s="1"/>
  <c r="D3057" i="1" a="1"/>
  <c r="D3057" i="1" s="1"/>
  <c r="D3058" i="1" a="1"/>
  <c r="D3058" i="1" s="1"/>
  <c r="D3059" i="1" a="1"/>
  <c r="D3059" i="1" s="1"/>
  <c r="D3060" i="1" a="1"/>
  <c r="D3060" i="1" s="1"/>
  <c r="D3061" i="1" a="1"/>
  <c r="D3061" i="1" s="1"/>
  <c r="D3062" i="1" a="1"/>
  <c r="D3062" i="1" s="1"/>
  <c r="D3063" i="1" a="1"/>
  <c r="D3063" i="1" s="1"/>
  <c r="D3064" i="1" a="1"/>
  <c r="D3064" i="1" s="1"/>
  <c r="D3065" i="1" a="1"/>
  <c r="D3065" i="1" s="1"/>
  <c r="D3066" i="1" a="1"/>
  <c r="D3066" i="1"/>
  <c r="D3067" i="1" a="1"/>
  <c r="D3067" i="1"/>
  <c r="D3068" i="1" a="1"/>
  <c r="D3068" i="1" s="1"/>
  <c r="D3069" i="1" a="1"/>
  <c r="D3069" i="1" s="1"/>
  <c r="D3070" i="1" a="1"/>
  <c r="D3070" i="1"/>
  <c r="D3071" i="1" a="1"/>
  <c r="D3071" i="1"/>
  <c r="D3072" i="1" a="1"/>
  <c r="D3072" i="1" s="1"/>
  <c r="D3073" i="1" a="1"/>
  <c r="D3073" i="1" s="1"/>
  <c r="D3074" i="1" a="1"/>
  <c r="D3074" i="1" s="1"/>
  <c r="D3075" i="1" a="1"/>
  <c r="D3075" i="1" s="1"/>
  <c r="D3076" i="1" a="1"/>
  <c r="D3076" i="1"/>
  <c r="D3077" i="1" a="1"/>
  <c r="D3077" i="1" s="1"/>
  <c r="D3078" i="1" a="1"/>
  <c r="D3078" i="1" s="1"/>
  <c r="D3079" i="1" a="1"/>
  <c r="D3079" i="1" s="1"/>
  <c r="D3080" i="1" a="1"/>
  <c r="D3080" i="1" s="1"/>
  <c r="D3081" i="1" a="1"/>
  <c r="D3081" i="1" s="1"/>
  <c r="D3082" i="1" a="1"/>
  <c r="D3082" i="1" s="1"/>
  <c r="D3083" i="1" a="1"/>
  <c r="D3083" i="1" s="1"/>
  <c r="D3084" i="1" a="1"/>
  <c r="D3084" i="1" s="1"/>
  <c r="D3085" i="1" a="1"/>
  <c r="D3085" i="1" s="1"/>
  <c r="D3086" i="1" a="1"/>
  <c r="D3086" i="1" s="1"/>
  <c r="D3087" i="1" a="1"/>
  <c r="D3087" i="1" s="1"/>
  <c r="D3088" i="1" a="1"/>
  <c r="D3088" i="1" s="1"/>
  <c r="D3089" i="1" a="1"/>
  <c r="D3089" i="1" s="1"/>
  <c r="D3090" i="1" a="1"/>
  <c r="D3090" i="1" s="1"/>
  <c r="D3091" i="1" a="1"/>
  <c r="D3091" i="1" s="1"/>
  <c r="D3092" i="1" a="1"/>
  <c r="D3092" i="1" s="1"/>
  <c r="D3093" i="1" a="1"/>
  <c r="D3093" i="1" s="1"/>
  <c r="D3094" i="1" a="1"/>
  <c r="D3094" i="1"/>
  <c r="D3095" i="1" a="1"/>
  <c r="D3095" i="1" s="1"/>
  <c r="D3096" i="1" a="1"/>
  <c r="D3096" i="1" s="1"/>
  <c r="D3097" i="1" a="1"/>
  <c r="D3097" i="1"/>
  <c r="D3098" i="1" a="1"/>
  <c r="D3098" i="1" s="1"/>
  <c r="D3099" i="1" a="1"/>
  <c r="D3099" i="1" s="1"/>
  <c r="D3100" i="1" a="1"/>
  <c r="D3100" i="1"/>
  <c r="D3101" i="1" a="1"/>
  <c r="D3101" i="1" s="1"/>
  <c r="D3102" i="1" a="1"/>
  <c r="D3102" i="1" s="1"/>
  <c r="D3103" i="1" a="1"/>
  <c r="D3103" i="1" s="1"/>
  <c r="D3104" i="1" a="1"/>
  <c r="D3104" i="1" s="1"/>
  <c r="D3105" i="1" a="1"/>
  <c r="D3105" i="1" s="1"/>
  <c r="D3106" i="1" a="1"/>
  <c r="D3106" i="1" s="1"/>
  <c r="D3107" i="1" a="1"/>
  <c r="D3107" i="1" s="1"/>
  <c r="D3108" i="1" a="1"/>
  <c r="D3108" i="1" s="1"/>
  <c r="D3109" i="1" a="1"/>
  <c r="D3109" i="1"/>
  <c r="D3110" i="1" a="1"/>
  <c r="D3110" i="1" s="1"/>
  <c r="D3111" i="1" a="1"/>
  <c r="D3111" i="1" s="1"/>
  <c r="D3112" i="1" a="1"/>
  <c r="D3112" i="1" s="1"/>
  <c r="D3113" i="1" a="1"/>
  <c r="D3113" i="1" s="1"/>
  <c r="D3114" i="1" a="1"/>
  <c r="D3114" i="1" s="1"/>
  <c r="D3115" i="1" a="1"/>
  <c r="D3115" i="1" s="1"/>
  <c r="D3116" i="1" a="1"/>
  <c r="D3116" i="1" s="1"/>
  <c r="D3117" i="1" a="1"/>
  <c r="D3117" i="1" s="1"/>
  <c r="D3118" i="1" a="1"/>
  <c r="D3118" i="1" s="1"/>
  <c r="D3119" i="1" a="1"/>
  <c r="D3119" i="1" s="1"/>
  <c r="D3120" i="1" a="1"/>
  <c r="D3120" i="1" s="1"/>
  <c r="D3121" i="1" a="1"/>
  <c r="D3121" i="1" s="1"/>
  <c r="D3122" i="1" a="1"/>
  <c r="D3122" i="1" s="1"/>
  <c r="D3123" i="1" a="1"/>
  <c r="D3123" i="1" s="1"/>
  <c r="D3124" i="1" a="1"/>
  <c r="D3124" i="1"/>
  <c r="D3125" i="1" a="1"/>
  <c r="D3125" i="1" s="1"/>
  <c r="D3126" i="1" a="1"/>
  <c r="D3126" i="1" s="1"/>
  <c r="D3127" i="1" a="1"/>
  <c r="D3127" i="1" s="1"/>
  <c r="D3128" i="1" a="1"/>
  <c r="D3128" i="1" s="1"/>
  <c r="D3129" i="1" a="1"/>
  <c r="D3129" i="1" s="1"/>
  <c r="D3130" i="1" a="1"/>
  <c r="D3130" i="1" s="1"/>
  <c r="D3131" i="1" a="1"/>
  <c r="D3131" i="1"/>
  <c r="D3132" i="1" a="1"/>
  <c r="D3132" i="1" s="1"/>
  <c r="D3133" i="1" a="1"/>
  <c r="D3133" i="1" s="1"/>
  <c r="D3134" i="1" a="1"/>
  <c r="D3134" i="1" s="1"/>
  <c r="D3135" i="1" a="1"/>
  <c r="D3135" i="1" s="1"/>
  <c r="D3136" i="1" a="1"/>
  <c r="D3136" i="1" s="1"/>
  <c r="D3137" i="1" a="1"/>
  <c r="D3137" i="1" s="1"/>
  <c r="D3138" i="1" a="1"/>
  <c r="D3138" i="1" s="1"/>
  <c r="D3139" i="1" a="1"/>
  <c r="D3139" i="1"/>
  <c r="D3140" i="1" a="1"/>
  <c r="D3140" i="1" s="1"/>
  <c r="D3141" i="1" a="1"/>
  <c r="D3141" i="1" s="1"/>
  <c r="D3142" i="1" a="1"/>
  <c r="D3142" i="1" s="1"/>
  <c r="D3143" i="1" a="1"/>
  <c r="D3143" i="1" s="1"/>
  <c r="D3144" i="1" a="1"/>
  <c r="D3144" i="1"/>
  <c r="D3145" i="1" a="1"/>
  <c r="D3145" i="1"/>
  <c r="D3146" i="1" a="1"/>
  <c r="D3146" i="1" s="1"/>
  <c r="D3147" i="1" a="1"/>
  <c r="D3147" i="1" s="1"/>
  <c r="D3148" i="1" a="1"/>
  <c r="D3148" i="1" s="1"/>
  <c r="D3149" i="1" a="1"/>
  <c r="D3149" i="1" s="1"/>
  <c r="D3150" i="1" a="1"/>
  <c r="D3150" i="1"/>
  <c r="D3151" i="1" a="1"/>
  <c r="D3151" i="1"/>
  <c r="D3152" i="1" a="1"/>
  <c r="D3152" i="1"/>
  <c r="D3153" i="1" a="1"/>
  <c r="D3153" i="1" s="1"/>
  <c r="D3154" i="1" a="1"/>
  <c r="D3154" i="1" s="1"/>
  <c r="D3155" i="1" a="1"/>
  <c r="D3155" i="1" s="1"/>
  <c r="D3156" i="1" a="1"/>
  <c r="D3156" i="1" s="1"/>
  <c r="D3157" i="1" a="1"/>
  <c r="D3157" i="1"/>
  <c r="D3158" i="1" a="1"/>
  <c r="D3158" i="1" s="1"/>
  <c r="D3159" i="1" a="1"/>
  <c r="D3159" i="1" s="1"/>
  <c r="D3160" i="1" a="1"/>
  <c r="D3160" i="1"/>
  <c r="D3161" i="1" a="1"/>
  <c r="D3161" i="1" s="1"/>
  <c r="D3162" i="1" a="1"/>
  <c r="D3162" i="1" s="1"/>
  <c r="D3163" i="1" a="1"/>
  <c r="D3163" i="1" s="1"/>
  <c r="D3164" i="1" a="1"/>
  <c r="D3164" i="1" s="1"/>
  <c r="D3165" i="1" a="1"/>
  <c r="D3165" i="1"/>
  <c r="D3166" i="1" a="1"/>
  <c r="D3166" i="1"/>
  <c r="D3167" i="1" a="1"/>
  <c r="D3167" i="1" s="1"/>
  <c r="D3168" i="1" a="1"/>
  <c r="D3168" i="1" s="1"/>
  <c r="D3169" i="1" a="1"/>
  <c r="D3169" i="1" s="1"/>
  <c r="D3170" i="1" a="1"/>
  <c r="D3170" i="1" s="1"/>
  <c r="D3171" i="1" a="1"/>
  <c r="D3171" i="1"/>
  <c r="D3172" i="1" a="1"/>
  <c r="D3172" i="1" s="1"/>
  <c r="D3173" i="1" a="1"/>
  <c r="D3173" i="1" s="1"/>
  <c r="D3174" i="1" a="1"/>
  <c r="D3174" i="1"/>
  <c r="D3175" i="1" a="1"/>
  <c r="D3175" i="1" s="1"/>
  <c r="D3176" i="1" a="1"/>
  <c r="D3176" i="1" s="1"/>
  <c r="D3177" i="1" a="1"/>
  <c r="D3177" i="1" s="1"/>
  <c r="D3178" i="1" a="1"/>
  <c r="D3178" i="1" s="1"/>
  <c r="D3179" i="1" a="1"/>
  <c r="D3179" i="1" s="1"/>
  <c r="D3180" i="1" a="1"/>
  <c r="D3180" i="1" s="1"/>
  <c r="D3181" i="1" a="1"/>
  <c r="D3181" i="1" s="1"/>
  <c r="D3182" i="1" a="1"/>
  <c r="D3182" i="1" s="1"/>
  <c r="D3183" i="1" a="1"/>
  <c r="D3183" i="1" s="1"/>
  <c r="D3184" i="1" a="1"/>
  <c r="D3184" i="1" s="1"/>
  <c r="D3185" i="1" a="1"/>
  <c r="D3185" i="1" s="1"/>
  <c r="D3186" i="1" a="1"/>
  <c r="D3186" i="1"/>
  <c r="D3187" i="1" a="1"/>
  <c r="D3187" i="1"/>
  <c r="D3188" i="1" a="1"/>
  <c r="D3188" i="1" s="1"/>
  <c r="D3189" i="1" a="1"/>
  <c r="D3189" i="1" s="1"/>
  <c r="D3190" i="1" a="1"/>
  <c r="D3190" i="1" s="1"/>
  <c r="D3191" i="1" a="1"/>
  <c r="D3191" i="1" s="1"/>
  <c r="D3192" i="1" a="1"/>
  <c r="D3192" i="1"/>
  <c r="D3193" i="1" a="1"/>
  <c r="D3193" i="1" s="1"/>
  <c r="D3194" i="1" a="1"/>
  <c r="D3194" i="1" s="1"/>
  <c r="D3195" i="1" a="1"/>
  <c r="D3195" i="1"/>
  <c r="D3196" i="1" a="1"/>
  <c r="D3196" i="1" s="1"/>
  <c r="D3197" i="1" a="1"/>
  <c r="D3197" i="1" s="1"/>
  <c r="D3198" i="1" a="1"/>
  <c r="D3198" i="1" s="1"/>
  <c r="D3199" i="1" a="1"/>
  <c r="D3199" i="1" s="1"/>
  <c r="D3200" i="1" a="1"/>
  <c r="D3200" i="1" s="1"/>
  <c r="D3201" i="1" a="1"/>
  <c r="D3201" i="1" s="1"/>
  <c r="D3202" i="1" a="1"/>
  <c r="D3202" i="1" s="1"/>
  <c r="D3203" i="1" a="1"/>
  <c r="D3203" i="1" s="1"/>
  <c r="D3204" i="1" a="1"/>
  <c r="D3204" i="1" s="1"/>
  <c r="D3205" i="1" a="1"/>
  <c r="D3205" i="1" s="1"/>
  <c r="D3206" i="1" a="1"/>
  <c r="D3206" i="1" s="1"/>
  <c r="D3207" i="1" a="1"/>
  <c r="D3207" i="1" s="1"/>
  <c r="D3208" i="1" a="1"/>
  <c r="D3208" i="1" s="1"/>
  <c r="D3209" i="1" a="1"/>
  <c r="D3209" i="1" s="1"/>
  <c r="D3210" i="1" a="1"/>
  <c r="D3210" i="1" s="1"/>
  <c r="D3211" i="1" a="1"/>
  <c r="D3211" i="1" s="1"/>
  <c r="D3212" i="1" a="1"/>
  <c r="D3212" i="1" s="1"/>
  <c r="D3213" i="1" a="1"/>
  <c r="D3213" i="1" s="1"/>
  <c r="D3214" i="1" a="1"/>
  <c r="D3214" i="1" s="1"/>
  <c r="D3215" i="1" a="1"/>
  <c r="D3215" i="1" s="1"/>
  <c r="D3216" i="1" a="1"/>
  <c r="D3216" i="1" s="1"/>
  <c r="D3217" i="1" a="1"/>
  <c r="D3217" i="1" s="1"/>
  <c r="D3218" i="1" a="1"/>
  <c r="D3218" i="1" s="1"/>
  <c r="D3219" i="1" a="1"/>
  <c r="D3219" i="1" s="1"/>
  <c r="D3220" i="1" a="1"/>
  <c r="D3220" i="1"/>
  <c r="D3221" i="1" a="1"/>
  <c r="D3221" i="1" s="1"/>
  <c r="D3222" i="1" a="1"/>
  <c r="D3222" i="1" s="1"/>
  <c r="D3223" i="1" a="1"/>
  <c r="D3223" i="1" s="1"/>
  <c r="D3224" i="1" a="1"/>
  <c r="D3224" i="1"/>
  <c r="D3225" i="1" a="1"/>
  <c r="D3225" i="1" s="1"/>
  <c r="D3226" i="1" a="1"/>
  <c r="D3226" i="1"/>
  <c r="D3227" i="1" a="1"/>
  <c r="D3227" i="1" s="1"/>
  <c r="D3228" i="1" a="1"/>
  <c r="D3228" i="1" s="1"/>
  <c r="D3229" i="1" a="1"/>
  <c r="D3229" i="1" s="1"/>
  <c r="D3230" i="1" a="1"/>
  <c r="D3230" i="1" s="1"/>
  <c r="D3231" i="1" a="1"/>
  <c r="D3231" i="1" s="1"/>
  <c r="D3232" i="1" a="1"/>
  <c r="D3232" i="1" s="1"/>
  <c r="D3233" i="1" a="1"/>
  <c r="D3233" i="1" s="1"/>
  <c r="D3234" i="1" a="1"/>
  <c r="D3234" i="1" s="1"/>
  <c r="D3235" i="1" a="1"/>
  <c r="D3235" i="1" s="1"/>
  <c r="D3236" i="1" a="1"/>
  <c r="D3236" i="1" s="1"/>
  <c r="D3237" i="1" a="1"/>
  <c r="D3237" i="1"/>
  <c r="D3238" i="1" a="1"/>
  <c r="D3238" i="1" s="1"/>
  <c r="D3239" i="1" a="1"/>
  <c r="D3239" i="1" s="1"/>
  <c r="D3240" i="1" a="1"/>
  <c r="D3240" i="1" s="1"/>
  <c r="D3241" i="1" a="1"/>
  <c r="D3241" i="1"/>
  <c r="D3242" i="1" a="1"/>
  <c r="D3242" i="1" s="1"/>
  <c r="D3243" i="1" a="1"/>
  <c r="D3243" i="1" s="1"/>
  <c r="D3244" i="1" a="1"/>
  <c r="D3244" i="1" s="1"/>
  <c r="D3245" i="1" a="1"/>
  <c r="D3245" i="1"/>
  <c r="D3246" i="1" a="1"/>
  <c r="D3246" i="1" s="1"/>
  <c r="D3247" i="1" a="1"/>
  <c r="D3247" i="1"/>
  <c r="D3248" i="1" a="1"/>
  <c r="D3248" i="1" s="1"/>
  <c r="D3249" i="1" a="1"/>
  <c r="D3249" i="1" s="1"/>
  <c r="D3250" i="1" a="1"/>
  <c r="D3250" i="1" s="1"/>
  <c r="D3251" i="1" a="1"/>
  <c r="D3251" i="1" s="1"/>
  <c r="D3252" i="1" a="1"/>
  <c r="D3252" i="1" s="1"/>
  <c r="D3253" i="1" a="1"/>
  <c r="D3253" i="1" s="1"/>
  <c r="D3254" i="1" a="1"/>
  <c r="D3254" i="1" s="1"/>
  <c r="D3255" i="1" a="1"/>
  <c r="D3255" i="1" s="1"/>
  <c r="D3256" i="1" a="1"/>
  <c r="D3256" i="1" s="1"/>
  <c r="D3257" i="1" a="1"/>
  <c r="D3257" i="1" s="1"/>
  <c r="D3258" i="1" a="1"/>
  <c r="D3258" i="1" s="1"/>
  <c r="D3259" i="1" a="1"/>
  <c r="D3259" i="1" s="1"/>
  <c r="D3260" i="1" a="1"/>
  <c r="D3260" i="1" s="1"/>
  <c r="D3261" i="1" a="1"/>
  <c r="D3261" i="1" s="1"/>
  <c r="D3262" i="1" a="1"/>
  <c r="D3262" i="1"/>
  <c r="D3263" i="1" a="1"/>
  <c r="D3263" i="1" s="1"/>
  <c r="D3264" i="1" a="1"/>
  <c r="D3264" i="1" s="1"/>
  <c r="D3265" i="1" a="1"/>
  <c r="D3265" i="1" s="1"/>
  <c r="D3266" i="1" a="1"/>
  <c r="D3266" i="1" s="1"/>
  <c r="D3267" i="1" a="1"/>
  <c r="D3267" i="1" s="1"/>
  <c r="D3268" i="1" a="1"/>
  <c r="D3268" i="1" s="1"/>
  <c r="D3269" i="1" a="1"/>
  <c r="D3269" i="1" s="1"/>
  <c r="D3270" i="1" a="1"/>
  <c r="D3270" i="1" s="1"/>
  <c r="D3271" i="1" a="1"/>
  <c r="D3271" i="1" s="1"/>
  <c r="D3272" i="1" a="1"/>
  <c r="D3272" i="1" s="1"/>
  <c r="D3273" i="1" a="1"/>
  <c r="D3273" i="1" s="1"/>
  <c r="D3274" i="1" a="1"/>
  <c r="D3274" i="1" s="1"/>
  <c r="D3275" i="1" a="1"/>
  <c r="D3275" i="1" s="1"/>
  <c r="D3276" i="1" a="1"/>
  <c r="D3276" i="1" s="1"/>
  <c r="D3277" i="1" a="1"/>
  <c r="D3277" i="1" s="1"/>
  <c r="D3278" i="1" a="1"/>
  <c r="D3278" i="1" s="1"/>
  <c r="D3279" i="1" a="1"/>
  <c r="D3279" i="1" s="1"/>
  <c r="D3280" i="1" a="1"/>
  <c r="D3280" i="1" s="1"/>
  <c r="D3281" i="1" a="1"/>
  <c r="D3281" i="1" s="1"/>
  <c r="D3282" i="1" a="1"/>
  <c r="D3282" i="1" s="1"/>
  <c r="D3283" i="1" a="1"/>
  <c r="D3283" i="1" s="1"/>
  <c r="D3284" i="1" a="1"/>
  <c r="D3284" i="1" s="1"/>
  <c r="D3285" i="1" a="1"/>
  <c r="D3285" i="1" s="1"/>
  <c r="D3286" i="1" a="1"/>
  <c r="D3286" i="1" s="1"/>
  <c r="D3287" i="1" a="1"/>
  <c r="D3287" i="1"/>
  <c r="D3288" i="1" a="1"/>
  <c r="D3288" i="1" s="1"/>
  <c r="D3289" i="1" a="1"/>
  <c r="D3289" i="1" s="1"/>
  <c r="D3290" i="1" a="1"/>
  <c r="D3290" i="1" s="1"/>
  <c r="D3291" i="1" a="1"/>
  <c r="D3291" i="1"/>
  <c r="D3292" i="1" a="1"/>
  <c r="D3292" i="1"/>
  <c r="D3293" i="1" a="1"/>
  <c r="D3293" i="1" s="1"/>
  <c r="D3294" i="1" a="1"/>
  <c r="D3294" i="1" s="1"/>
  <c r="D3295" i="1" a="1"/>
  <c r="D3295" i="1" s="1"/>
  <c r="D3296" i="1" a="1"/>
  <c r="D3296" i="1" s="1"/>
  <c r="D3297" i="1" a="1"/>
  <c r="D3297" i="1" s="1"/>
  <c r="D3298" i="1" a="1"/>
  <c r="D3298" i="1" s="1"/>
  <c r="D3299" i="1" a="1"/>
  <c r="D3299" i="1" s="1"/>
  <c r="D3300" i="1" a="1"/>
  <c r="D3300" i="1" s="1"/>
  <c r="D3301" i="1" a="1"/>
  <c r="D3301" i="1" s="1"/>
  <c r="D3302" i="1" a="1"/>
  <c r="D3302" i="1" s="1"/>
  <c r="D3303" i="1" a="1"/>
  <c r="D3303" i="1" s="1"/>
  <c r="D3304" i="1" a="1"/>
  <c r="D3304" i="1" s="1"/>
  <c r="D3305" i="1" a="1"/>
  <c r="D3305" i="1"/>
  <c r="D3306" i="1" a="1"/>
  <c r="D3306" i="1" s="1"/>
  <c r="D3307" i="1" a="1"/>
  <c r="D3307" i="1" s="1"/>
  <c r="D3308" i="1" a="1"/>
  <c r="D3308" i="1" s="1"/>
  <c r="D3309" i="1" a="1"/>
  <c r="D3309" i="1" s="1"/>
  <c r="D3310" i="1" a="1"/>
  <c r="D3310" i="1"/>
  <c r="D3311" i="1" a="1"/>
  <c r="D3311" i="1" s="1"/>
  <c r="D3312" i="1" a="1"/>
  <c r="D3312" i="1"/>
  <c r="D3313" i="1" a="1"/>
  <c r="D3313" i="1" s="1"/>
  <c r="D3314" i="1" a="1"/>
  <c r="D3314" i="1" s="1"/>
  <c r="D3315" i="1" a="1"/>
  <c r="D3315" i="1" s="1"/>
  <c r="D3316" i="1" a="1"/>
  <c r="D3316" i="1" s="1"/>
  <c r="D3317" i="1" a="1"/>
  <c r="D3317" i="1" s="1"/>
  <c r="D3318" i="1" a="1"/>
  <c r="D3318" i="1" s="1"/>
  <c r="D3319" i="1" a="1"/>
  <c r="D3319" i="1" s="1"/>
  <c r="D3320" i="1" a="1"/>
  <c r="D3320" i="1" s="1"/>
  <c r="D3321" i="1" a="1"/>
  <c r="D3321" i="1" s="1"/>
  <c r="D3322" i="1" a="1"/>
  <c r="D3322" i="1" s="1"/>
  <c r="D3323" i="1" a="1"/>
  <c r="D3323" i="1" s="1"/>
  <c r="D3324" i="1" a="1"/>
  <c r="D3324" i="1" s="1"/>
  <c r="D3325" i="1" a="1"/>
  <c r="D3325" i="1" s="1"/>
  <c r="D3326" i="1" a="1"/>
  <c r="D3326" i="1"/>
  <c r="D3327" i="1" a="1"/>
  <c r="D3327" i="1" s="1"/>
  <c r="D3328" i="1" a="1"/>
  <c r="D3328" i="1" s="1"/>
  <c r="D3329" i="1" a="1"/>
  <c r="D3329" i="1"/>
  <c r="D3330" i="1" a="1"/>
  <c r="D3330" i="1" s="1"/>
  <c r="D3331" i="1" a="1"/>
  <c r="D3331" i="1" s="1"/>
  <c r="D3332" i="1" a="1"/>
  <c r="D3332" i="1" s="1"/>
  <c r="D3333" i="1" a="1"/>
  <c r="D3333" i="1" s="1"/>
  <c r="D3334" i="1" a="1"/>
  <c r="D3334" i="1" s="1"/>
  <c r="D3335" i="1" a="1"/>
  <c r="D3335" i="1" s="1"/>
  <c r="D3336" i="1" a="1"/>
  <c r="D3336" i="1" s="1"/>
  <c r="D3337" i="1" a="1"/>
  <c r="D3337" i="1" s="1"/>
  <c r="D3338" i="1" a="1"/>
  <c r="D3338" i="1" s="1"/>
  <c r="D3339" i="1" a="1"/>
  <c r="D3339" i="1" s="1"/>
  <c r="D3340" i="1" a="1"/>
  <c r="D3340" i="1" s="1"/>
  <c r="D3341" i="1" a="1"/>
  <c r="D3341" i="1" s="1"/>
  <c r="D3342" i="1" a="1"/>
  <c r="D3342" i="1" s="1"/>
  <c r="D3343" i="1" a="1"/>
  <c r="D3343" i="1" s="1"/>
  <c r="D3344" i="1" a="1"/>
  <c r="D3344" i="1" s="1"/>
  <c r="D3345" i="1" a="1"/>
  <c r="D3345" i="1"/>
  <c r="D3346" i="1" a="1"/>
  <c r="D3346" i="1" s="1"/>
  <c r="D3347" i="1" a="1"/>
  <c r="D3347" i="1" s="1"/>
  <c r="D3348" i="1" a="1"/>
  <c r="D3348" i="1" s="1"/>
  <c r="D3349" i="1" a="1"/>
  <c r="D3349" i="1" s="1"/>
  <c r="D3350" i="1" a="1"/>
  <c r="D3350" i="1" s="1"/>
  <c r="D3351" i="1" a="1"/>
  <c r="D3351" i="1" s="1"/>
  <c r="D3352" i="1" a="1"/>
  <c r="D3352" i="1"/>
  <c r="D3353" i="1" a="1"/>
  <c r="D3353" i="1" s="1"/>
  <c r="D3354" i="1" a="1"/>
  <c r="D3354" i="1" s="1"/>
  <c r="D3355" i="1" a="1"/>
  <c r="D3355" i="1" s="1"/>
  <c r="D3356" i="1" a="1"/>
  <c r="D3356" i="1" s="1"/>
  <c r="D3357" i="1" a="1"/>
  <c r="D3357" i="1" s="1"/>
  <c r="D3358" i="1" a="1"/>
  <c r="D3358" i="1" s="1"/>
  <c r="D3359" i="1" a="1"/>
  <c r="D3359" i="1" s="1"/>
  <c r="D3360" i="1" a="1"/>
  <c r="D3360" i="1"/>
  <c r="D3361" i="1" a="1"/>
  <c r="D3361" i="1" s="1"/>
  <c r="D3362" i="1" a="1"/>
  <c r="D3362" i="1" s="1"/>
  <c r="D3363" i="1" a="1"/>
  <c r="D3363" i="1" s="1"/>
  <c r="D3364" i="1" a="1"/>
  <c r="D3364" i="1" s="1"/>
  <c r="D3365" i="1" a="1"/>
  <c r="D3365" i="1" s="1"/>
  <c r="D3366" i="1" a="1"/>
  <c r="D3366" i="1"/>
  <c r="D3367" i="1" a="1"/>
  <c r="D3367" i="1" s="1"/>
  <c r="D3368" i="1" a="1"/>
  <c r="D3368" i="1" s="1"/>
  <c r="D3369" i="1" a="1"/>
  <c r="D3369" i="1" s="1"/>
  <c r="D3370" i="1" a="1"/>
  <c r="D3370" i="1" s="1"/>
  <c r="D3371" i="1" a="1"/>
  <c r="D3371" i="1"/>
  <c r="D3372" i="1" a="1"/>
  <c r="D3372" i="1" s="1"/>
  <c r="D3373" i="1" a="1"/>
  <c r="D3373" i="1" s="1"/>
  <c r="D3374" i="1" a="1"/>
  <c r="D3374" i="1" s="1"/>
  <c r="D3375" i="1" a="1"/>
  <c r="D3375" i="1" s="1"/>
  <c r="D3376" i="1" a="1"/>
  <c r="D3376" i="1" s="1"/>
  <c r="D3377" i="1" a="1"/>
  <c r="D3377" i="1" s="1"/>
  <c r="D3378" i="1" a="1"/>
  <c r="D3378" i="1"/>
  <c r="D3379" i="1" a="1"/>
  <c r="D3379" i="1" s="1"/>
  <c r="D3380" i="1" a="1"/>
  <c r="D3380" i="1" s="1"/>
  <c r="D3381" i="1" a="1"/>
  <c r="D3381" i="1" s="1"/>
  <c r="D3382" i="1" a="1"/>
  <c r="D3382" i="1" s="1"/>
  <c r="D3383" i="1" a="1"/>
  <c r="D3383" i="1" s="1"/>
  <c r="D3384" i="1" a="1"/>
  <c r="D3384" i="1" s="1"/>
  <c r="D3385" i="1" a="1"/>
  <c r="D3385" i="1" s="1"/>
  <c r="D3386" i="1" a="1"/>
  <c r="D3386" i="1"/>
  <c r="D3387" i="1" a="1"/>
  <c r="D3387" i="1"/>
  <c r="D3388" i="1" a="1"/>
  <c r="D3388" i="1" s="1"/>
  <c r="D3389" i="1" a="1"/>
  <c r="D3389" i="1" s="1"/>
  <c r="D3390" i="1" a="1"/>
  <c r="D3390" i="1" s="1"/>
  <c r="D3391" i="1" a="1"/>
  <c r="D3391" i="1" s="1"/>
  <c r="D3392" i="1" a="1"/>
  <c r="D3392" i="1" s="1"/>
  <c r="D3393" i="1" a="1"/>
  <c r="D3393" i="1" s="1"/>
  <c r="D3394" i="1" a="1"/>
  <c r="D3394" i="1" s="1"/>
  <c r="D3395" i="1" a="1"/>
  <c r="D3395" i="1"/>
  <c r="D3396" i="1" a="1"/>
  <c r="D3396" i="1" s="1"/>
  <c r="D3397" i="1" a="1"/>
  <c r="D3397" i="1" s="1"/>
  <c r="D3398" i="1" a="1"/>
  <c r="D3398" i="1" s="1"/>
  <c r="D3399" i="1" a="1"/>
  <c r="D3399" i="1"/>
  <c r="D3400" i="1" a="1"/>
  <c r="D3400" i="1" s="1"/>
  <c r="D3401" i="1" a="1"/>
  <c r="D3401" i="1"/>
  <c r="D3402" i="1" a="1"/>
  <c r="D3402" i="1" s="1"/>
  <c r="D3403" i="1" a="1"/>
  <c r="D3403" i="1" s="1"/>
  <c r="D3404" i="1" a="1"/>
  <c r="D3404" i="1" s="1"/>
  <c r="D3405" i="1" a="1"/>
  <c r="D3405" i="1" s="1"/>
  <c r="D3406" i="1" a="1"/>
  <c r="D3406" i="1" s="1"/>
  <c r="D3407" i="1" a="1"/>
  <c r="D3407" i="1" s="1"/>
  <c r="D3408" i="1" a="1"/>
  <c r="D3408" i="1"/>
  <c r="D3409" i="1" a="1"/>
  <c r="D3409" i="1" s="1"/>
  <c r="D3410" i="1" a="1"/>
  <c r="D3410" i="1" s="1"/>
  <c r="D3411" i="1" a="1"/>
  <c r="D3411" i="1" s="1"/>
  <c r="D3412" i="1" a="1"/>
  <c r="D3412" i="1" s="1"/>
  <c r="D3413" i="1" a="1"/>
  <c r="D3413" i="1" s="1"/>
  <c r="D3414" i="1" a="1"/>
  <c r="D3414" i="1" s="1"/>
  <c r="D3415" i="1" a="1"/>
  <c r="D3415" i="1" s="1"/>
  <c r="D3416" i="1" a="1"/>
  <c r="D3416" i="1" s="1"/>
  <c r="D3417" i="1" a="1"/>
  <c r="D3417" i="1" s="1"/>
  <c r="D3418" i="1" a="1"/>
  <c r="D3418" i="1" s="1"/>
  <c r="D3419" i="1" a="1"/>
  <c r="D3419" i="1" s="1"/>
  <c r="D3420" i="1" a="1"/>
  <c r="D3420" i="1" s="1"/>
  <c r="D3421" i="1" a="1"/>
  <c r="D3421" i="1" s="1"/>
  <c r="D3422" i="1" a="1"/>
  <c r="D3422" i="1" s="1"/>
  <c r="D3423" i="1" a="1"/>
  <c r="D3423" i="1" s="1"/>
  <c r="D3424" i="1" a="1"/>
  <c r="D3424" i="1" s="1"/>
  <c r="D3425" i="1" a="1"/>
  <c r="D3425" i="1" s="1"/>
  <c r="D3426" i="1" a="1"/>
  <c r="D3426" i="1"/>
  <c r="D3427" i="1" a="1"/>
  <c r="D3427" i="1" s="1"/>
  <c r="D3428" i="1" a="1"/>
  <c r="D3428" i="1" s="1"/>
  <c r="D3429" i="1" a="1"/>
  <c r="D3429" i="1" s="1"/>
  <c r="D3430" i="1" a="1"/>
  <c r="D3430" i="1" s="1"/>
  <c r="D3431" i="1" a="1"/>
  <c r="D3431" i="1"/>
  <c r="D3432" i="1" a="1"/>
  <c r="D3432" i="1" s="1"/>
  <c r="D3433" i="1" a="1"/>
  <c r="D3433" i="1" s="1"/>
  <c r="D3434" i="1" a="1"/>
  <c r="D3434" i="1"/>
  <c r="D3435" i="1" a="1"/>
  <c r="D3435" i="1" s="1"/>
  <c r="D3436" i="1" a="1"/>
  <c r="D3436" i="1" s="1"/>
  <c r="D3437" i="1" a="1"/>
  <c r="D3437" i="1" s="1"/>
  <c r="D3438" i="1" a="1"/>
  <c r="D3438" i="1" s="1"/>
  <c r="D3439" i="1" a="1"/>
  <c r="D3439" i="1" s="1"/>
  <c r="D3440" i="1" a="1"/>
  <c r="D3440" i="1" s="1"/>
  <c r="D3441" i="1" a="1"/>
  <c r="D3441" i="1" s="1"/>
  <c r="D3442" i="1" a="1"/>
  <c r="D3442" i="1" s="1"/>
  <c r="D3443" i="1" a="1"/>
  <c r="D3443" i="1" s="1"/>
  <c r="D3444" i="1" a="1"/>
  <c r="D3444" i="1" s="1"/>
  <c r="D3445" i="1" a="1"/>
  <c r="D3445" i="1" s="1"/>
  <c r="D3446" i="1" a="1"/>
  <c r="D3446" i="1" s="1"/>
  <c r="D3447" i="1" a="1"/>
  <c r="D3447" i="1" s="1"/>
  <c r="D3448" i="1" a="1"/>
  <c r="D3448" i="1" s="1"/>
  <c r="D3449" i="1" a="1"/>
  <c r="D3449" i="1"/>
  <c r="D3450" i="1" a="1"/>
  <c r="D3450" i="1"/>
  <c r="D3451" i="1" a="1"/>
  <c r="D3451" i="1" s="1"/>
  <c r="D3452" i="1" a="1"/>
  <c r="D3452" i="1" s="1"/>
  <c r="D3453" i="1" a="1"/>
  <c r="D3453" i="1" s="1"/>
  <c r="D3454" i="1" a="1"/>
  <c r="D3454" i="1" s="1"/>
  <c r="D3455" i="1" a="1"/>
  <c r="D3455" i="1" s="1"/>
  <c r="D3456" i="1" a="1"/>
  <c r="D3456" i="1" s="1"/>
  <c r="D3457" i="1" a="1"/>
  <c r="D3457" i="1" s="1"/>
  <c r="D3458" i="1" a="1"/>
  <c r="D3458" i="1" s="1"/>
  <c r="D3459" i="1" a="1"/>
  <c r="D3459" i="1" s="1"/>
  <c r="D3460" i="1" a="1"/>
  <c r="D3460" i="1" s="1"/>
  <c r="D3461" i="1" a="1"/>
  <c r="D3461" i="1" s="1"/>
  <c r="D3462" i="1" a="1"/>
  <c r="D3462" i="1" s="1"/>
  <c r="D3463" i="1" a="1"/>
  <c r="D3463" i="1" s="1"/>
  <c r="D3464" i="1" a="1"/>
  <c r="D3464" i="1" s="1"/>
  <c r="D3465" i="1" a="1"/>
  <c r="D3465" i="1" s="1"/>
  <c r="D3466" i="1" a="1"/>
  <c r="D3466" i="1"/>
  <c r="D3467" i="1" a="1"/>
  <c r="D3467" i="1" s="1"/>
  <c r="D3468" i="1" a="1"/>
  <c r="D3468" i="1" s="1"/>
  <c r="D3469" i="1" a="1"/>
  <c r="D3469" i="1" s="1"/>
  <c r="D3470" i="1" a="1"/>
  <c r="D3470" i="1" s="1"/>
  <c r="D3471" i="1" a="1"/>
  <c r="D3471" i="1"/>
  <c r="D3472" i="1" a="1"/>
  <c r="D3472" i="1" s="1"/>
  <c r="D3473" i="1" a="1"/>
  <c r="D3473" i="1" s="1"/>
  <c r="D3474" i="1" a="1"/>
  <c r="D3474" i="1" s="1"/>
  <c r="D3475" i="1" a="1"/>
  <c r="D3475" i="1" s="1"/>
  <c r="D3476" i="1" a="1"/>
  <c r="D3476" i="1"/>
  <c r="D3477" i="1" a="1"/>
  <c r="D3477" i="1" s="1"/>
  <c r="D3478" i="1" a="1"/>
  <c r="D3478" i="1" s="1"/>
  <c r="D3479" i="1" a="1"/>
  <c r="D3479" i="1" s="1"/>
  <c r="D3480" i="1" a="1"/>
  <c r="D3480" i="1" s="1"/>
  <c r="D3481" i="1" a="1"/>
  <c r="D3481" i="1" s="1"/>
  <c r="D3482" i="1" a="1"/>
  <c r="D3482" i="1" s="1"/>
  <c r="D3483" i="1" a="1"/>
  <c r="D3483" i="1" s="1"/>
  <c r="D3484" i="1" a="1"/>
  <c r="D3484" i="1" s="1"/>
  <c r="D3485" i="1" a="1"/>
  <c r="D3485" i="1" s="1"/>
  <c r="D3486" i="1" a="1"/>
  <c r="D3486" i="1" s="1"/>
  <c r="D3487" i="1" a="1"/>
  <c r="D3487" i="1" s="1"/>
  <c r="D3488" i="1" a="1"/>
  <c r="D3488" i="1" s="1"/>
  <c r="D3489" i="1" a="1"/>
  <c r="D3489" i="1" s="1"/>
  <c r="D3490" i="1" a="1"/>
  <c r="D3490" i="1" s="1"/>
  <c r="D3491" i="1" a="1"/>
  <c r="D3491" i="1" s="1"/>
  <c r="D3492" i="1" a="1"/>
  <c r="D3492" i="1" s="1"/>
  <c r="D3493" i="1" a="1"/>
  <c r="D3493" i="1" s="1"/>
  <c r="D3494" i="1" a="1"/>
  <c r="D3494" i="1"/>
  <c r="D3495" i="1" a="1"/>
  <c r="D3495" i="1" s="1"/>
  <c r="D3496" i="1" a="1"/>
  <c r="D3496" i="1" s="1"/>
  <c r="D3497" i="1" a="1"/>
  <c r="D3497" i="1" s="1"/>
  <c r="D3498" i="1" a="1"/>
  <c r="D3498" i="1" s="1"/>
  <c r="D3499" i="1" a="1"/>
  <c r="D3499" i="1" s="1"/>
  <c r="D3500" i="1" a="1"/>
  <c r="D3500" i="1"/>
  <c r="D3501" i="1" a="1"/>
  <c r="D3501" i="1" s="1"/>
  <c r="D3502" i="1" a="1"/>
  <c r="D3502" i="1" s="1"/>
  <c r="D3503" i="1" a="1"/>
  <c r="D3503" i="1" s="1"/>
  <c r="D3504" i="1" a="1"/>
  <c r="D3504" i="1" s="1"/>
  <c r="D3505" i="1" a="1"/>
  <c r="D3505" i="1" s="1"/>
  <c r="D3506" i="1" a="1"/>
  <c r="D3506" i="1" s="1"/>
  <c r="D3507" i="1" a="1"/>
  <c r="D3507" i="1" s="1"/>
  <c r="D3508" i="1" a="1"/>
  <c r="D3508" i="1"/>
  <c r="D3509" i="1" a="1"/>
  <c r="D3509" i="1" s="1"/>
  <c r="D3510" i="1" a="1"/>
  <c r="D3510" i="1" s="1"/>
  <c r="D3511" i="1" a="1"/>
  <c r="D3511" i="1" s="1"/>
  <c r="D3512" i="1" a="1"/>
  <c r="D3512" i="1" s="1"/>
  <c r="D3513" i="1" a="1"/>
  <c r="D3513" i="1" s="1"/>
  <c r="D3514" i="1" a="1"/>
  <c r="D3514" i="1" s="1"/>
  <c r="D3515" i="1" a="1"/>
  <c r="D3515" i="1"/>
  <c r="D3516" i="1" a="1"/>
  <c r="D3516" i="1" s="1"/>
  <c r="D3517" i="1" a="1"/>
  <c r="D3517" i="1" s="1"/>
  <c r="D3518" i="1" a="1"/>
  <c r="D3518" i="1"/>
  <c r="D3519" i="1" a="1"/>
  <c r="D3519" i="1" s="1"/>
  <c r="D3520" i="1" a="1"/>
  <c r="D3520" i="1" s="1"/>
  <c r="D3521" i="1" a="1"/>
  <c r="D3521" i="1" s="1"/>
  <c r="D3522" i="1" a="1"/>
  <c r="D3522" i="1" s="1"/>
  <c r="D3523" i="1" a="1"/>
  <c r="D3523" i="1" s="1"/>
  <c r="D3524" i="1" a="1"/>
  <c r="D3524" i="1"/>
  <c r="D3525" i="1" a="1"/>
  <c r="D3525" i="1" s="1"/>
  <c r="D3526" i="1" a="1"/>
  <c r="D3526" i="1"/>
  <c r="D3527" i="1" a="1"/>
  <c r="D3527" i="1" s="1"/>
  <c r="D3528" i="1" a="1"/>
  <c r="D3528" i="1" s="1"/>
  <c r="D3529" i="1" a="1"/>
  <c r="D3529" i="1" s="1"/>
  <c r="D3530" i="1" a="1"/>
  <c r="D3530" i="1" s="1"/>
  <c r="D3531" i="1" a="1"/>
  <c r="D3531" i="1" s="1"/>
  <c r="D3532" i="1" a="1"/>
  <c r="D3532" i="1" s="1"/>
  <c r="D3533" i="1" a="1"/>
  <c r="D3533" i="1" s="1"/>
  <c r="D3534" i="1" a="1"/>
  <c r="D3534" i="1" s="1"/>
  <c r="D3535" i="1" a="1"/>
  <c r="D3535" i="1" s="1"/>
  <c r="D3536" i="1" a="1"/>
  <c r="D3536" i="1" s="1"/>
  <c r="D3537" i="1" a="1"/>
  <c r="D3537" i="1" s="1"/>
  <c r="D3538" i="1" a="1"/>
  <c r="D3538" i="1" s="1"/>
  <c r="D3539" i="1" a="1"/>
  <c r="D3539" i="1"/>
  <c r="D3540" i="1" a="1"/>
  <c r="D3540" i="1" s="1"/>
  <c r="D3541" i="1" a="1"/>
  <c r="D3541" i="1" s="1"/>
  <c r="D3542" i="1" a="1"/>
  <c r="D3542" i="1" s="1"/>
  <c r="D3543" i="1" a="1"/>
  <c r="D3543" i="1" s="1"/>
  <c r="D3544" i="1" a="1"/>
  <c r="D3544" i="1" s="1"/>
  <c r="D3545" i="1" a="1"/>
  <c r="D3545" i="1"/>
  <c r="D3546" i="1" a="1"/>
  <c r="D3546" i="1" s="1"/>
  <c r="D3547" i="1" a="1"/>
  <c r="D3547" i="1"/>
  <c r="D3548" i="1" a="1"/>
  <c r="D3548" i="1" s="1"/>
  <c r="D3549" i="1" a="1"/>
  <c r="D3549" i="1" s="1"/>
  <c r="D3550" i="1" a="1"/>
  <c r="D3550" i="1" s="1"/>
  <c r="D3551" i="1" a="1"/>
  <c r="D3551" i="1" s="1"/>
  <c r="D3552" i="1" a="1"/>
  <c r="D3552" i="1" s="1"/>
  <c r="D3553" i="1" a="1"/>
  <c r="D3553" i="1" s="1"/>
  <c r="D3554" i="1" a="1"/>
  <c r="D3554" i="1" s="1"/>
  <c r="D3555" i="1" a="1"/>
  <c r="D3555" i="1" s="1"/>
  <c r="D3556" i="1" a="1"/>
  <c r="D3556" i="1" s="1"/>
  <c r="D3557" i="1" a="1"/>
  <c r="D3557" i="1" s="1"/>
  <c r="D3558" i="1" a="1"/>
  <c r="D3558" i="1" s="1"/>
  <c r="D3559" i="1" a="1"/>
  <c r="D3559" i="1" s="1"/>
  <c r="D3560" i="1" a="1"/>
  <c r="D3560" i="1" s="1"/>
  <c r="D3561" i="1" a="1"/>
  <c r="D3561" i="1" s="1"/>
  <c r="D3562" i="1" a="1"/>
  <c r="D3562" i="1" s="1"/>
  <c r="D3563" i="1" a="1"/>
  <c r="D3563" i="1" s="1"/>
  <c r="D3564" i="1" a="1"/>
  <c r="D3564" i="1" s="1"/>
  <c r="D3565" i="1" a="1"/>
  <c r="D3565" i="1" s="1"/>
  <c r="D3566" i="1" a="1"/>
  <c r="D3566" i="1" s="1"/>
  <c r="D3567" i="1" a="1"/>
  <c r="D3567" i="1" s="1"/>
  <c r="D3568" i="1" a="1"/>
  <c r="D3568" i="1" s="1"/>
  <c r="D3569" i="1" a="1"/>
  <c r="D3569" i="1" s="1"/>
  <c r="D3570" i="1" a="1"/>
  <c r="D3570" i="1" s="1"/>
  <c r="D3571" i="1" a="1"/>
  <c r="D3571" i="1"/>
  <c r="D3572" i="1" a="1"/>
  <c r="D3572" i="1" s="1"/>
  <c r="D3573" i="1" a="1"/>
  <c r="D3573" i="1" s="1"/>
  <c r="D3574" i="1" a="1"/>
  <c r="D3574" i="1"/>
  <c r="D3575" i="1" a="1"/>
  <c r="D3575" i="1" s="1"/>
  <c r="D3576" i="1" a="1"/>
  <c r="D3576" i="1" s="1"/>
  <c r="D3577" i="1" a="1"/>
  <c r="D3577" i="1" s="1"/>
  <c r="D3578" i="1" a="1"/>
  <c r="D3578" i="1"/>
  <c r="D3579" i="1" a="1"/>
  <c r="D3579" i="1" s="1"/>
  <c r="D3580" i="1" a="1"/>
  <c r="D3580" i="1" s="1"/>
  <c r="D3581" i="1" a="1"/>
  <c r="D3581" i="1" s="1"/>
  <c r="D3582" i="1" a="1"/>
  <c r="D3582" i="1" s="1"/>
  <c r="D3583" i="1" a="1"/>
  <c r="D3583" i="1" s="1"/>
  <c r="D3584" i="1" a="1"/>
  <c r="D3584" i="1" s="1"/>
  <c r="D3585" i="1" a="1"/>
  <c r="D3585" i="1" s="1"/>
  <c r="D3586" i="1" a="1"/>
  <c r="D3586" i="1" s="1"/>
  <c r="D3587" i="1" a="1"/>
  <c r="D3587" i="1"/>
  <c r="D3588" i="1" a="1"/>
  <c r="D3588" i="1" s="1"/>
  <c r="D3589" i="1" a="1"/>
  <c r="D3589" i="1"/>
  <c r="D3590" i="1" a="1"/>
  <c r="D3590" i="1" s="1"/>
  <c r="D3591" i="1" a="1"/>
  <c r="D3591" i="1" s="1"/>
  <c r="D3592" i="1" a="1"/>
  <c r="D3592" i="1" s="1"/>
  <c r="D3593" i="1" a="1"/>
  <c r="D3593" i="1" s="1"/>
  <c r="D3594" i="1" a="1"/>
  <c r="D3594" i="1" s="1"/>
  <c r="D3595" i="1" a="1"/>
  <c r="D3595" i="1" s="1"/>
  <c r="D3596" i="1" a="1"/>
  <c r="D3596" i="1" s="1"/>
  <c r="D3597" i="1" a="1"/>
  <c r="D3597" i="1" s="1"/>
  <c r="D3598" i="1" a="1"/>
  <c r="D3598" i="1" s="1"/>
  <c r="D3599" i="1" a="1"/>
  <c r="D3599" i="1" s="1"/>
  <c r="D3600" i="1" a="1"/>
  <c r="D3600" i="1" s="1"/>
  <c r="D3601" i="1" a="1"/>
  <c r="D3601" i="1" s="1"/>
  <c r="D3602" i="1" a="1"/>
  <c r="D3602" i="1"/>
  <c r="D3603" i="1" a="1"/>
  <c r="D3603" i="1" s="1"/>
  <c r="D3604" i="1" a="1"/>
  <c r="D3604" i="1" s="1"/>
  <c r="D3605" i="1" a="1"/>
  <c r="D3605" i="1" s="1"/>
  <c r="D3606" i="1" a="1"/>
  <c r="D3606" i="1" s="1"/>
  <c r="D3607" i="1" a="1"/>
  <c r="D3607" i="1" s="1"/>
  <c r="D3608" i="1" a="1"/>
  <c r="D3608" i="1"/>
  <c r="D3609" i="1" a="1"/>
  <c r="D3609" i="1" s="1"/>
  <c r="D3610" i="1" a="1"/>
  <c r="D3610" i="1"/>
  <c r="D3611" i="1" a="1"/>
  <c r="D3611" i="1" s="1"/>
  <c r="D3612" i="1" a="1"/>
  <c r="D3612" i="1" s="1"/>
  <c r="D3613" i="1" a="1"/>
  <c r="D3613" i="1" s="1"/>
  <c r="D3614" i="1" a="1"/>
  <c r="D3614" i="1" s="1"/>
  <c r="D3615" i="1" a="1"/>
  <c r="D3615" i="1" s="1"/>
  <c r="D3616" i="1" a="1"/>
  <c r="D3616" i="1"/>
  <c r="D3617" i="1" a="1"/>
  <c r="D3617" i="1" s="1"/>
  <c r="D3618" i="1" a="1"/>
  <c r="D3618" i="1" s="1"/>
  <c r="D3619" i="1" a="1"/>
  <c r="D3619" i="1" s="1"/>
  <c r="D3620" i="1" a="1"/>
  <c r="D3620" i="1" s="1"/>
  <c r="D3621" i="1" a="1"/>
  <c r="D3621" i="1" s="1"/>
  <c r="D3622" i="1" a="1"/>
  <c r="D3622" i="1" s="1"/>
  <c r="D3623" i="1" a="1"/>
  <c r="D3623" i="1" s="1"/>
  <c r="D3624" i="1" a="1"/>
  <c r="D3624" i="1"/>
  <c r="D3625" i="1" a="1"/>
  <c r="D3625" i="1" s="1"/>
  <c r="D3626" i="1" a="1"/>
  <c r="D3626" i="1"/>
  <c r="D3627" i="1" a="1"/>
  <c r="D3627" i="1" s="1"/>
  <c r="D3628" i="1" a="1"/>
  <c r="D3628" i="1" s="1"/>
  <c r="D3629" i="1" a="1"/>
  <c r="D3629" i="1"/>
  <c r="D3630" i="1" a="1"/>
  <c r="D3630" i="1" s="1"/>
  <c r="D3631" i="1" a="1"/>
  <c r="D3631" i="1"/>
  <c r="D3632" i="1" a="1"/>
  <c r="D3632" i="1" s="1"/>
  <c r="D3633" i="1" a="1"/>
  <c r="D3633" i="1" s="1"/>
  <c r="D3634" i="1" a="1"/>
  <c r="D3634" i="1" s="1"/>
  <c r="D3635" i="1" a="1"/>
  <c r="D3635" i="1" s="1"/>
  <c r="D3636" i="1" a="1"/>
  <c r="D3636" i="1" s="1"/>
  <c r="D3637" i="1" a="1"/>
  <c r="D3637" i="1"/>
  <c r="D3638" i="1" a="1"/>
  <c r="D3638" i="1" s="1"/>
  <c r="D3639" i="1" a="1"/>
  <c r="D3639" i="1" s="1"/>
  <c r="D3640" i="1" a="1"/>
  <c r="D3640" i="1" s="1"/>
  <c r="D3641" i="1" a="1"/>
  <c r="D3641" i="1" s="1"/>
  <c r="D3642" i="1" a="1"/>
  <c r="D3642" i="1" s="1"/>
  <c r="D3643" i="1" a="1"/>
  <c r="D3643" i="1" s="1"/>
  <c r="D3644" i="1" a="1"/>
  <c r="D3644" i="1" s="1"/>
  <c r="D3645" i="1" a="1"/>
  <c r="D3645" i="1" s="1"/>
  <c r="D3646" i="1" a="1"/>
  <c r="D3646" i="1" s="1"/>
  <c r="D3647" i="1" a="1"/>
  <c r="D3647" i="1"/>
  <c r="D3648" i="1" a="1"/>
  <c r="D3648" i="1" s="1"/>
  <c r="D3649" i="1" a="1"/>
  <c r="D3649" i="1" s="1"/>
  <c r="D3650" i="1" a="1"/>
  <c r="D3650" i="1"/>
  <c r="D3651" i="1" a="1"/>
  <c r="D3651" i="1" s="1"/>
  <c r="D3652" i="1" a="1"/>
  <c r="D3652" i="1"/>
  <c r="D3653" i="1" a="1"/>
  <c r="D3653" i="1" s="1"/>
  <c r="D3654" i="1" a="1"/>
  <c r="D3654" i="1" s="1"/>
  <c r="D3655" i="1" a="1"/>
  <c r="D3655" i="1" s="1"/>
  <c r="D3656" i="1" a="1"/>
  <c r="D3656" i="1" s="1"/>
  <c r="D3657" i="1" a="1"/>
  <c r="D3657" i="1" s="1"/>
  <c r="D3658" i="1" a="1"/>
  <c r="D3658" i="1"/>
  <c r="D3659" i="1" a="1"/>
  <c r="D3659" i="1" s="1"/>
  <c r="D3660" i="1" a="1"/>
  <c r="D3660" i="1" s="1"/>
  <c r="D3661" i="1" a="1"/>
  <c r="D3661" i="1" s="1"/>
  <c r="D3662" i="1" a="1"/>
  <c r="D3662" i="1" s="1"/>
  <c r="D3663" i="1" a="1"/>
  <c r="D3663" i="1" s="1"/>
  <c r="D3664" i="1" a="1"/>
  <c r="D3664" i="1" s="1"/>
  <c r="D3665" i="1" a="1"/>
  <c r="D3665" i="1" s="1"/>
  <c r="D3666" i="1" a="1"/>
  <c r="D3666" i="1" s="1"/>
  <c r="D3667" i="1" a="1"/>
  <c r="D3667" i="1" s="1"/>
  <c r="D3668" i="1" a="1"/>
  <c r="D3668" i="1" s="1"/>
  <c r="D3669" i="1" a="1"/>
  <c r="D3669" i="1" s="1"/>
  <c r="D3670" i="1" a="1"/>
  <c r="D3670" i="1" s="1"/>
  <c r="D3671" i="1" a="1"/>
  <c r="D3671" i="1" s="1"/>
  <c r="D3672" i="1" a="1"/>
  <c r="D3672" i="1" s="1"/>
  <c r="D3673" i="1" a="1"/>
  <c r="D3673" i="1" s="1"/>
  <c r="D3674" i="1" a="1"/>
  <c r="D3674" i="1" s="1"/>
  <c r="D3675" i="1" a="1"/>
  <c r="D3675" i="1" s="1"/>
  <c r="D3676" i="1" a="1"/>
  <c r="D3676" i="1"/>
  <c r="D3677" i="1" a="1"/>
  <c r="D3677" i="1" s="1"/>
  <c r="D3678" i="1" a="1"/>
  <c r="D3678" i="1" s="1"/>
  <c r="D3679" i="1" a="1"/>
  <c r="D3679" i="1" s="1"/>
  <c r="D3680" i="1" a="1"/>
  <c r="D3680" i="1" s="1"/>
  <c r="D3681" i="1" a="1"/>
  <c r="D3681" i="1" s="1"/>
  <c r="D3682" i="1" a="1"/>
  <c r="D3682" i="1" s="1"/>
  <c r="D3683" i="1" a="1"/>
  <c r="D3683" i="1" s="1"/>
  <c r="D3684" i="1" a="1"/>
  <c r="D3684" i="1" s="1"/>
  <c r="D3685" i="1" a="1"/>
  <c r="D3685" i="1" s="1"/>
  <c r="D3686" i="1" a="1"/>
  <c r="D3686" i="1" s="1"/>
  <c r="D3687" i="1" a="1"/>
  <c r="D3687" i="1" s="1"/>
  <c r="D3688" i="1" a="1"/>
  <c r="D3688" i="1" s="1"/>
  <c r="D3689" i="1" a="1"/>
  <c r="D3689" i="1" s="1"/>
  <c r="D3690" i="1" a="1"/>
  <c r="D3690" i="1" s="1"/>
  <c r="D3691" i="1" a="1"/>
  <c r="D3691" i="1"/>
  <c r="D3692" i="1" a="1"/>
  <c r="D3692" i="1" s="1"/>
  <c r="D3693" i="1" a="1"/>
  <c r="D3693" i="1" s="1"/>
  <c r="D3694" i="1" a="1"/>
  <c r="D3694" i="1"/>
  <c r="D3695" i="1" a="1"/>
  <c r="D3695" i="1" s="1"/>
  <c r="D3696" i="1" a="1"/>
  <c r="D3696" i="1"/>
  <c r="D3697" i="1" a="1"/>
  <c r="D3697" i="1" s="1"/>
  <c r="D3698" i="1" a="1"/>
  <c r="D3698" i="1" s="1"/>
  <c r="D3699" i="1" a="1"/>
  <c r="D3699" i="1" s="1"/>
  <c r="D3700" i="1" a="1"/>
  <c r="D3700" i="1" s="1"/>
  <c r="D3701" i="1" a="1"/>
  <c r="D3701" i="1" s="1"/>
  <c r="D3702" i="1" a="1"/>
  <c r="D3702" i="1" s="1"/>
  <c r="D3703" i="1" a="1"/>
  <c r="D3703" i="1" s="1"/>
  <c r="D3704" i="1" a="1"/>
  <c r="D3704" i="1" s="1"/>
  <c r="D3705" i="1" a="1"/>
  <c r="D3705" i="1"/>
  <c r="D3706" i="1" a="1"/>
  <c r="D3706" i="1" s="1"/>
  <c r="D3707" i="1" a="1"/>
  <c r="D3707" i="1" s="1"/>
  <c r="D3708" i="1" a="1"/>
  <c r="D3708" i="1" s="1"/>
  <c r="D3709" i="1" a="1"/>
  <c r="D3709" i="1" s="1"/>
  <c r="D3710" i="1" a="1"/>
  <c r="D3710" i="1"/>
  <c r="D3711" i="1" a="1"/>
  <c r="D3711" i="1" s="1"/>
  <c r="D3712" i="1" a="1"/>
  <c r="D3712" i="1" s="1"/>
  <c r="D3713" i="1" a="1"/>
  <c r="D3713" i="1" s="1"/>
  <c r="D3714" i="1" a="1"/>
  <c r="D3714" i="1" s="1"/>
  <c r="D3715" i="1" a="1"/>
  <c r="D3715" i="1" s="1"/>
  <c r="D3716" i="1" a="1"/>
  <c r="D3716" i="1" s="1"/>
  <c r="D3717" i="1" a="1"/>
  <c r="D3717" i="1" s="1"/>
  <c r="D3718" i="1" a="1"/>
  <c r="D3718" i="1"/>
  <c r="D3719" i="1" a="1"/>
  <c r="D3719" i="1" s="1"/>
  <c r="D3720" i="1" a="1"/>
  <c r="D3720" i="1" s="1"/>
  <c r="D3721" i="1" a="1"/>
  <c r="D3721" i="1" s="1"/>
  <c r="D3722" i="1" a="1"/>
  <c r="D3722" i="1" s="1"/>
  <c r="D3723" i="1" a="1"/>
  <c r="D3723" i="1" s="1"/>
  <c r="D3724" i="1" a="1"/>
  <c r="D3724" i="1" s="1"/>
  <c r="D3725" i="1" a="1"/>
  <c r="D3725" i="1" s="1"/>
  <c r="D3726" i="1" a="1"/>
  <c r="D3726" i="1" s="1"/>
  <c r="D3727" i="1" a="1"/>
  <c r="D3727" i="1" s="1"/>
  <c r="D3728" i="1" a="1"/>
  <c r="D3728" i="1" s="1"/>
  <c r="D3729" i="1" a="1"/>
  <c r="D3729" i="1"/>
  <c r="D3730" i="1" a="1"/>
  <c r="D3730" i="1" s="1"/>
  <c r="D3731" i="1" a="1"/>
  <c r="D3731" i="1"/>
  <c r="D3732" i="1" a="1"/>
  <c r="D3732" i="1" s="1"/>
  <c r="D3733" i="1" a="1"/>
  <c r="D3733" i="1" s="1"/>
  <c r="D3734" i="1" a="1"/>
  <c r="D3734" i="1" s="1"/>
  <c r="D3735" i="1" a="1"/>
  <c r="D3735" i="1" s="1"/>
  <c r="D3736" i="1" a="1"/>
  <c r="D3736" i="1" s="1"/>
  <c r="D3737" i="1" a="1"/>
  <c r="D3737" i="1" s="1"/>
  <c r="D3738" i="1" a="1"/>
  <c r="D3738" i="1"/>
  <c r="D3739" i="1" a="1"/>
  <c r="D3739" i="1"/>
  <c r="D3740" i="1" a="1"/>
  <c r="D3740" i="1" s="1"/>
  <c r="D3741" i="1" a="1"/>
  <c r="D3741" i="1" s="1"/>
  <c r="D3742" i="1" a="1"/>
  <c r="D3742" i="1"/>
  <c r="D3743" i="1" a="1"/>
  <c r="D3743" i="1" s="1"/>
  <c r="D3744" i="1" a="1"/>
  <c r="D3744" i="1" s="1"/>
  <c r="D3745" i="1" a="1"/>
  <c r="D3745" i="1"/>
  <c r="D3746" i="1" a="1"/>
  <c r="D3746" i="1" s="1"/>
  <c r="D3747" i="1" a="1"/>
  <c r="D3747" i="1"/>
  <c r="D3748" i="1" a="1"/>
  <c r="D3748" i="1" s="1"/>
  <c r="D3749" i="1" a="1"/>
  <c r="D3749" i="1" s="1"/>
  <c r="D3750" i="1" a="1"/>
  <c r="D3750" i="1" s="1"/>
  <c r="D3751" i="1" a="1"/>
  <c r="D3751" i="1" s="1"/>
  <c r="D3752" i="1" a="1"/>
  <c r="D3752" i="1" s="1"/>
  <c r="D3753" i="1" a="1"/>
  <c r="D3753" i="1" s="1"/>
  <c r="D3754" i="1" a="1"/>
  <c r="D3754" i="1" s="1"/>
  <c r="D3755" i="1" a="1"/>
  <c r="D3755" i="1" s="1"/>
  <c r="D3756" i="1" a="1"/>
  <c r="D3756" i="1" s="1"/>
  <c r="D3757" i="1" a="1"/>
  <c r="D3757" i="1" s="1"/>
  <c r="D3758" i="1" a="1"/>
  <c r="D3758" i="1" s="1"/>
  <c r="D3759" i="1" a="1"/>
  <c r="D3759" i="1"/>
  <c r="D3760" i="1" a="1"/>
  <c r="D3760" i="1" s="1"/>
  <c r="D3761" i="1" a="1"/>
  <c r="D3761" i="1" s="1"/>
  <c r="D3762" i="1" a="1"/>
  <c r="D3762" i="1" s="1"/>
  <c r="D3763" i="1" a="1"/>
  <c r="D3763" i="1" s="1"/>
  <c r="D3764" i="1" a="1"/>
  <c r="D3764" i="1" s="1"/>
  <c r="D3765" i="1" a="1"/>
  <c r="D3765" i="1" s="1"/>
  <c r="D3766" i="1" a="1"/>
  <c r="D3766" i="1"/>
  <c r="D3767" i="1" a="1"/>
  <c r="D3767" i="1" s="1"/>
  <c r="D3768" i="1" a="1"/>
  <c r="D3768" i="1"/>
  <c r="D3769" i="1" a="1"/>
  <c r="D3769" i="1" s="1"/>
  <c r="D3770" i="1" a="1"/>
  <c r="D3770" i="1" s="1"/>
  <c r="D3771" i="1" a="1"/>
  <c r="D3771" i="1" s="1"/>
  <c r="D3772" i="1" a="1"/>
  <c r="D3772" i="1" s="1"/>
  <c r="D3773" i="1" a="1"/>
  <c r="D3773" i="1" s="1"/>
  <c r="D3774" i="1" a="1"/>
  <c r="D3774" i="1" s="1"/>
  <c r="D3775" i="1" a="1"/>
  <c r="D3775" i="1" s="1"/>
  <c r="D3776" i="1" a="1"/>
  <c r="D3776" i="1" s="1"/>
  <c r="D3777" i="1" a="1"/>
  <c r="D3777" i="1" s="1"/>
  <c r="D3778" i="1" a="1"/>
  <c r="D3778" i="1"/>
  <c r="D3779" i="1" a="1"/>
  <c r="D3779" i="1" s="1"/>
  <c r="D3780" i="1" a="1"/>
  <c r="D3780" i="1" s="1"/>
  <c r="D3781" i="1" a="1"/>
  <c r="D3781" i="1"/>
  <c r="D3782" i="1" a="1"/>
  <c r="D3782" i="1" s="1"/>
  <c r="D3783" i="1" a="1"/>
  <c r="D3783" i="1" s="1"/>
  <c r="D3784" i="1" a="1"/>
  <c r="D3784" i="1" s="1"/>
  <c r="D3785" i="1" a="1"/>
  <c r="D3785" i="1" s="1"/>
  <c r="D3786" i="1" a="1"/>
  <c r="D3786" i="1" s="1"/>
  <c r="D3787" i="1" a="1"/>
  <c r="D3787" i="1" s="1"/>
  <c r="D3788" i="1" a="1"/>
  <c r="D3788" i="1" s="1"/>
  <c r="D3789" i="1" a="1"/>
  <c r="D3789" i="1" s="1"/>
  <c r="D3790" i="1" a="1"/>
  <c r="D3790" i="1" s="1"/>
  <c r="D3791" i="1" a="1"/>
  <c r="D3791" i="1" s="1"/>
  <c r="D3792" i="1" a="1"/>
  <c r="D3792" i="1" s="1"/>
  <c r="D3793" i="1" a="1"/>
  <c r="D3793" i="1" s="1"/>
  <c r="D3794" i="1" a="1"/>
  <c r="D3794" i="1" s="1"/>
  <c r="D3795" i="1" a="1"/>
  <c r="D3795" i="1" s="1"/>
  <c r="D3796" i="1" a="1"/>
  <c r="D3796" i="1" s="1"/>
  <c r="D3797" i="1" a="1"/>
  <c r="D3797" i="1" s="1"/>
  <c r="D3798" i="1" a="1"/>
  <c r="D3798" i="1" s="1"/>
  <c r="D3799" i="1" a="1"/>
  <c r="D3799" i="1" s="1"/>
  <c r="D3800" i="1" a="1"/>
  <c r="D3800" i="1" s="1"/>
  <c r="D3801" i="1" a="1"/>
  <c r="D3801" i="1" s="1"/>
  <c r="D3802" i="1" a="1"/>
  <c r="D3802" i="1" s="1"/>
  <c r="D3803" i="1" a="1"/>
  <c r="D3803" i="1" s="1"/>
  <c r="D3804" i="1" a="1"/>
  <c r="D3804" i="1" s="1"/>
  <c r="D3805" i="1" a="1"/>
  <c r="D3805" i="1"/>
  <c r="D3806" i="1" a="1"/>
  <c r="D3806" i="1" s="1"/>
  <c r="D3807" i="1" a="1"/>
  <c r="D3807" i="1"/>
  <c r="D3808" i="1" a="1"/>
  <c r="D3808" i="1" s="1"/>
  <c r="D3809" i="1" a="1"/>
  <c r="D3809" i="1" s="1"/>
  <c r="D3810" i="1" a="1"/>
  <c r="D3810" i="1" s="1"/>
  <c r="D3811" i="1" a="1"/>
  <c r="D3811" i="1" s="1"/>
  <c r="D3812" i="1" a="1"/>
  <c r="D3812" i="1" s="1"/>
  <c r="D3813" i="1" a="1"/>
  <c r="D3813" i="1" s="1"/>
  <c r="D3814" i="1" a="1"/>
  <c r="D3814" i="1" s="1"/>
  <c r="D3815" i="1" a="1"/>
  <c r="D3815" i="1" s="1"/>
  <c r="D3816" i="1" a="1"/>
  <c r="D3816" i="1"/>
  <c r="D3817" i="1" a="1"/>
  <c r="D3817" i="1" s="1"/>
  <c r="D3818" i="1" a="1"/>
  <c r="D3818" i="1" s="1"/>
  <c r="D3819" i="1" a="1"/>
  <c r="D3819" i="1" s="1"/>
  <c r="D3820" i="1" a="1"/>
  <c r="D3820" i="1"/>
  <c r="D3821" i="1" a="1"/>
  <c r="D3821" i="1" s="1"/>
  <c r="D3822" i="1" a="1"/>
  <c r="D3822" i="1"/>
  <c r="D3823" i="1" a="1"/>
  <c r="D3823" i="1" s="1"/>
  <c r="D3824" i="1" a="1"/>
  <c r="D3824" i="1" s="1"/>
  <c r="D3825" i="1" a="1"/>
  <c r="D3825" i="1" s="1"/>
  <c r="D3826" i="1" a="1"/>
  <c r="D3826" i="1" s="1"/>
  <c r="D3827" i="1" a="1"/>
  <c r="D3827" i="1" s="1"/>
  <c r="D3828" i="1" a="1"/>
  <c r="D3828" i="1" s="1"/>
  <c r="D3829" i="1" a="1"/>
  <c r="D3829" i="1"/>
  <c r="D3830" i="1" a="1"/>
  <c r="D3830" i="1" s="1"/>
  <c r="D3831" i="1" a="1"/>
  <c r="D3831" i="1" s="1"/>
  <c r="D3832" i="1" a="1"/>
  <c r="D3832" i="1" s="1"/>
  <c r="D3833" i="1" a="1"/>
  <c r="D3833" i="1" s="1"/>
  <c r="D3834" i="1" a="1"/>
  <c r="D3834" i="1"/>
  <c r="D3835" i="1" a="1"/>
  <c r="D3835" i="1" s="1"/>
  <c r="D3836" i="1" a="1"/>
  <c r="D3836" i="1" s="1"/>
  <c r="D3837" i="1" a="1"/>
  <c r="D3837" i="1" s="1"/>
  <c r="D3838" i="1" a="1"/>
  <c r="D3838" i="1" s="1"/>
  <c r="D3839" i="1" a="1"/>
  <c r="D3839" i="1" s="1"/>
  <c r="D3840" i="1" a="1"/>
  <c r="D3840" i="1" s="1"/>
  <c r="D3841" i="1" a="1"/>
  <c r="D3841" i="1"/>
  <c r="D3842" i="1" a="1"/>
  <c r="D3842" i="1" s="1"/>
  <c r="D3843" i="1" a="1"/>
  <c r="D3843" i="1" s="1"/>
  <c r="D3844" i="1" a="1"/>
  <c r="D3844" i="1" s="1"/>
  <c r="D3845" i="1" a="1"/>
  <c r="D3845" i="1" s="1"/>
  <c r="D3846" i="1" a="1"/>
  <c r="D3846" i="1" s="1"/>
  <c r="D3847" i="1" a="1"/>
  <c r="D3847" i="1"/>
  <c r="D3848" i="1" a="1"/>
  <c r="D3848" i="1" s="1"/>
  <c r="D3849" i="1" a="1"/>
  <c r="D3849" i="1"/>
  <c r="D3850" i="1" a="1"/>
  <c r="D3850" i="1"/>
  <c r="D3851" i="1" a="1"/>
  <c r="D3851" i="1" s="1"/>
  <c r="D3852" i="1" a="1"/>
  <c r="D3852" i="1" s="1"/>
  <c r="D3853" i="1" a="1"/>
  <c r="D3853" i="1" s="1"/>
  <c r="D3854" i="1" a="1"/>
  <c r="D3854" i="1" s="1"/>
  <c r="D3855" i="1" a="1"/>
  <c r="D3855" i="1"/>
  <c r="D3856" i="1" a="1"/>
  <c r="D3856" i="1" s="1"/>
  <c r="D3857" i="1" a="1"/>
  <c r="D3857" i="1" s="1"/>
  <c r="D3858" i="1" a="1"/>
  <c r="D3858" i="1" s="1"/>
  <c r="D3859" i="1" a="1"/>
  <c r="D3859" i="1" s="1"/>
  <c r="D3860" i="1" a="1"/>
  <c r="D3860" i="1" s="1"/>
  <c r="D3861" i="1" a="1"/>
  <c r="D3861" i="1" s="1"/>
  <c r="D3862" i="1" a="1"/>
  <c r="D3862" i="1" s="1"/>
  <c r="D3863" i="1" a="1"/>
  <c r="D3863" i="1" s="1"/>
  <c r="D3864" i="1" a="1"/>
  <c r="D3864" i="1" s="1"/>
  <c r="D3865" i="1" a="1"/>
  <c r="D3865" i="1" s="1"/>
  <c r="D3866" i="1" a="1"/>
  <c r="D3866" i="1" s="1"/>
  <c r="D3867" i="1" a="1"/>
  <c r="D3867" i="1" s="1"/>
  <c r="D3868" i="1" a="1"/>
  <c r="D3868" i="1"/>
  <c r="D3869" i="1" a="1"/>
  <c r="D3869" i="1" s="1"/>
  <c r="D3870" i="1" a="1"/>
  <c r="D3870" i="1"/>
  <c r="D3871" i="1" a="1"/>
  <c r="D3871" i="1"/>
  <c r="D3872" i="1" a="1"/>
  <c r="D3872" i="1" s="1"/>
  <c r="D3873" i="1" a="1"/>
  <c r="D3873" i="1" s="1"/>
  <c r="D3874" i="1" a="1"/>
  <c r="D3874" i="1" s="1"/>
  <c r="D3875" i="1" a="1"/>
  <c r="D3875" i="1"/>
  <c r="D3876" i="1" a="1"/>
  <c r="D3876" i="1" s="1"/>
  <c r="D3877" i="1" a="1"/>
  <c r="D3877" i="1" s="1"/>
  <c r="D3878" i="1" a="1"/>
  <c r="D3878" i="1" s="1"/>
  <c r="D3879" i="1" a="1"/>
  <c r="D3879" i="1"/>
  <c r="D3880" i="1" a="1"/>
  <c r="D3880" i="1" s="1"/>
  <c r="D3881" i="1" a="1"/>
  <c r="D3881" i="1" s="1"/>
  <c r="D3882" i="1" a="1"/>
  <c r="D3882" i="1" s="1"/>
  <c r="D3883" i="1" a="1"/>
  <c r="D3883" i="1" s="1"/>
  <c r="D3884" i="1" a="1"/>
  <c r="D3884" i="1"/>
  <c r="D3885" i="1" a="1"/>
  <c r="D3885" i="1" s="1"/>
  <c r="D3886" i="1" a="1"/>
  <c r="D3886" i="1" s="1"/>
  <c r="D3887" i="1" a="1"/>
  <c r="D3887" i="1"/>
  <c r="D3888" i="1" a="1"/>
  <c r="D3888" i="1" s="1"/>
  <c r="D3889" i="1" a="1"/>
  <c r="D3889" i="1" s="1"/>
  <c r="D3890" i="1" a="1"/>
  <c r="D3890" i="1" s="1"/>
  <c r="D3891" i="1" a="1"/>
  <c r="D3891" i="1" s="1"/>
  <c r="D3892" i="1" a="1"/>
  <c r="D3892" i="1"/>
  <c r="D3893" i="1" a="1"/>
  <c r="D3893" i="1" s="1"/>
  <c r="D3894" i="1" a="1"/>
  <c r="D3894" i="1" s="1"/>
  <c r="D3895" i="1" a="1"/>
  <c r="D3895" i="1" s="1"/>
  <c r="D3896" i="1" a="1"/>
  <c r="D3896" i="1"/>
  <c r="D3897" i="1" a="1"/>
  <c r="D3897" i="1"/>
  <c r="D3898" i="1" a="1"/>
  <c r="D3898" i="1" s="1"/>
  <c r="D3899" i="1" a="1"/>
  <c r="D3899" i="1" s="1"/>
  <c r="D3900" i="1" a="1"/>
  <c r="D3900" i="1"/>
  <c r="D3901" i="1" a="1"/>
  <c r="D3901" i="1" s="1"/>
  <c r="D3902" i="1" a="1"/>
  <c r="D3902" i="1" s="1"/>
  <c r="D3903" i="1" a="1"/>
  <c r="D3903" i="1" s="1"/>
  <c r="D3904" i="1" a="1"/>
  <c r="D3904" i="1" s="1"/>
  <c r="D3905" i="1" a="1"/>
  <c r="D3905" i="1" s="1"/>
  <c r="D3906" i="1" a="1"/>
  <c r="D3906" i="1" s="1"/>
  <c r="D3907" i="1" a="1"/>
  <c r="D3907" i="1" s="1"/>
  <c r="D3908" i="1" a="1"/>
  <c r="D3908" i="1" s="1"/>
  <c r="D3909" i="1" a="1"/>
  <c r="D3909" i="1" s="1"/>
  <c r="D3910" i="1" a="1"/>
  <c r="D3910" i="1" s="1"/>
  <c r="D3911" i="1" a="1"/>
  <c r="D3911" i="1" s="1"/>
  <c r="D3912" i="1" a="1"/>
  <c r="D3912" i="1" s="1"/>
  <c r="D3913" i="1" a="1"/>
  <c r="D3913" i="1" s="1"/>
  <c r="D3914" i="1" a="1"/>
  <c r="D3914" i="1" s="1"/>
  <c r="D3915" i="1" a="1"/>
  <c r="D3915" i="1"/>
  <c r="D3916" i="1" a="1"/>
  <c r="D3916" i="1" s="1"/>
  <c r="D3917" i="1" a="1"/>
  <c r="D3917" i="1"/>
  <c r="D3918" i="1" a="1"/>
  <c r="D3918" i="1"/>
  <c r="D3919" i="1" a="1"/>
  <c r="D3919" i="1" s="1"/>
  <c r="D3920" i="1" a="1"/>
  <c r="D3920" i="1" s="1"/>
  <c r="D3921" i="1" a="1"/>
  <c r="D3921" i="1"/>
  <c r="D3922" i="1" a="1"/>
  <c r="D3922" i="1" s="1"/>
  <c r="D3923" i="1" a="1"/>
  <c r="D3923" i="1" s="1"/>
  <c r="D3924" i="1" a="1"/>
  <c r="D3924" i="1" s="1"/>
  <c r="D3925" i="1" a="1"/>
  <c r="D3925" i="1" s="1"/>
  <c r="D3926" i="1" a="1"/>
  <c r="D3926" i="1" s="1"/>
  <c r="D3927" i="1" a="1"/>
  <c r="D3927" i="1" s="1"/>
  <c r="D3928" i="1" a="1"/>
  <c r="D3928" i="1" s="1"/>
  <c r="D3929" i="1" a="1"/>
  <c r="D3929" i="1" s="1"/>
  <c r="D3930" i="1" a="1"/>
  <c r="D3930" i="1" s="1"/>
  <c r="D3931" i="1" a="1"/>
  <c r="D3931" i="1" s="1"/>
  <c r="D3932" i="1" a="1"/>
  <c r="D3932" i="1" s="1"/>
  <c r="D3933" i="1" a="1"/>
  <c r="D3933" i="1" s="1"/>
  <c r="D3934" i="1" a="1"/>
  <c r="D3934" i="1" s="1"/>
  <c r="D3935" i="1" a="1"/>
  <c r="D3935" i="1" s="1"/>
  <c r="D3936" i="1" a="1"/>
  <c r="D3936" i="1"/>
  <c r="D3937" i="1" a="1"/>
  <c r="D3937" i="1" s="1"/>
  <c r="D3938" i="1" a="1"/>
  <c r="D3938" i="1"/>
  <c r="D3939" i="1" a="1"/>
  <c r="D3939" i="1" s="1"/>
  <c r="D3940" i="1" a="1"/>
  <c r="D3940" i="1" s="1"/>
  <c r="D3941" i="1" a="1"/>
  <c r="D3941" i="1" s="1"/>
  <c r="D3942" i="1" a="1"/>
  <c r="D3942" i="1"/>
  <c r="D3943" i="1" a="1"/>
  <c r="D3943" i="1" s="1"/>
  <c r="D3944" i="1" a="1"/>
  <c r="D3944" i="1"/>
  <c r="D3945" i="1" a="1"/>
  <c r="D3945" i="1" s="1"/>
  <c r="D3946" i="1" a="1"/>
  <c r="D3946" i="1" s="1"/>
  <c r="D3947" i="1" a="1"/>
  <c r="D3947" i="1" s="1"/>
  <c r="D3948" i="1" a="1"/>
  <c r="D3948" i="1" s="1"/>
  <c r="D3949" i="1" a="1"/>
  <c r="D3949" i="1" s="1"/>
  <c r="D3950" i="1" a="1"/>
  <c r="D3950" i="1" s="1"/>
  <c r="D3951" i="1" a="1"/>
  <c r="D3951" i="1" s="1"/>
  <c r="D3952" i="1" a="1"/>
  <c r="D3952" i="1"/>
  <c r="D3953" i="1" a="1"/>
  <c r="D3953" i="1" s="1"/>
  <c r="D3954" i="1" a="1"/>
  <c r="D3954" i="1" s="1"/>
  <c r="D3955" i="1" a="1"/>
  <c r="D3955" i="1" s="1"/>
  <c r="D3956" i="1" a="1"/>
  <c r="D3956" i="1" s="1"/>
  <c r="D3957" i="1" a="1"/>
  <c r="D3957" i="1"/>
  <c r="D3958" i="1" a="1"/>
  <c r="D3958" i="1" s="1"/>
  <c r="D3959" i="1" a="1"/>
  <c r="D3959" i="1"/>
  <c r="D3960" i="1" a="1"/>
  <c r="D3960" i="1" s="1"/>
  <c r="D3961" i="1" a="1"/>
  <c r="D3961" i="1" s="1"/>
  <c r="D3962" i="1" a="1"/>
  <c r="D3962" i="1" s="1"/>
  <c r="D3963" i="1" a="1"/>
  <c r="D3963" i="1" s="1"/>
  <c r="D3964" i="1" a="1"/>
  <c r="D3964" i="1" s="1"/>
  <c r="D3965" i="1" a="1"/>
  <c r="D3965" i="1"/>
  <c r="D3966" i="1" a="1"/>
  <c r="D3966" i="1"/>
  <c r="D3967" i="1" a="1"/>
  <c r="D3967" i="1" s="1"/>
  <c r="D3968" i="1" a="1"/>
  <c r="D3968" i="1" s="1"/>
  <c r="D3969" i="1" a="1"/>
  <c r="D3969" i="1" s="1"/>
  <c r="D3970" i="1" a="1"/>
  <c r="D3970" i="1" s="1"/>
  <c r="D3971" i="1" a="1"/>
  <c r="D3971" i="1" s="1"/>
  <c r="D3972" i="1" a="1"/>
  <c r="D3972" i="1" s="1"/>
  <c r="D3973" i="1" a="1"/>
  <c r="D3973" i="1" s="1"/>
  <c r="D3974" i="1" a="1"/>
  <c r="D3974" i="1"/>
  <c r="D3975" i="1" a="1"/>
  <c r="D3975" i="1" s="1"/>
  <c r="D3976" i="1" a="1"/>
  <c r="D3976" i="1" s="1"/>
  <c r="D3977" i="1" a="1"/>
  <c r="D3977" i="1" s="1"/>
  <c r="D3978" i="1" a="1"/>
  <c r="D3978" i="1" s="1"/>
  <c r="D3979" i="1" a="1"/>
  <c r="D3979" i="1" s="1"/>
  <c r="D3980" i="1" a="1"/>
  <c r="D3980" i="1"/>
  <c r="D3981" i="1" a="1"/>
  <c r="D3981" i="1"/>
  <c r="D3982" i="1" a="1"/>
  <c r="D3982" i="1" s="1"/>
  <c r="D3983" i="1" a="1"/>
  <c r="D3983" i="1" s="1"/>
  <c r="D3984" i="1" a="1"/>
  <c r="D3984" i="1" s="1"/>
  <c r="D3985" i="1" a="1"/>
  <c r="D3985" i="1" s="1"/>
  <c r="D3986" i="1" a="1"/>
  <c r="D3986" i="1"/>
  <c r="D3987" i="1" a="1"/>
  <c r="D3987" i="1" s="1"/>
  <c r="D3988" i="1" a="1"/>
  <c r="D3988" i="1" s="1"/>
  <c r="D3989" i="1" a="1"/>
  <c r="D3989" i="1" s="1"/>
  <c r="D3990" i="1" a="1"/>
  <c r="D3990" i="1" s="1"/>
  <c r="D3991" i="1" a="1"/>
  <c r="D3991" i="1" s="1"/>
  <c r="D3992" i="1" a="1"/>
  <c r="D3992" i="1" s="1"/>
  <c r="D3993" i="1" a="1"/>
  <c r="D3993" i="1" s="1"/>
  <c r="D3994" i="1" a="1"/>
  <c r="D3994" i="1" s="1"/>
  <c r="D3995" i="1" a="1"/>
  <c r="D3995" i="1"/>
  <c r="D3996" i="1" a="1"/>
  <c r="D3996" i="1" s="1"/>
  <c r="D3997" i="1" a="1"/>
  <c r="D3997" i="1" s="1"/>
  <c r="D3998" i="1" a="1"/>
  <c r="D3998" i="1" s="1"/>
  <c r="D3999" i="1" a="1"/>
  <c r="D3999" i="1" s="1"/>
  <c r="D4000" i="1" a="1"/>
  <c r="D4000" i="1" s="1"/>
  <c r="D4001" i="1" a="1"/>
  <c r="D4001" i="1"/>
  <c r="D4002" i="1" a="1"/>
  <c r="D4002" i="1" s="1"/>
  <c r="D4003" i="1" a="1"/>
  <c r="D4003" i="1" s="1"/>
  <c r="D4004" i="1" a="1"/>
  <c r="D4004" i="1" s="1"/>
  <c r="D4005" i="1" a="1"/>
  <c r="D4005" i="1"/>
  <c r="D4006" i="1" a="1"/>
  <c r="D4006" i="1" s="1"/>
  <c r="D4007" i="1" a="1"/>
  <c r="D4007" i="1"/>
  <c r="D4008" i="1" a="1"/>
  <c r="D4008" i="1"/>
  <c r="D4009" i="1" a="1"/>
  <c r="D4009" i="1" s="1"/>
  <c r="D4010" i="1" a="1"/>
  <c r="D4010" i="1"/>
  <c r="D4011" i="1" a="1"/>
  <c r="D4011" i="1" s="1"/>
  <c r="D4012" i="1" a="1"/>
  <c r="D4012" i="1" s="1"/>
  <c r="D4013" i="1" a="1"/>
  <c r="D4013" i="1" s="1"/>
  <c r="D4014" i="1" a="1"/>
  <c r="D4014" i="1" s="1"/>
  <c r="D4015" i="1" a="1"/>
  <c r="D4015" i="1" s="1"/>
  <c r="D4016" i="1" a="1"/>
  <c r="D4016" i="1"/>
  <c r="D4017" i="1" a="1"/>
  <c r="D4017" i="1" s="1"/>
  <c r="D4018" i="1" a="1"/>
  <c r="D4018" i="1" s="1"/>
  <c r="D4019" i="1" a="1"/>
  <c r="D4019" i="1" s="1"/>
  <c r="D4020" i="1" a="1"/>
  <c r="D4020" i="1"/>
  <c r="D4021" i="1" a="1"/>
  <c r="D4021" i="1" s="1"/>
  <c r="D4022" i="1" a="1"/>
  <c r="D4022" i="1"/>
  <c r="D4023" i="1" a="1"/>
  <c r="D4023" i="1" s="1"/>
  <c r="D4024" i="1" a="1"/>
  <c r="D4024" i="1" s="1"/>
  <c r="D4025" i="1" a="1"/>
  <c r="D4025" i="1" s="1"/>
  <c r="D4026" i="1" a="1"/>
  <c r="D4026" i="1"/>
  <c r="D4027" i="1" a="1"/>
  <c r="D4027" i="1" s="1"/>
  <c r="D4028" i="1" a="1"/>
  <c r="D4028" i="1" s="1"/>
  <c r="D4029" i="1" a="1"/>
  <c r="D4029" i="1" s="1"/>
  <c r="D4030" i="1" a="1"/>
  <c r="D4030" i="1" s="1"/>
  <c r="D4031" i="1" a="1"/>
  <c r="D4031" i="1" s="1"/>
  <c r="D4032" i="1" a="1"/>
  <c r="D4032" i="1" s="1"/>
  <c r="D4033" i="1" a="1"/>
  <c r="D4033" i="1" s="1"/>
  <c r="D4034" i="1" a="1"/>
  <c r="D4034" i="1"/>
  <c r="D4035" i="1" a="1"/>
  <c r="D4035" i="1" s="1"/>
  <c r="D4036" i="1" a="1"/>
  <c r="D4036" i="1" s="1"/>
  <c r="D4037" i="1" a="1"/>
  <c r="D4037" i="1" s="1"/>
  <c r="D4038" i="1" a="1"/>
  <c r="D4038" i="1" s="1"/>
  <c r="D4039" i="1" a="1"/>
  <c r="D4039" i="1" s="1"/>
  <c r="D4040" i="1" a="1"/>
  <c r="D4040" i="1" s="1"/>
  <c r="D4041" i="1" a="1"/>
  <c r="D4041" i="1" s="1"/>
  <c r="D4042" i="1" a="1"/>
  <c r="D4042" i="1" s="1"/>
  <c r="D4043" i="1" a="1"/>
  <c r="D4043" i="1" s="1"/>
  <c r="D4044" i="1" a="1"/>
  <c r="D4044" i="1" s="1"/>
  <c r="D4045" i="1" a="1"/>
  <c r="D4045" i="1"/>
  <c r="D4046" i="1" a="1"/>
  <c r="D4046" i="1" s="1"/>
  <c r="D4047" i="1" a="1"/>
  <c r="D4047" i="1"/>
  <c r="D4048" i="1" a="1"/>
  <c r="D4048" i="1" s="1"/>
  <c r="D4049" i="1" a="1"/>
  <c r="D4049" i="1"/>
  <c r="D4050" i="1" a="1"/>
  <c r="D4050" i="1" s="1"/>
  <c r="D4051" i="1" a="1"/>
  <c r="D4051" i="1" s="1"/>
  <c r="D4052" i="1" a="1"/>
  <c r="D4052" i="1"/>
  <c r="D4053" i="1" a="1"/>
  <c r="D4053" i="1" s="1"/>
  <c r="D4054" i="1" a="1"/>
  <c r="D4054" i="1"/>
  <c r="D4055" i="1" a="1"/>
  <c r="D4055" i="1" s="1"/>
  <c r="D4056" i="1" a="1"/>
  <c r="D4056" i="1" s="1"/>
  <c r="D4057" i="1" a="1"/>
  <c r="D4057" i="1" s="1"/>
  <c r="D4058" i="1" a="1"/>
  <c r="D4058" i="1" s="1"/>
  <c r="D4059" i="1" a="1"/>
  <c r="D4059" i="1" s="1"/>
  <c r="D4060" i="1" a="1"/>
  <c r="D4060" i="1" s="1"/>
  <c r="D4061" i="1" a="1"/>
  <c r="D4061" i="1" s="1"/>
  <c r="D4062" i="1" a="1"/>
  <c r="D4062" i="1"/>
  <c r="D4063" i="1" a="1"/>
  <c r="D4063" i="1" s="1"/>
  <c r="D4064" i="1" a="1"/>
  <c r="D4064" i="1" s="1"/>
  <c r="D4065" i="1" a="1"/>
  <c r="D4065" i="1" s="1"/>
  <c r="D4066" i="1" a="1"/>
  <c r="D4066" i="1"/>
  <c r="D4067" i="1" a="1"/>
  <c r="D4067" i="1" s="1"/>
  <c r="D4068" i="1" a="1"/>
  <c r="D4068" i="1"/>
  <c r="D4069" i="1" a="1"/>
  <c r="D4069" i="1" s="1"/>
  <c r="D4070" i="1" a="1"/>
  <c r="D4070" i="1" s="1"/>
  <c r="D4071" i="1" a="1"/>
  <c r="D4071" i="1" s="1"/>
  <c r="D4072" i="1" a="1"/>
  <c r="D4072" i="1" s="1"/>
  <c r="D4073" i="1" a="1"/>
  <c r="D4073" i="1" s="1"/>
  <c r="D4074" i="1" a="1"/>
  <c r="D4074" i="1" s="1"/>
  <c r="D4075" i="1" a="1"/>
  <c r="D4075" i="1" s="1"/>
  <c r="D4076" i="1" a="1"/>
  <c r="D4076" i="1"/>
  <c r="D4077" i="1" a="1"/>
  <c r="D4077" i="1" s="1"/>
  <c r="D4078" i="1" a="1"/>
  <c r="D4078" i="1" s="1"/>
  <c r="D4079" i="1" a="1"/>
  <c r="D4079" i="1" s="1"/>
  <c r="D4080" i="1" a="1"/>
  <c r="D4080" i="1" s="1"/>
  <c r="D4081" i="1" a="1"/>
  <c r="D4081" i="1" s="1"/>
  <c r="D4082" i="1" a="1"/>
  <c r="D4082" i="1" s="1"/>
  <c r="D4083" i="1" a="1"/>
  <c r="D4083" i="1" s="1"/>
  <c r="D4084" i="1" a="1"/>
  <c r="D4084" i="1"/>
  <c r="D4085" i="1" a="1"/>
  <c r="D4085" i="1" s="1"/>
  <c r="D4086" i="1" a="1"/>
  <c r="D4086" i="1" s="1"/>
  <c r="D4087" i="1" a="1"/>
  <c r="D4087" i="1" s="1"/>
  <c r="D4088" i="1" a="1"/>
  <c r="D4088" i="1" s="1"/>
  <c r="D4089" i="1" a="1"/>
  <c r="D4089" i="1"/>
  <c r="D4090" i="1" a="1"/>
  <c r="D4090" i="1" s="1"/>
  <c r="D4091" i="1" a="1"/>
  <c r="D4091" i="1"/>
  <c r="D4092" i="1" a="1"/>
  <c r="D4092" i="1" s="1"/>
  <c r="D4093" i="1" a="1"/>
  <c r="D4093" i="1" s="1"/>
  <c r="D4094" i="1" a="1"/>
  <c r="D4094" i="1" s="1"/>
  <c r="D4095" i="1" a="1"/>
  <c r="D4095" i="1" s="1"/>
  <c r="D4096" i="1" a="1"/>
  <c r="D4096" i="1"/>
  <c r="D4097" i="1" a="1"/>
  <c r="D4097" i="1"/>
  <c r="D4098" i="1" a="1"/>
  <c r="D4098" i="1" s="1"/>
  <c r="D4099" i="1" a="1"/>
  <c r="D4099" i="1" s="1"/>
  <c r="D4100" i="1" a="1"/>
  <c r="D4100" i="1" s="1"/>
  <c r="D4101" i="1" a="1"/>
  <c r="D4101" i="1" s="1"/>
  <c r="D4102" i="1" a="1"/>
  <c r="D4102" i="1" s="1"/>
  <c r="D4103" i="1" a="1"/>
  <c r="D4103" i="1" s="1"/>
  <c r="D4104" i="1" a="1"/>
  <c r="D4104" i="1" s="1"/>
  <c r="D4105" i="1" a="1"/>
  <c r="D4105" i="1"/>
  <c r="D4106" i="1" a="1"/>
  <c r="D4106" i="1" s="1"/>
  <c r="D4107" i="1" a="1"/>
  <c r="D4107" i="1" s="1"/>
  <c r="D4108" i="1" a="1"/>
  <c r="D4108" i="1" s="1"/>
  <c r="D4109" i="1" a="1"/>
  <c r="D4109" i="1" s="1"/>
  <c r="D4110" i="1" a="1"/>
  <c r="D4110" i="1" s="1"/>
  <c r="D4111" i="1" a="1"/>
  <c r="D4111" i="1" s="1"/>
  <c r="D4112" i="1" a="1"/>
  <c r="D4112" i="1"/>
  <c r="D4113" i="1" a="1"/>
  <c r="D4113" i="1" s="1"/>
  <c r="D4114" i="1" a="1"/>
  <c r="D4114" i="1" s="1"/>
  <c r="D4115" i="1" a="1"/>
  <c r="D4115" i="1" s="1"/>
  <c r="D4116" i="1" a="1"/>
  <c r="D4116" i="1" s="1"/>
  <c r="D4117" i="1" a="1"/>
  <c r="D4117" i="1"/>
  <c r="D4118" i="1" a="1"/>
  <c r="D4118" i="1" s="1"/>
  <c r="D4119" i="1" a="1"/>
  <c r="D4119" i="1" s="1"/>
  <c r="D4120" i="1" a="1"/>
  <c r="D4120" i="1" s="1"/>
  <c r="D4121" i="1" a="1"/>
  <c r="D4121" i="1" s="1"/>
  <c r="D4122" i="1" a="1"/>
  <c r="D4122" i="1" s="1"/>
  <c r="D4123" i="1" a="1"/>
  <c r="D4123" i="1" s="1"/>
  <c r="D4124" i="1" a="1"/>
  <c r="D4124" i="1"/>
  <c r="D4125" i="1" a="1"/>
  <c r="D4125" i="1" s="1"/>
  <c r="D4126" i="1" a="1"/>
  <c r="D4126" i="1"/>
  <c r="D4127" i="1" a="1"/>
  <c r="D4127" i="1" s="1"/>
  <c r="D4128" i="1" a="1"/>
  <c r="D4128" i="1" s="1"/>
  <c r="D4129" i="1" a="1"/>
  <c r="D4129" i="1" s="1"/>
  <c r="D4130" i="1" a="1"/>
  <c r="D4130" i="1" s="1"/>
  <c r="D4131" i="1" a="1"/>
  <c r="D4131" i="1" s="1"/>
  <c r="D4132" i="1" a="1"/>
  <c r="D4132" i="1" s="1"/>
  <c r="D4133" i="1" a="1"/>
  <c r="D4133" i="1" s="1"/>
  <c r="D4134" i="1" a="1"/>
  <c r="D4134" i="1" s="1"/>
  <c r="D4135" i="1" a="1"/>
  <c r="D4135" i="1" s="1"/>
  <c r="D4136" i="1" a="1"/>
  <c r="D4136" i="1" s="1"/>
  <c r="D4137" i="1" a="1"/>
  <c r="D4137" i="1" s="1"/>
  <c r="D4138" i="1" a="1"/>
  <c r="D4138" i="1" s="1"/>
  <c r="D4139" i="1" a="1"/>
  <c r="D4139" i="1" s="1"/>
  <c r="D4140" i="1" a="1"/>
  <c r="D4140" i="1" s="1"/>
  <c r="D4141" i="1" a="1"/>
  <c r="D4141" i="1" s="1"/>
  <c r="D4142" i="1" a="1"/>
  <c r="D4142" i="1" s="1"/>
  <c r="D4143" i="1" a="1"/>
  <c r="D4143" i="1" s="1"/>
  <c r="D4144" i="1" a="1"/>
  <c r="D4144" i="1" s="1"/>
  <c r="D4145" i="1" a="1"/>
  <c r="D4145" i="1"/>
  <c r="D4146" i="1" a="1"/>
  <c r="D4146" i="1" s="1"/>
  <c r="D4147" i="1" a="1"/>
  <c r="D4147" i="1"/>
  <c r="D4148" i="1" a="1"/>
  <c r="D4148" i="1" s="1"/>
  <c r="D4149" i="1" a="1"/>
  <c r="D4149" i="1" s="1"/>
  <c r="D4150" i="1" a="1"/>
  <c r="D4150" i="1" s="1"/>
  <c r="D4151" i="1" a="1"/>
  <c r="D4151" i="1" s="1"/>
  <c r="D4152" i="1" a="1"/>
  <c r="D4152" i="1" s="1"/>
  <c r="D4153" i="1" a="1"/>
  <c r="D4153" i="1" s="1"/>
  <c r="D4154" i="1" a="1"/>
  <c r="D4154" i="1" s="1"/>
  <c r="D4155" i="1" a="1"/>
  <c r="D4155" i="1" s="1"/>
  <c r="D4156" i="1" a="1"/>
  <c r="D4156" i="1" s="1"/>
  <c r="D4157" i="1" a="1"/>
  <c r="D4157" i="1"/>
  <c r="D4158" i="1" a="1"/>
  <c r="D4158" i="1" s="1"/>
  <c r="D4159" i="1" a="1"/>
  <c r="D4159" i="1" s="1"/>
  <c r="D4160" i="1" a="1"/>
  <c r="D4160" i="1" s="1"/>
  <c r="D4161" i="1" a="1"/>
  <c r="D4161" i="1" s="1"/>
  <c r="D4162" i="1" a="1"/>
  <c r="D4162" i="1" s="1"/>
  <c r="D4163" i="1" a="1"/>
  <c r="D4163" i="1" s="1"/>
  <c r="D4164" i="1" a="1"/>
  <c r="D4164" i="1" s="1"/>
  <c r="D4165" i="1" a="1"/>
  <c r="D4165" i="1" s="1"/>
  <c r="D4166" i="1" a="1"/>
  <c r="D4166" i="1" s="1"/>
  <c r="D4167" i="1" a="1"/>
  <c r="D4167" i="1" s="1"/>
  <c r="D4168" i="1" a="1"/>
  <c r="D4168" i="1" s="1"/>
  <c r="D4169" i="1" a="1"/>
  <c r="D4169" i="1" s="1"/>
  <c r="D4170" i="1" a="1"/>
  <c r="D4170" i="1" s="1"/>
  <c r="D4171" i="1" a="1"/>
  <c r="D4171" i="1"/>
  <c r="D4172" i="1" a="1"/>
  <c r="D4172" i="1" s="1"/>
  <c r="D4173" i="1" a="1"/>
  <c r="D4173" i="1" s="1"/>
  <c r="D4174" i="1" a="1"/>
  <c r="D4174" i="1" s="1"/>
  <c r="D4175" i="1" a="1"/>
  <c r="D4175" i="1" s="1"/>
  <c r="D4176" i="1" a="1"/>
  <c r="D4176" i="1" s="1"/>
  <c r="D4177" i="1" a="1"/>
  <c r="D4177" i="1"/>
  <c r="D4178" i="1" a="1"/>
  <c r="D4178" i="1" s="1"/>
  <c r="D4179" i="1" a="1"/>
  <c r="D4179" i="1" s="1"/>
  <c r="D4180" i="1" a="1"/>
  <c r="D4180" i="1" s="1"/>
  <c r="D4181" i="1" a="1"/>
  <c r="D4181" i="1" s="1"/>
  <c r="D4182" i="1" a="1"/>
  <c r="D4182" i="1" s="1"/>
  <c r="D4183" i="1" a="1"/>
  <c r="D4183" i="1" s="1"/>
  <c r="D4184" i="1" a="1"/>
  <c r="D4184" i="1"/>
  <c r="D4185" i="1" a="1"/>
  <c r="D4185" i="1" s="1"/>
  <c r="D4186" i="1" a="1"/>
  <c r="D4186" i="1"/>
  <c r="D4187" i="1" a="1"/>
  <c r="D4187" i="1" s="1"/>
  <c r="D4188" i="1" a="1"/>
  <c r="D4188" i="1" s="1"/>
  <c r="D4189" i="1" a="1"/>
  <c r="D4189" i="1" s="1"/>
  <c r="D4190" i="1" a="1"/>
  <c r="D4190" i="1" s="1"/>
  <c r="D4191" i="1" a="1"/>
  <c r="D4191" i="1" s="1"/>
  <c r="D4192" i="1" a="1"/>
  <c r="D4192" i="1"/>
  <c r="D4193" i="1" a="1"/>
  <c r="D4193" i="1" s="1"/>
  <c r="D4194" i="1" a="1"/>
  <c r="D4194" i="1" s="1"/>
  <c r="D4195" i="1" a="1"/>
  <c r="D4195" i="1" s="1"/>
  <c r="D4196" i="1" a="1"/>
  <c r="D4196" i="1" s="1"/>
  <c r="D4197" i="1" a="1"/>
  <c r="D4197" i="1" s="1"/>
  <c r="D4198" i="1" a="1"/>
  <c r="D4198" i="1" s="1"/>
  <c r="D4199" i="1" a="1"/>
  <c r="D4199" i="1"/>
  <c r="D4200" i="1" a="1"/>
  <c r="D4200" i="1" s="1"/>
  <c r="D4201" i="1" a="1"/>
  <c r="D4201" i="1" s="1"/>
  <c r="D4202" i="1" a="1"/>
  <c r="D4202" i="1" s="1"/>
  <c r="D4203" i="1" a="1"/>
  <c r="D4203" i="1" s="1"/>
  <c r="D4204" i="1" a="1"/>
  <c r="D4204" i="1"/>
  <c r="D4205" i="1" a="1"/>
  <c r="D4205" i="1" s="1"/>
  <c r="D4206" i="1" a="1"/>
  <c r="D4206" i="1" s="1"/>
  <c r="D4207" i="1" a="1"/>
  <c r="D4207" i="1" s="1"/>
  <c r="D4208" i="1" a="1"/>
  <c r="D4208" i="1" s="1"/>
  <c r="D4209" i="1" a="1"/>
  <c r="D4209" i="1" s="1"/>
  <c r="D4210" i="1" a="1"/>
  <c r="D4210" i="1" s="1"/>
  <c r="D4211" i="1" a="1"/>
  <c r="D4211" i="1" s="1"/>
  <c r="D4212" i="1" a="1"/>
  <c r="D4212" i="1" s="1"/>
  <c r="D4213" i="1" a="1"/>
  <c r="D4213" i="1"/>
  <c r="D4214" i="1" a="1"/>
  <c r="D4214" i="1" s="1"/>
  <c r="D4215" i="1" a="1"/>
  <c r="D4215" i="1" s="1"/>
  <c r="D4216" i="1" a="1"/>
  <c r="D4216" i="1" s="1"/>
  <c r="D4217" i="1" a="1"/>
  <c r="D4217" i="1" s="1"/>
  <c r="D4218" i="1" a="1"/>
  <c r="D4218" i="1"/>
  <c r="D4219" i="1" a="1"/>
  <c r="D4219" i="1" s="1"/>
  <c r="D4220" i="1" a="1"/>
  <c r="D4220" i="1" s="1"/>
  <c r="D4221" i="1" a="1"/>
  <c r="D4221" i="1" s="1"/>
  <c r="D4222" i="1" a="1"/>
  <c r="D4222" i="1" s="1"/>
  <c r="D4223" i="1" a="1"/>
  <c r="D4223" i="1" s="1"/>
  <c r="D4224" i="1" a="1"/>
  <c r="D4224" i="1" s="1"/>
  <c r="D4225" i="1" a="1"/>
  <c r="D4225" i="1" s="1"/>
  <c r="D4226" i="1" a="1"/>
  <c r="D4226" i="1" s="1"/>
  <c r="D4227" i="1" a="1"/>
  <c r="D4227" i="1"/>
  <c r="D4228" i="1" a="1"/>
  <c r="D4228" i="1"/>
  <c r="D4229" i="1" a="1"/>
  <c r="D4229" i="1" s="1"/>
  <c r="D4230" i="1" a="1"/>
  <c r="D4230" i="1" s="1"/>
  <c r="D4231" i="1" a="1"/>
  <c r="D4231" i="1" s="1"/>
  <c r="D4232" i="1" a="1"/>
  <c r="D4232" i="1" s="1"/>
  <c r="D4233" i="1" a="1"/>
  <c r="D4233" i="1" s="1"/>
  <c r="D4234" i="1" a="1"/>
  <c r="D4234" i="1" s="1"/>
  <c r="D4235" i="1" a="1"/>
  <c r="D4235" i="1" s="1"/>
  <c r="D4236" i="1" a="1"/>
  <c r="D4236" i="1" s="1"/>
  <c r="D4237" i="1" a="1"/>
  <c r="D4237" i="1"/>
  <c r="D4238" i="1" a="1"/>
  <c r="D4238" i="1"/>
  <c r="D4239" i="1" a="1"/>
  <c r="D4239" i="1" s="1"/>
  <c r="D4240" i="1" a="1"/>
  <c r="D4240" i="1" s="1"/>
  <c r="D4241" i="1" a="1"/>
  <c r="D4241" i="1" s="1"/>
  <c r="D4242" i="1" a="1"/>
  <c r="D4242" i="1" s="1"/>
  <c r="D4243" i="1" a="1"/>
  <c r="D4243" i="1"/>
  <c r="D4244" i="1" a="1"/>
  <c r="D4244" i="1"/>
  <c r="D4245" i="1" a="1"/>
  <c r="D4245" i="1" s="1"/>
  <c r="D4246" i="1" a="1"/>
  <c r="D4246" i="1" s="1"/>
  <c r="D4247" i="1" a="1"/>
  <c r="D4247" i="1"/>
  <c r="D4248" i="1" a="1"/>
  <c r="D4248" i="1"/>
  <c r="D4249" i="1" a="1"/>
  <c r="D4249" i="1" s="1"/>
  <c r="D4250" i="1" a="1"/>
  <c r="D4250" i="1" s="1"/>
  <c r="D4251" i="1" a="1"/>
  <c r="D4251" i="1" s="1"/>
  <c r="D4252" i="1" a="1"/>
  <c r="D4252" i="1" s="1"/>
  <c r="D4253" i="1" a="1"/>
  <c r="D4253" i="1" s="1"/>
  <c r="D4254" i="1" a="1"/>
  <c r="D4254" i="1" s="1"/>
  <c r="D4255" i="1" a="1"/>
  <c r="D4255" i="1" s="1"/>
  <c r="D4256" i="1" a="1"/>
  <c r="D4256" i="1" s="1"/>
  <c r="D4257" i="1" a="1"/>
  <c r="D4257" i="1" s="1"/>
  <c r="D4258" i="1" a="1"/>
  <c r="D4258" i="1"/>
  <c r="D4259" i="1" a="1"/>
  <c r="D4259" i="1" s="1"/>
  <c r="D4260" i="1" a="1"/>
  <c r="D4260" i="1" s="1"/>
  <c r="D4261" i="1" a="1"/>
  <c r="D4261" i="1" s="1"/>
  <c r="D4262" i="1" a="1"/>
  <c r="D4262" i="1" s="1"/>
  <c r="D4263" i="1" a="1"/>
  <c r="D4263" i="1" s="1"/>
  <c r="D4264" i="1" a="1"/>
  <c r="D4264" i="1" s="1"/>
  <c r="D4265" i="1" a="1"/>
  <c r="D4265" i="1" s="1"/>
  <c r="D4266" i="1" a="1"/>
  <c r="D4266" i="1" s="1"/>
  <c r="D4267" i="1" a="1"/>
  <c r="D4267" i="1" s="1"/>
  <c r="D4268" i="1" a="1"/>
  <c r="D4268" i="1"/>
  <c r="D4269" i="1" a="1"/>
  <c r="D4269" i="1" s="1"/>
  <c r="D4270" i="1" a="1"/>
  <c r="D4270" i="1" s="1"/>
  <c r="D4271" i="1" a="1"/>
  <c r="D4271" i="1" s="1"/>
  <c r="D4272" i="1" a="1"/>
  <c r="D4272" i="1" s="1"/>
  <c r="D4273" i="1" a="1"/>
  <c r="D4273" i="1" s="1"/>
  <c r="D4274" i="1" a="1"/>
  <c r="D4274" i="1" s="1"/>
  <c r="D4275" i="1" a="1"/>
  <c r="D4275" i="1" s="1"/>
  <c r="D4276" i="1" a="1"/>
  <c r="D4276" i="1" s="1"/>
  <c r="D4277" i="1" a="1"/>
  <c r="D4277" i="1"/>
  <c r="D4278" i="1" a="1"/>
  <c r="D4278" i="1" s="1"/>
  <c r="D4279" i="1" a="1"/>
  <c r="D4279" i="1" s="1"/>
  <c r="D4280" i="1" a="1"/>
  <c r="D4280" i="1" s="1"/>
  <c r="D4281" i="1" a="1"/>
  <c r="D4281" i="1" s="1"/>
  <c r="D4282" i="1" a="1"/>
  <c r="D4282" i="1" s="1"/>
  <c r="D4283" i="1" a="1"/>
  <c r="D4283" i="1" s="1"/>
  <c r="D4284" i="1" a="1"/>
  <c r="D4284" i="1" s="1"/>
  <c r="D4285" i="1" a="1"/>
  <c r="D4285" i="1" s="1"/>
  <c r="D4286" i="1" a="1"/>
  <c r="D4286" i="1" s="1"/>
  <c r="D4287" i="1" a="1"/>
  <c r="D4287" i="1" s="1"/>
  <c r="D4288" i="1" a="1"/>
  <c r="D4288" i="1"/>
  <c r="D4289" i="1" a="1"/>
  <c r="D4289" i="1" s="1"/>
  <c r="D4290" i="1" a="1"/>
  <c r="D4290" i="1" s="1"/>
  <c r="D4291" i="1" a="1"/>
  <c r="D4291" i="1" s="1"/>
  <c r="D4292" i="1" a="1"/>
  <c r="D4292" i="1" s="1"/>
  <c r="D4293" i="1" a="1"/>
  <c r="D4293" i="1" s="1"/>
  <c r="D4294" i="1" a="1"/>
  <c r="D4294" i="1"/>
  <c r="D4295" i="1" a="1"/>
  <c r="D4295" i="1" s="1"/>
  <c r="D4296" i="1" a="1"/>
  <c r="D4296" i="1" s="1"/>
  <c r="D4297" i="1" a="1"/>
  <c r="D4297" i="1" s="1"/>
  <c r="D4298" i="1" a="1"/>
  <c r="D4298" i="1" s="1"/>
  <c r="D4299" i="1" a="1"/>
  <c r="D4299" i="1" s="1"/>
  <c r="D4300" i="1" a="1"/>
  <c r="D4300" i="1" s="1"/>
  <c r="D4301" i="1" a="1"/>
  <c r="D4301" i="1" s="1"/>
  <c r="D4302" i="1" a="1"/>
  <c r="D4302" i="1" s="1"/>
  <c r="D4303" i="1" a="1"/>
  <c r="D4303" i="1" s="1"/>
  <c r="D4304" i="1" a="1"/>
  <c r="D4304" i="1" s="1"/>
  <c r="D4305" i="1" a="1"/>
  <c r="D4305" i="1" s="1"/>
  <c r="D4306" i="1" a="1"/>
  <c r="D4306" i="1" s="1"/>
  <c r="D4307" i="1" a="1"/>
  <c r="D4307" i="1"/>
  <c r="D4308" i="1" a="1"/>
  <c r="D4308" i="1"/>
  <c r="D4309" i="1" a="1"/>
  <c r="D4309" i="1" s="1"/>
  <c r="D4310" i="1" a="1"/>
  <c r="D4310" i="1" s="1"/>
  <c r="D4311" i="1" a="1"/>
  <c r="D4311" i="1" s="1"/>
  <c r="D4312" i="1" a="1"/>
  <c r="D4312" i="1" s="1"/>
  <c r="D4313" i="1" a="1"/>
  <c r="D4313" i="1" s="1"/>
  <c r="D4314" i="1" a="1"/>
  <c r="D4314" i="1" s="1"/>
  <c r="D4315" i="1" a="1"/>
  <c r="D4315" i="1" s="1"/>
  <c r="D4316" i="1" a="1"/>
  <c r="D4316" i="1" s="1"/>
  <c r="D4317" i="1" a="1"/>
  <c r="D4317" i="1" s="1"/>
  <c r="D4318" i="1" a="1"/>
  <c r="D4318" i="1" s="1"/>
  <c r="D4319" i="1" a="1"/>
  <c r="D4319" i="1" s="1"/>
  <c r="D4320" i="1" a="1"/>
  <c r="D4320" i="1" s="1"/>
  <c r="D4321" i="1" a="1"/>
  <c r="D4321" i="1" s="1"/>
  <c r="D4322" i="1" a="1"/>
  <c r="D4322" i="1" s="1"/>
  <c r="D4323" i="1" a="1"/>
  <c r="D4323" i="1" s="1"/>
  <c r="D4324" i="1" a="1"/>
  <c r="D4324" i="1" s="1"/>
  <c r="D4325" i="1" a="1"/>
  <c r="D4325" i="1" s="1"/>
  <c r="D4326" i="1" a="1"/>
  <c r="D4326" i="1" s="1"/>
  <c r="D4327" i="1" a="1"/>
  <c r="D4327" i="1"/>
  <c r="D4328" i="1" a="1"/>
  <c r="D4328" i="1"/>
  <c r="D4329" i="1" a="1"/>
  <c r="D4329" i="1" s="1"/>
  <c r="D4330" i="1" a="1"/>
  <c r="D4330" i="1" s="1"/>
  <c r="D4331" i="1" a="1"/>
  <c r="D4331" i="1" s="1"/>
  <c r="D4332" i="1" a="1"/>
  <c r="D4332" i="1" s="1"/>
  <c r="D4333" i="1" a="1"/>
  <c r="D4333" i="1" s="1"/>
  <c r="D4334" i="1" a="1"/>
  <c r="D4334" i="1" s="1"/>
  <c r="D4335" i="1" a="1"/>
  <c r="D4335" i="1" s="1"/>
  <c r="D4336" i="1" a="1"/>
  <c r="D4336" i="1" s="1"/>
  <c r="D4337" i="1" a="1"/>
  <c r="D4337" i="1" s="1"/>
  <c r="D4338" i="1" a="1"/>
  <c r="D4338" i="1" s="1"/>
  <c r="D4339" i="1" a="1"/>
  <c r="D4339" i="1" s="1"/>
  <c r="D4340" i="1" a="1"/>
  <c r="D4340" i="1" s="1"/>
  <c r="D4341" i="1" a="1"/>
  <c r="D4341" i="1" s="1"/>
  <c r="D4342" i="1" a="1"/>
  <c r="D4342" i="1" s="1"/>
  <c r="D4343" i="1" a="1"/>
  <c r="D4343" i="1" s="1"/>
  <c r="D4344" i="1" a="1"/>
  <c r="D4344" i="1" s="1"/>
  <c r="D4345" i="1" a="1"/>
  <c r="D4345" i="1" s="1"/>
  <c r="D4346" i="1" a="1"/>
  <c r="D4346" i="1" s="1"/>
  <c r="D4347" i="1" a="1"/>
  <c r="D4347" i="1" s="1"/>
  <c r="D4348" i="1" a="1"/>
  <c r="D4348" i="1"/>
  <c r="D4349" i="1" a="1"/>
  <c r="D4349" i="1" s="1"/>
  <c r="D4350" i="1" a="1"/>
  <c r="D4350" i="1" s="1"/>
  <c r="D4351" i="1" a="1"/>
  <c r="D4351" i="1" s="1"/>
  <c r="D4352" i="1" a="1"/>
  <c r="D4352" i="1" s="1"/>
  <c r="D4353" i="1" a="1"/>
  <c r="D4353" i="1" s="1"/>
  <c r="D4354" i="1" a="1"/>
  <c r="D4354" i="1" s="1"/>
  <c r="D4355" i="1" a="1"/>
  <c r="D4355" i="1" s="1"/>
  <c r="D4356" i="1" a="1"/>
  <c r="D4356" i="1" s="1"/>
  <c r="D4357" i="1" a="1"/>
  <c r="D4357" i="1" s="1"/>
  <c r="D4358" i="1" a="1"/>
  <c r="D4358" i="1" s="1"/>
  <c r="D4359" i="1" a="1"/>
  <c r="D4359" i="1" s="1"/>
  <c r="D4360" i="1" a="1"/>
  <c r="D4360" i="1"/>
  <c r="D4361" i="1" a="1"/>
  <c r="D4361" i="1" s="1"/>
  <c r="D4362" i="1" a="1"/>
  <c r="D4362" i="1" s="1"/>
  <c r="D4363" i="1" a="1"/>
  <c r="D4363" i="1"/>
  <c r="D4364" i="1" a="1"/>
  <c r="D4364" i="1"/>
  <c r="D4365" i="1" a="1"/>
  <c r="D4365" i="1" s="1"/>
  <c r="D4366" i="1" a="1"/>
  <c r="D4366" i="1" s="1"/>
  <c r="D4367" i="1" a="1"/>
  <c r="D4367" i="1" s="1"/>
  <c r="D4368" i="1" a="1"/>
  <c r="D4368" i="1" s="1"/>
  <c r="D4369" i="1" a="1"/>
  <c r="D4369" i="1" s="1"/>
  <c r="D4370" i="1" a="1"/>
  <c r="D4370" i="1" s="1"/>
  <c r="D4371" i="1" a="1"/>
  <c r="D4371" i="1" s="1"/>
  <c r="D4372" i="1" a="1"/>
  <c r="D4372" i="1" s="1"/>
  <c r="D4373" i="1" a="1"/>
  <c r="D4373" i="1" s="1"/>
  <c r="D4374" i="1" a="1"/>
  <c r="D4374" i="1" s="1"/>
  <c r="D4375" i="1" a="1"/>
  <c r="D4375" i="1" s="1"/>
  <c r="D4376" i="1" a="1"/>
  <c r="D4376" i="1" s="1"/>
  <c r="D4377" i="1" a="1"/>
  <c r="D4377" i="1" s="1"/>
  <c r="D4378" i="1" a="1"/>
  <c r="D4378" i="1" s="1"/>
  <c r="D4379" i="1" a="1"/>
  <c r="D4379" i="1"/>
  <c r="D4380" i="1" a="1"/>
  <c r="D4380" i="1"/>
  <c r="D4381" i="1" a="1"/>
  <c r="D4381" i="1" s="1"/>
  <c r="D4382" i="1" a="1"/>
  <c r="D4382" i="1" s="1"/>
  <c r="D4383" i="1" a="1"/>
  <c r="D4383" i="1"/>
  <c r="D4384" i="1" a="1"/>
  <c r="D4384" i="1"/>
  <c r="D4385" i="1" a="1"/>
  <c r="D4385" i="1" s="1"/>
  <c r="D4386" i="1" a="1"/>
  <c r="D4386" i="1" s="1"/>
  <c r="D4387" i="1" a="1"/>
  <c r="D4387" i="1" s="1"/>
  <c r="D4388" i="1" a="1"/>
  <c r="D4388" i="1" s="1"/>
  <c r="D4389" i="1" a="1"/>
  <c r="D4389" i="1" s="1"/>
  <c r="D4390" i="1" a="1"/>
  <c r="D4390" i="1" s="1"/>
  <c r="D4391" i="1" a="1"/>
  <c r="D4391" i="1" s="1"/>
  <c r="D4392" i="1" a="1"/>
  <c r="D4392" i="1" s="1"/>
  <c r="D4393" i="1" a="1"/>
  <c r="D4393" i="1" s="1"/>
  <c r="D4394" i="1" a="1"/>
  <c r="D4394" i="1" s="1"/>
  <c r="D4395" i="1" a="1"/>
  <c r="D4395" i="1" s="1"/>
  <c r="D4396" i="1" a="1"/>
  <c r="D4396" i="1" s="1"/>
  <c r="D4397" i="1" a="1"/>
  <c r="D4397" i="1" s="1"/>
  <c r="D4398" i="1" a="1"/>
  <c r="D4398" i="1"/>
  <c r="D4399" i="1" a="1"/>
  <c r="D4399" i="1"/>
  <c r="D4400" i="1" a="1"/>
  <c r="D4400" i="1" s="1"/>
  <c r="D4401" i="1" a="1"/>
  <c r="D4401" i="1" s="1"/>
  <c r="D4402" i="1" a="1"/>
  <c r="D4402" i="1" s="1"/>
  <c r="D4403" i="1" a="1"/>
  <c r="D4403" i="1"/>
  <c r="D4404" i="1" a="1"/>
  <c r="D4404" i="1" s="1"/>
  <c r="D4405" i="1" a="1"/>
  <c r="D4405" i="1" s="1"/>
  <c r="D4406" i="1" a="1"/>
  <c r="D4406" i="1" s="1"/>
  <c r="D4407" i="1" a="1"/>
  <c r="D4407" i="1" s="1"/>
  <c r="D4408" i="1" a="1"/>
  <c r="D4408" i="1" s="1"/>
  <c r="D4409" i="1" a="1"/>
  <c r="D4409" i="1" s="1"/>
  <c r="D4410" i="1" a="1"/>
  <c r="D4410" i="1" s="1"/>
  <c r="D4411" i="1" a="1"/>
  <c r="D4411" i="1" s="1"/>
  <c r="D4412" i="1" a="1"/>
  <c r="D4412" i="1" s="1"/>
  <c r="D4413" i="1" a="1"/>
  <c r="D4413" i="1" s="1"/>
  <c r="D4414" i="1" a="1"/>
  <c r="D4414" i="1" s="1"/>
  <c r="D4415" i="1" a="1"/>
  <c r="D4415" i="1"/>
  <c r="D4416" i="1" a="1"/>
  <c r="D4416" i="1" s="1"/>
  <c r="D4417" i="1" a="1"/>
  <c r="D4417" i="1"/>
  <c r="D4418" i="1" a="1"/>
  <c r="D4418" i="1" s="1"/>
  <c r="D4419" i="1" a="1"/>
  <c r="D4419" i="1" s="1"/>
  <c r="D4420" i="1" a="1"/>
  <c r="D4420" i="1" s="1"/>
  <c r="D4421" i="1" a="1"/>
  <c r="D4421" i="1" s="1"/>
  <c r="D4422" i="1" a="1"/>
  <c r="D4422" i="1" s="1"/>
  <c r="D4423" i="1" a="1"/>
  <c r="D4423" i="1" s="1"/>
  <c r="D4424" i="1" a="1"/>
  <c r="D4424" i="1" s="1"/>
  <c r="D4425" i="1" a="1"/>
  <c r="D4425" i="1" s="1"/>
  <c r="D4426" i="1" a="1"/>
  <c r="D4426" i="1" s="1"/>
  <c r="D4427" i="1" a="1"/>
  <c r="D4427" i="1" s="1"/>
  <c r="D4428" i="1" a="1"/>
  <c r="D4428" i="1" s="1"/>
  <c r="D4429" i="1" a="1"/>
  <c r="D4429" i="1" s="1"/>
  <c r="D4430" i="1" a="1"/>
  <c r="D4430" i="1" s="1"/>
  <c r="D4431" i="1" a="1"/>
  <c r="D4431" i="1" s="1"/>
  <c r="D4432" i="1" a="1"/>
  <c r="D4432" i="1" s="1"/>
  <c r="D4433" i="1" a="1"/>
  <c r="D4433" i="1" s="1"/>
  <c r="D4434" i="1" a="1"/>
  <c r="D4434" i="1" s="1"/>
  <c r="D4435" i="1" a="1"/>
  <c r="D4435" i="1" s="1"/>
  <c r="D4436" i="1" a="1"/>
  <c r="D4436" i="1" s="1"/>
  <c r="D4437" i="1" a="1"/>
  <c r="D4437" i="1" s="1"/>
  <c r="D4438" i="1" a="1"/>
  <c r="D4438" i="1" s="1"/>
  <c r="D4439" i="1" a="1"/>
  <c r="D4439" i="1" s="1"/>
  <c r="D4440" i="1" a="1"/>
  <c r="D4440" i="1" s="1"/>
  <c r="D4441" i="1" a="1"/>
  <c r="D4441" i="1" s="1"/>
  <c r="D4442" i="1" a="1"/>
  <c r="D4442" i="1" s="1"/>
  <c r="D4443" i="1" a="1"/>
  <c r="D4443" i="1"/>
  <c r="D4444" i="1" a="1"/>
  <c r="D4444" i="1" s="1"/>
  <c r="D4445" i="1" a="1"/>
  <c r="D4445" i="1"/>
  <c r="D4446" i="1" a="1"/>
  <c r="D4446" i="1" s="1"/>
  <c r="D4447" i="1" a="1"/>
  <c r="D4447" i="1" s="1"/>
  <c r="D4448" i="1" a="1"/>
  <c r="D4448" i="1" s="1"/>
  <c r="D4449" i="1" a="1"/>
  <c r="D4449" i="1" s="1"/>
  <c r="D4450" i="1" a="1"/>
  <c r="D4450" i="1" s="1"/>
  <c r="D4451" i="1" a="1"/>
  <c r="D4451" i="1" s="1"/>
  <c r="D4452" i="1" a="1"/>
  <c r="D4452" i="1" s="1"/>
  <c r="D4453" i="1" a="1"/>
  <c r="D4453" i="1" s="1"/>
  <c r="D4454" i="1" a="1"/>
  <c r="D4454" i="1" s="1"/>
  <c r="D4455" i="1" a="1"/>
  <c r="D4455" i="1" s="1"/>
  <c r="D4456" i="1" a="1"/>
  <c r="D4456" i="1" s="1"/>
  <c r="D4457" i="1" a="1"/>
  <c r="D4457" i="1" s="1"/>
  <c r="D4458" i="1" a="1"/>
  <c r="D4458" i="1"/>
  <c r="D4459" i="1" a="1"/>
  <c r="D4459" i="1"/>
  <c r="D4460" i="1" a="1"/>
  <c r="D4460" i="1" s="1"/>
  <c r="D4461" i="1" a="1"/>
  <c r="D4461" i="1" s="1"/>
  <c r="D4462" i="1" a="1"/>
  <c r="D4462" i="1" s="1"/>
  <c r="D4463" i="1" a="1"/>
  <c r="D4463" i="1" s="1"/>
  <c r="D4464" i="1" a="1"/>
  <c r="D4464" i="1" s="1"/>
  <c r="D4465" i="1" a="1"/>
  <c r="D4465" i="1"/>
  <c r="D4466" i="1" a="1"/>
  <c r="D4466" i="1" s="1"/>
  <c r="D4467" i="1" a="1"/>
  <c r="D4467" i="1" s="1"/>
  <c r="D4468" i="1" a="1"/>
  <c r="D4468" i="1" s="1"/>
  <c r="D4469" i="1" a="1"/>
  <c r="D4469" i="1" s="1"/>
  <c r="D4470" i="1" a="1"/>
  <c r="D4470" i="1" s="1"/>
  <c r="D4471" i="1" a="1"/>
  <c r="D4471" i="1" s="1"/>
  <c r="D4472" i="1" a="1"/>
  <c r="D4472" i="1" s="1"/>
  <c r="D4473" i="1" a="1"/>
  <c r="D4473" i="1" s="1"/>
  <c r="D4474" i="1" a="1"/>
  <c r="D4474" i="1" s="1"/>
  <c r="D4475" i="1" a="1"/>
  <c r="D4475" i="1" s="1"/>
  <c r="D4476" i="1" a="1"/>
  <c r="D4476" i="1" s="1"/>
  <c r="D4477" i="1" a="1"/>
  <c r="D4477" i="1" s="1"/>
  <c r="D4478" i="1" a="1"/>
  <c r="D4478" i="1"/>
  <c r="D4479" i="1" a="1"/>
  <c r="D4479" i="1" s="1"/>
  <c r="D4480" i="1" a="1"/>
  <c r="D4480" i="1" s="1"/>
  <c r="D4481" i="1" a="1"/>
  <c r="D4481" i="1" s="1"/>
  <c r="D4482" i="1" a="1"/>
  <c r="D4482" i="1" s="1"/>
  <c r="D4483" i="1" a="1"/>
  <c r="D4483" i="1"/>
  <c r="D4484" i="1" a="1"/>
  <c r="D4484" i="1" s="1"/>
  <c r="D4485" i="1" a="1"/>
  <c r="D4485" i="1" s="1"/>
  <c r="D4486" i="1" a="1"/>
  <c r="D4486" i="1" s="1"/>
  <c r="D4487" i="1" a="1"/>
  <c r="D4487" i="1" s="1"/>
  <c r="D4488" i="1" a="1"/>
  <c r="D4488" i="1" s="1"/>
  <c r="D4489" i="1" a="1"/>
  <c r="D4489" i="1" s="1"/>
  <c r="D4490" i="1" a="1"/>
  <c r="D4490" i="1" s="1"/>
  <c r="D4491" i="1" a="1"/>
  <c r="D4491" i="1" s="1"/>
  <c r="D4492" i="1" a="1"/>
  <c r="D4492" i="1" s="1"/>
  <c r="D4493" i="1" a="1"/>
  <c r="D4493" i="1" s="1"/>
  <c r="D4494" i="1" a="1"/>
  <c r="D4494" i="1" s="1"/>
  <c r="D4495" i="1" a="1"/>
  <c r="D4495" i="1" s="1"/>
  <c r="D4496" i="1" a="1"/>
  <c r="D4496" i="1" s="1"/>
  <c r="D4497" i="1" a="1"/>
  <c r="D4497" i="1" s="1"/>
  <c r="D4498" i="1" a="1"/>
  <c r="D4498" i="1"/>
  <c r="D4499" i="1" a="1"/>
  <c r="D4499" i="1"/>
  <c r="D4500" i="1" a="1"/>
  <c r="D4500" i="1"/>
  <c r="D4501" i="1" a="1"/>
  <c r="D4501" i="1" s="1"/>
  <c r="D4502" i="1" a="1"/>
  <c r="D4502" i="1" s="1"/>
  <c r="D4503" i="1" a="1"/>
  <c r="D4503" i="1" s="1"/>
  <c r="D4504" i="1" a="1"/>
  <c r="D4504" i="1"/>
  <c r="D4505" i="1" a="1"/>
  <c r="D4505" i="1"/>
  <c r="D4506" i="1" a="1"/>
  <c r="D4506" i="1" s="1"/>
  <c r="D4507" i="1" a="1"/>
  <c r="D4507" i="1" s="1"/>
  <c r="D4508" i="1" a="1"/>
  <c r="D4508" i="1" s="1"/>
  <c r="D4509" i="1" a="1"/>
  <c r="D4509" i="1" s="1"/>
  <c r="D4510" i="1" a="1"/>
  <c r="D4510" i="1" s="1"/>
  <c r="D4511" i="1" a="1"/>
  <c r="D4511" i="1" s="1"/>
  <c r="D4512" i="1" a="1"/>
  <c r="D4512" i="1" s="1"/>
  <c r="D4513" i="1" a="1"/>
  <c r="D4513" i="1" s="1"/>
  <c r="D4514" i="1" a="1"/>
  <c r="D4514" i="1" s="1"/>
  <c r="D4515" i="1" a="1"/>
  <c r="D4515" i="1" s="1"/>
  <c r="D4516" i="1" a="1"/>
  <c r="D4516" i="1" s="1"/>
  <c r="D4517" i="1" a="1"/>
  <c r="D4517" i="1"/>
  <c r="D4518" i="1" a="1"/>
  <c r="D4518" i="1" s="1"/>
  <c r="D4519" i="1" a="1"/>
  <c r="D4519" i="1" s="1"/>
  <c r="D4520" i="1" a="1"/>
  <c r="D4520" i="1"/>
  <c r="D4521" i="1" a="1"/>
  <c r="D4521" i="1" s="1"/>
  <c r="D4522" i="1" a="1"/>
  <c r="D4522" i="1" s="1"/>
  <c r="D4523" i="1" a="1"/>
  <c r="D4523" i="1" s="1"/>
  <c r="D4524" i="1" a="1"/>
  <c r="D4524" i="1" s="1"/>
  <c r="D4525" i="1" a="1"/>
  <c r="D4525" i="1"/>
  <c r="D4526" i="1" a="1"/>
  <c r="D4526" i="1" s="1"/>
  <c r="D4527" i="1" a="1"/>
  <c r="D4527" i="1" s="1"/>
  <c r="D4528" i="1" a="1"/>
  <c r="D4528" i="1" s="1"/>
  <c r="D4529" i="1" a="1"/>
  <c r="D4529" i="1" s="1"/>
  <c r="D4530" i="1" a="1"/>
  <c r="D4530" i="1" s="1"/>
  <c r="D4531" i="1" a="1"/>
  <c r="D4531" i="1" s="1"/>
  <c r="D4532" i="1" a="1"/>
  <c r="D4532" i="1" s="1"/>
  <c r="D4533" i="1" a="1"/>
  <c r="D4533" i="1" s="1"/>
  <c r="D4534" i="1" a="1"/>
  <c r="D4534" i="1" s="1"/>
  <c r="D4535" i="1" a="1"/>
  <c r="D4535" i="1" s="1"/>
  <c r="D4536" i="1" a="1"/>
  <c r="D4536" i="1" s="1"/>
  <c r="D4537" i="1" a="1"/>
  <c r="D4537" i="1" s="1"/>
  <c r="D4538" i="1" a="1"/>
  <c r="D4538" i="1" s="1"/>
  <c r="D4539" i="1" a="1"/>
  <c r="D4539" i="1" s="1"/>
  <c r="D4540" i="1" a="1"/>
  <c r="D4540" i="1" s="1"/>
  <c r="D4541" i="1" a="1"/>
  <c r="D4541" i="1" s="1"/>
  <c r="D4542" i="1" a="1"/>
  <c r="D4542" i="1" s="1"/>
  <c r="D4543" i="1" a="1"/>
  <c r="D4543" i="1" s="1"/>
  <c r="D4544" i="1" a="1"/>
  <c r="D4544" i="1"/>
  <c r="D4545" i="1" a="1"/>
  <c r="D4545" i="1"/>
  <c r="D4546" i="1" a="1"/>
  <c r="D4546" i="1" s="1"/>
  <c r="D4547" i="1" a="1"/>
  <c r="D4547" i="1" s="1"/>
  <c r="D4548" i="1" a="1"/>
  <c r="D4548" i="1" s="1"/>
  <c r="D4549" i="1" a="1"/>
  <c r="D4549" i="1" s="1"/>
  <c r="D4550" i="1" a="1"/>
  <c r="D4550" i="1" s="1"/>
  <c r="D4551" i="1" a="1"/>
  <c r="D4551" i="1" s="1"/>
  <c r="D4552" i="1" a="1"/>
  <c r="D4552" i="1" s="1"/>
  <c r="D4553" i="1" a="1"/>
  <c r="D4553" i="1" s="1"/>
  <c r="D4554" i="1" a="1"/>
  <c r="D4554" i="1" s="1"/>
  <c r="D4555" i="1" a="1"/>
  <c r="D4555" i="1" s="1"/>
  <c r="D4556" i="1" a="1"/>
  <c r="D4556" i="1" s="1"/>
  <c r="D4557" i="1" a="1"/>
  <c r="D4557" i="1" s="1"/>
  <c r="D4558" i="1" a="1"/>
  <c r="D4558" i="1"/>
  <c r="D4559" i="1" a="1"/>
  <c r="D4559" i="1" s="1"/>
  <c r="D4560" i="1" a="1"/>
  <c r="D4560" i="1" s="1"/>
  <c r="D4561" i="1" a="1"/>
  <c r="D4561" i="1" s="1"/>
  <c r="D4562" i="1" a="1"/>
  <c r="D4562" i="1" s="1"/>
  <c r="D4563" i="1" a="1"/>
  <c r="D4563" i="1" s="1"/>
  <c r="D4564" i="1" a="1"/>
  <c r="D4564" i="1" s="1"/>
  <c r="D4565" i="1" a="1"/>
  <c r="D4565" i="1"/>
  <c r="D4566" i="1" a="1"/>
  <c r="D4566" i="1" s="1"/>
  <c r="D4567" i="1" a="1"/>
  <c r="D4567" i="1" s="1"/>
  <c r="D4568" i="1" a="1"/>
  <c r="D4568" i="1" s="1"/>
  <c r="D4569" i="1" a="1"/>
  <c r="D4569" i="1" s="1"/>
  <c r="D4570" i="1" a="1"/>
  <c r="D4570" i="1" s="1"/>
  <c r="D4571" i="1" a="1"/>
  <c r="D4571" i="1" s="1"/>
  <c r="D4572" i="1" a="1"/>
  <c r="D4572" i="1" s="1"/>
  <c r="D4573" i="1" a="1"/>
  <c r="D4573" i="1" s="1"/>
  <c r="D4574" i="1" a="1"/>
  <c r="D4574" i="1" s="1"/>
  <c r="D4575" i="1" a="1"/>
  <c r="D4575" i="1" s="1"/>
  <c r="D4576" i="1" a="1"/>
  <c r="D4576" i="1" s="1"/>
  <c r="D4577" i="1" a="1"/>
  <c r="D4577" i="1"/>
  <c r="D4578" i="1" a="1"/>
  <c r="D4578" i="1" s="1"/>
  <c r="D4579" i="1" a="1"/>
  <c r="D4579" i="1"/>
  <c r="D4580" i="1" a="1"/>
  <c r="D4580" i="1" s="1"/>
  <c r="D4581" i="1" a="1"/>
  <c r="D4581" i="1" s="1"/>
  <c r="D4582" i="1" a="1"/>
  <c r="D4582" i="1" s="1"/>
  <c r="D4583" i="1" a="1"/>
  <c r="D4583" i="1"/>
  <c r="D4584" i="1" a="1"/>
  <c r="D4584" i="1" s="1"/>
  <c r="D4585" i="1" a="1"/>
  <c r="D4585" i="1" s="1"/>
  <c r="D4586" i="1" a="1"/>
  <c r="D4586" i="1" s="1"/>
  <c r="D4587" i="1" a="1"/>
  <c r="D4587" i="1" s="1"/>
  <c r="D4588" i="1" a="1"/>
  <c r="D4588" i="1" s="1"/>
  <c r="D4589" i="1" a="1"/>
  <c r="D4589" i="1" s="1"/>
  <c r="D4590" i="1" a="1"/>
  <c r="D4590" i="1" s="1"/>
  <c r="D4591" i="1" a="1"/>
  <c r="D4591" i="1" s="1"/>
  <c r="D4592" i="1" a="1"/>
  <c r="D4592" i="1" s="1"/>
  <c r="D4593" i="1" a="1"/>
  <c r="D4593" i="1" s="1"/>
  <c r="D4594" i="1" a="1"/>
  <c r="D4594" i="1" s="1"/>
  <c r="D4595" i="1" a="1"/>
  <c r="D4595" i="1" s="1"/>
  <c r="D4596" i="1" a="1"/>
  <c r="D4596" i="1" s="1"/>
  <c r="D4597" i="1" a="1"/>
  <c r="D4597" i="1" s="1"/>
  <c r="D4598" i="1" a="1"/>
  <c r="D4598" i="1"/>
  <c r="D4599" i="1" a="1"/>
  <c r="D4599" i="1"/>
  <c r="D4600" i="1" a="1"/>
  <c r="D4600" i="1" s="1"/>
  <c r="D4601" i="1" a="1"/>
  <c r="D4601" i="1" s="1"/>
  <c r="D4602" i="1" a="1"/>
  <c r="D4602" i="1" s="1"/>
  <c r="D4603" i="1" a="1"/>
  <c r="D4603" i="1"/>
  <c r="D4604" i="1" a="1"/>
  <c r="D4604" i="1" s="1"/>
  <c r="D4605" i="1" a="1"/>
  <c r="D4605" i="1" s="1"/>
  <c r="D4606" i="1" a="1"/>
  <c r="D4606" i="1" s="1"/>
  <c r="D4607" i="1" a="1"/>
  <c r="D4607" i="1" s="1"/>
  <c r="D4608" i="1" a="1"/>
  <c r="D4608" i="1" s="1"/>
  <c r="D4609" i="1" a="1"/>
  <c r="D4609" i="1" s="1"/>
  <c r="D4610" i="1" a="1"/>
  <c r="D4610" i="1" s="1"/>
  <c r="D4611" i="1" a="1"/>
  <c r="D4611" i="1" s="1"/>
  <c r="D4612" i="1" a="1"/>
  <c r="D4612" i="1" s="1"/>
  <c r="D4613" i="1" a="1"/>
  <c r="D4613" i="1" s="1"/>
  <c r="D4614" i="1" a="1"/>
  <c r="D4614" i="1" s="1"/>
  <c r="D4615" i="1" a="1"/>
  <c r="D4615" i="1" s="1"/>
  <c r="D4616" i="1" a="1"/>
  <c r="D4616" i="1" s="1"/>
  <c r="D4617" i="1" a="1"/>
  <c r="D4617" i="1"/>
  <c r="D4618" i="1" a="1"/>
  <c r="D4618" i="1" s="1"/>
  <c r="D4619" i="1" a="1"/>
  <c r="D4619" i="1" s="1"/>
  <c r="D4620" i="1" a="1"/>
  <c r="D4620" i="1" s="1"/>
  <c r="D4621" i="1" a="1"/>
  <c r="D4621" i="1" s="1"/>
  <c r="D4622" i="1" a="1"/>
  <c r="D4622" i="1" s="1"/>
  <c r="D4623" i="1" a="1"/>
  <c r="D4623" i="1" s="1"/>
  <c r="D4624" i="1" a="1"/>
  <c r="D4624" i="1"/>
  <c r="D4625" i="1" a="1"/>
  <c r="D4625" i="1" s="1"/>
  <c r="D4626" i="1" a="1"/>
  <c r="D4626" i="1" s="1"/>
  <c r="D4627" i="1" a="1"/>
  <c r="D4627" i="1" s="1"/>
  <c r="D4628" i="1" a="1"/>
  <c r="D4628" i="1" s="1"/>
  <c r="D4629" i="1" a="1"/>
  <c r="D4629" i="1" s="1"/>
  <c r="D4630" i="1" a="1"/>
  <c r="D4630" i="1" s="1"/>
  <c r="D4631" i="1" a="1"/>
  <c r="D4631" i="1" s="1"/>
  <c r="D4632" i="1" a="1"/>
  <c r="D4632" i="1" s="1"/>
  <c r="D4633" i="1" a="1"/>
  <c r="D4633" i="1" s="1"/>
  <c r="D4634" i="1" a="1"/>
  <c r="D4634" i="1" s="1"/>
  <c r="D4635" i="1" a="1"/>
  <c r="D4635" i="1" s="1"/>
  <c r="D4636" i="1" a="1"/>
  <c r="D4636" i="1" s="1"/>
  <c r="D4637" i="1" a="1"/>
  <c r="D4637" i="1" s="1"/>
  <c r="D4638" i="1" a="1"/>
  <c r="D4638" i="1"/>
  <c r="D4639" i="1" a="1"/>
  <c r="D4639" i="1"/>
  <c r="D4640" i="1" a="1"/>
  <c r="D4640" i="1"/>
  <c r="D4641" i="1" a="1"/>
  <c r="D4641" i="1" s="1"/>
  <c r="D4642" i="1" a="1"/>
  <c r="D4642" i="1" s="1"/>
  <c r="D4643" i="1" a="1"/>
  <c r="D4643" i="1" s="1"/>
  <c r="D4644" i="1" a="1"/>
  <c r="D4644" i="1" s="1"/>
  <c r="D4645" i="1" a="1"/>
  <c r="D4645" i="1"/>
  <c r="D4646" i="1" a="1"/>
  <c r="D4646" i="1" s="1"/>
  <c r="D4647" i="1" a="1"/>
  <c r="D4647" i="1" s="1"/>
  <c r="D4648" i="1" a="1"/>
  <c r="D4648" i="1" s="1"/>
  <c r="D4649" i="1" a="1"/>
  <c r="D4649" i="1" s="1"/>
  <c r="D4650" i="1" a="1"/>
  <c r="D4650" i="1" s="1"/>
  <c r="D4651" i="1" a="1"/>
  <c r="D4651" i="1" s="1"/>
  <c r="D4652" i="1" a="1"/>
  <c r="D4652" i="1" s="1"/>
  <c r="D4653" i="1" a="1"/>
  <c r="D4653" i="1" s="1"/>
  <c r="D4654" i="1" a="1"/>
  <c r="D4654" i="1" s="1"/>
  <c r="D4655" i="1" a="1"/>
  <c r="D4655" i="1" s="1"/>
  <c r="D4656" i="1" a="1"/>
  <c r="D4656" i="1" s="1"/>
  <c r="D4657" i="1" a="1"/>
  <c r="D4657" i="1"/>
  <c r="D4658" i="1" a="1"/>
  <c r="D4658" i="1" s="1"/>
  <c r="D4659" i="1" a="1"/>
  <c r="D4659" i="1" s="1"/>
  <c r="D4660" i="1" a="1"/>
  <c r="D4660" i="1" s="1"/>
  <c r="D4661" i="1" a="1"/>
  <c r="D4661" i="1" s="1"/>
  <c r="D4662" i="1" a="1"/>
  <c r="D4662" i="1" s="1"/>
  <c r="D4663" i="1" a="1"/>
  <c r="D4663" i="1" s="1"/>
  <c r="D4664" i="1" a="1"/>
  <c r="D4664" i="1" s="1"/>
  <c r="D4665" i="1" a="1"/>
  <c r="D4665" i="1"/>
  <c r="D4666" i="1" a="1"/>
  <c r="D4666" i="1" s="1"/>
  <c r="D4667" i="1" a="1"/>
  <c r="D4667" i="1" s="1"/>
  <c r="D4668" i="1" a="1"/>
  <c r="D4668" i="1" s="1"/>
  <c r="D4669" i="1" a="1"/>
  <c r="D4669" i="1" s="1"/>
  <c r="D4670" i="1" a="1"/>
  <c r="D4670" i="1" s="1"/>
  <c r="D4671" i="1" a="1"/>
  <c r="D4671" i="1" s="1"/>
  <c r="D4672" i="1" a="1"/>
  <c r="D4672" i="1" s="1"/>
  <c r="D4673" i="1" a="1"/>
  <c r="D4673" i="1" s="1"/>
  <c r="D4674" i="1" a="1"/>
  <c r="D4674" i="1" s="1"/>
  <c r="D4675" i="1" a="1"/>
  <c r="D4675" i="1" s="1"/>
  <c r="D4676" i="1" a="1"/>
  <c r="D4676" i="1" s="1"/>
  <c r="D4677" i="1" a="1"/>
  <c r="D4677" i="1" s="1"/>
  <c r="D4678" i="1" a="1"/>
  <c r="D4678" i="1"/>
  <c r="D4679" i="1" a="1"/>
  <c r="D4679" i="1" s="1"/>
  <c r="D4680" i="1" a="1"/>
  <c r="D4680" i="1"/>
  <c r="D4681" i="1" a="1"/>
  <c r="D4681" i="1" s="1"/>
  <c r="D4682" i="1" a="1"/>
  <c r="D4682" i="1" s="1"/>
  <c r="D4683" i="1" a="1"/>
  <c r="D4683" i="1" s="1"/>
  <c r="D4684" i="1" a="1"/>
  <c r="D4684" i="1" s="1"/>
  <c r="D4685" i="1" a="1"/>
  <c r="D4685" i="1"/>
  <c r="D4686" i="1" a="1"/>
  <c r="D4686" i="1" s="1"/>
  <c r="D4687" i="1" a="1"/>
  <c r="D4687" i="1" s="1"/>
  <c r="D4688" i="1" a="1"/>
  <c r="D4688" i="1" s="1"/>
  <c r="D4689" i="1" a="1"/>
  <c r="D4689" i="1" s="1"/>
  <c r="D4690" i="1" a="1"/>
  <c r="D4690" i="1" s="1"/>
  <c r="D4691" i="1" a="1"/>
  <c r="D4691" i="1" s="1"/>
  <c r="D4692" i="1" a="1"/>
  <c r="D4692" i="1" s="1"/>
  <c r="D4693" i="1" a="1"/>
  <c r="D4693" i="1" s="1"/>
  <c r="D4694" i="1" a="1"/>
  <c r="D4694" i="1" s="1"/>
  <c r="D4695" i="1" a="1"/>
  <c r="D4695" i="1" s="1"/>
  <c r="D4696" i="1" a="1"/>
  <c r="D4696" i="1" s="1"/>
  <c r="D4697" i="1" a="1"/>
  <c r="D4697" i="1"/>
  <c r="D4698" i="1" a="1"/>
  <c r="D4698" i="1"/>
  <c r="D4699" i="1" a="1"/>
  <c r="D4699" i="1" s="1"/>
  <c r="D4700" i="1" a="1"/>
  <c r="D4700" i="1" s="1"/>
  <c r="D4701" i="1" a="1"/>
  <c r="D4701" i="1" s="1"/>
  <c r="D4702" i="1" a="1"/>
  <c r="D4702" i="1" s="1"/>
  <c r="D4703" i="1" a="1"/>
  <c r="D4703" i="1" s="1"/>
  <c r="D4704" i="1" a="1"/>
  <c r="D4704" i="1" s="1"/>
  <c r="D4705" i="1" a="1"/>
  <c r="D4705" i="1" s="1"/>
  <c r="D4706" i="1" a="1"/>
  <c r="D4706" i="1" s="1"/>
  <c r="D4707" i="1" a="1"/>
  <c r="D4707" i="1" s="1"/>
  <c r="D4708" i="1" a="1"/>
  <c r="D4708" i="1" s="1"/>
  <c r="D4709" i="1" a="1"/>
  <c r="D4709" i="1" s="1"/>
  <c r="D4710" i="1" a="1"/>
  <c r="D4710" i="1" s="1"/>
  <c r="D4711" i="1" a="1"/>
  <c r="D4711" i="1" s="1"/>
  <c r="D4712" i="1" a="1"/>
  <c r="D4712" i="1" s="1"/>
  <c r="D4713" i="1" a="1"/>
  <c r="D4713" i="1" s="1"/>
  <c r="D4714" i="1" a="1"/>
  <c r="D4714" i="1" s="1"/>
  <c r="D4715" i="1" a="1"/>
  <c r="D4715" i="1" s="1"/>
  <c r="D4716" i="1" a="1"/>
  <c r="D4716" i="1" s="1"/>
  <c r="D4717" i="1" a="1"/>
  <c r="D4717" i="1" s="1"/>
  <c r="D4718" i="1" a="1"/>
  <c r="D4718" i="1"/>
  <c r="D4719" i="1" a="1"/>
  <c r="D4719" i="1" s="1"/>
  <c r="D4720" i="1" a="1"/>
  <c r="D4720" i="1" s="1"/>
  <c r="D4721" i="1" a="1"/>
  <c r="D4721" i="1" s="1"/>
  <c r="D4722" i="1" a="1"/>
  <c r="D4722" i="1" s="1"/>
  <c r="D4723" i="1" a="1"/>
  <c r="D4723" i="1" s="1"/>
  <c r="D4724" i="1" a="1"/>
  <c r="D4724" i="1"/>
  <c r="D4725" i="1" a="1"/>
  <c r="D4725" i="1"/>
  <c r="D4726" i="1" a="1"/>
  <c r="D4726" i="1" s="1"/>
  <c r="D4727" i="1" a="1"/>
  <c r="D4727" i="1" s="1"/>
  <c r="D4728" i="1" a="1"/>
  <c r="D4728" i="1" s="1"/>
  <c r="D4729" i="1" a="1"/>
  <c r="D4729" i="1" s="1"/>
  <c r="D4730" i="1" a="1"/>
  <c r="D4730" i="1" s="1"/>
  <c r="D4731" i="1" a="1"/>
  <c r="D4731" i="1" s="1"/>
  <c r="D4732" i="1" a="1"/>
  <c r="D4732" i="1" s="1"/>
  <c r="D4733" i="1" a="1"/>
  <c r="D4733" i="1" s="1"/>
  <c r="D4734" i="1" a="1"/>
  <c r="D4734" i="1" s="1"/>
  <c r="D4735" i="1" a="1"/>
  <c r="D4735" i="1" s="1"/>
  <c r="D4736" i="1" a="1"/>
  <c r="D4736" i="1" s="1"/>
  <c r="D4737" i="1" a="1"/>
  <c r="D4737" i="1" s="1"/>
  <c r="D4738" i="1" a="1"/>
  <c r="D4738" i="1" s="1"/>
  <c r="D4739" i="1" a="1"/>
  <c r="D4739" i="1" s="1"/>
  <c r="D4740" i="1" a="1"/>
  <c r="D4740" i="1"/>
  <c r="D4741" i="1" a="1"/>
  <c r="D4741" i="1" s="1"/>
  <c r="D4742" i="1" a="1"/>
  <c r="D4742" i="1" s="1"/>
  <c r="D4743" i="1" a="1"/>
  <c r="D4743" i="1" s="1"/>
  <c r="D4744" i="1" a="1"/>
  <c r="D4744" i="1"/>
  <c r="D4745" i="1" a="1"/>
  <c r="D4745" i="1" s="1"/>
  <c r="D4746" i="1" a="1"/>
  <c r="D4746" i="1" s="1"/>
  <c r="D4747" i="1" a="1"/>
  <c r="D4747" i="1" s="1"/>
  <c r="D4748" i="1" a="1"/>
  <c r="D4748" i="1" s="1"/>
  <c r="D4749" i="1" a="1"/>
  <c r="D4749" i="1" s="1"/>
  <c r="D4750" i="1" a="1"/>
  <c r="D4750" i="1" s="1"/>
  <c r="D4751" i="1" a="1"/>
  <c r="D4751" i="1" s="1"/>
  <c r="D4752" i="1" a="1"/>
  <c r="D4752" i="1" s="1"/>
  <c r="D4753" i="1" a="1"/>
  <c r="D4753" i="1" s="1"/>
  <c r="D4754" i="1" a="1"/>
  <c r="D4754" i="1" s="1"/>
  <c r="D4755" i="1" a="1"/>
  <c r="D4755" i="1" s="1"/>
  <c r="D4756" i="1" a="1"/>
  <c r="D4756" i="1" s="1"/>
  <c r="D4757" i="1" a="1"/>
  <c r="D4757" i="1"/>
  <c r="D4758" i="1" a="1"/>
  <c r="D4758" i="1"/>
  <c r="D4759" i="1" a="1"/>
  <c r="D4759" i="1" s="1"/>
  <c r="D4760" i="1" a="1"/>
  <c r="D4760" i="1" s="1"/>
  <c r="D4761" i="1" a="1"/>
  <c r="D4761" i="1" s="1"/>
  <c r="D4762" i="1" a="1"/>
  <c r="D4762" i="1" s="1"/>
  <c r="D4763" i="1" a="1"/>
  <c r="D4763" i="1"/>
  <c r="D4764" i="1" a="1"/>
  <c r="D4764" i="1"/>
  <c r="D4765" i="1" a="1"/>
  <c r="D4765" i="1" s="1"/>
  <c r="D4766" i="1" a="1"/>
  <c r="D4766" i="1" s="1"/>
  <c r="D4767" i="1" a="1"/>
  <c r="D4767" i="1" s="1"/>
  <c r="D4768" i="1" a="1"/>
  <c r="D4768" i="1" s="1"/>
  <c r="D4769" i="1" a="1"/>
  <c r="D4769" i="1" s="1"/>
  <c r="D4770" i="1" a="1"/>
  <c r="D4770" i="1" s="1"/>
  <c r="D4771" i="1" a="1"/>
  <c r="D4771" i="1" s="1"/>
  <c r="D4772" i="1" a="1"/>
  <c r="D4772" i="1" s="1"/>
  <c r="D4773" i="1" a="1"/>
  <c r="D4773" i="1" s="1"/>
  <c r="D4774" i="1" a="1"/>
  <c r="D4774" i="1" s="1"/>
  <c r="D4775" i="1" a="1"/>
  <c r="D4775" i="1" s="1"/>
  <c r="D4776" i="1" a="1"/>
  <c r="D4776" i="1" s="1"/>
  <c r="D4777" i="1" a="1"/>
  <c r="D4777" i="1" s="1"/>
  <c r="D4778" i="1" a="1"/>
  <c r="D4778" i="1" s="1"/>
  <c r="D4779" i="1" a="1"/>
  <c r="D4779" i="1"/>
  <c r="D4780" i="1" a="1"/>
  <c r="D4780" i="1"/>
  <c r="D4781" i="1" a="1"/>
  <c r="D4781" i="1" s="1"/>
  <c r="D4782" i="1" a="1"/>
  <c r="D4782" i="1" s="1"/>
  <c r="D4783" i="1" a="1"/>
  <c r="D4783" i="1" s="1"/>
  <c r="D4784" i="1" a="1"/>
  <c r="D4784" i="1" s="1"/>
  <c r="D4785" i="1" a="1"/>
  <c r="D4785" i="1" s="1"/>
  <c r="D4786" i="1" a="1"/>
  <c r="D4786" i="1" s="1"/>
  <c r="D4787" i="1" a="1"/>
  <c r="D4787" i="1" s="1"/>
  <c r="D4788" i="1" a="1"/>
  <c r="D4788" i="1" s="1"/>
  <c r="D4789" i="1" a="1"/>
  <c r="D4789" i="1" s="1"/>
  <c r="D4790" i="1" a="1"/>
  <c r="D4790" i="1" s="1"/>
  <c r="D4791" i="1" a="1"/>
  <c r="D4791" i="1" s="1"/>
  <c r="D4792" i="1" a="1"/>
  <c r="D4792" i="1" s="1"/>
  <c r="D4793" i="1" a="1"/>
  <c r="D4793" i="1" s="1"/>
  <c r="D4794" i="1" a="1"/>
  <c r="D4794" i="1" s="1"/>
  <c r="D4795" i="1" a="1"/>
  <c r="D4795" i="1" s="1"/>
  <c r="D4796" i="1" a="1"/>
  <c r="D4796" i="1" s="1"/>
  <c r="D4797" i="1" a="1"/>
  <c r="D4797" i="1" s="1"/>
  <c r="D4798" i="1" a="1"/>
  <c r="D4798" i="1" s="1"/>
  <c r="D4799" i="1" a="1"/>
  <c r="D4799" i="1" s="1"/>
  <c r="D4800" i="1" a="1"/>
  <c r="D4800" i="1"/>
  <c r="D4801" i="1" a="1"/>
  <c r="D4801" i="1" s="1"/>
  <c r="D4802" i="1" a="1"/>
  <c r="D4802" i="1" s="1"/>
  <c r="D4803" i="1" a="1"/>
  <c r="D4803" i="1" s="1"/>
  <c r="D4804" i="1" a="1"/>
  <c r="D4804" i="1" s="1"/>
  <c r="D4805" i="1" a="1"/>
  <c r="D4805" i="1"/>
  <c r="D4806" i="1" a="1"/>
  <c r="D4806" i="1" s="1"/>
  <c r="D4807" i="1" a="1"/>
  <c r="D4807" i="1" s="1"/>
  <c r="D4808" i="1" a="1"/>
  <c r="D4808" i="1" s="1"/>
  <c r="D4809" i="1" a="1"/>
  <c r="D4809" i="1" s="1"/>
  <c r="D4810" i="1" a="1"/>
  <c r="D4810" i="1" s="1"/>
  <c r="D4811" i="1" a="1"/>
  <c r="D4811" i="1" s="1"/>
  <c r="D4812" i="1" a="1"/>
  <c r="D4812" i="1" s="1"/>
  <c r="D4813" i="1" a="1"/>
  <c r="D4813" i="1" s="1"/>
  <c r="D4814" i="1" a="1"/>
  <c r="D4814" i="1" s="1"/>
  <c r="D4815" i="1" a="1"/>
  <c r="D4815" i="1" s="1"/>
  <c r="D4816" i="1" a="1"/>
  <c r="D4816" i="1" s="1"/>
  <c r="D4817" i="1" a="1"/>
  <c r="D4817" i="1" s="1"/>
  <c r="D4818" i="1" a="1"/>
  <c r="D4818" i="1"/>
  <c r="D4819" i="1" a="1"/>
  <c r="D4819" i="1"/>
  <c r="D4820" i="1" a="1"/>
  <c r="D4820" i="1" s="1"/>
  <c r="D4821" i="1" a="1"/>
  <c r="D4821" i="1" s="1"/>
  <c r="D4822" i="1" a="1"/>
  <c r="D4822" i="1" s="1"/>
  <c r="D4823" i="1" a="1"/>
  <c r="D4823" i="1" s="1"/>
  <c r="D4824" i="1" a="1"/>
  <c r="D4824" i="1" s="1"/>
  <c r="D4825" i="1" a="1"/>
  <c r="D4825" i="1" s="1"/>
  <c r="D4826" i="1" a="1"/>
  <c r="D4826" i="1" s="1"/>
  <c r="D4827" i="1" a="1"/>
  <c r="D4827" i="1" s="1"/>
  <c r="D4828" i="1" a="1"/>
  <c r="D4828" i="1" s="1"/>
  <c r="D4829" i="1" a="1"/>
  <c r="D4829" i="1" s="1"/>
  <c r="D4830" i="1" a="1"/>
  <c r="D4830" i="1" s="1"/>
  <c r="D4831" i="1" a="1"/>
  <c r="D4831" i="1" s="1"/>
  <c r="D4832" i="1" a="1"/>
  <c r="D4832" i="1" s="1"/>
  <c r="D4833" i="1" a="1"/>
  <c r="D4833" i="1" s="1"/>
  <c r="D4834" i="1" a="1"/>
  <c r="D4834" i="1" s="1"/>
  <c r="D4835" i="1" a="1"/>
  <c r="D4835" i="1" s="1"/>
  <c r="D4836" i="1" a="1"/>
  <c r="D4836" i="1" s="1"/>
  <c r="D4837" i="1" a="1"/>
  <c r="D4837" i="1" s="1"/>
  <c r="D4838" i="1" a="1"/>
  <c r="D4838" i="1" s="1"/>
  <c r="D4839" i="1" a="1"/>
  <c r="D4839" i="1" s="1"/>
  <c r="D4840" i="1" a="1"/>
  <c r="D4840" i="1"/>
  <c r="D4841" i="1" a="1"/>
  <c r="D4841" i="1" s="1"/>
  <c r="D4842" i="1" a="1"/>
  <c r="D4842" i="1" s="1"/>
  <c r="D4843" i="1" a="1"/>
  <c r="D4843" i="1"/>
  <c r="D4844" i="1" a="1"/>
  <c r="D4844" i="1" s="1"/>
  <c r="D4845" i="1" a="1"/>
  <c r="D4845" i="1" s="1"/>
  <c r="D4846" i="1" a="1"/>
  <c r="D4846" i="1" s="1"/>
  <c r="D4847" i="1" a="1"/>
  <c r="D4847" i="1" s="1"/>
  <c r="D4848" i="1" a="1"/>
  <c r="D4848" i="1" s="1"/>
  <c r="D4849" i="1" a="1"/>
  <c r="D4849" i="1" s="1"/>
  <c r="D4850" i="1" a="1"/>
  <c r="D4850" i="1" s="1"/>
  <c r="D4851" i="1" a="1"/>
  <c r="D4851" i="1" s="1"/>
  <c r="D4852" i="1" a="1"/>
  <c r="D4852" i="1" s="1"/>
  <c r="D4853" i="1" a="1"/>
  <c r="D4853" i="1" s="1"/>
  <c r="D4854" i="1" a="1"/>
  <c r="D4854" i="1" s="1"/>
  <c r="D4855" i="1" a="1"/>
  <c r="D4855" i="1" s="1"/>
  <c r="D4856" i="1" a="1"/>
  <c r="D4856" i="1" s="1"/>
  <c r="D4857" i="1" a="1"/>
  <c r="D4857" i="1"/>
  <c r="D4858" i="1" a="1"/>
  <c r="D4858" i="1"/>
  <c r="D4859" i="1" a="1"/>
  <c r="D4859" i="1"/>
  <c r="D4860" i="1" a="1"/>
  <c r="D4860" i="1" s="1"/>
  <c r="D4861" i="1" a="1"/>
  <c r="D4861" i="1" s="1"/>
  <c r="D4862" i="1" a="1"/>
  <c r="D4862" i="1" s="1"/>
  <c r="D4863" i="1" a="1"/>
  <c r="D4863" i="1"/>
  <c r="D4864" i="1" a="1"/>
  <c r="D4864" i="1"/>
  <c r="D4865" i="1" a="1"/>
  <c r="D4865" i="1" s="1"/>
  <c r="D4866" i="1" a="1"/>
  <c r="D4866" i="1" s="1"/>
  <c r="D4867" i="1" a="1"/>
  <c r="D4867" i="1" s="1"/>
  <c r="D4868" i="1" a="1"/>
  <c r="D4868" i="1" s="1"/>
  <c r="D4869" i="1" a="1"/>
  <c r="D4869" i="1" s="1"/>
  <c r="D4870" i="1" a="1"/>
  <c r="D4870" i="1" s="1"/>
  <c r="D4871" i="1" a="1"/>
  <c r="D4871" i="1" s="1"/>
  <c r="D4872" i="1" a="1"/>
  <c r="D4872" i="1" s="1"/>
  <c r="D4873" i="1" a="1"/>
  <c r="D4873" i="1" s="1"/>
  <c r="D4874" i="1" a="1"/>
  <c r="D4874" i="1" s="1"/>
  <c r="D4875" i="1" a="1"/>
  <c r="D4875" i="1" s="1"/>
  <c r="D4876" i="1" a="1"/>
  <c r="D4876" i="1" s="1"/>
  <c r="D4877" i="1" a="1"/>
  <c r="D4877" i="1" s="1"/>
  <c r="D4878" i="1" a="1"/>
  <c r="D4878" i="1" s="1"/>
  <c r="D4879" i="1" a="1"/>
  <c r="D4879" i="1" s="1"/>
  <c r="D4880" i="1" a="1"/>
  <c r="D4880" i="1"/>
  <c r="D4881" i="1" a="1"/>
  <c r="D4881" i="1" s="1"/>
  <c r="D4882" i="1" a="1"/>
  <c r="D4882" i="1" s="1"/>
  <c r="D4883" i="1" a="1"/>
  <c r="D4883" i="1"/>
  <c r="D4884" i="1" a="1"/>
  <c r="D4884" i="1" s="1"/>
  <c r="D4885" i="1" a="1"/>
  <c r="D4885" i="1" s="1"/>
  <c r="D4886" i="1" a="1"/>
  <c r="D4886" i="1" s="1"/>
  <c r="D4887" i="1" a="1"/>
  <c r="D4887" i="1" s="1"/>
  <c r="D4888" i="1" a="1"/>
  <c r="D4888" i="1" s="1"/>
  <c r="D4889" i="1" a="1"/>
  <c r="D4889" i="1" s="1"/>
  <c r="D4890" i="1" a="1"/>
  <c r="D4890" i="1" s="1"/>
  <c r="D4891" i="1" a="1"/>
  <c r="D4891" i="1" s="1"/>
  <c r="D4892" i="1" a="1"/>
  <c r="D4892" i="1" s="1"/>
  <c r="D4893" i="1" a="1"/>
  <c r="D4893" i="1" s="1"/>
  <c r="D4894" i="1" a="1"/>
  <c r="D4894" i="1" s="1"/>
  <c r="D4895" i="1" a="1"/>
  <c r="D4895" i="1" s="1"/>
  <c r="D4896" i="1" a="1"/>
  <c r="D4896" i="1" s="1"/>
  <c r="D4897" i="1" a="1"/>
  <c r="D4897" i="1"/>
  <c r="D4898" i="1" a="1"/>
  <c r="D4898" i="1" s="1"/>
  <c r="D4899" i="1" a="1"/>
  <c r="D4899" i="1"/>
  <c r="D4900" i="1" a="1"/>
  <c r="D4900" i="1"/>
  <c r="D4901" i="1" a="1"/>
  <c r="D4901" i="1" s="1"/>
  <c r="D4902" i="1" a="1"/>
  <c r="D4902" i="1" s="1"/>
  <c r="D4903" i="1" a="1"/>
  <c r="D4903" i="1" s="1"/>
  <c r="D4904" i="1" a="1"/>
  <c r="D4904" i="1"/>
  <c r="D4905" i="1" a="1"/>
  <c r="D4905" i="1"/>
  <c r="D4906" i="1" a="1"/>
  <c r="D4906" i="1" s="1"/>
  <c r="D4907" i="1" a="1"/>
  <c r="D4907" i="1" s="1"/>
  <c r="D4908" i="1" a="1"/>
  <c r="D4908" i="1" s="1"/>
  <c r="D4909" i="1" a="1"/>
  <c r="D4909" i="1" s="1"/>
  <c r="D4910" i="1" a="1"/>
  <c r="D4910" i="1" s="1"/>
  <c r="D4911" i="1" a="1"/>
  <c r="D4911" i="1" s="1"/>
  <c r="D4912" i="1" a="1"/>
  <c r="D4912" i="1" s="1"/>
  <c r="D4913" i="1" a="1"/>
  <c r="D4913" i="1" s="1"/>
  <c r="D4914" i="1" a="1"/>
  <c r="D4914" i="1" s="1"/>
  <c r="D4915" i="1" a="1"/>
  <c r="D4915" i="1" s="1"/>
  <c r="D4916" i="1" a="1"/>
  <c r="D4916" i="1" s="1"/>
  <c r="D4917" i="1" a="1"/>
  <c r="D4917" i="1"/>
  <c r="D4918" i="1" a="1"/>
  <c r="D4918" i="1" s="1"/>
  <c r="D4919" i="1" a="1"/>
  <c r="D4919" i="1" s="1"/>
  <c r="D4920" i="1" a="1"/>
  <c r="D4920" i="1" s="1"/>
  <c r="D4921" i="1" a="1"/>
  <c r="D4921" i="1" s="1"/>
  <c r="D4922" i="1" a="1"/>
  <c r="D4922" i="1" s="1"/>
  <c r="D4923" i="1" a="1"/>
  <c r="D4923" i="1" s="1"/>
  <c r="D4924" i="1" a="1"/>
  <c r="D4924" i="1" s="1"/>
  <c r="D4925" i="1" a="1"/>
  <c r="D4925" i="1" s="1"/>
  <c r="D4926" i="1" a="1"/>
  <c r="D4926" i="1" s="1"/>
  <c r="D4927" i="1" a="1"/>
  <c r="D4927" i="1" s="1"/>
  <c r="D4928" i="1" a="1"/>
  <c r="D4928" i="1" s="1"/>
  <c r="D4929" i="1" a="1"/>
  <c r="D4929" i="1" s="1"/>
  <c r="D4930" i="1" a="1"/>
  <c r="D4930" i="1" s="1"/>
  <c r="D4931" i="1" a="1"/>
  <c r="D4931" i="1" s="1"/>
  <c r="D4932" i="1" a="1"/>
  <c r="D4932" i="1" s="1"/>
  <c r="D4933" i="1" a="1"/>
  <c r="D4933" i="1" s="1"/>
  <c r="D4934" i="1" a="1"/>
  <c r="D4934" i="1" s="1"/>
  <c r="D4935" i="1" a="1"/>
  <c r="D4935" i="1" s="1"/>
  <c r="D4936" i="1" a="1"/>
  <c r="D4936" i="1" s="1"/>
  <c r="C2" i="1" a="1"/>
  <c r="C2" i="1" s="1"/>
  <c r="C3" i="1" a="1"/>
  <c r="C3" i="1"/>
  <c r="C4" i="1" a="1"/>
  <c r="C4" i="1" s="1"/>
  <c r="C5" i="1" a="1"/>
  <c r="C5" i="1" s="1"/>
  <c r="C6" i="1" a="1"/>
  <c r="C6" i="1" s="1"/>
  <c r="C7" i="1" a="1"/>
  <c r="C7" i="1"/>
  <c r="C8" i="1" a="1"/>
  <c r="C8" i="1"/>
  <c r="C9" i="1" a="1"/>
  <c r="C9" i="1" s="1"/>
  <c r="C10" i="1" a="1"/>
  <c r="C10" i="1" s="1"/>
  <c r="C11" i="1" a="1"/>
  <c r="C11" i="1" s="1"/>
  <c r="C12" i="1" a="1"/>
  <c r="C12" i="1" s="1"/>
  <c r="C13" i="1" a="1"/>
  <c r="C13" i="1"/>
  <c r="C14" i="1" a="1"/>
  <c r="C14" i="1" s="1"/>
  <c r="C15" i="1" a="1"/>
  <c r="C15" i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/>
  <c r="C26" i="1" a="1"/>
  <c r="C26" i="1" s="1"/>
  <c r="C27" i="1" a="1"/>
  <c r="C27" i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/>
  <c r="C34" i="1" a="1"/>
  <c r="C34" i="1"/>
  <c r="C35" i="1" a="1"/>
  <c r="C35" i="1" s="1"/>
  <c r="C36" i="1" a="1"/>
  <c r="C36" i="1" s="1"/>
  <c r="C37" i="1" a="1"/>
  <c r="C37" i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/>
  <c r="C46" i="1" a="1"/>
  <c r="C46" i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/>
  <c r="C54" i="1" a="1"/>
  <c r="C54" i="1" s="1"/>
  <c r="C55" i="1" a="1"/>
  <c r="C55" i="1" s="1"/>
  <c r="C56" i="1" a="1"/>
  <c r="C56" i="1" s="1"/>
  <c r="C57" i="1" a="1"/>
  <c r="C57" i="1"/>
  <c r="C58" i="1" a="1"/>
  <c r="C58" i="1"/>
  <c r="C59" i="1" a="1"/>
  <c r="C59" i="1" s="1"/>
  <c r="C60" i="1" a="1"/>
  <c r="C60" i="1" s="1"/>
  <c r="C61" i="1" a="1"/>
  <c r="C61" i="1" s="1"/>
  <c r="C62" i="1" a="1"/>
  <c r="C62" i="1" s="1"/>
  <c r="C63" i="1" a="1"/>
  <c r="C63" i="1"/>
  <c r="C64" i="1" a="1"/>
  <c r="C64" i="1" s="1"/>
  <c r="C65" i="1" a="1"/>
  <c r="C65" i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/>
  <c r="C76" i="1" a="1"/>
  <c r="C76" i="1" s="1"/>
  <c r="C77" i="1" a="1"/>
  <c r="C77" i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/>
  <c r="C84" i="1" a="1"/>
  <c r="C84" i="1"/>
  <c r="C85" i="1" a="1"/>
  <c r="C85" i="1" s="1"/>
  <c r="C86" i="1" a="1"/>
  <c r="C86" i="1" s="1"/>
  <c r="C87" i="1" a="1"/>
  <c r="C87" i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/>
  <c r="C96" i="1" a="1"/>
  <c r="C96" i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/>
  <c r="C104" i="1" a="1"/>
  <c r="C104" i="1" s="1"/>
  <c r="C105" i="1" a="1"/>
  <c r="C105" i="1" s="1"/>
  <c r="C106" i="1" a="1"/>
  <c r="C106" i="1" s="1"/>
  <c r="C107" i="1" a="1"/>
  <c r="C107" i="1"/>
  <c r="C108" i="1" a="1"/>
  <c r="C108" i="1"/>
  <c r="C109" i="1" a="1"/>
  <c r="C109" i="1" s="1"/>
  <c r="C110" i="1" a="1"/>
  <c r="C110" i="1" s="1"/>
  <c r="C111" i="1" a="1"/>
  <c r="C111" i="1" s="1"/>
  <c r="C112" i="1" a="1"/>
  <c r="C112" i="1" s="1"/>
  <c r="C113" i="1" a="1"/>
  <c r="C113" i="1"/>
  <c r="C114" i="1" a="1"/>
  <c r="C114" i="1" s="1"/>
  <c r="C115" i="1" a="1"/>
  <c r="C115" i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/>
  <c r="C126" i="1" a="1"/>
  <c r="C126" i="1" s="1"/>
  <c r="C127" i="1" a="1"/>
  <c r="C127" i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/>
  <c r="C134" i="1" a="1"/>
  <c r="C134" i="1"/>
  <c r="C135" i="1" a="1"/>
  <c r="C135" i="1" s="1"/>
  <c r="C136" i="1" a="1"/>
  <c r="C136" i="1" s="1"/>
  <c r="C137" i="1" a="1"/>
  <c r="C137" i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/>
  <c r="C146" i="1" a="1"/>
  <c r="C146" i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/>
  <c r="C154" i="1" a="1"/>
  <c r="C154" i="1" s="1"/>
  <c r="C155" i="1" a="1"/>
  <c r="C155" i="1" s="1"/>
  <c r="C156" i="1" a="1"/>
  <c r="C156" i="1" s="1"/>
  <c r="C157" i="1" a="1"/>
  <c r="C157" i="1"/>
  <c r="C158" i="1" a="1"/>
  <c r="C158" i="1"/>
  <c r="C159" i="1" a="1"/>
  <c r="C159" i="1" s="1"/>
  <c r="C160" i="1" a="1"/>
  <c r="C160" i="1" s="1"/>
  <c r="C161" i="1" a="1"/>
  <c r="C161" i="1" s="1"/>
  <c r="C162" i="1" a="1"/>
  <c r="C162" i="1" s="1"/>
  <c r="C163" i="1" a="1"/>
  <c r="C163" i="1"/>
  <c r="C164" i="1" a="1"/>
  <c r="C164" i="1" s="1"/>
  <c r="C165" i="1" a="1"/>
  <c r="C165" i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/>
  <c r="C176" i="1" a="1"/>
  <c r="C176" i="1" s="1"/>
  <c r="C177" i="1" a="1"/>
  <c r="C177" i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/>
  <c r="C184" i="1" a="1"/>
  <c r="C184" i="1"/>
  <c r="C185" i="1" a="1"/>
  <c r="C185" i="1" s="1"/>
  <c r="C186" i="1" a="1"/>
  <c r="C186" i="1" s="1"/>
  <c r="C187" i="1" a="1"/>
  <c r="C187" i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/>
  <c r="C196" i="1" a="1"/>
  <c r="C196" i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/>
  <c r="C208" i="1" a="1"/>
  <c r="C208" i="1"/>
  <c r="C209" i="1" a="1"/>
  <c r="C209" i="1" s="1"/>
  <c r="C210" i="1" a="1"/>
  <c r="C210" i="1" s="1"/>
  <c r="C211" i="1" a="1"/>
  <c r="C211" i="1" s="1"/>
  <c r="C212" i="1" a="1"/>
  <c r="C212" i="1" s="1"/>
  <c r="C213" i="1" a="1"/>
  <c r="C213" i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/>
  <c r="C235" i="1" a="1"/>
  <c r="C235" i="1" s="1"/>
  <c r="C236" i="1" a="1"/>
  <c r="C236" i="1" s="1"/>
  <c r="C237" i="1" a="1"/>
  <c r="C237" i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/>
  <c r="C264" i="1" a="1"/>
  <c r="C264" i="1" s="1"/>
  <c r="C265" i="1" a="1"/>
  <c r="C265" i="1" s="1"/>
  <c r="C266" i="1" a="1"/>
  <c r="C266" i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/>
  <c r="C316" i="1" a="1"/>
  <c r="C316" i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/>
  <c r="C346" i="1" a="1"/>
  <c r="C346" i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/>
  <c r="C358" i="1" a="1"/>
  <c r="C358" i="1"/>
  <c r="C359" i="1" a="1"/>
  <c r="C359" i="1" s="1"/>
  <c r="C360" i="1" a="1"/>
  <c r="C360" i="1" s="1"/>
  <c r="C361" i="1" a="1"/>
  <c r="C361" i="1" s="1"/>
  <c r="C362" i="1" a="1"/>
  <c r="C362" i="1" s="1"/>
  <c r="C363" i="1" a="1"/>
  <c r="C363" i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/>
  <c r="C455" i="1" a="1"/>
  <c r="C455" i="1" s="1"/>
  <c r="C456" i="1" a="1"/>
  <c r="C456" i="1" s="1"/>
  <c r="C457" i="1" a="1"/>
  <c r="C457" i="1"/>
  <c r="C458" i="1" a="1"/>
  <c r="C458" i="1"/>
  <c r="C459" i="1" a="1"/>
  <c r="C459" i="1" s="1"/>
  <c r="C460" i="1" a="1"/>
  <c r="C460" i="1" s="1"/>
  <c r="C461" i="1" a="1"/>
  <c r="C461" i="1" s="1"/>
  <c r="C462" i="1" a="1"/>
  <c r="C462" i="1" s="1"/>
  <c r="C463" i="1" a="1"/>
  <c r="C463" i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/>
  <c r="C500" i="1" a="1"/>
  <c r="C500" i="1" s="1"/>
  <c r="C501" i="1" a="1"/>
  <c r="C501" i="1" s="1"/>
  <c r="C502" i="1" a="1"/>
  <c r="C502" i="1" s="1"/>
  <c r="C503" i="1" a="1"/>
  <c r="C503" i="1"/>
  <c r="C504" i="1" a="1"/>
  <c r="C504" i="1"/>
  <c r="C505" i="1" a="1"/>
  <c r="C505" i="1"/>
  <c r="C506" i="1" a="1"/>
  <c r="C506" i="1"/>
  <c r="C507" i="1" a="1"/>
  <c r="C507" i="1"/>
  <c r="C508" i="1" a="1"/>
  <c r="C508" i="1"/>
  <c r="C509" i="1" a="1"/>
  <c r="C509" i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/>
  <c r="C518" i="1" a="1"/>
  <c r="C518" i="1"/>
  <c r="C519" i="1" a="1"/>
  <c r="C519" i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/>
  <c r="C534" i="1" a="1"/>
  <c r="C534" i="1"/>
  <c r="C535" i="1" a="1"/>
  <c r="C535" i="1" s="1"/>
  <c r="C536" i="1" a="1"/>
  <c r="C536" i="1"/>
  <c r="C537" i="1" a="1"/>
  <c r="C537" i="1" s="1"/>
  <c r="C538" i="1" a="1"/>
  <c r="C538" i="1"/>
  <c r="C539" i="1" a="1"/>
  <c r="C539" i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/>
  <c r="C558" i="1" a="1"/>
  <c r="C558" i="1" s="1"/>
  <c r="C559" i="1" a="1"/>
  <c r="C559" i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/>
  <c r="C584" i="1" a="1"/>
  <c r="C584" i="1" s="1"/>
  <c r="C585" i="1" a="1"/>
  <c r="C585" i="1" s="1"/>
  <c r="C586" i="1" a="1"/>
  <c r="C586" i="1"/>
  <c r="C587" i="1" a="1"/>
  <c r="C587" i="1"/>
  <c r="C588" i="1" a="1"/>
  <c r="C588" i="1"/>
  <c r="C589" i="1" a="1"/>
  <c r="C589" i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/>
  <c r="C626" i="1" a="1"/>
  <c r="C626" i="1"/>
  <c r="C627" i="1" a="1"/>
  <c r="C627" i="1"/>
  <c r="C628" i="1" a="1"/>
  <c r="C628" i="1"/>
  <c r="C629" i="1" a="1"/>
  <c r="C629" i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/>
  <c r="C664" i="1" a="1"/>
  <c r="C664" i="1" s="1"/>
  <c r="C665" i="1" a="1"/>
  <c r="C665" i="1"/>
  <c r="C666" i="1" a="1"/>
  <c r="C666" i="1"/>
  <c r="C667" i="1" a="1"/>
  <c r="C667" i="1" s="1"/>
  <c r="C668" i="1" a="1"/>
  <c r="C668" i="1"/>
  <c r="C669" i="1" a="1"/>
  <c r="C669" i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/>
  <c r="C705" i="1" a="1"/>
  <c r="C705" i="1"/>
  <c r="C706" i="1" a="1"/>
  <c r="C706" i="1"/>
  <c r="C707" i="1" a="1"/>
  <c r="C707" i="1" s="1"/>
  <c r="C708" i="1" a="1"/>
  <c r="C708" i="1"/>
  <c r="C709" i="1" a="1"/>
  <c r="C709" i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/>
  <c r="C727" i="1" a="1"/>
  <c r="C727" i="1" s="1"/>
  <c r="C728" i="1" a="1"/>
  <c r="C728" i="1" s="1"/>
  <c r="C729" i="1" a="1"/>
  <c r="C729" i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/>
  <c r="C745" i="1" a="1"/>
  <c r="C745" i="1"/>
  <c r="C746" i="1" a="1"/>
  <c r="C746" i="1" s="1"/>
  <c r="C747" i="1" a="1"/>
  <c r="C747" i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/>
  <c r="C766" i="1" a="1"/>
  <c r="C766" i="1"/>
  <c r="C767" i="1" a="1"/>
  <c r="C767" i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/>
  <c r="C788" i="1" a="1"/>
  <c r="C788" i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/>
  <c r="C805" i="1" a="1"/>
  <c r="C805" i="1" s="1"/>
  <c r="C806" i="1" a="1"/>
  <c r="C806" i="1" s="1"/>
  <c r="C807" i="1" a="1"/>
  <c r="C807" i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/>
  <c r="C826" i="1" a="1"/>
  <c r="C826" i="1" s="1"/>
  <c r="C827" i="1" a="1"/>
  <c r="C827" i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/>
  <c r="C846" i="1" a="1"/>
  <c r="C846" i="1" s="1"/>
  <c r="C847" i="1" a="1"/>
  <c r="C847" i="1"/>
  <c r="C848" i="1" a="1"/>
  <c r="C848" i="1" s="1"/>
  <c r="C849" i="1" a="1"/>
  <c r="C849" i="1"/>
  <c r="C850" i="1" a="1"/>
  <c r="C850" i="1" s="1"/>
  <c r="C851" i="1" a="1"/>
  <c r="C851" i="1" s="1"/>
  <c r="C852" i="1" a="1"/>
  <c r="C852" i="1" s="1"/>
  <c r="C853" i="1" a="1"/>
  <c r="C853" i="1"/>
  <c r="C854" i="1" a="1"/>
  <c r="C854" i="1" s="1"/>
  <c r="C855" i="1" a="1"/>
  <c r="C855" i="1"/>
  <c r="C856" i="1" a="1"/>
  <c r="C856" i="1" s="1"/>
  <c r="C857" i="1" a="1"/>
  <c r="C857" i="1" s="1"/>
  <c r="C858" i="1" a="1"/>
  <c r="C858" i="1" s="1"/>
  <c r="C859" i="1" a="1"/>
  <c r="C859" i="1"/>
  <c r="C860" i="1" a="1"/>
  <c r="C860" i="1" s="1"/>
  <c r="C861" i="1" a="1"/>
  <c r="C861" i="1" s="1"/>
  <c r="C862" i="1" a="1"/>
  <c r="C862" i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/>
  <c r="C870" i="1" a="1"/>
  <c r="C870" i="1" s="1"/>
  <c r="C871" i="1" a="1"/>
  <c r="C871" i="1"/>
  <c r="C872" i="1" a="1"/>
  <c r="C872" i="1" s="1"/>
  <c r="C873" i="1" a="1"/>
  <c r="C873" i="1" s="1"/>
  <c r="C874" i="1" a="1"/>
  <c r="C874" i="1"/>
  <c r="C875" i="1" a="1"/>
  <c r="C875" i="1" s="1"/>
  <c r="C876" i="1" a="1"/>
  <c r="C876" i="1"/>
  <c r="C877" i="1" a="1"/>
  <c r="C877" i="1" s="1"/>
  <c r="C878" i="1" a="1"/>
  <c r="C878" i="1"/>
  <c r="C879" i="1" a="1"/>
  <c r="C879" i="1" s="1"/>
  <c r="C880" i="1" a="1"/>
  <c r="C880" i="1"/>
  <c r="C881" i="1" a="1"/>
  <c r="C881" i="1" s="1"/>
  <c r="C882" i="1" a="1"/>
  <c r="C882" i="1" s="1"/>
  <c r="C883" i="1" a="1"/>
  <c r="C883" i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/>
  <c r="C891" i="1" a="1"/>
  <c r="C891" i="1" s="1"/>
  <c r="C892" i="1" a="1"/>
  <c r="C892" i="1"/>
  <c r="C893" i="1" a="1"/>
  <c r="C893" i="1" s="1"/>
  <c r="C894" i="1" a="1"/>
  <c r="C894" i="1" s="1"/>
  <c r="C895" i="1" a="1"/>
  <c r="C895" i="1"/>
  <c r="C896" i="1" a="1"/>
  <c r="C896" i="1" s="1"/>
  <c r="C897" i="1" a="1"/>
  <c r="C897" i="1" s="1"/>
  <c r="C898" i="1" a="1"/>
  <c r="C898" i="1" s="1"/>
  <c r="C899" i="1" a="1"/>
  <c r="C899" i="1"/>
  <c r="C900" i="1" a="1"/>
  <c r="C900" i="1" s="1"/>
  <c r="C901" i="1" a="1"/>
  <c r="C901" i="1" s="1"/>
  <c r="C902" i="1" a="1"/>
  <c r="C902" i="1" s="1"/>
  <c r="C903" i="1" a="1"/>
  <c r="C903" i="1" s="1"/>
  <c r="C904" i="1" a="1"/>
  <c r="C904" i="1"/>
  <c r="C905" i="1" a="1"/>
  <c r="C905" i="1" s="1"/>
  <c r="C906" i="1" a="1"/>
  <c r="C906" i="1" s="1"/>
  <c r="C907" i="1" a="1"/>
  <c r="C907" i="1" s="1"/>
  <c r="C908" i="1" a="1"/>
  <c r="C908" i="1"/>
  <c r="C909" i="1" a="1"/>
  <c r="C909" i="1" s="1"/>
  <c r="C910" i="1" a="1"/>
  <c r="C910" i="1" s="1"/>
  <c r="C911" i="1" a="1"/>
  <c r="C911" i="1"/>
  <c r="C912" i="1" a="1"/>
  <c r="C912" i="1" s="1"/>
  <c r="C913" i="1" a="1"/>
  <c r="C913" i="1"/>
  <c r="C914" i="1" a="1"/>
  <c r="C914" i="1" s="1"/>
  <c r="C915" i="1" a="1"/>
  <c r="C915" i="1" s="1"/>
  <c r="C916" i="1" a="1"/>
  <c r="C916" i="1"/>
  <c r="C917" i="1" a="1"/>
  <c r="C917" i="1" s="1"/>
  <c r="C918" i="1" a="1"/>
  <c r="C918" i="1" s="1"/>
  <c r="C919" i="1" a="1"/>
  <c r="C919" i="1" s="1"/>
  <c r="C920" i="1" a="1"/>
  <c r="C920" i="1"/>
  <c r="C921" i="1" a="1"/>
  <c r="C921" i="1" s="1"/>
  <c r="C922" i="1" a="1"/>
  <c r="C922" i="1"/>
  <c r="C923" i="1" a="1"/>
  <c r="C923" i="1" s="1"/>
  <c r="C924" i="1" a="1"/>
  <c r="C924" i="1" s="1"/>
  <c r="C925" i="1" a="1"/>
  <c r="C925" i="1"/>
  <c r="C926" i="1" a="1"/>
  <c r="C926" i="1" s="1"/>
  <c r="C927" i="1" a="1"/>
  <c r="C927" i="1" s="1"/>
  <c r="C928" i="1" a="1"/>
  <c r="C928" i="1" s="1"/>
  <c r="C929" i="1" a="1"/>
  <c r="C929" i="1"/>
  <c r="C930" i="1" a="1"/>
  <c r="C930" i="1" s="1"/>
  <c r="C931" i="1" a="1"/>
  <c r="C931" i="1" s="1"/>
  <c r="C932" i="1" a="1"/>
  <c r="C932" i="1"/>
  <c r="C933" i="1" a="1"/>
  <c r="C933" i="1" s="1"/>
  <c r="C934" i="1" a="1"/>
  <c r="C934" i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/>
  <c r="C942" i="1" a="1"/>
  <c r="C942" i="1" s="1"/>
  <c r="C943" i="1" a="1"/>
  <c r="C943" i="1"/>
  <c r="C944" i="1" a="1"/>
  <c r="C944" i="1" s="1"/>
  <c r="C945" i="1" a="1"/>
  <c r="C945" i="1" s="1"/>
  <c r="C946" i="1" a="1"/>
  <c r="C946" i="1"/>
  <c r="C947" i="1" a="1"/>
  <c r="C947" i="1" s="1"/>
  <c r="C948" i="1" a="1"/>
  <c r="C948" i="1"/>
  <c r="C949" i="1" a="1"/>
  <c r="C949" i="1" s="1"/>
  <c r="C950" i="1" a="1"/>
  <c r="C950" i="1"/>
  <c r="C951" i="1" a="1"/>
  <c r="C951" i="1" s="1"/>
  <c r="C952" i="1" a="1"/>
  <c r="C952" i="1" s="1"/>
  <c r="C953" i="1" a="1"/>
  <c r="C953" i="1"/>
  <c r="C954" i="1" a="1"/>
  <c r="C954" i="1" s="1"/>
  <c r="C955" i="1" a="1"/>
  <c r="C955" i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/>
  <c r="C963" i="1" a="1"/>
  <c r="C963" i="1" s="1"/>
  <c r="C964" i="1" a="1"/>
  <c r="C964" i="1"/>
  <c r="C965" i="1" a="1"/>
  <c r="C965" i="1" s="1"/>
  <c r="C966" i="1" a="1"/>
  <c r="C966" i="1" s="1"/>
  <c r="C967" i="1" a="1"/>
  <c r="C967" i="1" s="1"/>
  <c r="C968" i="1" a="1"/>
  <c r="C968" i="1" s="1"/>
  <c r="C969" i="1" a="1"/>
  <c r="C969" i="1"/>
  <c r="C970" i="1" a="1"/>
  <c r="C970" i="1" s="1"/>
  <c r="C971" i="1" a="1"/>
  <c r="C971" i="1"/>
  <c r="C972" i="1" a="1"/>
  <c r="C972" i="1" s="1"/>
  <c r="C973" i="1" a="1"/>
  <c r="C973" i="1" s="1"/>
  <c r="C974" i="1" a="1"/>
  <c r="C974" i="1"/>
  <c r="C975" i="1" a="1"/>
  <c r="C975" i="1" s="1"/>
  <c r="C976" i="1" a="1"/>
  <c r="C976" i="1"/>
  <c r="C977" i="1" a="1"/>
  <c r="C977" i="1" s="1"/>
  <c r="C978" i="1" a="1"/>
  <c r="C978" i="1"/>
  <c r="C979" i="1" a="1"/>
  <c r="C979" i="1" s="1"/>
  <c r="C980" i="1" a="1"/>
  <c r="C980" i="1" s="1"/>
  <c r="C981" i="1" a="1"/>
  <c r="C981" i="1" s="1"/>
  <c r="C982" i="1" a="1"/>
  <c r="C982" i="1" s="1"/>
  <c r="C983" i="1" a="1"/>
  <c r="C983" i="1"/>
  <c r="C984" i="1" a="1"/>
  <c r="C984" i="1" s="1"/>
  <c r="C985" i="1" a="1"/>
  <c r="C985" i="1"/>
  <c r="C986" i="1" a="1"/>
  <c r="C986" i="1" s="1"/>
  <c r="C987" i="1" a="1"/>
  <c r="C987" i="1" s="1"/>
  <c r="C988" i="1" a="1"/>
  <c r="C988" i="1" s="1"/>
  <c r="C989" i="1" a="1"/>
  <c r="C989" i="1" s="1"/>
  <c r="C990" i="1" a="1"/>
  <c r="C990" i="1"/>
  <c r="C991" i="1" a="1"/>
  <c r="C991" i="1" s="1"/>
  <c r="C992" i="1" a="1"/>
  <c r="C992" i="1"/>
  <c r="C993" i="1" a="1"/>
  <c r="C993" i="1" s="1"/>
  <c r="C994" i="1" a="1"/>
  <c r="C994" i="1" s="1"/>
  <c r="C995" i="1" a="1"/>
  <c r="C995" i="1"/>
  <c r="C996" i="1" a="1"/>
  <c r="C996" i="1" s="1"/>
  <c r="C997" i="1" a="1"/>
  <c r="C997" i="1" s="1"/>
  <c r="C998" i="1" a="1"/>
  <c r="C998" i="1" s="1"/>
  <c r="C999" i="1" a="1"/>
  <c r="C999" i="1"/>
  <c r="C1000" i="1" a="1"/>
  <c r="C1000" i="1" s="1"/>
  <c r="C1001" i="1" a="1"/>
  <c r="C1001" i="1" s="1"/>
  <c r="C1002" i="1" a="1"/>
  <c r="C1002" i="1" s="1"/>
  <c r="C1003" i="1" a="1"/>
  <c r="C1003" i="1" s="1"/>
  <c r="C1004" i="1" a="1"/>
  <c r="C1004" i="1"/>
  <c r="C1005" i="1" a="1"/>
  <c r="C1005" i="1" s="1"/>
  <c r="C1006" i="1" a="1"/>
  <c r="C1006" i="1"/>
  <c r="C1007" i="1" a="1"/>
  <c r="C1007" i="1" s="1"/>
  <c r="C1008" i="1" a="1"/>
  <c r="C1008" i="1"/>
  <c r="C1009" i="1" a="1"/>
  <c r="C1009" i="1" s="1"/>
  <c r="C1010" i="1" a="1"/>
  <c r="C1010" i="1" s="1"/>
  <c r="C1011" i="1" a="1"/>
  <c r="C1011" i="1"/>
  <c r="C1012" i="1" a="1"/>
  <c r="C1012" i="1" s="1"/>
  <c r="C1013" i="1" a="1"/>
  <c r="C1013" i="1"/>
  <c r="C1014" i="1" a="1"/>
  <c r="C1014" i="1" s="1"/>
  <c r="C1015" i="1" a="1"/>
  <c r="C1015" i="1" s="1"/>
  <c r="C1016" i="1" a="1"/>
  <c r="C1016" i="1"/>
  <c r="C1017" i="1" a="1"/>
  <c r="C1017" i="1" s="1"/>
  <c r="C1018" i="1" a="1"/>
  <c r="C1018" i="1" s="1"/>
  <c r="C1019" i="1" a="1"/>
  <c r="C1019" i="1" s="1"/>
  <c r="C1020" i="1" a="1"/>
  <c r="C1020" i="1"/>
  <c r="C1021" i="1" a="1"/>
  <c r="C1021" i="1" s="1"/>
  <c r="C1022" i="1" a="1"/>
  <c r="C1022" i="1" s="1"/>
  <c r="C1023" i="1" a="1"/>
  <c r="C1023" i="1" s="1"/>
  <c r="C1024" i="1" a="1"/>
  <c r="C1024" i="1" s="1"/>
  <c r="C1025" i="1" a="1"/>
  <c r="C1025" i="1"/>
  <c r="C1026" i="1" a="1"/>
  <c r="C1026" i="1" s="1"/>
  <c r="C1027" i="1" a="1"/>
  <c r="C1027" i="1" s="1"/>
  <c r="C1028" i="1" a="1"/>
  <c r="C1028" i="1" s="1"/>
  <c r="C1029" i="1" a="1"/>
  <c r="C1029" i="1"/>
  <c r="C1030" i="1" a="1"/>
  <c r="C1030" i="1" s="1"/>
  <c r="C1031" i="1" a="1"/>
  <c r="C1031" i="1" s="1"/>
  <c r="C1032" i="1" a="1"/>
  <c r="C1032" i="1"/>
  <c r="C1033" i="1" a="1"/>
  <c r="C1033" i="1" s="1"/>
  <c r="C1034" i="1" a="1"/>
  <c r="C1034" i="1"/>
  <c r="C1035" i="1" a="1"/>
  <c r="C1035" i="1" s="1"/>
  <c r="C1036" i="1" a="1"/>
  <c r="C1036" i="1" s="1"/>
  <c r="C1037" i="1" a="1"/>
  <c r="C1037" i="1" s="1"/>
  <c r="C1038" i="1" a="1"/>
  <c r="C1038" i="1"/>
  <c r="C1039" i="1" a="1"/>
  <c r="C1039" i="1" s="1"/>
  <c r="C1040" i="1" a="1"/>
  <c r="C1040" i="1" s="1"/>
  <c r="C1041" i="1" a="1"/>
  <c r="C1041" i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/>
  <c r="C1047" i="1" a="1"/>
  <c r="C1047" i="1" s="1"/>
  <c r="C1048" i="1" a="1"/>
  <c r="C1048" i="1"/>
  <c r="C1049" i="1" a="1"/>
  <c r="C1049" i="1" s="1"/>
  <c r="C1050" i="1" a="1"/>
  <c r="C1050" i="1"/>
  <c r="C1051" i="1" a="1"/>
  <c r="C1051" i="1" s="1"/>
  <c r="C1052" i="1" a="1"/>
  <c r="C1052" i="1" s="1"/>
  <c r="C1053" i="1" a="1"/>
  <c r="C1053" i="1"/>
  <c r="C1054" i="1" a="1"/>
  <c r="C1054" i="1" s="1"/>
  <c r="C1055" i="1" a="1"/>
  <c r="C1055" i="1"/>
  <c r="C1056" i="1" a="1"/>
  <c r="C1056" i="1" s="1"/>
  <c r="C1057" i="1" a="1"/>
  <c r="C1057" i="1" s="1"/>
  <c r="C1058" i="1" a="1"/>
  <c r="C1058" i="1"/>
  <c r="C1059" i="1" a="1"/>
  <c r="C1059" i="1" s="1"/>
  <c r="C1060" i="1" a="1"/>
  <c r="C1060" i="1" s="1"/>
  <c r="C1061" i="1" a="1"/>
  <c r="C1061" i="1" s="1"/>
  <c r="C1062" i="1" a="1"/>
  <c r="C1062" i="1" s="1"/>
  <c r="C1063" i="1" a="1"/>
  <c r="C1063" i="1"/>
  <c r="C1064" i="1" a="1"/>
  <c r="C1064" i="1" s="1"/>
  <c r="C1065" i="1" a="1"/>
  <c r="C1065" i="1"/>
  <c r="C1066" i="1" a="1"/>
  <c r="C1066" i="1" s="1"/>
  <c r="C1067" i="1" a="1"/>
  <c r="C1067" i="1" s="1"/>
  <c r="C1068" i="1" a="1"/>
  <c r="C1068" i="1"/>
  <c r="C1069" i="1" a="1"/>
  <c r="C1069" i="1" s="1"/>
  <c r="C1070" i="1" a="1"/>
  <c r="C1070" i="1" s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C1076" i="1" a="1"/>
  <c r="C1076" i="1"/>
  <c r="C1077" i="1" a="1"/>
  <c r="C1077" i="1" s="1"/>
  <c r="C1078" i="1" a="1"/>
  <c r="C1078" i="1" s="1"/>
  <c r="C1079" i="1" a="1"/>
  <c r="C1079" i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/>
  <c r="C1085" i="1" a="1"/>
  <c r="C1085" i="1" s="1"/>
  <c r="C1086" i="1" a="1"/>
  <c r="C1086" i="1" s="1"/>
  <c r="C1087" i="1" a="1"/>
  <c r="C1087" i="1"/>
  <c r="C1088" i="1" a="1"/>
  <c r="C1088" i="1" s="1"/>
  <c r="C1089" i="1" a="1"/>
  <c r="C1089" i="1" s="1"/>
  <c r="C1090" i="1" a="1"/>
  <c r="C1090" i="1"/>
  <c r="C1091" i="1" a="1"/>
  <c r="C1091" i="1" s="1"/>
  <c r="C1092" i="1" a="1"/>
  <c r="C1092" i="1" s="1"/>
  <c r="C1093" i="1" a="1"/>
  <c r="C1093" i="1" s="1"/>
  <c r="C1094" i="1" a="1"/>
  <c r="C1094" i="1"/>
  <c r="C1095" i="1" a="1"/>
  <c r="C1095" i="1" s="1"/>
  <c r="C1096" i="1" a="1"/>
  <c r="C1096" i="1"/>
  <c r="C1097" i="1" a="1"/>
  <c r="C1097" i="1" s="1"/>
  <c r="C1098" i="1" a="1"/>
  <c r="C1098" i="1"/>
  <c r="C1099" i="1" a="1"/>
  <c r="C1099" i="1" s="1"/>
  <c r="C1100" i="1" a="1"/>
  <c r="C1100" i="1"/>
  <c r="C1101" i="1" a="1"/>
  <c r="C1101" i="1"/>
  <c r="C1102" i="1" a="1"/>
  <c r="C1102" i="1"/>
  <c r="C1103" i="1" a="1"/>
  <c r="C1103" i="1" s="1"/>
  <c r="C1104" i="1" a="1"/>
  <c r="C1104" i="1" s="1"/>
  <c r="C1105" i="1" a="1"/>
  <c r="C1105" i="1"/>
  <c r="C1106" i="1" a="1"/>
  <c r="C1106" i="1"/>
  <c r="C1107" i="1" a="1"/>
  <c r="C1107" i="1" s="1"/>
  <c r="C1108" i="1" a="1"/>
  <c r="C1108" i="1" s="1"/>
  <c r="C1109" i="1" a="1"/>
  <c r="C1109" i="1" s="1"/>
  <c r="C1110" i="1" a="1"/>
  <c r="C1110" i="1" s="1"/>
  <c r="C1111" i="1" a="1"/>
  <c r="C1111" i="1" s="1"/>
  <c r="C1112" i="1" a="1"/>
  <c r="C1112" i="1"/>
  <c r="C1113" i="1" a="1"/>
  <c r="C1113" i="1" s="1"/>
  <c r="C1114" i="1" a="1"/>
  <c r="C1114" i="1" s="1"/>
  <c r="C1115" i="1" a="1"/>
  <c r="C1115" i="1" s="1"/>
  <c r="C1116" i="1" a="1"/>
  <c r="C1116" i="1" s="1"/>
  <c r="C1117" i="1" a="1"/>
  <c r="C1117" i="1"/>
  <c r="C1118" i="1" a="1"/>
  <c r="C1118" i="1" s="1"/>
  <c r="C1119" i="1" a="1"/>
  <c r="C1119" i="1" s="1"/>
  <c r="C1120" i="1" a="1"/>
  <c r="C1120" i="1" s="1"/>
  <c r="C1121" i="1" a="1"/>
  <c r="C1121" i="1"/>
  <c r="C1122" i="1" a="1"/>
  <c r="C1122" i="1"/>
  <c r="C1123" i="1" a="1"/>
  <c r="C1123" i="1"/>
  <c r="C1124" i="1" a="1"/>
  <c r="C1124" i="1" s="1"/>
  <c r="C1125" i="1" a="1"/>
  <c r="C1125" i="1" s="1"/>
  <c r="C1126" i="1" a="1"/>
  <c r="C1126" i="1" s="1"/>
  <c r="C1127" i="1" a="1"/>
  <c r="C1127" i="1" s="1"/>
  <c r="C1128" i="1" a="1"/>
  <c r="C1128" i="1"/>
  <c r="C1129" i="1" a="1"/>
  <c r="C1129" i="1" s="1"/>
  <c r="C1130" i="1" a="1"/>
  <c r="C1130" i="1" s="1"/>
  <c r="C1131" i="1" a="1"/>
  <c r="C1131" i="1"/>
  <c r="C1132" i="1" a="1"/>
  <c r="C1132" i="1" s="1"/>
  <c r="C1133" i="1" a="1"/>
  <c r="C1133" i="1"/>
  <c r="C1134" i="1" a="1"/>
  <c r="C1134" i="1"/>
  <c r="C1135" i="1" a="1"/>
  <c r="C1135" i="1" s="1"/>
  <c r="C1136" i="1" a="1"/>
  <c r="C1136" i="1" s="1"/>
  <c r="C1137" i="1" a="1"/>
  <c r="C1137" i="1" s="1"/>
  <c r="C1138" i="1" a="1"/>
  <c r="C1138" i="1" s="1"/>
  <c r="C1139" i="1" a="1"/>
  <c r="C1139" i="1" s="1"/>
  <c r="C1140" i="1" a="1"/>
  <c r="C1140" i="1" s="1"/>
  <c r="C1141" i="1" a="1"/>
  <c r="C1141" i="1" s="1"/>
  <c r="C1142" i="1" a="1"/>
  <c r="C1142" i="1" s="1"/>
  <c r="C1143" i="1" a="1"/>
  <c r="C1143" i="1" s="1"/>
  <c r="C1144" i="1" a="1"/>
  <c r="C1144" i="1"/>
  <c r="C1145" i="1" a="1"/>
  <c r="C1145" i="1" s="1"/>
  <c r="C1146" i="1" a="1"/>
  <c r="C1146" i="1" s="1"/>
  <c r="C1147" i="1" a="1"/>
  <c r="C1147" i="1"/>
  <c r="C1148" i="1" a="1"/>
  <c r="C1148" i="1" s="1"/>
  <c r="C1149" i="1" a="1"/>
  <c r="C1149" i="1" s="1"/>
  <c r="C1150" i="1" a="1"/>
  <c r="C1150" i="1" s="1"/>
  <c r="C1151" i="1" a="1"/>
  <c r="C1151" i="1" s="1"/>
  <c r="C1152" i="1" a="1"/>
  <c r="C1152" i="1" s="1"/>
  <c r="C1153" i="1" a="1"/>
  <c r="C1153" i="1" s="1"/>
  <c r="C1154" i="1" a="1"/>
  <c r="C1154" i="1"/>
  <c r="C1155" i="1" a="1"/>
  <c r="C1155" i="1" s="1"/>
  <c r="C1156" i="1" a="1"/>
  <c r="C1156" i="1"/>
  <c r="C1157" i="1" a="1"/>
  <c r="C1157" i="1" s="1"/>
  <c r="C1158" i="1" a="1"/>
  <c r="C1158" i="1" s="1"/>
  <c r="C1159" i="1" a="1"/>
  <c r="C1159" i="1" s="1"/>
  <c r="C1160" i="1" a="1"/>
  <c r="C1160" i="1"/>
  <c r="C1161" i="1" a="1"/>
  <c r="C1161" i="1" s="1"/>
  <c r="C1162" i="1" a="1"/>
  <c r="C1162" i="1" s="1"/>
  <c r="C1163" i="1" a="1"/>
  <c r="C1163" i="1" s="1"/>
  <c r="C1164" i="1" a="1"/>
  <c r="C1164" i="1" s="1"/>
  <c r="C1165" i="1" a="1"/>
  <c r="C1165" i="1"/>
  <c r="C1166" i="1" a="1"/>
  <c r="C1166" i="1" s="1"/>
  <c r="C1167" i="1" a="1"/>
  <c r="C1167" i="1" s="1"/>
  <c r="C1168" i="1" a="1"/>
  <c r="C1168" i="1" s="1"/>
  <c r="C1169" i="1" a="1"/>
  <c r="C1169" i="1" s="1"/>
  <c r="C1170" i="1" a="1"/>
  <c r="C1170" i="1" s="1"/>
  <c r="C1171" i="1" a="1"/>
  <c r="C1171" i="1" s="1"/>
  <c r="C1172" i="1" a="1"/>
  <c r="C1172" i="1"/>
  <c r="C1173" i="1" a="1"/>
  <c r="C1173" i="1" s="1"/>
  <c r="C1174" i="1" a="1"/>
  <c r="C1174" i="1" s="1"/>
  <c r="C1175" i="1" a="1"/>
  <c r="C1175" i="1"/>
  <c r="C1176" i="1" a="1"/>
  <c r="C1176" i="1" s="1"/>
  <c r="C1177" i="1" a="1"/>
  <c r="C1177" i="1" s="1"/>
  <c r="C1178" i="1" a="1"/>
  <c r="C1178" i="1" s="1"/>
  <c r="C1179" i="1" a="1"/>
  <c r="C1179" i="1" s="1"/>
  <c r="C1180" i="1" a="1"/>
  <c r="C1180" i="1" s="1"/>
  <c r="C1181" i="1" a="1"/>
  <c r="C1181" i="1"/>
  <c r="C1182" i="1" a="1"/>
  <c r="C1182" i="1" s="1"/>
  <c r="C1183" i="1" a="1"/>
  <c r="C1183" i="1" s="1"/>
  <c r="C1184" i="1" a="1"/>
  <c r="C1184" i="1" s="1"/>
  <c r="C1185" i="1" a="1"/>
  <c r="C1185" i="1" s="1"/>
  <c r="C1186" i="1" a="1"/>
  <c r="C1186" i="1"/>
  <c r="C1187" i="1" a="1"/>
  <c r="C1187" i="1" s="1"/>
  <c r="C1188" i="1" a="1"/>
  <c r="C1188" i="1" s="1"/>
  <c r="C1189" i="1" a="1"/>
  <c r="C1189" i="1" s="1"/>
  <c r="C1190" i="1" a="1"/>
  <c r="C1190" i="1" s="1"/>
  <c r="C1191" i="1" a="1"/>
  <c r="C1191" i="1" s="1"/>
  <c r="C1192" i="1" a="1"/>
  <c r="C1192" i="1" s="1"/>
  <c r="C1193" i="1" a="1"/>
  <c r="C1193" i="1" s="1"/>
  <c r="C1194" i="1" a="1"/>
  <c r="C1194" i="1" s="1"/>
  <c r="C1195" i="1" a="1"/>
  <c r="C1195" i="1" s="1"/>
  <c r="C1196" i="1" a="1"/>
  <c r="C1196" i="1"/>
  <c r="C1197" i="1" a="1"/>
  <c r="C1197" i="1" s="1"/>
  <c r="C1198" i="1" a="1"/>
  <c r="C1198" i="1" s="1"/>
  <c r="C1199" i="1" a="1"/>
  <c r="C1199" i="1" s="1"/>
  <c r="C1200" i="1" a="1"/>
  <c r="C1200" i="1" s="1"/>
  <c r="C1201" i="1" a="1"/>
  <c r="C1201" i="1" s="1"/>
  <c r="C1202" i="1" a="1"/>
  <c r="C1202" i="1"/>
  <c r="C1203" i="1" a="1"/>
  <c r="C1203" i="1" s="1"/>
  <c r="C1204" i="1" a="1"/>
  <c r="C1204" i="1" s="1"/>
  <c r="C1205" i="1" a="1"/>
  <c r="C1205" i="1" s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/>
  <c r="C1211" i="1" a="1"/>
  <c r="C1211" i="1" s="1"/>
  <c r="C1212" i="1" a="1"/>
  <c r="C1212" i="1" s="1"/>
  <c r="C1213" i="1" a="1"/>
  <c r="C1213" i="1" s="1"/>
  <c r="C1214" i="1" a="1"/>
  <c r="C1214" i="1" s="1"/>
  <c r="C1215" i="1" a="1"/>
  <c r="C1215" i="1" s="1"/>
  <c r="C1216" i="1" a="1"/>
  <c r="C1216" i="1" s="1"/>
  <c r="C1217" i="1" a="1"/>
  <c r="C1217" i="1"/>
  <c r="C1218" i="1" a="1"/>
  <c r="C1218" i="1" s="1"/>
  <c r="C1219" i="1" a="1"/>
  <c r="C1219" i="1" s="1"/>
  <c r="C1220" i="1" a="1"/>
  <c r="C1220" i="1" s="1"/>
  <c r="C1221" i="1" a="1"/>
  <c r="C1221" i="1" s="1"/>
  <c r="C1222" i="1" a="1"/>
  <c r="C1222" i="1" s="1"/>
  <c r="C1223" i="1" a="1"/>
  <c r="C1223" i="1"/>
  <c r="C1224" i="1" a="1"/>
  <c r="C1224" i="1" s="1"/>
  <c r="C1225" i="1" a="1"/>
  <c r="C1225" i="1" s="1"/>
  <c r="C1226" i="1" a="1"/>
  <c r="C1226" i="1" s="1"/>
  <c r="C1227" i="1" a="1"/>
  <c r="C1227" i="1" s="1"/>
  <c r="C1228" i="1" a="1"/>
  <c r="C1228" i="1" s="1"/>
  <c r="C1229" i="1" a="1"/>
  <c r="C1229" i="1" s="1"/>
  <c r="C1230" i="1" a="1"/>
  <c r="C1230" i="1" s="1"/>
  <c r="C1231" i="1" a="1"/>
  <c r="C1231" i="1"/>
  <c r="C1232" i="1" a="1"/>
  <c r="C1232" i="1" s="1"/>
  <c r="C1233" i="1" a="1"/>
  <c r="C1233" i="1" s="1"/>
  <c r="C1234" i="1" a="1"/>
  <c r="C1234" i="1" s="1"/>
  <c r="C1235" i="1" a="1"/>
  <c r="C1235" i="1" s="1"/>
  <c r="C1236" i="1" a="1"/>
  <c r="C1236" i="1" s="1"/>
  <c r="C1237" i="1" a="1"/>
  <c r="C1237" i="1" s="1"/>
  <c r="C1238" i="1" a="1"/>
  <c r="C1238" i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C1244" i="1" a="1"/>
  <c r="C1244" i="1" s="1"/>
  <c r="C1245" i="1" a="1"/>
  <c r="C1245" i="1" s="1"/>
  <c r="C1246" i="1" a="1"/>
  <c r="C1246" i="1" s="1"/>
  <c r="C1247" i="1" a="1"/>
  <c r="C1247" i="1" s="1"/>
  <c r="C1248" i="1" a="1"/>
  <c r="C1248" i="1" s="1"/>
  <c r="C1249" i="1" a="1"/>
  <c r="C1249" i="1" s="1"/>
  <c r="C1250" i="1" a="1"/>
  <c r="C1250" i="1" s="1"/>
  <c r="C1251" i="1" a="1"/>
  <c r="C1251" i="1" s="1"/>
  <c r="C1252" i="1" a="1"/>
  <c r="C1252" i="1"/>
  <c r="C1253" i="1" a="1"/>
  <c r="C1253" i="1" s="1"/>
  <c r="C1254" i="1" a="1"/>
  <c r="C1254" i="1" s="1"/>
  <c r="C1255" i="1" a="1"/>
  <c r="C1255" i="1" s="1"/>
  <c r="C1256" i="1" a="1"/>
  <c r="C1256" i="1" s="1"/>
  <c r="C1257" i="1" a="1"/>
  <c r="C1257" i="1" s="1"/>
  <c r="C1258" i="1" a="1"/>
  <c r="C1258" i="1" s="1"/>
  <c r="C1259" i="1" a="1"/>
  <c r="C1259" i="1" s="1"/>
  <c r="C1260" i="1" a="1"/>
  <c r="C1260" i="1"/>
  <c r="C1261" i="1" a="1"/>
  <c r="C1261" i="1" s="1"/>
  <c r="C1262" i="1" a="1"/>
  <c r="C1262" i="1" s="1"/>
  <c r="C1263" i="1" a="1"/>
  <c r="C1263" i="1" s="1"/>
  <c r="C1264" i="1" a="1"/>
  <c r="C1264" i="1" s="1"/>
  <c r="C1265" i="1" a="1"/>
  <c r="C1265" i="1"/>
  <c r="C1266" i="1" a="1"/>
  <c r="C1266" i="1" s="1"/>
  <c r="C1267" i="1" a="1"/>
  <c r="C1267" i="1" s="1"/>
  <c r="C1268" i="1" a="1"/>
  <c r="C1268" i="1" s="1"/>
  <c r="C1269" i="1" a="1"/>
  <c r="C1269" i="1" s="1"/>
  <c r="C1270" i="1" a="1"/>
  <c r="C1270" i="1"/>
  <c r="C1271" i="1" a="1"/>
  <c r="C1271" i="1" s="1"/>
  <c r="C1272" i="1" a="1"/>
  <c r="C1272" i="1" s="1"/>
  <c r="C1273" i="1" a="1"/>
  <c r="C1273" i="1"/>
  <c r="C1274" i="1" a="1"/>
  <c r="C1274" i="1" s="1"/>
  <c r="C1275" i="1" a="1"/>
  <c r="C1275" i="1" s="1"/>
  <c r="C1276" i="1" a="1"/>
  <c r="C1276" i="1" s="1"/>
  <c r="C1277" i="1" a="1"/>
  <c r="C1277" i="1"/>
  <c r="C1278" i="1" a="1"/>
  <c r="C1278" i="1" s="1"/>
  <c r="C1279" i="1" a="1"/>
  <c r="C1279" i="1" s="1"/>
  <c r="C1280" i="1" a="1"/>
  <c r="C1280" i="1" s="1"/>
  <c r="C1281" i="1" a="1"/>
  <c r="C1281" i="1"/>
  <c r="C1282" i="1" a="1"/>
  <c r="C1282" i="1" s="1"/>
  <c r="C1283" i="1" a="1"/>
  <c r="C1283" i="1" s="1"/>
  <c r="C1284" i="1" a="1"/>
  <c r="C1284" i="1" s="1"/>
  <c r="C1285" i="1" a="1"/>
  <c r="C1285" i="1" s="1"/>
  <c r="C1286" i="1" a="1"/>
  <c r="C1286" i="1"/>
  <c r="C1287" i="1" a="1"/>
  <c r="C1287" i="1" s="1"/>
  <c r="C1288" i="1" a="1"/>
  <c r="C1288" i="1" s="1"/>
  <c r="C1289" i="1" a="1"/>
  <c r="C1289" i="1" s="1"/>
  <c r="C1290" i="1" a="1"/>
  <c r="C1290" i="1" s="1"/>
  <c r="C1291" i="1" a="1"/>
  <c r="C1291" i="1" s="1"/>
  <c r="C1292" i="1" a="1"/>
  <c r="C1292" i="1" s="1"/>
  <c r="C1293" i="1" a="1"/>
  <c r="C1293" i="1" s="1"/>
  <c r="C1294" i="1" a="1"/>
  <c r="C1294" i="1" s="1"/>
  <c r="C1295" i="1" a="1"/>
  <c r="C1295" i="1" s="1"/>
  <c r="C1296" i="1" a="1"/>
  <c r="C1296" i="1" s="1"/>
  <c r="C1297" i="1" a="1"/>
  <c r="C1297" i="1" s="1"/>
  <c r="C1298" i="1" a="1"/>
  <c r="C1298" i="1" s="1"/>
  <c r="C1299" i="1" a="1"/>
  <c r="C1299" i="1" s="1"/>
  <c r="C1300" i="1" a="1"/>
  <c r="C1300" i="1"/>
  <c r="C1301" i="1" a="1"/>
  <c r="C1301" i="1" s="1"/>
  <c r="C1302" i="1" a="1"/>
  <c r="C1302" i="1"/>
  <c r="C1303" i="1" a="1"/>
  <c r="C1303" i="1" s="1"/>
  <c r="C1304" i="1" a="1"/>
  <c r="C1304" i="1" s="1"/>
  <c r="C1305" i="1" a="1"/>
  <c r="C1305" i="1" s="1"/>
  <c r="C1306" i="1" a="1"/>
  <c r="C1306" i="1" s="1"/>
  <c r="C1307" i="1" a="1"/>
  <c r="C1307" i="1"/>
  <c r="C1308" i="1" a="1"/>
  <c r="C1308" i="1" s="1"/>
  <c r="C1309" i="1" a="1"/>
  <c r="C1309" i="1" s="1"/>
  <c r="C1310" i="1" a="1"/>
  <c r="C1310" i="1" s="1"/>
  <c r="C1311" i="1" a="1"/>
  <c r="C1311" i="1" s="1"/>
  <c r="C1312" i="1" a="1"/>
  <c r="C1312" i="1" s="1"/>
  <c r="C1313" i="1" a="1"/>
  <c r="C1313" i="1" s="1"/>
  <c r="C1314" i="1" a="1"/>
  <c r="C1314" i="1" s="1"/>
  <c r="C1315" i="1" a="1"/>
  <c r="C1315" i="1" s="1"/>
  <c r="C1316" i="1" a="1"/>
  <c r="C1316" i="1" s="1"/>
  <c r="C1317" i="1" a="1"/>
  <c r="C1317" i="1" s="1"/>
  <c r="C1318" i="1" a="1"/>
  <c r="C1318" i="1" s="1"/>
  <c r="C1319" i="1" a="1"/>
  <c r="C1319" i="1" s="1"/>
  <c r="C1320" i="1" a="1"/>
  <c r="C1320" i="1" s="1"/>
  <c r="C1321" i="1" a="1"/>
  <c r="C1321" i="1" s="1"/>
  <c r="C1322" i="1" a="1"/>
  <c r="C1322" i="1" s="1"/>
  <c r="C1323" i="1" a="1"/>
  <c r="C1323" i="1" s="1"/>
  <c r="C1324" i="1" a="1"/>
  <c r="C1324" i="1" s="1"/>
  <c r="C1325" i="1" a="1"/>
  <c r="C1325" i="1" s="1"/>
  <c r="C1326" i="1" a="1"/>
  <c r="C1326" i="1" s="1"/>
  <c r="C1327" i="1" a="1"/>
  <c r="C1327" i="1" s="1"/>
  <c r="C1328" i="1" a="1"/>
  <c r="C1328" i="1" s="1"/>
  <c r="C1329" i="1" a="1"/>
  <c r="C1329" i="1" s="1"/>
  <c r="C1330" i="1" a="1"/>
  <c r="C1330" i="1"/>
  <c r="C1331" i="1" a="1"/>
  <c r="C1331" i="1" s="1"/>
  <c r="C1332" i="1" a="1"/>
  <c r="C1332" i="1" s="1"/>
  <c r="C1333" i="1" a="1"/>
  <c r="C1333" i="1" s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 s="1"/>
  <c r="C1339" i="1" a="1"/>
  <c r="C1339" i="1" s="1"/>
  <c r="C1340" i="1" a="1"/>
  <c r="C1340" i="1" s="1"/>
  <c r="C1341" i="1" a="1"/>
  <c r="C1341" i="1" s="1"/>
  <c r="C1342" i="1" a="1"/>
  <c r="C1342" i="1" s="1"/>
  <c r="C1343" i="1" a="1"/>
  <c r="C1343" i="1" s="1"/>
  <c r="C1344" i="1" a="1"/>
  <c r="C1344" i="1"/>
  <c r="C1345" i="1" a="1"/>
  <c r="C1345" i="1" s="1"/>
  <c r="C1346" i="1" a="1"/>
  <c r="C1346" i="1" s="1"/>
  <c r="C1347" i="1" a="1"/>
  <c r="C1347" i="1"/>
  <c r="C1348" i="1" a="1"/>
  <c r="C1348" i="1" s="1"/>
  <c r="C1349" i="1" a="1"/>
  <c r="C1349" i="1" s="1"/>
  <c r="C1350" i="1" a="1"/>
  <c r="C1350" i="1" s="1"/>
  <c r="C1351" i="1" a="1"/>
  <c r="C1351" i="1"/>
  <c r="C1352" i="1" a="1"/>
  <c r="C1352" i="1" s="1"/>
  <c r="C1353" i="1" a="1"/>
  <c r="C1353" i="1" s="1"/>
  <c r="C1354" i="1" a="1"/>
  <c r="C1354" i="1" s="1"/>
  <c r="C1355" i="1" a="1"/>
  <c r="C1355" i="1" s="1"/>
  <c r="C1356" i="1" a="1"/>
  <c r="C1356" i="1" s="1"/>
  <c r="C1357" i="1" a="1"/>
  <c r="C1357" i="1" s="1"/>
  <c r="C1358" i="1" a="1"/>
  <c r="C1358" i="1" s="1"/>
  <c r="C1359" i="1" a="1"/>
  <c r="C1359" i="1" s="1"/>
  <c r="C1360" i="1" a="1"/>
  <c r="C1360" i="1" s="1"/>
  <c r="C1361" i="1" a="1"/>
  <c r="C1361" i="1" s="1"/>
  <c r="C1362" i="1" a="1"/>
  <c r="C1362" i="1" s="1"/>
  <c r="C1363" i="1" a="1"/>
  <c r="C1363" i="1" s="1"/>
  <c r="C1364" i="1" a="1"/>
  <c r="C1364" i="1" s="1"/>
  <c r="C1365" i="1" a="1"/>
  <c r="C1365" i="1" s="1"/>
  <c r="C1366" i="1" a="1"/>
  <c r="C1366" i="1" s="1"/>
  <c r="C1367" i="1" a="1"/>
  <c r="C1367" i="1" s="1"/>
  <c r="C1368" i="1" a="1"/>
  <c r="C1368" i="1"/>
  <c r="C1369" i="1" a="1"/>
  <c r="C1369" i="1" s="1"/>
  <c r="C1370" i="1" a="1"/>
  <c r="C1370" i="1" s="1"/>
  <c r="C1371" i="1" a="1"/>
  <c r="C1371" i="1" s="1"/>
  <c r="C1372" i="1" a="1"/>
  <c r="C1372" i="1" s="1"/>
  <c r="C1373" i="1" a="1"/>
  <c r="C1373" i="1" s="1"/>
  <c r="C1374" i="1" a="1"/>
  <c r="C1374" i="1" s="1"/>
  <c r="C1375" i="1" a="1"/>
  <c r="C1375" i="1"/>
  <c r="C1376" i="1" a="1"/>
  <c r="C1376" i="1" s="1"/>
  <c r="C1377" i="1" a="1"/>
  <c r="C1377" i="1" s="1"/>
  <c r="C1378" i="1" a="1"/>
  <c r="C1378" i="1" s="1"/>
  <c r="C1379" i="1" a="1"/>
  <c r="C1379" i="1" s="1"/>
  <c r="C1380" i="1" a="1"/>
  <c r="C1380" i="1" s="1"/>
  <c r="C1381" i="1" a="1"/>
  <c r="C1381" i="1" s="1"/>
  <c r="C1382" i="1" a="1"/>
  <c r="C1382" i="1" s="1"/>
  <c r="C1383" i="1" a="1"/>
  <c r="C1383" i="1" s="1"/>
  <c r="C1384" i="1" a="1"/>
  <c r="C1384" i="1" s="1"/>
  <c r="C1385" i="1" a="1"/>
  <c r="C1385" i="1" s="1"/>
  <c r="C1386" i="1" a="1"/>
  <c r="C1386" i="1" s="1"/>
  <c r="C1387" i="1" a="1"/>
  <c r="C1387" i="1" s="1"/>
  <c r="C1388" i="1" a="1"/>
  <c r="C1388" i="1" s="1"/>
  <c r="C1389" i="1" a="1"/>
  <c r="C1389" i="1" s="1"/>
  <c r="C1390" i="1" a="1"/>
  <c r="C1390" i="1" s="1"/>
  <c r="C1391" i="1" a="1"/>
  <c r="C1391" i="1" s="1"/>
  <c r="C1392" i="1" a="1"/>
  <c r="C1392" i="1" s="1"/>
  <c r="C1393" i="1" a="1"/>
  <c r="C1393" i="1" s="1"/>
  <c r="C1394" i="1" a="1"/>
  <c r="C1394" i="1" s="1"/>
  <c r="C1395" i="1" a="1"/>
  <c r="C1395" i="1" s="1"/>
  <c r="C1396" i="1" a="1"/>
  <c r="C1396" i="1" s="1"/>
  <c r="C1397" i="1" a="1"/>
  <c r="C1397" i="1"/>
  <c r="C1398" i="1" a="1"/>
  <c r="C1398" i="1" s="1"/>
  <c r="C1399" i="1" a="1"/>
  <c r="C1399" i="1" s="1"/>
  <c r="C1400" i="1" a="1"/>
  <c r="C1400" i="1" s="1"/>
  <c r="C1401" i="1" a="1"/>
  <c r="C1401" i="1" s="1"/>
  <c r="C1402" i="1" a="1"/>
  <c r="C1402" i="1" s="1"/>
  <c r="C1403" i="1" a="1"/>
  <c r="C1403" i="1" s="1"/>
  <c r="C1404" i="1" a="1"/>
  <c r="C1404" i="1" s="1"/>
  <c r="C1405" i="1" a="1"/>
  <c r="C1405" i="1" s="1"/>
  <c r="C1406" i="1" a="1"/>
  <c r="C1406" i="1" s="1"/>
  <c r="C1407" i="1" a="1"/>
  <c r="C1407" i="1" s="1"/>
  <c r="C1408" i="1" a="1"/>
  <c r="C1408" i="1" s="1"/>
  <c r="C1409" i="1" a="1"/>
  <c r="C1409" i="1" s="1"/>
  <c r="C1410" i="1" a="1"/>
  <c r="C1410" i="1" s="1"/>
  <c r="C1411" i="1" a="1"/>
  <c r="C1411" i="1" s="1"/>
  <c r="C1412" i="1" a="1"/>
  <c r="C1412" i="1" s="1"/>
  <c r="C1413" i="1" a="1"/>
  <c r="C1413" i="1" s="1"/>
  <c r="C1414" i="1" a="1"/>
  <c r="C1414" i="1" s="1"/>
  <c r="C1415" i="1" a="1"/>
  <c r="C1415" i="1" s="1"/>
  <c r="C1416" i="1" a="1"/>
  <c r="C1416" i="1" s="1"/>
  <c r="C1417" i="1" a="1"/>
  <c r="C1417" i="1" s="1"/>
  <c r="C1418" i="1" a="1"/>
  <c r="C1418" i="1"/>
  <c r="C1419" i="1" a="1"/>
  <c r="C1419" i="1" s="1"/>
  <c r="C1420" i="1" a="1"/>
  <c r="C1420" i="1" s="1"/>
  <c r="C1421" i="1" a="1"/>
  <c r="C1421" i="1" s="1"/>
  <c r="C1422" i="1" a="1"/>
  <c r="C1422" i="1" s="1"/>
  <c r="C1423" i="1" a="1"/>
  <c r="C1423" i="1"/>
  <c r="C1424" i="1" a="1"/>
  <c r="C1424" i="1" s="1"/>
  <c r="C1425" i="1" a="1"/>
  <c r="C1425" i="1" s="1"/>
  <c r="C1426" i="1" a="1"/>
  <c r="C1426" i="1" s="1"/>
  <c r="C1427" i="1" a="1"/>
  <c r="C1427" i="1" s="1"/>
  <c r="C1428" i="1" a="1"/>
  <c r="C1428" i="1" s="1"/>
  <c r="C1429" i="1" a="1"/>
  <c r="C1429" i="1" s="1"/>
  <c r="C1430" i="1" a="1"/>
  <c r="C1430" i="1"/>
  <c r="C1431" i="1" a="1"/>
  <c r="C1431" i="1" s="1"/>
  <c r="C1432" i="1" a="1"/>
  <c r="C1432" i="1" s="1"/>
  <c r="C1433" i="1" a="1"/>
  <c r="C1433" i="1" s="1"/>
  <c r="C1434" i="1" a="1"/>
  <c r="C1434" i="1" s="1"/>
  <c r="C1435" i="1" a="1"/>
  <c r="C1435" i="1" s="1"/>
  <c r="C1436" i="1" a="1"/>
  <c r="C1436" i="1" s="1"/>
  <c r="C1437" i="1" a="1"/>
  <c r="C1437" i="1" s="1"/>
  <c r="C1438" i="1" a="1"/>
  <c r="C1438" i="1" s="1"/>
  <c r="C1439" i="1" a="1"/>
  <c r="C1439" i="1" s="1"/>
  <c r="C1440" i="1" a="1"/>
  <c r="C1440" i="1" s="1"/>
  <c r="C1441" i="1" a="1"/>
  <c r="C1441" i="1" s="1"/>
  <c r="C1442" i="1" a="1"/>
  <c r="C1442" i="1" s="1"/>
  <c r="C1443" i="1" a="1"/>
  <c r="C1443" i="1" s="1"/>
  <c r="C1444" i="1" a="1"/>
  <c r="C1444" i="1" s="1"/>
  <c r="C1445" i="1" a="1"/>
  <c r="C1445" i="1" s="1"/>
  <c r="C1446" i="1" a="1"/>
  <c r="C1446" i="1" s="1"/>
  <c r="C1447" i="1" a="1"/>
  <c r="C1447" i="1"/>
  <c r="C1448" i="1" a="1"/>
  <c r="C1448" i="1" s="1"/>
  <c r="C1449" i="1" a="1"/>
  <c r="C1449" i="1" s="1"/>
  <c r="C1450" i="1" a="1"/>
  <c r="C1450" i="1" s="1"/>
  <c r="C1451" i="1" a="1"/>
  <c r="C1451" i="1" s="1"/>
  <c r="C1452" i="1" a="1"/>
  <c r="C1452" i="1" s="1"/>
  <c r="C1453" i="1" a="1"/>
  <c r="C1453" i="1" s="1"/>
  <c r="C1454" i="1" a="1"/>
  <c r="C1454" i="1" s="1"/>
  <c r="C1455" i="1" a="1"/>
  <c r="C1455" i="1" s="1"/>
  <c r="C1456" i="1" a="1"/>
  <c r="C1456" i="1" s="1"/>
  <c r="C1457" i="1" a="1"/>
  <c r="C1457" i="1" s="1"/>
  <c r="C1458" i="1" a="1"/>
  <c r="C1458" i="1" s="1"/>
  <c r="C1459" i="1" a="1"/>
  <c r="C1459" i="1" s="1"/>
  <c r="C1460" i="1" a="1"/>
  <c r="C1460" i="1" s="1"/>
  <c r="C1461" i="1" a="1"/>
  <c r="C1461" i="1" s="1"/>
  <c r="C1462" i="1" a="1"/>
  <c r="C1462" i="1" s="1"/>
  <c r="C1463" i="1" a="1"/>
  <c r="C1463" i="1" s="1"/>
  <c r="C1464" i="1" a="1"/>
  <c r="C1464" i="1" s="1"/>
  <c r="C1465" i="1" a="1"/>
  <c r="C1465" i="1" s="1"/>
  <c r="C1466" i="1" a="1"/>
  <c r="C1466" i="1" s="1"/>
  <c r="C1467" i="1" a="1"/>
  <c r="C1467" i="1" s="1"/>
  <c r="C1468" i="1" a="1"/>
  <c r="C1468" i="1"/>
  <c r="C1469" i="1" a="1"/>
  <c r="C1469" i="1" s="1"/>
  <c r="C1470" i="1" a="1"/>
  <c r="C1470" i="1" s="1"/>
  <c r="C1471" i="1" a="1"/>
  <c r="C1471" i="1" s="1"/>
  <c r="C1472" i="1" a="1"/>
  <c r="C1472" i="1" s="1"/>
  <c r="C1473" i="1" a="1"/>
  <c r="C1473" i="1" s="1"/>
  <c r="C1474" i="1" a="1"/>
  <c r="C1474" i="1" s="1"/>
  <c r="C1475" i="1" a="1"/>
  <c r="C1475" i="1" s="1"/>
  <c r="C1476" i="1" a="1"/>
  <c r="C1476" i="1"/>
  <c r="C1477" i="1" a="1"/>
  <c r="C1477" i="1" s="1"/>
  <c r="C1478" i="1" a="1"/>
  <c r="C1478" i="1" s="1"/>
  <c r="C1479" i="1" a="1"/>
  <c r="C1479" i="1" s="1"/>
  <c r="C1480" i="1" a="1"/>
  <c r="C1480" i="1" s="1"/>
  <c r="C1481" i="1" a="1"/>
  <c r="C1481" i="1"/>
  <c r="C1482" i="1" a="1"/>
  <c r="C1482" i="1"/>
  <c r="C1483" i="1" a="1"/>
  <c r="C1483" i="1" s="1"/>
  <c r="C1484" i="1" a="1"/>
  <c r="C1484" i="1" s="1"/>
  <c r="C1485" i="1" a="1"/>
  <c r="C1485" i="1" s="1"/>
  <c r="C1486" i="1" a="1"/>
  <c r="C1486" i="1" s="1"/>
  <c r="C1487" i="1" a="1"/>
  <c r="C1487" i="1" s="1"/>
  <c r="C1488" i="1" a="1"/>
  <c r="C1488" i="1" s="1"/>
  <c r="C1489" i="1" a="1"/>
  <c r="C1489" i="1" s="1"/>
  <c r="C1490" i="1" a="1"/>
  <c r="C1490" i="1" s="1"/>
  <c r="C1491" i="1" a="1"/>
  <c r="C1491" i="1" s="1"/>
  <c r="C1492" i="1" a="1"/>
  <c r="C1492" i="1" s="1"/>
  <c r="C1493" i="1" a="1"/>
  <c r="C1493" i="1" s="1"/>
  <c r="C1494" i="1" a="1"/>
  <c r="C1494" i="1" s="1"/>
  <c r="C1495" i="1" a="1"/>
  <c r="C1495" i="1" s="1"/>
  <c r="C1496" i="1" a="1"/>
  <c r="C1496" i="1" s="1"/>
  <c r="C1497" i="1" a="1"/>
  <c r="C1497" i="1" s="1"/>
  <c r="C1498" i="1" a="1"/>
  <c r="C1498" i="1" s="1"/>
  <c r="C1499" i="1" a="1"/>
  <c r="C1499" i="1" s="1"/>
  <c r="C1500" i="1" a="1"/>
  <c r="C1500" i="1" s="1"/>
  <c r="C1501" i="1" a="1"/>
  <c r="C1501" i="1" s="1"/>
  <c r="C1502" i="1" a="1"/>
  <c r="C1502" i="1"/>
  <c r="C1503" i="1" a="1"/>
  <c r="C1503" i="1"/>
  <c r="C1504" i="1" a="1"/>
  <c r="C1504" i="1" s="1"/>
  <c r="C1505" i="1" a="1"/>
  <c r="C1505" i="1" s="1"/>
  <c r="C1506" i="1" a="1"/>
  <c r="C1506" i="1" s="1"/>
  <c r="C1507" i="1" a="1"/>
  <c r="C1507" i="1" s="1"/>
  <c r="C1508" i="1" a="1"/>
  <c r="C1508" i="1" s="1"/>
  <c r="C1509" i="1" a="1"/>
  <c r="C1509" i="1" s="1"/>
  <c r="C1510" i="1" a="1"/>
  <c r="C1510" i="1" s="1"/>
  <c r="C1511" i="1" a="1"/>
  <c r="C1511" i="1" s="1"/>
  <c r="C1512" i="1" a="1"/>
  <c r="C1512" i="1" s="1"/>
  <c r="C1513" i="1" a="1"/>
  <c r="C1513" i="1" s="1"/>
  <c r="C1514" i="1" a="1"/>
  <c r="C1514" i="1" s="1"/>
  <c r="C1515" i="1" a="1"/>
  <c r="C1515" i="1" s="1"/>
  <c r="C1516" i="1" a="1"/>
  <c r="C1516" i="1" s="1"/>
  <c r="C1517" i="1" a="1"/>
  <c r="C1517" i="1" s="1"/>
  <c r="C1518" i="1" a="1"/>
  <c r="C1518" i="1" s="1"/>
  <c r="C1519" i="1" a="1"/>
  <c r="C1519" i="1" s="1"/>
  <c r="C1520" i="1" a="1"/>
  <c r="C1520" i="1" s="1"/>
  <c r="C1521" i="1" a="1"/>
  <c r="C1521" i="1"/>
  <c r="C1522" i="1" a="1"/>
  <c r="C1522" i="1" s="1"/>
  <c r="C1523" i="1" a="1"/>
  <c r="C1523" i="1" s="1"/>
  <c r="C1524" i="1" a="1"/>
  <c r="C1524" i="1" s="1"/>
  <c r="C1525" i="1" a="1"/>
  <c r="C1525" i="1" s="1"/>
  <c r="C1526" i="1" a="1"/>
  <c r="C1526" i="1" s="1"/>
  <c r="C1527" i="1" a="1"/>
  <c r="C1527" i="1" s="1"/>
  <c r="C1528" i="1" a="1"/>
  <c r="C1528" i="1" s="1"/>
  <c r="C1529" i="1" a="1"/>
  <c r="C1529" i="1" s="1"/>
  <c r="C1530" i="1" a="1"/>
  <c r="C1530" i="1"/>
  <c r="C1531" i="1" a="1"/>
  <c r="C1531" i="1" s="1"/>
  <c r="C1532" i="1" a="1"/>
  <c r="C1532" i="1" s="1"/>
  <c r="C1533" i="1" a="1"/>
  <c r="C1533" i="1" s="1"/>
  <c r="C1534" i="1" a="1"/>
  <c r="C1534" i="1" s="1"/>
  <c r="C1535" i="1" a="1"/>
  <c r="C1535" i="1" s="1"/>
  <c r="C1536" i="1" a="1"/>
  <c r="C1536" i="1" s="1"/>
  <c r="C1537" i="1" a="1"/>
  <c r="C1537" i="1" s="1"/>
  <c r="C1538" i="1" a="1"/>
  <c r="C1538" i="1" s="1"/>
  <c r="C1539" i="1" a="1"/>
  <c r="C1539" i="1" s="1"/>
  <c r="C1540" i="1" a="1"/>
  <c r="C1540" i="1" s="1"/>
  <c r="C1541" i="1" a="1"/>
  <c r="C1541" i="1" s="1"/>
  <c r="C1542" i="1" a="1"/>
  <c r="C1542" i="1" s="1"/>
  <c r="C1543" i="1" a="1"/>
  <c r="C1543" i="1" s="1"/>
  <c r="C1544" i="1" a="1"/>
  <c r="C1544" i="1"/>
  <c r="C1545" i="1" a="1"/>
  <c r="C1545" i="1"/>
  <c r="C1546" i="1" a="1"/>
  <c r="C1546" i="1" s="1"/>
  <c r="C1547" i="1" a="1"/>
  <c r="C1547" i="1"/>
  <c r="C1548" i="1" a="1"/>
  <c r="C1548" i="1" s="1"/>
  <c r="C1549" i="1" a="1"/>
  <c r="C1549" i="1" s="1"/>
  <c r="C1550" i="1" a="1"/>
  <c r="C1550" i="1" s="1"/>
  <c r="C1551" i="1" a="1"/>
  <c r="C1551" i="1" s="1"/>
  <c r="C1552" i="1" a="1"/>
  <c r="C1552" i="1" s="1"/>
  <c r="C1553" i="1" a="1"/>
  <c r="C1553" i="1" s="1"/>
  <c r="C1554" i="1" a="1"/>
  <c r="C1554" i="1" s="1"/>
  <c r="C1555" i="1" a="1"/>
  <c r="C1555" i="1" s="1"/>
  <c r="C1556" i="1" a="1"/>
  <c r="C1556" i="1" s="1"/>
  <c r="C1557" i="1" a="1"/>
  <c r="C1557" i="1" s="1"/>
  <c r="C1558" i="1" a="1"/>
  <c r="C1558" i="1" s="1"/>
  <c r="C1559" i="1" a="1"/>
  <c r="C1559" i="1" s="1"/>
  <c r="C1560" i="1" a="1"/>
  <c r="C1560" i="1" s="1"/>
  <c r="C1561" i="1" a="1"/>
  <c r="C1561" i="1" s="1"/>
  <c r="C1562" i="1" a="1"/>
  <c r="C1562" i="1" s="1"/>
  <c r="C1563" i="1" a="1"/>
  <c r="C1563" i="1" s="1"/>
  <c r="C1564" i="1" a="1"/>
  <c r="C1564" i="1" s="1"/>
  <c r="C1565" i="1" a="1"/>
  <c r="C1565" i="1"/>
  <c r="C1566" i="1" a="1"/>
  <c r="C1566" i="1"/>
  <c r="C1567" i="1" a="1"/>
  <c r="C1567" i="1" s="1"/>
  <c r="C1568" i="1" a="1"/>
  <c r="C1568" i="1"/>
  <c r="C1569" i="1" a="1"/>
  <c r="C1569" i="1" s="1"/>
  <c r="C1570" i="1" a="1"/>
  <c r="C1570" i="1" s="1"/>
  <c r="C1571" i="1" a="1"/>
  <c r="C1571" i="1" s="1"/>
  <c r="C1572" i="1" a="1"/>
  <c r="C1572" i="1" s="1"/>
  <c r="C1573" i="1" a="1"/>
  <c r="C1573" i="1" s="1"/>
  <c r="C1574" i="1" a="1"/>
  <c r="C1574" i="1" s="1"/>
  <c r="C1575" i="1" a="1"/>
  <c r="C1575" i="1" s="1"/>
  <c r="C1576" i="1" a="1"/>
  <c r="C1576" i="1"/>
  <c r="C1577" i="1" a="1"/>
  <c r="C1577" i="1"/>
  <c r="C1578" i="1" a="1"/>
  <c r="C1578" i="1" s="1"/>
  <c r="C1579" i="1" a="1"/>
  <c r="C1579" i="1" s="1"/>
  <c r="C1580" i="1" a="1"/>
  <c r="C1580" i="1" s="1"/>
  <c r="C1581" i="1" a="1"/>
  <c r="C1581" i="1" s="1"/>
  <c r="C1582" i="1" a="1"/>
  <c r="C1582" i="1" s="1"/>
  <c r="C1583" i="1" a="1"/>
  <c r="C1583" i="1" s="1"/>
  <c r="C1584" i="1" a="1"/>
  <c r="C1584" i="1" s="1"/>
  <c r="C1585" i="1" a="1"/>
  <c r="C1585" i="1" s="1"/>
  <c r="C1586" i="1" a="1"/>
  <c r="C1586" i="1"/>
  <c r="C1587" i="1" a="1"/>
  <c r="C1587" i="1"/>
  <c r="C1588" i="1" a="1"/>
  <c r="C1588" i="1" s="1"/>
  <c r="C1589" i="1" a="1"/>
  <c r="C1589" i="1" s="1"/>
  <c r="C1590" i="1" a="1"/>
  <c r="C1590" i="1" s="1"/>
  <c r="C1591" i="1" a="1"/>
  <c r="C1591" i="1" s="1"/>
  <c r="C1592" i="1" a="1"/>
  <c r="C1592" i="1"/>
  <c r="C1593" i="1" a="1"/>
  <c r="C1593" i="1"/>
  <c r="C1594" i="1" a="1"/>
  <c r="C1594" i="1" s="1"/>
  <c r="C1595" i="1" a="1"/>
  <c r="C1595" i="1" s="1"/>
  <c r="C1596" i="1" a="1"/>
  <c r="C1596" i="1" s="1"/>
  <c r="C1597" i="1" a="1"/>
  <c r="C1597" i="1"/>
  <c r="C1598" i="1" a="1"/>
  <c r="C1598" i="1" s="1"/>
  <c r="C1599" i="1" a="1"/>
  <c r="C1599" i="1" s="1"/>
  <c r="C1600" i="1" a="1"/>
  <c r="C1600" i="1" s="1"/>
  <c r="C1601" i="1" a="1"/>
  <c r="C1601" i="1" s="1"/>
  <c r="C1602" i="1" a="1"/>
  <c r="C1602" i="1" s="1"/>
  <c r="C1603" i="1" a="1"/>
  <c r="C1603" i="1" s="1"/>
  <c r="C1604" i="1" a="1"/>
  <c r="C1604" i="1" s="1"/>
  <c r="C1605" i="1" a="1"/>
  <c r="C1605" i="1" s="1"/>
  <c r="C1606" i="1" a="1"/>
  <c r="C1606" i="1" s="1"/>
  <c r="C1607" i="1" a="1"/>
  <c r="C1607" i="1" s="1"/>
  <c r="C1608" i="1" a="1"/>
  <c r="C1608" i="1"/>
  <c r="C1609" i="1" a="1"/>
  <c r="C1609" i="1" s="1"/>
  <c r="C1610" i="1" a="1"/>
  <c r="C1610" i="1" s="1"/>
  <c r="C1611" i="1" a="1"/>
  <c r="C1611" i="1" s="1"/>
  <c r="C1612" i="1" a="1"/>
  <c r="C1612" i="1" s="1"/>
  <c r="C1613" i="1" a="1"/>
  <c r="C1613" i="1" s="1"/>
  <c r="C1614" i="1" a="1"/>
  <c r="C1614" i="1" s="1"/>
  <c r="C1615" i="1" a="1"/>
  <c r="C1615" i="1" s="1"/>
  <c r="C1616" i="1" a="1"/>
  <c r="C1616" i="1" s="1"/>
  <c r="C1617" i="1" a="1"/>
  <c r="C1617" i="1" s="1"/>
  <c r="C1618" i="1" a="1"/>
  <c r="C1618" i="1"/>
  <c r="C1619" i="1" a="1"/>
  <c r="C1619" i="1" s="1"/>
  <c r="C1620" i="1" a="1"/>
  <c r="C1620" i="1" s="1"/>
  <c r="C1621" i="1" a="1"/>
  <c r="C1621" i="1" s="1"/>
  <c r="C1622" i="1" a="1"/>
  <c r="C1622" i="1" s="1"/>
  <c r="C1623" i="1" a="1"/>
  <c r="C1623" i="1" s="1"/>
  <c r="C1624" i="1" a="1"/>
  <c r="C1624" i="1" s="1"/>
  <c r="C1625" i="1" a="1"/>
  <c r="C1625" i="1" s="1"/>
  <c r="C1626" i="1" a="1"/>
  <c r="C1626" i="1" s="1"/>
  <c r="C1627" i="1" a="1"/>
  <c r="C1627" i="1" s="1"/>
  <c r="C1628" i="1" a="1"/>
  <c r="C1628" i="1" s="1"/>
  <c r="C1629" i="1" a="1"/>
  <c r="C1629" i="1" s="1"/>
  <c r="C1630" i="1" a="1"/>
  <c r="C1630" i="1" s="1"/>
  <c r="C1631" i="1" a="1"/>
  <c r="C1631" i="1" s="1"/>
  <c r="C1632" i="1" a="1"/>
  <c r="C1632" i="1" s="1"/>
  <c r="C1633" i="1" a="1"/>
  <c r="C1633" i="1" s="1"/>
  <c r="C1634" i="1" a="1"/>
  <c r="C1634" i="1"/>
  <c r="C1635" i="1" a="1"/>
  <c r="C1635" i="1" s="1"/>
  <c r="C1636" i="1" a="1"/>
  <c r="C1636" i="1" s="1"/>
  <c r="C1637" i="1" a="1"/>
  <c r="C1637" i="1" s="1"/>
  <c r="C1638" i="1" a="1"/>
  <c r="C1638" i="1" s="1"/>
  <c r="C1639" i="1" a="1"/>
  <c r="C1639" i="1" s="1"/>
  <c r="C1640" i="1" a="1"/>
  <c r="C1640" i="1" s="1"/>
  <c r="C1641" i="1" a="1"/>
  <c r="C1641" i="1" s="1"/>
  <c r="C1642" i="1" a="1"/>
  <c r="C1642" i="1" s="1"/>
  <c r="C1643" i="1" a="1"/>
  <c r="C1643" i="1" s="1"/>
  <c r="C1644" i="1" a="1"/>
  <c r="C1644" i="1" s="1"/>
  <c r="C1645" i="1" a="1"/>
  <c r="C1645" i="1" s="1"/>
  <c r="C1646" i="1" a="1"/>
  <c r="C1646" i="1" s="1"/>
  <c r="C1647" i="1" a="1"/>
  <c r="C1647" i="1" s="1"/>
  <c r="C1648" i="1" a="1"/>
  <c r="C1648" i="1" s="1"/>
  <c r="C1649" i="1" a="1"/>
  <c r="C1649" i="1" s="1"/>
  <c r="C1650" i="1" a="1"/>
  <c r="C1650" i="1" s="1"/>
  <c r="C1651" i="1" a="1"/>
  <c r="C1651" i="1" s="1"/>
  <c r="C1652" i="1" a="1"/>
  <c r="C1652" i="1" s="1"/>
  <c r="C1653" i="1" a="1"/>
  <c r="C1653" i="1" s="1"/>
  <c r="C1654" i="1" a="1"/>
  <c r="C1654" i="1" s="1"/>
  <c r="C1655" i="1" a="1"/>
  <c r="C1655" i="1" s="1"/>
  <c r="C1656" i="1" a="1"/>
  <c r="C1656" i="1" s="1"/>
  <c r="C1657" i="1" a="1"/>
  <c r="C1657" i="1" s="1"/>
  <c r="C1658" i="1" a="1"/>
  <c r="C1658" i="1" s="1"/>
  <c r="C1659" i="1" a="1"/>
  <c r="C1659" i="1" s="1"/>
  <c r="C1660" i="1" a="1"/>
  <c r="C1660" i="1"/>
  <c r="C1661" i="1" a="1"/>
  <c r="C1661" i="1" s="1"/>
  <c r="C1662" i="1" a="1"/>
  <c r="C1662" i="1" s="1"/>
  <c r="C1663" i="1" a="1"/>
  <c r="C1663" i="1" s="1"/>
  <c r="C1664" i="1" a="1"/>
  <c r="C1664" i="1"/>
  <c r="C1665" i="1" a="1"/>
  <c r="C1665" i="1"/>
  <c r="C1666" i="1" a="1"/>
  <c r="C1666" i="1" s="1"/>
  <c r="C1667" i="1" a="1"/>
  <c r="C1667" i="1" s="1"/>
  <c r="C1668" i="1" a="1"/>
  <c r="C1668" i="1" s="1"/>
  <c r="C1669" i="1" a="1"/>
  <c r="C1669" i="1" s="1"/>
  <c r="C1670" i="1" a="1"/>
  <c r="C1670" i="1" s="1"/>
  <c r="C1671" i="1" a="1"/>
  <c r="C1671" i="1"/>
  <c r="C1672" i="1" a="1"/>
  <c r="C1672" i="1" s="1"/>
  <c r="C1673" i="1" a="1"/>
  <c r="C1673" i="1" s="1"/>
  <c r="C1674" i="1" a="1"/>
  <c r="C1674" i="1" s="1"/>
  <c r="C1675" i="1" a="1"/>
  <c r="C1675" i="1" s="1"/>
  <c r="C1676" i="1" a="1"/>
  <c r="C1676" i="1"/>
  <c r="C1677" i="1" a="1"/>
  <c r="C1677" i="1" s="1"/>
  <c r="C1678" i="1" a="1"/>
  <c r="C1678" i="1" s="1"/>
  <c r="C1679" i="1" a="1"/>
  <c r="C1679" i="1" s="1"/>
  <c r="C1680" i="1" a="1"/>
  <c r="C1680" i="1" s="1"/>
  <c r="C1681" i="1" a="1"/>
  <c r="C1681" i="1"/>
  <c r="C1682" i="1" a="1"/>
  <c r="C1682" i="1" s="1"/>
  <c r="C1683" i="1" a="1"/>
  <c r="C1683" i="1" s="1"/>
  <c r="C1684" i="1" a="1"/>
  <c r="C1684" i="1" s="1"/>
  <c r="C1685" i="1" a="1"/>
  <c r="C1685" i="1" s="1"/>
  <c r="C1686" i="1" a="1"/>
  <c r="C1686" i="1"/>
  <c r="C1687" i="1" a="1"/>
  <c r="C1687" i="1" s="1"/>
  <c r="C1688" i="1" a="1"/>
  <c r="C1688" i="1" s="1"/>
  <c r="C1689" i="1" a="1"/>
  <c r="C1689" i="1" s="1"/>
  <c r="C1690" i="1" a="1"/>
  <c r="C1690" i="1" s="1"/>
  <c r="C1691" i="1" a="1"/>
  <c r="C1691" i="1" s="1"/>
  <c r="C1692" i="1" a="1"/>
  <c r="C1692" i="1"/>
  <c r="C1693" i="1" a="1"/>
  <c r="C1693" i="1" s="1"/>
  <c r="C1694" i="1" a="1"/>
  <c r="C1694" i="1" s="1"/>
  <c r="C1695" i="1" a="1"/>
  <c r="C1695" i="1" s="1"/>
  <c r="C1696" i="1" a="1"/>
  <c r="C1696" i="1" s="1"/>
  <c r="C1697" i="1" a="1"/>
  <c r="C1697" i="1" s="1"/>
  <c r="C1698" i="1" a="1"/>
  <c r="C1698" i="1" s="1"/>
  <c r="C1699" i="1" a="1"/>
  <c r="C1699" i="1" s="1"/>
  <c r="C1700" i="1" a="1"/>
  <c r="C1700" i="1" s="1"/>
  <c r="C1701" i="1" a="1"/>
  <c r="C1701" i="1" s="1"/>
  <c r="C1702" i="1" a="1"/>
  <c r="C1702" i="1"/>
  <c r="C1703" i="1" a="1"/>
  <c r="C1703" i="1"/>
  <c r="C1704" i="1" a="1"/>
  <c r="C1704" i="1" s="1"/>
  <c r="C1705" i="1" a="1"/>
  <c r="C1705" i="1"/>
  <c r="C1706" i="1" a="1"/>
  <c r="C1706" i="1" s="1"/>
  <c r="C1707" i="1" a="1"/>
  <c r="C1707" i="1"/>
  <c r="C1708" i="1" a="1"/>
  <c r="C1708" i="1" s="1"/>
  <c r="C1709" i="1" a="1"/>
  <c r="C1709" i="1" s="1"/>
  <c r="C1710" i="1" a="1"/>
  <c r="C1710" i="1" s="1"/>
  <c r="C1711" i="1" a="1"/>
  <c r="C1711" i="1" s="1"/>
  <c r="C1712" i="1" a="1"/>
  <c r="C1712" i="1" s="1"/>
  <c r="C1713" i="1" a="1"/>
  <c r="C1713" i="1" s="1"/>
  <c r="C1714" i="1" a="1"/>
  <c r="C1714" i="1" s="1"/>
  <c r="C1715" i="1" a="1"/>
  <c r="C1715" i="1" s="1"/>
  <c r="C1716" i="1" a="1"/>
  <c r="C1716" i="1" s="1"/>
  <c r="C1717" i="1" a="1"/>
  <c r="C1717" i="1" s="1"/>
  <c r="C1718" i="1" a="1"/>
  <c r="C1718" i="1" s="1"/>
  <c r="C1719" i="1" a="1"/>
  <c r="C1719" i="1"/>
  <c r="C1720" i="1" a="1"/>
  <c r="C1720" i="1" s="1"/>
  <c r="C1721" i="1" a="1"/>
  <c r="C1721" i="1"/>
  <c r="C1722" i="1" a="1"/>
  <c r="C1722" i="1" s="1"/>
  <c r="C1723" i="1" a="1"/>
  <c r="C1723" i="1" s="1"/>
  <c r="C1724" i="1" a="1"/>
  <c r="C1724" i="1" s="1"/>
  <c r="C1725" i="1" a="1"/>
  <c r="C1725" i="1" s="1"/>
  <c r="C1726" i="1" a="1"/>
  <c r="C1726" i="1" s="1"/>
  <c r="C1727" i="1" a="1"/>
  <c r="C1727" i="1"/>
  <c r="C1728" i="1" a="1"/>
  <c r="C1728" i="1" s="1"/>
  <c r="C1729" i="1" a="1"/>
  <c r="C1729" i="1" s="1"/>
  <c r="C1730" i="1" a="1"/>
  <c r="C1730" i="1" s="1"/>
  <c r="C1731" i="1" a="1"/>
  <c r="C1731" i="1" s="1"/>
  <c r="C1732" i="1" a="1"/>
  <c r="C1732" i="1" s="1"/>
  <c r="C1733" i="1" a="1"/>
  <c r="C1733" i="1" s="1"/>
  <c r="C1734" i="1" a="1"/>
  <c r="C1734" i="1" s="1"/>
  <c r="C1735" i="1" a="1"/>
  <c r="C1735" i="1" s="1"/>
  <c r="C1736" i="1" a="1"/>
  <c r="C1736" i="1" s="1"/>
  <c r="C1737" i="1" a="1"/>
  <c r="C1737" i="1" s="1"/>
  <c r="C1738" i="1" a="1"/>
  <c r="C1738" i="1" s="1"/>
  <c r="C1739" i="1" a="1"/>
  <c r="C1739" i="1" s="1"/>
  <c r="C1740" i="1" a="1"/>
  <c r="C1740" i="1" s="1"/>
  <c r="C1741" i="1" a="1"/>
  <c r="C1741" i="1" s="1"/>
  <c r="C1742" i="1" a="1"/>
  <c r="C1742" i="1" s="1"/>
  <c r="C1743" i="1" a="1"/>
  <c r="C1743" i="1"/>
  <c r="C1744" i="1" a="1"/>
  <c r="C1744" i="1" s="1"/>
  <c r="C1745" i="1" a="1"/>
  <c r="C1745" i="1" s="1"/>
  <c r="C1746" i="1" a="1"/>
  <c r="C1746" i="1" s="1"/>
  <c r="C1747" i="1" a="1"/>
  <c r="C1747" i="1" s="1"/>
  <c r="C1748" i="1" a="1"/>
  <c r="C1748" i="1" s="1"/>
  <c r="C1749" i="1" a="1"/>
  <c r="C1749" i="1" s="1"/>
  <c r="C1750" i="1" a="1"/>
  <c r="C1750" i="1" s="1"/>
  <c r="C1751" i="1" a="1"/>
  <c r="C1751" i="1" s="1"/>
  <c r="C1752" i="1" a="1"/>
  <c r="C1752" i="1" s="1"/>
  <c r="C1753" i="1" a="1"/>
  <c r="C1753" i="1" s="1"/>
  <c r="C1754" i="1" a="1"/>
  <c r="C1754" i="1" s="1"/>
  <c r="C1755" i="1" a="1"/>
  <c r="C1755" i="1" s="1"/>
  <c r="C1756" i="1" a="1"/>
  <c r="C1756" i="1" s="1"/>
  <c r="C1757" i="1" a="1"/>
  <c r="C1757" i="1" s="1"/>
  <c r="C1758" i="1" a="1"/>
  <c r="C1758" i="1"/>
  <c r="C1759" i="1" a="1"/>
  <c r="C1759" i="1" s="1"/>
  <c r="C1760" i="1" a="1"/>
  <c r="C1760" i="1" s="1"/>
  <c r="C1761" i="1" a="1"/>
  <c r="C1761" i="1" s="1"/>
  <c r="C1762" i="1" a="1"/>
  <c r="C1762" i="1" s="1"/>
  <c r="C1763" i="1" a="1"/>
  <c r="C1763" i="1"/>
  <c r="C1764" i="1" a="1"/>
  <c r="C1764" i="1" s="1"/>
  <c r="C1765" i="1" a="1"/>
  <c r="C1765" i="1" s="1"/>
  <c r="C1766" i="1" a="1"/>
  <c r="C1766" i="1" s="1"/>
  <c r="C1767" i="1" a="1"/>
  <c r="C1767" i="1" s="1"/>
  <c r="C1768" i="1" a="1"/>
  <c r="C1768" i="1"/>
  <c r="C1769" i="1" a="1"/>
  <c r="C1769" i="1" s="1"/>
  <c r="C1770" i="1" a="1"/>
  <c r="C1770" i="1" s="1"/>
  <c r="C1771" i="1" a="1"/>
  <c r="C1771" i="1" s="1"/>
  <c r="C1772" i="1" a="1"/>
  <c r="C1772" i="1" s="1"/>
  <c r="C1773" i="1" a="1"/>
  <c r="C1773" i="1" s="1"/>
  <c r="C1774" i="1" a="1"/>
  <c r="C1774" i="1" s="1"/>
  <c r="C1775" i="1" a="1"/>
  <c r="C1775" i="1" s="1"/>
  <c r="C1776" i="1" a="1"/>
  <c r="C1776" i="1" s="1"/>
  <c r="C1777" i="1" a="1"/>
  <c r="C1777" i="1" s="1"/>
  <c r="C1778" i="1" a="1"/>
  <c r="C1778" i="1" s="1"/>
  <c r="C1779" i="1" a="1"/>
  <c r="C1779" i="1" s="1"/>
  <c r="C1780" i="1" a="1"/>
  <c r="C1780" i="1" s="1"/>
  <c r="C1781" i="1" a="1"/>
  <c r="C1781" i="1" s="1"/>
  <c r="C1782" i="1" a="1"/>
  <c r="C1782" i="1" s="1"/>
  <c r="C1783" i="1" a="1"/>
  <c r="C1783" i="1"/>
  <c r="C1784" i="1" a="1"/>
  <c r="C1784" i="1" s="1"/>
  <c r="C1785" i="1" a="1"/>
  <c r="C1785" i="1" s="1"/>
  <c r="C1786" i="1" a="1"/>
  <c r="C1786" i="1" s="1"/>
  <c r="C1787" i="1" a="1"/>
  <c r="C1787" i="1" s="1"/>
  <c r="C1788" i="1" a="1"/>
  <c r="C1788" i="1" s="1"/>
  <c r="C1789" i="1" a="1"/>
  <c r="C1789" i="1" s="1"/>
  <c r="C1790" i="1" a="1"/>
  <c r="C1790" i="1"/>
  <c r="C1791" i="1" a="1"/>
  <c r="C1791" i="1"/>
  <c r="C1792" i="1" a="1"/>
  <c r="C1792" i="1" s="1"/>
  <c r="C1793" i="1" a="1"/>
  <c r="C1793" i="1" s="1"/>
  <c r="C1794" i="1" a="1"/>
  <c r="C1794" i="1" s="1"/>
  <c r="C1795" i="1" a="1"/>
  <c r="C1795" i="1"/>
  <c r="C1796" i="1" a="1"/>
  <c r="C1796" i="1" s="1"/>
  <c r="C1797" i="1" a="1"/>
  <c r="C1797" i="1" s="1"/>
  <c r="C1798" i="1" a="1"/>
  <c r="C1798" i="1" s="1"/>
  <c r="C1799" i="1" a="1"/>
  <c r="C1799" i="1" s="1"/>
  <c r="C1800" i="1" a="1"/>
  <c r="C1800" i="1" s="1"/>
  <c r="C1801" i="1" a="1"/>
  <c r="C1801" i="1"/>
  <c r="C1802" i="1" a="1"/>
  <c r="C1802" i="1" s="1"/>
  <c r="C1803" i="1" a="1"/>
  <c r="C1803" i="1" s="1"/>
  <c r="C1804" i="1" a="1"/>
  <c r="C1804" i="1"/>
  <c r="C1805" i="1" a="1"/>
  <c r="C1805" i="1" s="1"/>
  <c r="C1806" i="1" a="1"/>
  <c r="C1806" i="1" s="1"/>
  <c r="C1807" i="1" a="1"/>
  <c r="C1807" i="1" s="1"/>
  <c r="C1808" i="1" a="1"/>
  <c r="C1808" i="1"/>
  <c r="C1809" i="1" a="1"/>
  <c r="C1809" i="1" s="1"/>
  <c r="C1810" i="1" a="1"/>
  <c r="C1810" i="1" s="1"/>
  <c r="C1811" i="1" a="1"/>
  <c r="C1811" i="1" s="1"/>
  <c r="C1812" i="1" a="1"/>
  <c r="C1812" i="1" s="1"/>
  <c r="C1813" i="1" a="1"/>
  <c r="C1813" i="1"/>
  <c r="C1814" i="1" a="1"/>
  <c r="C1814" i="1" s="1"/>
  <c r="C1815" i="1" a="1"/>
  <c r="C1815" i="1"/>
  <c r="C1816" i="1" a="1"/>
  <c r="C1816" i="1" s="1"/>
  <c r="C1817" i="1" a="1"/>
  <c r="C1817" i="1" s="1"/>
  <c r="C1818" i="1" a="1"/>
  <c r="C1818" i="1" s="1"/>
  <c r="C1819" i="1" a="1"/>
  <c r="C1819" i="1" s="1"/>
  <c r="C1820" i="1" a="1"/>
  <c r="C1820" i="1" s="1"/>
  <c r="C1821" i="1" a="1"/>
  <c r="C1821" i="1"/>
  <c r="C1822" i="1" a="1"/>
  <c r="C1822" i="1" s="1"/>
  <c r="C1823" i="1" a="1"/>
  <c r="C1823" i="1"/>
  <c r="C1824" i="1" a="1"/>
  <c r="C1824" i="1" s="1"/>
  <c r="C1825" i="1" a="1"/>
  <c r="C1825" i="1" s="1"/>
  <c r="C1826" i="1" a="1"/>
  <c r="C1826" i="1" s="1"/>
  <c r="C1827" i="1" a="1"/>
  <c r="C1827" i="1" s="1"/>
  <c r="C1828" i="1" a="1"/>
  <c r="C1828" i="1"/>
  <c r="C1829" i="1" a="1"/>
  <c r="C1829" i="1" s="1"/>
  <c r="C1830" i="1" a="1"/>
  <c r="C1830" i="1" s="1"/>
  <c r="C1831" i="1" a="1"/>
  <c r="C1831" i="1" s="1"/>
  <c r="C1832" i="1" a="1"/>
  <c r="C1832" i="1" s="1"/>
  <c r="C1833" i="1" a="1"/>
  <c r="C1833" i="1"/>
  <c r="C1834" i="1" a="1"/>
  <c r="C1834" i="1" s="1"/>
  <c r="C1835" i="1" a="1"/>
  <c r="C1835" i="1" s="1"/>
  <c r="C1836" i="1" a="1"/>
  <c r="C1836" i="1" s="1"/>
  <c r="C1837" i="1" a="1"/>
  <c r="C1837" i="1" s="1"/>
  <c r="C1838" i="1" a="1"/>
  <c r="C1838" i="1"/>
  <c r="C1839" i="1" a="1"/>
  <c r="C1839" i="1" s="1"/>
  <c r="C1840" i="1" a="1"/>
  <c r="C1840" i="1" s="1"/>
  <c r="C1841" i="1" a="1"/>
  <c r="C1841" i="1" s="1"/>
  <c r="C1842" i="1" a="1"/>
  <c r="C1842" i="1" s="1"/>
  <c r="C1843" i="1" a="1"/>
  <c r="C1843" i="1"/>
  <c r="C1844" i="1" a="1"/>
  <c r="C1844" i="1" s="1"/>
  <c r="C1845" i="1" a="1"/>
  <c r="C1845" i="1" s="1"/>
  <c r="C1846" i="1" a="1"/>
  <c r="C1846" i="1" s="1"/>
  <c r="C1847" i="1" a="1"/>
  <c r="C1847" i="1" s="1"/>
  <c r="C1848" i="1" a="1"/>
  <c r="C1848" i="1" s="1"/>
  <c r="C1849" i="1" a="1"/>
  <c r="C1849" i="1" s="1"/>
  <c r="C1850" i="1" a="1"/>
  <c r="C1850" i="1" s="1"/>
  <c r="C1851" i="1" a="1"/>
  <c r="C1851" i="1" s="1"/>
  <c r="C1852" i="1" a="1"/>
  <c r="C1852" i="1" s="1"/>
  <c r="C1853" i="1" a="1"/>
  <c r="C1853" i="1"/>
  <c r="C1854" i="1" a="1"/>
  <c r="C1854" i="1" s="1"/>
  <c r="C1855" i="1" a="1"/>
  <c r="C1855" i="1" s="1"/>
  <c r="C1856" i="1" a="1"/>
  <c r="C1856" i="1" s="1"/>
  <c r="C1857" i="1" a="1"/>
  <c r="C1857" i="1" s="1"/>
  <c r="C1858" i="1" a="1"/>
  <c r="C1858" i="1" s="1"/>
  <c r="C1859" i="1" a="1"/>
  <c r="C1859" i="1" s="1"/>
  <c r="C1860" i="1" a="1"/>
  <c r="C1860" i="1" s="1"/>
  <c r="C1861" i="1" a="1"/>
  <c r="C1861" i="1" s="1"/>
  <c r="C1862" i="1" a="1"/>
  <c r="C1862" i="1" s="1"/>
  <c r="C1863" i="1" a="1"/>
  <c r="C1863" i="1"/>
  <c r="C1864" i="1" a="1"/>
  <c r="C1864" i="1" s="1"/>
  <c r="C1865" i="1" a="1"/>
  <c r="C1865" i="1" s="1"/>
  <c r="C1866" i="1" a="1"/>
  <c r="C1866" i="1" s="1"/>
  <c r="C1867" i="1" a="1"/>
  <c r="C1867" i="1" s="1"/>
  <c r="C1868" i="1" a="1"/>
  <c r="C1868" i="1" s="1"/>
  <c r="C1869" i="1" a="1"/>
  <c r="C1869" i="1" s="1"/>
  <c r="C1870" i="1" a="1"/>
  <c r="C1870" i="1" s="1"/>
  <c r="C1871" i="1" a="1"/>
  <c r="C1871" i="1" s="1"/>
  <c r="C1872" i="1" a="1"/>
  <c r="C1872" i="1" s="1"/>
  <c r="C1873" i="1" a="1"/>
  <c r="C1873" i="1" s="1"/>
  <c r="C1874" i="1" a="1"/>
  <c r="C1874" i="1"/>
  <c r="C1875" i="1" a="1"/>
  <c r="C1875" i="1" s="1"/>
  <c r="C1876" i="1" a="1"/>
  <c r="C1876" i="1" s="1"/>
  <c r="C1877" i="1" a="1"/>
  <c r="C1877" i="1" s="1"/>
  <c r="C1878" i="1" a="1"/>
  <c r="C1878" i="1" s="1"/>
  <c r="C1879" i="1" a="1"/>
  <c r="C1879" i="1"/>
  <c r="C1880" i="1" a="1"/>
  <c r="C1880" i="1"/>
  <c r="C1881" i="1" a="1"/>
  <c r="C1881" i="1" s="1"/>
  <c r="C1882" i="1" a="1"/>
  <c r="C1882" i="1" s="1"/>
  <c r="C1883" i="1" a="1"/>
  <c r="C1883" i="1" s="1"/>
  <c r="C1884" i="1" a="1"/>
  <c r="C1884" i="1" s="1"/>
  <c r="C1885" i="1" a="1"/>
  <c r="C1885" i="1"/>
  <c r="C1886" i="1" a="1"/>
  <c r="C1886" i="1" s="1"/>
  <c r="C1887" i="1" a="1"/>
  <c r="C1887" i="1" s="1"/>
  <c r="C1888" i="1" a="1"/>
  <c r="C1888" i="1" s="1"/>
  <c r="C1889" i="1" a="1"/>
  <c r="C1889" i="1" s="1"/>
  <c r="C1890" i="1" a="1"/>
  <c r="C1890" i="1"/>
  <c r="C1891" i="1" a="1"/>
  <c r="C1891" i="1"/>
  <c r="C1892" i="1" a="1"/>
  <c r="C1892" i="1" s="1"/>
  <c r="C1893" i="1" a="1"/>
  <c r="C1893" i="1" s="1"/>
  <c r="C1894" i="1" a="1"/>
  <c r="C1894" i="1" s="1"/>
  <c r="C1895" i="1" a="1"/>
  <c r="C1895" i="1" s="1"/>
  <c r="C1896" i="1" a="1"/>
  <c r="C1896" i="1"/>
  <c r="C1897" i="1" a="1"/>
  <c r="C1897" i="1" s="1"/>
  <c r="C1898" i="1" a="1"/>
  <c r="C1898" i="1"/>
  <c r="C1899" i="1" a="1"/>
  <c r="C1899" i="1" s="1"/>
  <c r="C1900" i="1" a="1"/>
  <c r="C1900" i="1" s="1"/>
  <c r="C1901" i="1" a="1"/>
  <c r="C1901" i="1"/>
  <c r="C1902" i="1" a="1"/>
  <c r="C1902" i="1" s="1"/>
  <c r="C1903" i="1" a="1"/>
  <c r="C1903" i="1" s="1"/>
  <c r="C1904" i="1" a="1"/>
  <c r="C1904" i="1"/>
  <c r="C1905" i="1" a="1"/>
  <c r="C1905" i="1" s="1"/>
  <c r="C1906" i="1" a="1"/>
  <c r="C1906" i="1" s="1"/>
  <c r="C1907" i="1" a="1"/>
  <c r="C1907" i="1" s="1"/>
  <c r="C1908" i="1" a="1"/>
  <c r="C1908" i="1" s="1"/>
  <c r="C1909" i="1" a="1"/>
  <c r="C1909" i="1" s="1"/>
  <c r="C1910" i="1" a="1"/>
  <c r="C1910" i="1" s="1"/>
  <c r="C1911" i="1" a="1"/>
  <c r="C1911" i="1" s="1"/>
  <c r="C1912" i="1" a="1"/>
  <c r="C1912" i="1" s="1"/>
  <c r="C1913" i="1" a="1"/>
  <c r="C1913" i="1" s="1"/>
  <c r="C1914" i="1" a="1"/>
  <c r="C1914" i="1" s="1"/>
  <c r="C1915" i="1" a="1"/>
  <c r="C1915" i="1" s="1"/>
  <c r="C1916" i="1" a="1"/>
  <c r="C1916" i="1" s="1"/>
  <c r="C1917" i="1" a="1"/>
  <c r="C1917" i="1" s="1"/>
  <c r="C1918" i="1" a="1"/>
  <c r="C1918" i="1" s="1"/>
  <c r="C1919" i="1" a="1"/>
  <c r="C1919" i="1"/>
  <c r="C1920" i="1" a="1"/>
  <c r="C1920" i="1" s="1"/>
  <c r="C1921" i="1" a="1"/>
  <c r="C1921" i="1"/>
  <c r="C1922" i="1" a="1"/>
  <c r="C1922" i="1" s="1"/>
  <c r="C1923" i="1" a="1"/>
  <c r="C1923" i="1" s="1"/>
  <c r="C1924" i="1" a="1"/>
  <c r="C1924" i="1" s="1"/>
  <c r="C1925" i="1" a="1"/>
  <c r="C1925" i="1" s="1"/>
  <c r="C1926" i="1" a="1"/>
  <c r="C1926" i="1"/>
  <c r="C1927" i="1" a="1"/>
  <c r="C1927" i="1" s="1"/>
  <c r="C1928" i="1" a="1"/>
  <c r="C1928" i="1" s="1"/>
  <c r="C1929" i="1" a="1"/>
  <c r="C1929" i="1" s="1"/>
  <c r="C1930" i="1" a="1"/>
  <c r="C1930" i="1" s="1"/>
  <c r="C1931" i="1" a="1"/>
  <c r="C1931" i="1" s="1"/>
  <c r="C1932" i="1" a="1"/>
  <c r="C1932" i="1" s="1"/>
  <c r="C1933" i="1" a="1"/>
  <c r="C1933" i="1"/>
  <c r="C1934" i="1" a="1"/>
  <c r="C1934" i="1"/>
  <c r="C1935" i="1" a="1"/>
  <c r="C1935" i="1" s="1"/>
  <c r="C1936" i="1" a="1"/>
  <c r="C1936" i="1" s="1"/>
  <c r="C1937" i="1" a="1"/>
  <c r="C1937" i="1" s="1"/>
  <c r="C1938" i="1" a="1"/>
  <c r="C1938" i="1" s="1"/>
  <c r="C1939" i="1" a="1"/>
  <c r="C1939" i="1" s="1"/>
  <c r="C1940" i="1" a="1"/>
  <c r="C1940" i="1" s="1"/>
  <c r="C1941" i="1" a="1"/>
  <c r="C1941" i="1" s="1"/>
  <c r="C1942" i="1" a="1"/>
  <c r="C1942" i="1" s="1"/>
  <c r="C1943" i="1" a="1"/>
  <c r="C1943" i="1" s="1"/>
  <c r="C1944" i="1" a="1"/>
  <c r="C1944" i="1" s="1"/>
  <c r="C1945" i="1" a="1"/>
  <c r="C1945" i="1" s="1"/>
  <c r="C1946" i="1" a="1"/>
  <c r="C1946" i="1" s="1"/>
  <c r="C1947" i="1" a="1"/>
  <c r="C1947" i="1" s="1"/>
  <c r="C1948" i="1" a="1"/>
  <c r="C1948" i="1" s="1"/>
  <c r="C1949" i="1" a="1"/>
  <c r="C1949" i="1"/>
  <c r="C1950" i="1" a="1"/>
  <c r="C1950" i="1" s="1"/>
  <c r="C1951" i="1" a="1"/>
  <c r="C1951" i="1" s="1"/>
  <c r="C1952" i="1" a="1"/>
  <c r="C1952" i="1" s="1"/>
  <c r="C1953" i="1" a="1"/>
  <c r="C1953" i="1"/>
  <c r="C1954" i="1" a="1"/>
  <c r="C1954" i="1" s="1"/>
  <c r="C1955" i="1" a="1"/>
  <c r="C1955" i="1" s="1"/>
  <c r="C1956" i="1" a="1"/>
  <c r="C1956" i="1" s="1"/>
  <c r="C1957" i="1" a="1"/>
  <c r="C1957" i="1" s="1"/>
  <c r="C1958" i="1" a="1"/>
  <c r="C1958" i="1"/>
  <c r="C1959" i="1" a="1"/>
  <c r="C1959" i="1" s="1"/>
  <c r="C1960" i="1" a="1"/>
  <c r="C1960" i="1" s="1"/>
  <c r="C1961" i="1" a="1"/>
  <c r="C1961" i="1" s="1"/>
  <c r="C1962" i="1" a="1"/>
  <c r="C1962" i="1" s="1"/>
  <c r="C1963" i="1" a="1"/>
  <c r="C1963" i="1"/>
  <c r="C1964" i="1" a="1"/>
  <c r="C1964" i="1" s="1"/>
  <c r="C1965" i="1" a="1"/>
  <c r="C1965" i="1" s="1"/>
  <c r="C1966" i="1" a="1"/>
  <c r="C1966" i="1" s="1"/>
  <c r="C1967" i="1" a="1"/>
  <c r="C1967" i="1" s="1"/>
  <c r="C1968" i="1" a="1"/>
  <c r="C1968" i="1"/>
  <c r="C1969" i="1" a="1"/>
  <c r="C1969" i="1" s="1"/>
  <c r="C1970" i="1" a="1"/>
  <c r="C1970" i="1" s="1"/>
  <c r="C1971" i="1" a="1"/>
  <c r="C1971" i="1" s="1"/>
  <c r="C1972" i="1" a="1"/>
  <c r="C1972" i="1" s="1"/>
  <c r="C1973" i="1" a="1"/>
  <c r="C1973" i="1" s="1"/>
  <c r="C1974" i="1" a="1"/>
  <c r="C1974" i="1" s="1"/>
  <c r="C1975" i="1" a="1"/>
  <c r="C1975" i="1" s="1"/>
  <c r="C1976" i="1" a="1"/>
  <c r="C1976" i="1" s="1"/>
  <c r="C1977" i="1" a="1"/>
  <c r="C1977" i="1" s="1"/>
  <c r="C1978" i="1" a="1"/>
  <c r="C1978" i="1" s="1"/>
  <c r="C1979" i="1" a="1"/>
  <c r="C1979" i="1" s="1"/>
  <c r="C1980" i="1" a="1"/>
  <c r="C1980" i="1"/>
  <c r="C1981" i="1" a="1"/>
  <c r="C1981" i="1" s="1"/>
  <c r="C1982" i="1" a="1"/>
  <c r="C1982" i="1" s="1"/>
  <c r="C1983" i="1" a="1"/>
  <c r="C1983" i="1" s="1"/>
  <c r="C1984" i="1" a="1"/>
  <c r="C1984" i="1" s="1"/>
  <c r="C1985" i="1" a="1"/>
  <c r="C1985" i="1" s="1"/>
  <c r="C1986" i="1" a="1"/>
  <c r="C1986" i="1" s="1"/>
  <c r="C1987" i="1" a="1"/>
  <c r="C1987" i="1" s="1"/>
  <c r="C1988" i="1" a="1"/>
  <c r="C1988" i="1" s="1"/>
  <c r="C1989" i="1" a="1"/>
  <c r="C1989" i="1" s="1"/>
  <c r="C1990" i="1" a="1"/>
  <c r="C1990" i="1" s="1"/>
  <c r="C1991" i="1" a="1"/>
  <c r="C1991" i="1"/>
  <c r="C1992" i="1" a="1"/>
  <c r="C1992" i="1" s="1"/>
  <c r="C1993" i="1" a="1"/>
  <c r="C1993" i="1"/>
  <c r="C1994" i="1" a="1"/>
  <c r="C1994" i="1" s="1"/>
  <c r="C1995" i="1" a="1"/>
  <c r="C1995" i="1"/>
  <c r="C1996" i="1" a="1"/>
  <c r="C1996" i="1" s="1"/>
  <c r="C1997" i="1" a="1"/>
  <c r="C1997" i="1" s="1"/>
  <c r="C1998" i="1" a="1"/>
  <c r="C1998" i="1" s="1"/>
  <c r="C1999" i="1" a="1"/>
  <c r="C1999" i="1"/>
  <c r="C2000" i="1" a="1"/>
  <c r="C2000" i="1" s="1"/>
  <c r="C2001" i="1" a="1"/>
  <c r="C2001" i="1" s="1"/>
  <c r="C2002" i="1" a="1"/>
  <c r="C2002" i="1" s="1"/>
  <c r="C2003" i="1" a="1"/>
  <c r="C2003" i="1" s="1"/>
  <c r="C2004" i="1" a="1"/>
  <c r="C2004" i="1" s="1"/>
  <c r="C2005" i="1" a="1"/>
  <c r="C2005" i="1" s="1"/>
  <c r="C2006" i="1" a="1"/>
  <c r="C2006" i="1" s="1"/>
  <c r="C2007" i="1" a="1"/>
  <c r="C2007" i="1" s="1"/>
  <c r="C2008" i="1" a="1"/>
  <c r="C2008" i="1" s="1"/>
  <c r="C2009" i="1" a="1"/>
  <c r="C2009" i="1" s="1"/>
  <c r="C2010" i="1" a="1"/>
  <c r="C2010" i="1" s="1"/>
  <c r="C2011" i="1" a="1"/>
  <c r="C2011" i="1" s="1"/>
  <c r="C2012" i="1" a="1"/>
  <c r="C2012" i="1" s="1"/>
  <c r="C2013" i="1" a="1"/>
  <c r="C2013" i="1"/>
  <c r="C2014" i="1" a="1"/>
  <c r="C2014" i="1" s="1"/>
  <c r="C2015" i="1" a="1"/>
  <c r="C2015" i="1" s="1"/>
  <c r="C2016" i="1" a="1"/>
  <c r="C2016" i="1" s="1"/>
  <c r="C2017" i="1" a="1"/>
  <c r="C2017" i="1" s="1"/>
  <c r="C2018" i="1" a="1"/>
  <c r="C2018" i="1" s="1"/>
  <c r="C2019" i="1" a="1"/>
  <c r="C2019" i="1"/>
  <c r="C2020" i="1" a="1"/>
  <c r="C2020" i="1" s="1"/>
  <c r="C2021" i="1" a="1"/>
  <c r="C2021" i="1"/>
  <c r="C2022" i="1" a="1"/>
  <c r="C2022" i="1" s="1"/>
  <c r="C2023" i="1" a="1"/>
  <c r="C2023" i="1"/>
  <c r="C2024" i="1" a="1"/>
  <c r="C2024" i="1" s="1"/>
  <c r="C2025" i="1" a="1"/>
  <c r="C2025" i="1" s="1"/>
  <c r="C2026" i="1" a="1"/>
  <c r="C2026" i="1"/>
  <c r="C2027" i="1" a="1"/>
  <c r="C2027" i="1" s="1"/>
  <c r="C2028" i="1" a="1"/>
  <c r="C2028" i="1"/>
  <c r="C2029" i="1" a="1"/>
  <c r="C2029" i="1" s="1"/>
  <c r="C2030" i="1" a="1"/>
  <c r="C2030" i="1" s="1"/>
  <c r="C2031" i="1" a="1"/>
  <c r="C2031" i="1" s="1"/>
  <c r="C2032" i="1" a="1"/>
  <c r="C2032" i="1" s="1"/>
  <c r="C2033" i="1" a="1"/>
  <c r="C2033" i="1"/>
  <c r="C2034" i="1" a="1"/>
  <c r="C2034" i="1" s="1"/>
  <c r="C2035" i="1" a="1"/>
  <c r="C2035" i="1" s="1"/>
  <c r="C2036" i="1" a="1"/>
  <c r="C2036" i="1" s="1"/>
  <c r="C2037" i="1" a="1"/>
  <c r="C2037" i="1" s="1"/>
  <c r="C2038" i="1" a="1"/>
  <c r="C2038" i="1" s="1"/>
  <c r="C2039" i="1" a="1"/>
  <c r="C2039" i="1" s="1"/>
  <c r="C2040" i="1" a="1"/>
  <c r="C2040" i="1" s="1"/>
  <c r="C2041" i="1" a="1"/>
  <c r="C2041" i="1" s="1"/>
  <c r="C2042" i="1" a="1"/>
  <c r="C2042" i="1" s="1"/>
  <c r="C2043" i="1" a="1"/>
  <c r="C2043" i="1"/>
  <c r="C2044" i="1" a="1"/>
  <c r="C2044" i="1" s="1"/>
  <c r="C2045" i="1" a="1"/>
  <c r="C2045" i="1" s="1"/>
  <c r="C2046" i="1" a="1"/>
  <c r="C2046" i="1" s="1"/>
  <c r="C2047" i="1" a="1"/>
  <c r="C2047" i="1" s="1"/>
  <c r="C2048" i="1" a="1"/>
  <c r="C2048" i="1" s="1"/>
  <c r="C2049" i="1" a="1"/>
  <c r="C2049" i="1" s="1"/>
  <c r="C2050" i="1" a="1"/>
  <c r="C2050" i="1" s="1"/>
  <c r="C2051" i="1" a="1"/>
  <c r="C2051" i="1" s="1"/>
  <c r="C2052" i="1" a="1"/>
  <c r="C2052" i="1" s="1"/>
  <c r="C2053" i="1" a="1"/>
  <c r="C2053" i="1" s="1"/>
  <c r="C2054" i="1" a="1"/>
  <c r="C2054" i="1" s="1"/>
  <c r="C2055" i="1" a="1"/>
  <c r="C2055" i="1" s="1"/>
  <c r="C2056" i="1" a="1"/>
  <c r="C2056" i="1" s="1"/>
  <c r="C2057" i="1" a="1"/>
  <c r="C2057" i="1" s="1"/>
  <c r="C2058" i="1" a="1"/>
  <c r="C2058" i="1"/>
  <c r="C2059" i="1" a="1"/>
  <c r="C2059" i="1" s="1"/>
  <c r="C2060" i="1" a="1"/>
  <c r="C2060" i="1"/>
  <c r="C2061" i="1" a="1"/>
  <c r="C2061" i="1" s="1"/>
  <c r="C2062" i="1" a="1"/>
  <c r="C2062" i="1" s="1"/>
  <c r="C2063" i="1" a="1"/>
  <c r="C2063" i="1" s="1"/>
  <c r="C2064" i="1" a="1"/>
  <c r="C2064" i="1" s="1"/>
  <c r="C2065" i="1" a="1"/>
  <c r="C2065" i="1" s="1"/>
  <c r="C2066" i="1" a="1"/>
  <c r="C2066" i="1" s="1"/>
  <c r="C2067" i="1" a="1"/>
  <c r="C2067" i="1" s="1"/>
  <c r="C2068" i="1" a="1"/>
  <c r="C2068" i="1"/>
  <c r="C2069" i="1" a="1"/>
  <c r="C2069" i="1" s="1"/>
  <c r="C2070" i="1" a="1"/>
  <c r="C2070" i="1" s="1"/>
  <c r="C2071" i="1" a="1"/>
  <c r="C2071" i="1" s="1"/>
  <c r="C2072" i="1" a="1"/>
  <c r="C2072" i="1" s="1"/>
  <c r="C2073" i="1" a="1"/>
  <c r="C2073" i="1" s="1"/>
  <c r="C2074" i="1" a="1"/>
  <c r="C2074" i="1"/>
  <c r="C2075" i="1" a="1"/>
  <c r="C2075" i="1" s="1"/>
  <c r="C2076" i="1" a="1"/>
  <c r="C2076" i="1" s="1"/>
  <c r="C2077" i="1" a="1"/>
  <c r="C2077" i="1" s="1"/>
  <c r="C2078" i="1" a="1"/>
  <c r="C2078" i="1" s="1"/>
  <c r="C2079" i="1" a="1"/>
  <c r="C2079" i="1" s="1"/>
  <c r="C2080" i="1" a="1"/>
  <c r="C2080" i="1"/>
  <c r="C2081" i="1" a="1"/>
  <c r="C2081" i="1" s="1"/>
  <c r="C2082" i="1" a="1"/>
  <c r="C2082" i="1" s="1"/>
  <c r="C2083" i="1" a="1"/>
  <c r="C2083" i="1" s="1"/>
  <c r="C2084" i="1" a="1"/>
  <c r="C2084" i="1" s="1"/>
  <c r="C2085" i="1" a="1"/>
  <c r="C2085" i="1" s="1"/>
  <c r="C2086" i="1" a="1"/>
  <c r="C2086" i="1" s="1"/>
  <c r="C2087" i="1" a="1"/>
  <c r="C2087" i="1" s="1"/>
  <c r="C2088" i="1" a="1"/>
  <c r="C2088" i="1"/>
  <c r="C2089" i="1" a="1"/>
  <c r="C2089" i="1" s="1"/>
  <c r="C2090" i="1" a="1"/>
  <c r="C2090" i="1" s="1"/>
  <c r="C2091" i="1" a="1"/>
  <c r="C2091" i="1" s="1"/>
  <c r="C2092" i="1" a="1"/>
  <c r="C2092" i="1" s="1"/>
  <c r="C2093" i="1" a="1"/>
  <c r="C2093" i="1"/>
  <c r="C2094" i="1" a="1"/>
  <c r="C2094" i="1" s="1"/>
  <c r="C2095" i="1" a="1"/>
  <c r="C2095" i="1"/>
  <c r="C2096" i="1" a="1"/>
  <c r="C2096" i="1" s="1"/>
  <c r="C2097" i="1" a="1"/>
  <c r="C2097" i="1" s="1"/>
  <c r="C2098" i="1" a="1"/>
  <c r="C2098" i="1" s="1"/>
  <c r="C2099" i="1" a="1"/>
  <c r="C2099" i="1" s="1"/>
  <c r="C2100" i="1" a="1"/>
  <c r="C2100" i="1" s="1"/>
  <c r="C2101" i="1" a="1"/>
  <c r="C2101" i="1"/>
  <c r="C2102" i="1" a="1"/>
  <c r="C2102" i="1" s="1"/>
  <c r="C2103" i="1" a="1"/>
  <c r="C2103" i="1" s="1"/>
  <c r="C2104" i="1" a="1"/>
  <c r="C2104" i="1" s="1"/>
  <c r="C2105" i="1" a="1"/>
  <c r="C2105" i="1" s="1"/>
  <c r="C2106" i="1" a="1"/>
  <c r="C2106" i="1" s="1"/>
  <c r="C2107" i="1" a="1"/>
  <c r="C2107" i="1" s="1"/>
  <c r="C2108" i="1" a="1"/>
  <c r="C2108" i="1" s="1"/>
  <c r="C2109" i="1" a="1"/>
  <c r="C2109" i="1" s="1"/>
  <c r="C2110" i="1" a="1"/>
  <c r="C2110" i="1" s="1"/>
  <c r="C2111" i="1" a="1"/>
  <c r="C2111" i="1" s="1"/>
  <c r="C2112" i="1" a="1"/>
  <c r="C2112" i="1" s="1"/>
  <c r="C2113" i="1" a="1"/>
  <c r="C2113" i="1" s="1"/>
  <c r="C2114" i="1" a="1"/>
  <c r="C2114" i="1" s="1"/>
  <c r="C2115" i="1" a="1"/>
  <c r="C2115" i="1"/>
  <c r="C2116" i="1" a="1"/>
  <c r="C2116" i="1" s="1"/>
  <c r="C2117" i="1" a="1"/>
  <c r="C2117" i="1" s="1"/>
  <c r="C2118" i="1" a="1"/>
  <c r="C2118" i="1" s="1"/>
  <c r="C2119" i="1" a="1"/>
  <c r="C2119" i="1" s="1"/>
  <c r="C2120" i="1" a="1"/>
  <c r="C2120" i="1" s="1"/>
  <c r="C2121" i="1" a="1"/>
  <c r="C2121" i="1"/>
  <c r="C2122" i="1" a="1"/>
  <c r="C2122" i="1" s="1"/>
  <c r="C2123" i="1" a="1"/>
  <c r="C2123" i="1"/>
  <c r="C2124" i="1" a="1"/>
  <c r="C2124" i="1" s="1"/>
  <c r="C2125" i="1" a="1"/>
  <c r="C2125" i="1" s="1"/>
  <c r="C2126" i="1" a="1"/>
  <c r="C2126" i="1"/>
  <c r="C2127" i="1" a="1"/>
  <c r="C2127" i="1" s="1"/>
  <c r="C2128" i="1" a="1"/>
  <c r="C2128" i="1"/>
  <c r="C2129" i="1" a="1"/>
  <c r="C2129" i="1" s="1"/>
  <c r="C2130" i="1" a="1"/>
  <c r="C2130" i="1"/>
  <c r="C2131" i="1" a="1"/>
  <c r="C2131" i="1" s="1"/>
  <c r="C2132" i="1" a="1"/>
  <c r="C2132" i="1" s="1"/>
  <c r="C2133" i="1" a="1"/>
  <c r="C2133" i="1" s="1"/>
  <c r="C2134" i="1" a="1"/>
  <c r="C2134" i="1" s="1"/>
  <c r="C2135" i="1" a="1"/>
  <c r="C2135" i="1" s="1"/>
  <c r="C2136" i="1" a="1"/>
  <c r="C2136" i="1" s="1"/>
  <c r="C2137" i="1" a="1"/>
  <c r="C2137" i="1" s="1"/>
  <c r="C2138" i="1" a="1"/>
  <c r="C2138" i="1"/>
  <c r="C2139" i="1" a="1"/>
  <c r="C2139" i="1" s="1"/>
  <c r="C2140" i="1" a="1"/>
  <c r="C2140" i="1" s="1"/>
  <c r="C2141" i="1" a="1"/>
  <c r="C2141" i="1"/>
  <c r="C2142" i="1" a="1"/>
  <c r="C2142" i="1" s="1"/>
  <c r="C2143" i="1" a="1"/>
  <c r="C2143" i="1"/>
  <c r="C2144" i="1" a="1"/>
  <c r="C2144" i="1" s="1"/>
  <c r="C2145" i="1" a="1"/>
  <c r="C2145" i="1" s="1"/>
  <c r="C2146" i="1" a="1"/>
  <c r="C2146" i="1" s="1"/>
  <c r="C2147" i="1" a="1"/>
  <c r="C2147" i="1" s="1"/>
  <c r="C2148" i="1" a="1"/>
  <c r="C2148" i="1" s="1"/>
  <c r="C2149" i="1" a="1"/>
  <c r="C2149" i="1" s="1"/>
  <c r="C2150" i="1" a="1"/>
  <c r="C2150" i="1" s="1"/>
  <c r="C2151" i="1" a="1"/>
  <c r="C2151" i="1" s="1"/>
  <c r="C2152" i="1" a="1"/>
  <c r="C2152" i="1" s="1"/>
  <c r="C2153" i="1" a="1"/>
  <c r="C2153" i="1" s="1"/>
  <c r="C2154" i="1" a="1"/>
  <c r="C2154" i="1" s="1"/>
  <c r="C2155" i="1" a="1"/>
  <c r="C2155" i="1" s="1"/>
  <c r="C2156" i="1" a="1"/>
  <c r="C2156" i="1" s="1"/>
  <c r="C2157" i="1" a="1"/>
  <c r="C2157" i="1" s="1"/>
  <c r="C2158" i="1" a="1"/>
  <c r="C2158" i="1" s="1"/>
  <c r="C2159" i="1" a="1"/>
  <c r="C2159" i="1" s="1"/>
  <c r="C2160" i="1" a="1"/>
  <c r="C2160" i="1" s="1"/>
  <c r="C2161" i="1" a="1"/>
  <c r="C2161" i="1" s="1"/>
  <c r="C2162" i="1" a="1"/>
  <c r="C2162" i="1" s="1"/>
  <c r="C2163" i="1" a="1"/>
  <c r="C2163" i="1" s="1"/>
  <c r="C2164" i="1" a="1"/>
  <c r="C2164" i="1" s="1"/>
  <c r="C2165" i="1" a="1"/>
  <c r="C2165" i="1" s="1"/>
  <c r="C2166" i="1" a="1"/>
  <c r="C2166" i="1" s="1"/>
  <c r="C2167" i="1" a="1"/>
  <c r="C2167" i="1" s="1"/>
  <c r="C2168" i="1" a="1"/>
  <c r="C2168" i="1"/>
  <c r="C2169" i="1" a="1"/>
  <c r="C2169" i="1"/>
  <c r="C2170" i="1" a="1"/>
  <c r="C2170" i="1" s="1"/>
  <c r="C2171" i="1" a="1"/>
  <c r="C2171" i="1" s="1"/>
  <c r="C2172" i="1" a="1"/>
  <c r="C2172" i="1" s="1"/>
  <c r="C2173" i="1" a="1"/>
  <c r="C2173" i="1" s="1"/>
  <c r="C2174" i="1" a="1"/>
  <c r="C2174" i="1" s="1"/>
  <c r="C2175" i="1" a="1"/>
  <c r="C2175" i="1" s="1"/>
  <c r="C2176" i="1" a="1"/>
  <c r="C2176" i="1" s="1"/>
  <c r="C2177" i="1" a="1"/>
  <c r="C2177" i="1" s="1"/>
  <c r="C2178" i="1" a="1"/>
  <c r="C2178" i="1" s="1"/>
  <c r="C2179" i="1" a="1"/>
  <c r="C2179" i="1" s="1"/>
  <c r="C2180" i="1" a="1"/>
  <c r="C2180" i="1" s="1"/>
  <c r="C2181" i="1" a="1"/>
  <c r="C2181" i="1" s="1"/>
  <c r="C2182" i="1" a="1"/>
  <c r="C2182" i="1" s="1"/>
  <c r="C2183" i="1" a="1"/>
  <c r="C2183" i="1" s="1"/>
  <c r="C2184" i="1" a="1"/>
  <c r="C2184" i="1" s="1"/>
  <c r="C2185" i="1" a="1"/>
  <c r="C2185" i="1" s="1"/>
  <c r="C2186" i="1" a="1"/>
  <c r="C2186" i="1" s="1"/>
  <c r="C2187" i="1" a="1"/>
  <c r="C2187" i="1" s="1"/>
  <c r="C2188" i="1" a="1"/>
  <c r="C2188" i="1"/>
  <c r="C2189" i="1" a="1"/>
  <c r="C2189" i="1" s="1"/>
  <c r="C2190" i="1" a="1"/>
  <c r="C2190" i="1"/>
  <c r="C2191" i="1" a="1"/>
  <c r="C2191" i="1" s="1"/>
  <c r="C2192" i="1" a="1"/>
  <c r="C2192" i="1" s="1"/>
  <c r="C2193" i="1" a="1"/>
  <c r="C2193" i="1"/>
  <c r="C2194" i="1" a="1"/>
  <c r="C2194" i="1" s="1"/>
  <c r="C2195" i="1" a="1"/>
  <c r="C2195" i="1"/>
  <c r="C2196" i="1" a="1"/>
  <c r="C2196" i="1"/>
  <c r="C2197" i="1" a="1"/>
  <c r="C2197" i="1" s="1"/>
  <c r="C2198" i="1" a="1"/>
  <c r="C2198" i="1" s="1"/>
  <c r="C2199" i="1" a="1"/>
  <c r="C2199" i="1"/>
  <c r="C2200" i="1" a="1"/>
  <c r="C2200" i="1" s="1"/>
  <c r="C2201" i="1" a="1"/>
  <c r="C2201" i="1"/>
  <c r="C2202" i="1" a="1"/>
  <c r="C2202" i="1" s="1"/>
  <c r="C2203" i="1" a="1"/>
  <c r="C2203" i="1" s="1"/>
  <c r="C2204" i="1" a="1"/>
  <c r="C2204" i="1" s="1"/>
  <c r="C2205" i="1" a="1"/>
  <c r="C2205" i="1" s="1"/>
  <c r="C2206" i="1" a="1"/>
  <c r="C2206" i="1" s="1"/>
  <c r="C2207" i="1" a="1"/>
  <c r="C2207" i="1" s="1"/>
  <c r="C2208" i="1" a="1"/>
  <c r="C2208" i="1"/>
  <c r="C2209" i="1" a="1"/>
  <c r="C2209" i="1" s="1"/>
  <c r="C2210" i="1" a="1"/>
  <c r="C2210" i="1"/>
  <c r="C2211" i="1" a="1"/>
  <c r="C2211" i="1" s="1"/>
  <c r="C2212" i="1" a="1"/>
  <c r="C2212" i="1" s="1"/>
  <c r="C2213" i="1" a="1"/>
  <c r="C2213" i="1"/>
  <c r="C2214" i="1" a="1"/>
  <c r="C2214" i="1" s="1"/>
  <c r="C2215" i="1" a="1"/>
  <c r="C2215" i="1"/>
  <c r="C2216" i="1" a="1"/>
  <c r="C2216" i="1" s="1"/>
  <c r="C2217" i="1" a="1"/>
  <c r="C2217" i="1" s="1"/>
  <c r="C2218" i="1" a="1"/>
  <c r="C2218" i="1" s="1"/>
  <c r="C2219" i="1" a="1"/>
  <c r="C2219" i="1" s="1"/>
  <c r="C2220" i="1" a="1"/>
  <c r="C2220" i="1" s="1"/>
  <c r="C2221" i="1" a="1"/>
  <c r="C2221" i="1"/>
  <c r="C2222" i="1" a="1"/>
  <c r="C2222" i="1" s="1"/>
  <c r="C2223" i="1" a="1"/>
  <c r="C2223" i="1"/>
  <c r="C2224" i="1" a="1"/>
  <c r="C2224" i="1" s="1"/>
  <c r="C2225" i="1" a="1"/>
  <c r="C2225" i="1" s="1"/>
  <c r="C2226" i="1" a="1"/>
  <c r="C2226" i="1" s="1"/>
  <c r="C2227" i="1" a="1"/>
  <c r="C2227" i="1" s="1"/>
  <c r="C2228" i="1" a="1"/>
  <c r="C2228" i="1" s="1"/>
  <c r="C2229" i="1" a="1"/>
  <c r="C2229" i="1" s="1"/>
  <c r="C2230" i="1" a="1"/>
  <c r="C2230" i="1" s="1"/>
  <c r="C2231" i="1" a="1"/>
  <c r="C2231" i="1" s="1"/>
  <c r="C2232" i="1" a="1"/>
  <c r="C2232" i="1" s="1"/>
  <c r="C2233" i="1" a="1"/>
  <c r="C2233" i="1" s="1"/>
  <c r="C2234" i="1" a="1"/>
  <c r="C2234" i="1" s="1"/>
  <c r="C2235" i="1" a="1"/>
  <c r="C2235" i="1" s="1"/>
  <c r="C2236" i="1" a="1"/>
  <c r="C2236" i="1" s="1"/>
  <c r="C2237" i="1" a="1"/>
  <c r="C2237" i="1" s="1"/>
  <c r="C2238" i="1" a="1"/>
  <c r="C2238" i="1"/>
  <c r="C2239" i="1" a="1"/>
  <c r="C2239" i="1" s="1"/>
  <c r="C2240" i="1" a="1"/>
  <c r="C2240" i="1" s="1"/>
  <c r="C2241" i="1" a="1"/>
  <c r="C2241" i="1" s="1"/>
  <c r="C2242" i="1" a="1"/>
  <c r="C2242" i="1" s="1"/>
  <c r="C2243" i="1" a="1"/>
  <c r="C2243" i="1"/>
  <c r="C2244" i="1" a="1"/>
  <c r="C2244" i="1" s="1"/>
  <c r="C2245" i="1" a="1"/>
  <c r="C2245" i="1" s="1"/>
  <c r="C2246" i="1" a="1"/>
  <c r="C2246" i="1" s="1"/>
  <c r="C2247" i="1" a="1"/>
  <c r="C2247" i="1" s="1"/>
  <c r="C2248" i="1" a="1"/>
  <c r="C2248" i="1" s="1"/>
  <c r="C2249" i="1" a="1"/>
  <c r="C2249" i="1"/>
  <c r="C2250" i="1" a="1"/>
  <c r="C2250" i="1" s="1"/>
  <c r="C2251" i="1" a="1"/>
  <c r="C2251" i="1" s="1"/>
  <c r="C2252" i="1" a="1"/>
  <c r="C2252" i="1" s="1"/>
  <c r="C2253" i="1" a="1"/>
  <c r="C2253" i="1" s="1"/>
  <c r="C2254" i="1" a="1"/>
  <c r="C2254" i="1" s="1"/>
  <c r="C2255" i="1" a="1"/>
  <c r="C2255" i="1" s="1"/>
  <c r="C2256" i="1" a="1"/>
  <c r="C2256" i="1" s="1"/>
  <c r="C2257" i="1" a="1"/>
  <c r="C2257" i="1" s="1"/>
  <c r="C2258" i="1" a="1"/>
  <c r="C2258" i="1" s="1"/>
  <c r="C2259" i="1" a="1"/>
  <c r="C2259" i="1" s="1"/>
  <c r="C2260" i="1" a="1"/>
  <c r="C2260" i="1" s="1"/>
  <c r="C2261" i="1" a="1"/>
  <c r="C2261" i="1" s="1"/>
  <c r="C2262" i="1" a="1"/>
  <c r="C2262" i="1" s="1"/>
  <c r="C2263" i="1" a="1"/>
  <c r="C2263" i="1"/>
  <c r="C2264" i="1" a="1"/>
  <c r="C2264" i="1" s="1"/>
  <c r="C2265" i="1" a="1"/>
  <c r="C2265" i="1" s="1"/>
  <c r="C2266" i="1" a="1"/>
  <c r="C2266" i="1" s="1"/>
  <c r="C2267" i="1" a="1"/>
  <c r="C2267" i="1" s="1"/>
  <c r="C2268" i="1" a="1"/>
  <c r="C2268" i="1"/>
  <c r="C2269" i="1" a="1"/>
  <c r="C2269" i="1"/>
  <c r="C2270" i="1" a="1"/>
  <c r="C2270" i="1" s="1"/>
  <c r="C2271" i="1" a="1"/>
  <c r="C2271" i="1"/>
  <c r="C2272" i="1" a="1"/>
  <c r="C2272" i="1" s="1"/>
  <c r="C2273" i="1" a="1"/>
  <c r="C2273" i="1" s="1"/>
  <c r="C2274" i="1" a="1"/>
  <c r="C2274" i="1" s="1"/>
  <c r="C2275" i="1" a="1"/>
  <c r="C2275" i="1" s="1"/>
  <c r="C2276" i="1" a="1"/>
  <c r="C2276" i="1" s="1"/>
  <c r="C2277" i="1" a="1"/>
  <c r="C2277" i="1" s="1"/>
  <c r="C2278" i="1" a="1"/>
  <c r="C2278" i="1" s="1"/>
  <c r="C2279" i="1" a="1"/>
  <c r="C2279" i="1" s="1"/>
  <c r="C2280" i="1" a="1"/>
  <c r="C2280" i="1" s="1"/>
  <c r="C2281" i="1" a="1"/>
  <c r="C2281" i="1" s="1"/>
  <c r="C2282" i="1" a="1"/>
  <c r="C2282" i="1" s="1"/>
  <c r="C2283" i="1" a="1"/>
  <c r="C2283" i="1" s="1"/>
  <c r="C2284" i="1" a="1"/>
  <c r="C2284" i="1"/>
  <c r="C2285" i="1" a="1"/>
  <c r="C2285" i="1"/>
  <c r="C2286" i="1" a="1"/>
  <c r="C2286" i="1" s="1"/>
  <c r="C2287" i="1" a="1"/>
  <c r="C2287" i="1" s="1"/>
  <c r="C2288" i="1" a="1"/>
  <c r="C2288" i="1"/>
  <c r="C2289" i="1" a="1"/>
  <c r="C2289" i="1" s="1"/>
  <c r="C2290" i="1" a="1"/>
  <c r="C2290" i="1"/>
  <c r="C2291" i="1" a="1"/>
  <c r="C2291" i="1"/>
  <c r="C2292" i="1" a="1"/>
  <c r="C2292" i="1" s="1"/>
  <c r="C2293" i="1" a="1"/>
  <c r="C2293" i="1" s="1"/>
  <c r="C2294" i="1" a="1"/>
  <c r="C2294" i="1" s="1"/>
  <c r="C2295" i="1" a="1"/>
  <c r="C2295" i="1"/>
  <c r="C2296" i="1" a="1"/>
  <c r="C2296" i="1"/>
  <c r="C2297" i="1" a="1"/>
  <c r="C2297" i="1" s="1"/>
  <c r="C2298" i="1" a="1"/>
  <c r="C2298" i="1" s="1"/>
  <c r="C2299" i="1" a="1"/>
  <c r="C2299" i="1" s="1"/>
  <c r="C2300" i="1" a="1"/>
  <c r="C2300" i="1" s="1"/>
  <c r="C2301" i="1" a="1"/>
  <c r="C2301" i="1"/>
  <c r="C2302" i="1" a="1"/>
  <c r="C2302" i="1" s="1"/>
  <c r="C2303" i="1" a="1"/>
  <c r="C2303" i="1" s="1"/>
  <c r="C2304" i="1" a="1"/>
  <c r="C2304" i="1" s="1"/>
  <c r="C2305" i="1" a="1"/>
  <c r="C2305" i="1" s="1"/>
  <c r="C2306" i="1" a="1"/>
  <c r="C2306" i="1" s="1"/>
  <c r="C2307" i="1" a="1"/>
  <c r="C2307" i="1" s="1"/>
  <c r="C2308" i="1" a="1"/>
  <c r="C2308" i="1" s="1"/>
  <c r="C2309" i="1" a="1"/>
  <c r="C2309" i="1" s="1"/>
  <c r="C2310" i="1" a="1"/>
  <c r="C2310" i="1" s="1"/>
  <c r="C2311" i="1" a="1"/>
  <c r="C2311" i="1" s="1"/>
  <c r="C2312" i="1" a="1"/>
  <c r="C2312" i="1" s="1"/>
  <c r="C2313" i="1" a="1"/>
  <c r="C2313" i="1" s="1"/>
  <c r="C2314" i="1" a="1"/>
  <c r="C2314" i="1" s="1"/>
  <c r="C2315" i="1" a="1"/>
  <c r="C2315" i="1"/>
  <c r="C2316" i="1" a="1"/>
  <c r="C2316" i="1" s="1"/>
  <c r="C2317" i="1" a="1"/>
  <c r="C2317" i="1" s="1"/>
  <c r="C2318" i="1" a="1"/>
  <c r="C2318" i="1" s="1"/>
  <c r="C2319" i="1" a="1"/>
  <c r="C2319" i="1"/>
  <c r="C2320" i="1" a="1"/>
  <c r="C2320" i="1" s="1"/>
  <c r="C2321" i="1" a="1"/>
  <c r="C2321" i="1" s="1"/>
  <c r="C2322" i="1" a="1"/>
  <c r="C2322" i="1" s="1"/>
  <c r="C2323" i="1" a="1"/>
  <c r="C2323" i="1"/>
  <c r="C2324" i="1" a="1"/>
  <c r="C2324" i="1" s="1"/>
  <c r="C2325" i="1" a="1"/>
  <c r="C2325" i="1" s="1"/>
  <c r="C2326" i="1" a="1"/>
  <c r="C2326" i="1"/>
  <c r="C2327" i="1" a="1"/>
  <c r="C2327" i="1" s="1"/>
  <c r="C2328" i="1" a="1"/>
  <c r="C2328" i="1" s="1"/>
  <c r="C2329" i="1" a="1"/>
  <c r="C2329" i="1" s="1"/>
  <c r="C2330" i="1" a="1"/>
  <c r="C2330" i="1" s="1"/>
  <c r="C2331" i="1" a="1"/>
  <c r="C2331" i="1" s="1"/>
  <c r="C2332" i="1" a="1"/>
  <c r="C2332" i="1" s="1"/>
  <c r="C2333" i="1" a="1"/>
  <c r="C2333" i="1" s="1"/>
  <c r="C2334" i="1" a="1"/>
  <c r="C2334" i="1" s="1"/>
  <c r="C2335" i="1" a="1"/>
  <c r="C2335" i="1" s="1"/>
  <c r="C2336" i="1" a="1"/>
  <c r="C2336" i="1" s="1"/>
  <c r="C2337" i="1" a="1"/>
  <c r="C2337" i="1" s="1"/>
  <c r="C2338" i="1" a="1"/>
  <c r="C2338" i="1"/>
  <c r="C2339" i="1" a="1"/>
  <c r="C2339" i="1" s="1"/>
  <c r="C2340" i="1" a="1"/>
  <c r="C2340" i="1" s="1"/>
  <c r="C2341" i="1" a="1"/>
  <c r="C2341" i="1" s="1"/>
  <c r="C2342" i="1" a="1"/>
  <c r="C2342" i="1" s="1"/>
  <c r="C2343" i="1" a="1"/>
  <c r="C2343" i="1"/>
  <c r="C2344" i="1" a="1"/>
  <c r="C2344" i="1" s="1"/>
  <c r="C2345" i="1" a="1"/>
  <c r="C2345" i="1" s="1"/>
  <c r="C2346" i="1" a="1"/>
  <c r="C2346" i="1" s="1"/>
  <c r="C2347" i="1" a="1"/>
  <c r="C2347" i="1" s="1"/>
  <c r="C2348" i="1" a="1"/>
  <c r="C2348" i="1" s="1"/>
  <c r="C2349" i="1" a="1"/>
  <c r="C2349" i="1" s="1"/>
  <c r="C2350" i="1" a="1"/>
  <c r="C2350" i="1" s="1"/>
  <c r="C2351" i="1" a="1"/>
  <c r="C2351" i="1" s="1"/>
  <c r="C2352" i="1" a="1"/>
  <c r="C2352" i="1" s="1"/>
  <c r="C2353" i="1" a="1"/>
  <c r="C2353" i="1"/>
  <c r="C2354" i="1" a="1"/>
  <c r="C2354" i="1" s="1"/>
  <c r="C2355" i="1" a="1"/>
  <c r="C2355" i="1" s="1"/>
  <c r="C2356" i="1" a="1"/>
  <c r="C2356" i="1" s="1"/>
  <c r="C2357" i="1" a="1"/>
  <c r="C2357" i="1" s="1"/>
  <c r="C2358" i="1" a="1"/>
  <c r="C2358" i="1"/>
  <c r="C2359" i="1" a="1"/>
  <c r="C2359" i="1" s="1"/>
  <c r="C2360" i="1" a="1"/>
  <c r="C2360" i="1" s="1"/>
  <c r="C2361" i="1" a="1"/>
  <c r="C2361" i="1" s="1"/>
  <c r="C2362" i="1" a="1"/>
  <c r="C2362" i="1" s="1"/>
  <c r="C2363" i="1" a="1"/>
  <c r="C2363" i="1" s="1"/>
  <c r="C2364" i="1" a="1"/>
  <c r="C2364" i="1" s="1"/>
  <c r="C2365" i="1" a="1"/>
  <c r="C2365" i="1" s="1"/>
  <c r="C2366" i="1" a="1"/>
  <c r="C2366" i="1" s="1"/>
  <c r="C2367" i="1" a="1"/>
  <c r="C2367" i="1" s="1"/>
  <c r="C2368" i="1" a="1"/>
  <c r="C2368" i="1" s="1"/>
  <c r="C2369" i="1" a="1"/>
  <c r="C2369" i="1" s="1"/>
  <c r="C2370" i="1" a="1"/>
  <c r="C2370" i="1" s="1"/>
  <c r="C2371" i="1" a="1"/>
  <c r="C2371" i="1" s="1"/>
  <c r="C2372" i="1" a="1"/>
  <c r="C2372" i="1" s="1"/>
  <c r="C2373" i="1" a="1"/>
  <c r="C2373" i="1"/>
  <c r="C2374" i="1" a="1"/>
  <c r="C2374" i="1" s="1"/>
  <c r="C2375" i="1" a="1"/>
  <c r="C2375" i="1" s="1"/>
  <c r="C2376" i="1" a="1"/>
  <c r="C2376" i="1" s="1"/>
  <c r="C2377" i="1" a="1"/>
  <c r="C2377" i="1" s="1"/>
  <c r="C2378" i="1" a="1"/>
  <c r="C2378" i="1" s="1"/>
  <c r="C2379" i="1" a="1"/>
  <c r="C2379" i="1" s="1"/>
  <c r="C2380" i="1" a="1"/>
  <c r="C2380" i="1"/>
  <c r="C2381" i="1" a="1"/>
  <c r="C2381" i="1" s="1"/>
  <c r="C2382" i="1" a="1"/>
  <c r="C2382" i="1" s="1"/>
  <c r="C2383" i="1" a="1"/>
  <c r="C2383" i="1" s="1"/>
  <c r="C2384" i="1" a="1"/>
  <c r="C2384" i="1"/>
  <c r="C2385" i="1" a="1"/>
  <c r="C2385" i="1" s="1"/>
  <c r="C2386" i="1" a="1"/>
  <c r="C2386" i="1" s="1"/>
  <c r="C2387" i="1" a="1"/>
  <c r="C2387" i="1" s="1"/>
  <c r="C2388" i="1" a="1"/>
  <c r="C2388" i="1"/>
  <c r="C2389" i="1" a="1"/>
  <c r="C2389" i="1" s="1"/>
  <c r="C2390" i="1" a="1"/>
  <c r="C2390" i="1"/>
  <c r="C2391" i="1" a="1"/>
  <c r="C2391" i="1" s="1"/>
  <c r="C2392" i="1" a="1"/>
  <c r="C2392" i="1" s="1"/>
  <c r="C2393" i="1" a="1"/>
  <c r="C2393" i="1"/>
  <c r="C2394" i="1" a="1"/>
  <c r="C2394" i="1" s="1"/>
  <c r="C2395" i="1" a="1"/>
  <c r="C2395" i="1" s="1"/>
  <c r="C2396" i="1" a="1"/>
  <c r="C2396" i="1" s="1"/>
  <c r="C2397" i="1" a="1"/>
  <c r="C2397" i="1" s="1"/>
  <c r="C2398" i="1" a="1"/>
  <c r="C2398" i="1" s="1"/>
  <c r="C2399" i="1" a="1"/>
  <c r="C2399" i="1"/>
  <c r="C2400" i="1" a="1"/>
  <c r="C2400" i="1" s="1"/>
  <c r="C2401" i="1" a="1"/>
  <c r="C2401" i="1"/>
  <c r="C2402" i="1" a="1"/>
  <c r="C2402" i="1" s="1"/>
  <c r="C2403" i="1" a="1"/>
  <c r="C2403" i="1" s="1"/>
  <c r="C2404" i="1" a="1"/>
  <c r="C2404" i="1" s="1"/>
  <c r="C2405" i="1" a="1"/>
  <c r="C2405" i="1" s="1"/>
  <c r="C2406" i="1" a="1"/>
  <c r="C2406" i="1" s="1"/>
  <c r="C2407" i="1" a="1"/>
  <c r="C2407" i="1" s="1"/>
  <c r="C2408" i="1" a="1"/>
  <c r="C2408" i="1" s="1"/>
  <c r="C2409" i="1" a="1"/>
  <c r="C2409" i="1" s="1"/>
  <c r="C2410" i="1" a="1"/>
  <c r="C2410" i="1" s="1"/>
  <c r="C2411" i="1" a="1"/>
  <c r="C2411" i="1" s="1"/>
  <c r="C2412" i="1" a="1"/>
  <c r="C2412" i="1" s="1"/>
  <c r="C2413" i="1" a="1"/>
  <c r="C2413" i="1"/>
  <c r="C2414" i="1" a="1"/>
  <c r="C2414" i="1" s="1"/>
  <c r="C2415" i="1" a="1"/>
  <c r="C2415" i="1" s="1"/>
  <c r="C2416" i="1" a="1"/>
  <c r="C2416" i="1" s="1"/>
  <c r="C2417" i="1" a="1"/>
  <c r="C2417" i="1" s="1"/>
  <c r="C2418" i="1" a="1"/>
  <c r="C2418" i="1" s="1"/>
  <c r="C2419" i="1" a="1"/>
  <c r="C2419" i="1" s="1"/>
  <c r="C2420" i="1" a="1"/>
  <c r="C2420" i="1" s="1"/>
  <c r="C2421" i="1" a="1"/>
  <c r="C2421" i="1"/>
  <c r="C2422" i="1" a="1"/>
  <c r="C2422" i="1" s="1"/>
  <c r="C2423" i="1" a="1"/>
  <c r="C2423" i="1" s="1"/>
  <c r="C2424" i="1" a="1"/>
  <c r="C2424" i="1" s="1"/>
  <c r="C2425" i="1" a="1"/>
  <c r="C2425" i="1" s="1"/>
  <c r="C2426" i="1" a="1"/>
  <c r="C2426" i="1" s="1"/>
  <c r="C2427" i="1" a="1"/>
  <c r="C2427" i="1" s="1"/>
  <c r="C2428" i="1" a="1"/>
  <c r="C2428" i="1" s="1"/>
  <c r="C2429" i="1" a="1"/>
  <c r="C2429" i="1" s="1"/>
  <c r="C2430" i="1" a="1"/>
  <c r="C2430" i="1" s="1"/>
  <c r="C2431" i="1" a="1"/>
  <c r="C2431" i="1" s="1"/>
  <c r="C2432" i="1" a="1"/>
  <c r="C2432" i="1" s="1"/>
  <c r="C2433" i="1" a="1"/>
  <c r="C2433" i="1" s="1"/>
  <c r="C2434" i="1" a="1"/>
  <c r="C2434" i="1" s="1"/>
  <c r="C2435" i="1" a="1"/>
  <c r="C2435" i="1" s="1"/>
  <c r="C2436" i="1" a="1"/>
  <c r="C2436" i="1" s="1"/>
  <c r="C2437" i="1" a="1"/>
  <c r="C2437" i="1" s="1"/>
  <c r="C2438" i="1" a="1"/>
  <c r="C2438" i="1" s="1"/>
  <c r="C2439" i="1" a="1"/>
  <c r="C2439" i="1" s="1"/>
  <c r="C2440" i="1" a="1"/>
  <c r="C2440" i="1" s="1"/>
  <c r="C2441" i="1" a="1"/>
  <c r="C2441" i="1"/>
  <c r="C2442" i="1" a="1"/>
  <c r="C2442" i="1" s="1"/>
  <c r="C2443" i="1" a="1"/>
  <c r="C2443" i="1"/>
  <c r="C2444" i="1" a="1"/>
  <c r="C2444" i="1" s="1"/>
  <c r="C2445" i="1" a="1"/>
  <c r="C2445" i="1" s="1"/>
  <c r="C2446" i="1" a="1"/>
  <c r="C2446" i="1" s="1"/>
  <c r="C2447" i="1" a="1"/>
  <c r="C2447" i="1" s="1"/>
  <c r="C2448" i="1" a="1"/>
  <c r="C2448" i="1" s="1"/>
  <c r="C2449" i="1" a="1"/>
  <c r="C2449" i="1" s="1"/>
  <c r="C2450" i="1" a="1"/>
  <c r="C2450" i="1" s="1"/>
  <c r="C2451" i="1" a="1"/>
  <c r="C2451" i="1" s="1"/>
  <c r="C2452" i="1" a="1"/>
  <c r="C2452" i="1" s="1"/>
  <c r="C2453" i="1" a="1"/>
  <c r="C2453" i="1"/>
  <c r="C2454" i="1" a="1"/>
  <c r="C2454" i="1" s="1"/>
  <c r="C2455" i="1" a="1"/>
  <c r="C2455" i="1" s="1"/>
  <c r="C2456" i="1" a="1"/>
  <c r="C2456" i="1" s="1"/>
  <c r="C2457" i="1" a="1"/>
  <c r="C2457" i="1" s="1"/>
  <c r="C2458" i="1" a="1"/>
  <c r="C2458" i="1" s="1"/>
  <c r="C2459" i="1" a="1"/>
  <c r="C2459" i="1" s="1"/>
  <c r="C2460" i="1" a="1"/>
  <c r="C2460" i="1"/>
  <c r="C2461" i="1" a="1"/>
  <c r="C2461" i="1" s="1"/>
  <c r="C2462" i="1" a="1"/>
  <c r="C2462" i="1" s="1"/>
  <c r="C2463" i="1" a="1"/>
  <c r="C2463" i="1"/>
  <c r="C2464" i="1" a="1"/>
  <c r="C2464" i="1" s="1"/>
  <c r="C2465" i="1" a="1"/>
  <c r="C2465" i="1" s="1"/>
  <c r="C2466" i="1" a="1"/>
  <c r="C2466" i="1" s="1"/>
  <c r="C2467" i="1" a="1"/>
  <c r="C2467" i="1" s="1"/>
  <c r="C2468" i="1" a="1"/>
  <c r="C2468" i="1"/>
  <c r="C2469" i="1" a="1"/>
  <c r="C2469" i="1" s="1"/>
  <c r="C2470" i="1" a="1"/>
  <c r="C2470" i="1" s="1"/>
  <c r="C2471" i="1" a="1"/>
  <c r="C2471" i="1"/>
  <c r="C2472" i="1" a="1"/>
  <c r="C2472" i="1" s="1"/>
  <c r="C2473" i="1" a="1"/>
  <c r="C2473" i="1"/>
  <c r="C2474" i="1" a="1"/>
  <c r="C2474" i="1"/>
  <c r="C2475" i="1" a="1"/>
  <c r="C2475" i="1" s="1"/>
  <c r="C2476" i="1" a="1"/>
  <c r="C2476" i="1" s="1"/>
  <c r="C2477" i="1" a="1"/>
  <c r="C2477" i="1" s="1"/>
  <c r="C2478" i="1" a="1"/>
  <c r="C2478" i="1" s="1"/>
  <c r="C2479" i="1" a="1"/>
  <c r="C2479" i="1" s="1"/>
  <c r="C2480" i="1" a="1"/>
  <c r="C2480" i="1" s="1"/>
  <c r="C2481" i="1" a="1"/>
  <c r="C2481" i="1" s="1"/>
  <c r="C2482" i="1" a="1"/>
  <c r="C2482" i="1" s="1"/>
  <c r="C2483" i="1" a="1"/>
  <c r="C2483" i="1" s="1"/>
  <c r="C2484" i="1" a="1"/>
  <c r="C2484" i="1"/>
  <c r="C2485" i="1" a="1"/>
  <c r="C2485" i="1"/>
  <c r="C2486" i="1" a="1"/>
  <c r="C2486" i="1" s="1"/>
  <c r="C2487" i="1" a="1"/>
  <c r="C2487" i="1" s="1"/>
  <c r="C2488" i="1" a="1"/>
  <c r="C2488" i="1"/>
  <c r="C2489" i="1" a="1"/>
  <c r="C2489" i="1" s="1"/>
  <c r="C2490" i="1" a="1"/>
  <c r="C2490" i="1" s="1"/>
  <c r="C2491" i="1" a="1"/>
  <c r="C2491" i="1"/>
  <c r="C2492" i="1" a="1"/>
  <c r="C2492" i="1" s="1"/>
  <c r="C2493" i="1" a="1"/>
  <c r="C2493" i="1"/>
  <c r="C2494" i="1" a="1"/>
  <c r="C2494" i="1" s="1"/>
  <c r="C2495" i="1" a="1"/>
  <c r="C2495" i="1"/>
  <c r="C2496" i="1" a="1"/>
  <c r="C2496" i="1" s="1"/>
  <c r="C2497" i="1" a="1"/>
  <c r="C2497" i="1" s="1"/>
  <c r="C2498" i="1" a="1"/>
  <c r="C2498" i="1" s="1"/>
  <c r="C2499" i="1" a="1"/>
  <c r="C2499" i="1"/>
  <c r="C2500" i="1" a="1"/>
  <c r="C2500" i="1" s="1"/>
  <c r="C2501" i="1" a="1"/>
  <c r="C2501" i="1"/>
  <c r="C2502" i="1" a="1"/>
  <c r="C2502" i="1" s="1"/>
  <c r="C2503" i="1" a="1"/>
  <c r="C2503" i="1" s="1"/>
  <c r="C2504" i="1" a="1"/>
  <c r="C2504" i="1" s="1"/>
  <c r="C2505" i="1" a="1"/>
  <c r="C2505" i="1" s="1"/>
  <c r="C2506" i="1" a="1"/>
  <c r="C2506" i="1" s="1"/>
  <c r="C2507" i="1" a="1"/>
  <c r="C2507" i="1" s="1"/>
  <c r="C2508" i="1" a="1"/>
  <c r="C2508" i="1" s="1"/>
  <c r="C2509" i="1" a="1"/>
  <c r="C2509" i="1" s="1"/>
  <c r="C2510" i="1" a="1"/>
  <c r="C2510" i="1" s="1"/>
  <c r="C2511" i="1" a="1"/>
  <c r="C2511" i="1" s="1"/>
  <c r="C2512" i="1" a="1"/>
  <c r="C2512" i="1" s="1"/>
  <c r="C2513" i="1" a="1"/>
  <c r="C2513" i="1" s="1"/>
  <c r="C2514" i="1" a="1"/>
  <c r="C2514" i="1" s="1"/>
  <c r="C2515" i="1" a="1"/>
  <c r="C2515" i="1" s="1"/>
  <c r="C2516" i="1" a="1"/>
  <c r="C2516" i="1" s="1"/>
  <c r="C2517" i="1" a="1"/>
  <c r="C2517" i="1" s="1"/>
  <c r="C2518" i="1" a="1"/>
  <c r="C2518" i="1" s="1"/>
  <c r="C2519" i="1" a="1"/>
  <c r="C2519" i="1"/>
  <c r="C2520" i="1" a="1"/>
  <c r="C2520" i="1" s="1"/>
  <c r="C2521" i="1" a="1"/>
  <c r="C2521" i="1" s="1"/>
  <c r="C2522" i="1" a="1"/>
  <c r="C2522" i="1" s="1"/>
  <c r="C2523" i="1" a="1"/>
  <c r="C2523" i="1"/>
  <c r="C2524" i="1" a="1"/>
  <c r="C2524" i="1" s="1"/>
  <c r="C2525" i="1" a="1"/>
  <c r="C2525" i="1" s="1"/>
  <c r="C2526" i="1" a="1"/>
  <c r="C2526" i="1" s="1"/>
  <c r="C2527" i="1" a="1"/>
  <c r="C2527" i="1" s="1"/>
  <c r="C2528" i="1" a="1"/>
  <c r="C2528" i="1" s="1"/>
  <c r="C2529" i="1" a="1"/>
  <c r="C2529" i="1" s="1"/>
  <c r="C2530" i="1" a="1"/>
  <c r="C2530" i="1"/>
  <c r="C2531" i="1" a="1"/>
  <c r="C2531" i="1" s="1"/>
  <c r="C2532" i="1" a="1"/>
  <c r="C2532" i="1" s="1"/>
  <c r="C2533" i="1" a="1"/>
  <c r="C2533" i="1"/>
  <c r="C2534" i="1" a="1"/>
  <c r="C2534" i="1" s="1"/>
  <c r="C2535" i="1" a="1"/>
  <c r="C2535" i="1" s="1"/>
  <c r="C2536" i="1" a="1"/>
  <c r="C2536" i="1" s="1"/>
  <c r="C2537" i="1" a="1"/>
  <c r="C2537" i="1" s="1"/>
  <c r="C2538" i="1" a="1"/>
  <c r="C2538" i="1"/>
  <c r="C2539" i="1" a="1"/>
  <c r="C2539" i="1" s="1"/>
  <c r="C2540" i="1" a="1"/>
  <c r="C2540" i="1" s="1"/>
  <c r="C2541" i="1" a="1"/>
  <c r="C2541" i="1"/>
  <c r="C2542" i="1" a="1"/>
  <c r="C2542" i="1" s="1"/>
  <c r="C2543" i="1" a="1"/>
  <c r="C2543" i="1" s="1"/>
  <c r="C2544" i="1" a="1"/>
  <c r="C2544" i="1" s="1"/>
  <c r="C2545" i="1" a="1"/>
  <c r="C2545" i="1" s="1"/>
  <c r="C2546" i="1" a="1"/>
  <c r="C2546" i="1" s="1"/>
  <c r="C2547" i="1" a="1"/>
  <c r="C2547" i="1" s="1"/>
  <c r="C2548" i="1" a="1"/>
  <c r="C2548" i="1" s="1"/>
  <c r="C2549" i="1" a="1"/>
  <c r="C2549" i="1"/>
  <c r="C2550" i="1" a="1"/>
  <c r="C2550" i="1" s="1"/>
  <c r="C2551" i="1" a="1"/>
  <c r="C2551" i="1" s="1"/>
  <c r="C2552" i="1" a="1"/>
  <c r="C2552" i="1" s="1"/>
  <c r="C2553" i="1" a="1"/>
  <c r="C2553" i="1" s="1"/>
  <c r="C2554" i="1" a="1"/>
  <c r="C2554" i="1"/>
  <c r="C2555" i="1" a="1"/>
  <c r="C2555" i="1" s="1"/>
  <c r="C2556" i="1" a="1"/>
  <c r="C2556" i="1" s="1"/>
  <c r="C2557" i="1" a="1"/>
  <c r="C2557" i="1" s="1"/>
  <c r="C2558" i="1" a="1"/>
  <c r="C2558" i="1" s="1"/>
  <c r="C2559" i="1" a="1"/>
  <c r="C2559" i="1" s="1"/>
  <c r="C2560" i="1" a="1"/>
  <c r="C2560" i="1" s="1"/>
  <c r="C2561" i="1" a="1"/>
  <c r="C2561" i="1" s="1"/>
  <c r="C2562" i="1" a="1"/>
  <c r="C2562" i="1" s="1"/>
  <c r="C2563" i="1" a="1"/>
  <c r="C2563" i="1" s="1"/>
  <c r="C2564" i="1" a="1"/>
  <c r="C2564" i="1" s="1"/>
  <c r="C2565" i="1" a="1"/>
  <c r="C2565" i="1"/>
  <c r="C2566" i="1" a="1"/>
  <c r="C2566" i="1" s="1"/>
  <c r="C2567" i="1" a="1"/>
  <c r="C2567" i="1" s="1"/>
  <c r="C2568" i="1" a="1"/>
  <c r="C2568" i="1" s="1"/>
  <c r="C2569" i="1" a="1"/>
  <c r="C2569" i="1" s="1"/>
  <c r="C2570" i="1" a="1"/>
  <c r="C2570" i="1"/>
  <c r="C2571" i="1" a="1"/>
  <c r="C2571" i="1" s="1"/>
  <c r="C2572" i="1" a="1"/>
  <c r="C2572" i="1"/>
  <c r="C2573" i="1" a="1"/>
  <c r="C2573" i="1" s="1"/>
  <c r="C2574" i="1" a="1"/>
  <c r="C2574" i="1" s="1"/>
  <c r="C2575" i="1" a="1"/>
  <c r="C2575" i="1"/>
  <c r="C2576" i="1" a="1"/>
  <c r="C2576" i="1" s="1"/>
  <c r="C2577" i="1" a="1"/>
  <c r="C2577" i="1" s="1"/>
  <c r="C2578" i="1" a="1"/>
  <c r="C2578" i="1" s="1"/>
  <c r="C2579" i="1" a="1"/>
  <c r="C2579" i="1" s="1"/>
  <c r="C2580" i="1" a="1"/>
  <c r="C2580" i="1" s="1"/>
  <c r="C2581" i="1" a="1"/>
  <c r="C2581" i="1" s="1"/>
  <c r="C2582" i="1" a="1"/>
  <c r="C2582" i="1" s="1"/>
  <c r="C2583" i="1" a="1"/>
  <c r="C2583" i="1" s="1"/>
  <c r="C2584" i="1" a="1"/>
  <c r="C2584" i="1" s="1"/>
  <c r="C2585" i="1" a="1"/>
  <c r="C2585" i="1" s="1"/>
  <c r="C2586" i="1" a="1"/>
  <c r="C2586" i="1" s="1"/>
  <c r="C2587" i="1" a="1"/>
  <c r="C2587" i="1" s="1"/>
  <c r="C2588" i="1" a="1"/>
  <c r="C2588" i="1" s="1"/>
  <c r="C2589" i="1" a="1"/>
  <c r="C2589" i="1" s="1"/>
  <c r="C2590" i="1" a="1"/>
  <c r="C2590" i="1" s="1"/>
  <c r="C2591" i="1" a="1"/>
  <c r="C2591" i="1"/>
  <c r="C2592" i="1" a="1"/>
  <c r="C2592" i="1" s="1"/>
  <c r="C2593" i="1" a="1"/>
  <c r="C2593" i="1" s="1"/>
  <c r="C2594" i="1" a="1"/>
  <c r="C2594" i="1" s="1"/>
  <c r="C2595" i="1" a="1"/>
  <c r="C2595" i="1"/>
  <c r="C2596" i="1" a="1"/>
  <c r="C2596" i="1"/>
  <c r="C2597" i="1" a="1"/>
  <c r="C2597" i="1" s="1"/>
  <c r="C2598" i="1" a="1"/>
  <c r="C2598" i="1" s="1"/>
  <c r="C2599" i="1" a="1"/>
  <c r="C2599" i="1"/>
  <c r="C2600" i="1" a="1"/>
  <c r="C2600" i="1" s="1"/>
  <c r="C2601" i="1" a="1"/>
  <c r="C2601" i="1" s="1"/>
  <c r="C2602" i="1" a="1"/>
  <c r="C2602" i="1" s="1"/>
  <c r="C2603" i="1" a="1"/>
  <c r="C2603" i="1" s="1"/>
  <c r="C2604" i="1" a="1"/>
  <c r="C2604" i="1" s="1"/>
  <c r="C2605" i="1" a="1"/>
  <c r="C2605" i="1" s="1"/>
  <c r="C2606" i="1" a="1"/>
  <c r="C2606" i="1" s="1"/>
  <c r="C2607" i="1" a="1"/>
  <c r="C2607" i="1" s="1"/>
  <c r="C2608" i="1" a="1"/>
  <c r="C2608" i="1" s="1"/>
  <c r="C2609" i="1" a="1"/>
  <c r="C2609" i="1" s="1"/>
  <c r="C2610" i="1" a="1"/>
  <c r="C2610" i="1" s="1"/>
  <c r="C2611" i="1" a="1"/>
  <c r="C2611" i="1" s="1"/>
  <c r="C2612" i="1" a="1"/>
  <c r="C2612" i="1"/>
  <c r="C2613" i="1" a="1"/>
  <c r="C2613" i="1" s="1"/>
  <c r="C2614" i="1" a="1"/>
  <c r="C2614" i="1" s="1"/>
  <c r="C2615" i="1" a="1"/>
  <c r="C2615" i="1" s="1"/>
  <c r="C2616" i="1" a="1"/>
  <c r="C2616" i="1" s="1"/>
  <c r="C2617" i="1" a="1"/>
  <c r="C2617" i="1" s="1"/>
  <c r="C2618" i="1" a="1"/>
  <c r="C2618" i="1"/>
  <c r="C2619" i="1" a="1"/>
  <c r="C2619" i="1" s="1"/>
  <c r="C2620" i="1" a="1"/>
  <c r="C2620" i="1" s="1"/>
  <c r="C2621" i="1" a="1"/>
  <c r="C2621" i="1"/>
  <c r="C2622" i="1" a="1"/>
  <c r="C2622" i="1" s="1"/>
  <c r="C2623" i="1" a="1"/>
  <c r="C2623" i="1"/>
  <c r="C2624" i="1" a="1"/>
  <c r="C2624" i="1" s="1"/>
  <c r="C2625" i="1" a="1"/>
  <c r="C2625" i="1" s="1"/>
  <c r="C2626" i="1" a="1"/>
  <c r="C2626" i="1" s="1"/>
  <c r="C2627" i="1" a="1"/>
  <c r="C2627" i="1" s="1"/>
  <c r="C2628" i="1" a="1"/>
  <c r="C2628" i="1"/>
  <c r="C2629" i="1" a="1"/>
  <c r="C2629" i="1" s="1"/>
  <c r="C2630" i="1" a="1"/>
  <c r="C2630" i="1" s="1"/>
  <c r="C2631" i="1" a="1"/>
  <c r="C2631" i="1" s="1"/>
  <c r="C2632" i="1" a="1"/>
  <c r="C2632" i="1" s="1"/>
  <c r="C2633" i="1" a="1"/>
  <c r="C2633" i="1"/>
  <c r="C2634" i="1" a="1"/>
  <c r="C2634" i="1" s="1"/>
  <c r="C2635" i="1" a="1"/>
  <c r="C2635" i="1" s="1"/>
  <c r="C2636" i="1" a="1"/>
  <c r="C2636" i="1"/>
  <c r="C2637" i="1" a="1"/>
  <c r="C2637" i="1" s="1"/>
  <c r="C2638" i="1" a="1"/>
  <c r="C2638" i="1" s="1"/>
  <c r="C2639" i="1" a="1"/>
  <c r="C2639" i="1" s="1"/>
  <c r="C2640" i="1" a="1"/>
  <c r="C2640" i="1" s="1"/>
  <c r="C2641" i="1" a="1"/>
  <c r="C2641" i="1" s="1"/>
  <c r="C2642" i="1" a="1"/>
  <c r="C2642" i="1" s="1"/>
  <c r="C2643" i="1" a="1"/>
  <c r="C2643" i="1" s="1"/>
  <c r="C2644" i="1" a="1"/>
  <c r="C2644" i="1" s="1"/>
  <c r="C2645" i="1" a="1"/>
  <c r="C2645" i="1" s="1"/>
  <c r="C2646" i="1" a="1"/>
  <c r="C2646" i="1" s="1"/>
  <c r="C2647" i="1" a="1"/>
  <c r="C2647" i="1" s="1"/>
  <c r="C2648" i="1" a="1"/>
  <c r="C2648" i="1"/>
  <c r="C2649" i="1" a="1"/>
  <c r="C2649" i="1" s="1"/>
  <c r="C2650" i="1" a="1"/>
  <c r="C2650" i="1" s="1"/>
  <c r="C2651" i="1" a="1"/>
  <c r="C2651" i="1" s="1"/>
  <c r="C2652" i="1" a="1"/>
  <c r="C2652" i="1" s="1"/>
  <c r="C2653" i="1" a="1"/>
  <c r="C2653" i="1" s="1"/>
  <c r="C2654" i="1" a="1"/>
  <c r="C2654" i="1"/>
  <c r="C2655" i="1" a="1"/>
  <c r="C2655" i="1" s="1"/>
  <c r="C2656" i="1" a="1"/>
  <c r="C2656" i="1" s="1"/>
  <c r="C2657" i="1" a="1"/>
  <c r="C2657" i="1" s="1"/>
  <c r="C2658" i="1" a="1"/>
  <c r="C2658" i="1" s="1"/>
  <c r="C2659" i="1" a="1"/>
  <c r="C2659" i="1" s="1"/>
  <c r="C2660" i="1" a="1"/>
  <c r="C2660" i="1" s="1"/>
  <c r="C2661" i="1" a="1"/>
  <c r="C2661" i="1" s="1"/>
  <c r="C2662" i="1" a="1"/>
  <c r="C2662" i="1"/>
  <c r="C2663" i="1" a="1"/>
  <c r="C2663" i="1" s="1"/>
  <c r="C2664" i="1" a="1"/>
  <c r="C2664" i="1" s="1"/>
  <c r="C2665" i="1" a="1"/>
  <c r="C2665" i="1" s="1"/>
  <c r="C2666" i="1" a="1"/>
  <c r="C2666" i="1" s="1"/>
  <c r="C2667" i="1" a="1"/>
  <c r="C2667" i="1" s="1"/>
  <c r="C2668" i="1" a="1"/>
  <c r="C2668" i="1" s="1"/>
  <c r="C2669" i="1" a="1"/>
  <c r="C2669" i="1"/>
  <c r="C2670" i="1" a="1"/>
  <c r="C2670" i="1" s="1"/>
  <c r="C2671" i="1" a="1"/>
  <c r="C2671" i="1" s="1"/>
  <c r="C2672" i="1" a="1"/>
  <c r="C2672" i="1" s="1"/>
  <c r="C2673" i="1" a="1"/>
  <c r="C2673" i="1" s="1"/>
  <c r="C2674" i="1" a="1"/>
  <c r="C2674" i="1" s="1"/>
  <c r="C2675" i="1" a="1"/>
  <c r="C2675" i="1"/>
  <c r="C2676" i="1" a="1"/>
  <c r="C2676" i="1" s="1"/>
  <c r="C2677" i="1" a="1"/>
  <c r="C2677" i="1" s="1"/>
  <c r="C2678" i="1" a="1"/>
  <c r="C2678" i="1" s="1"/>
  <c r="C2679" i="1" a="1"/>
  <c r="C2679" i="1" s="1"/>
  <c r="C2680" i="1" a="1"/>
  <c r="C2680" i="1" s="1"/>
  <c r="C2681" i="1" a="1"/>
  <c r="C2681" i="1" s="1"/>
  <c r="C2682" i="1" a="1"/>
  <c r="C2682" i="1" s="1"/>
  <c r="C2683" i="1" a="1"/>
  <c r="C2683" i="1" s="1"/>
  <c r="C2684" i="1" a="1"/>
  <c r="C2684" i="1" s="1"/>
  <c r="C2685" i="1" a="1"/>
  <c r="C2685" i="1" s="1"/>
  <c r="C2686" i="1" a="1"/>
  <c r="C2686" i="1" s="1"/>
  <c r="C2687" i="1" a="1"/>
  <c r="C2687" i="1" s="1"/>
  <c r="C2688" i="1" a="1"/>
  <c r="C2688" i="1" s="1"/>
  <c r="C2689" i="1" a="1"/>
  <c r="C2689" i="1"/>
  <c r="C2690" i="1" a="1"/>
  <c r="C2690" i="1"/>
  <c r="C2691" i="1" a="1"/>
  <c r="C2691" i="1" s="1"/>
  <c r="C2692" i="1" a="1"/>
  <c r="C2692" i="1" s="1"/>
  <c r="C2693" i="1" a="1"/>
  <c r="C2693" i="1" s="1"/>
  <c r="C2694" i="1" a="1"/>
  <c r="C2694" i="1" s="1"/>
  <c r="C2695" i="1" a="1"/>
  <c r="C2695" i="1" s="1"/>
  <c r="C2696" i="1" a="1"/>
  <c r="C2696" i="1" s="1"/>
  <c r="C2697" i="1" a="1"/>
  <c r="C2697" i="1" s="1"/>
  <c r="C2698" i="1" a="1"/>
  <c r="C2698" i="1" s="1"/>
  <c r="C2699" i="1" a="1"/>
  <c r="C2699" i="1" s="1"/>
  <c r="C2700" i="1" a="1"/>
  <c r="C2700" i="1" s="1"/>
  <c r="C2701" i="1" a="1"/>
  <c r="C2701" i="1" s="1"/>
  <c r="C2702" i="1" a="1"/>
  <c r="C2702" i="1" s="1"/>
  <c r="C2703" i="1" a="1"/>
  <c r="C2703" i="1" s="1"/>
  <c r="C2704" i="1" a="1"/>
  <c r="C2704" i="1" s="1"/>
  <c r="C2705" i="1" a="1"/>
  <c r="C2705" i="1"/>
  <c r="C2706" i="1" a="1"/>
  <c r="C2706" i="1" s="1"/>
  <c r="C2707" i="1" a="1"/>
  <c r="C2707" i="1" s="1"/>
  <c r="C2708" i="1" a="1"/>
  <c r="C2708" i="1" s="1"/>
  <c r="C2709" i="1" a="1"/>
  <c r="C2709" i="1" s="1"/>
  <c r="C2710" i="1" a="1"/>
  <c r="C2710" i="1" s="1"/>
  <c r="C2711" i="1" a="1"/>
  <c r="C2711" i="1"/>
  <c r="C2712" i="1" a="1"/>
  <c r="C2712" i="1" s="1"/>
  <c r="C2713" i="1" a="1"/>
  <c r="C2713" i="1" s="1"/>
  <c r="C2714" i="1" a="1"/>
  <c r="C2714" i="1" s="1"/>
  <c r="C2715" i="1" a="1"/>
  <c r="C2715" i="1" s="1"/>
  <c r="C2716" i="1" a="1"/>
  <c r="C2716" i="1" s="1"/>
  <c r="C2717" i="1" a="1"/>
  <c r="C2717" i="1" s="1"/>
  <c r="C2718" i="1" a="1"/>
  <c r="C2718" i="1" s="1"/>
  <c r="C2719" i="1" a="1"/>
  <c r="C2719" i="1" s="1"/>
  <c r="C2720" i="1" a="1"/>
  <c r="C2720" i="1" s="1"/>
  <c r="C2721" i="1" a="1"/>
  <c r="C2721" i="1" s="1"/>
  <c r="C2722" i="1" a="1"/>
  <c r="C2722" i="1" s="1"/>
  <c r="C2723" i="1" a="1"/>
  <c r="C2723" i="1" s="1"/>
  <c r="C2724" i="1" a="1"/>
  <c r="C2724" i="1" s="1"/>
  <c r="C2725" i="1" a="1"/>
  <c r="C2725" i="1" s="1"/>
  <c r="C2726" i="1" a="1"/>
  <c r="C2726" i="1"/>
  <c r="C2727" i="1" a="1"/>
  <c r="C2727" i="1" s="1"/>
  <c r="C2728" i="1" a="1"/>
  <c r="C2728" i="1" s="1"/>
  <c r="C2729" i="1" a="1"/>
  <c r="C2729" i="1" s="1"/>
  <c r="C2730" i="1" a="1"/>
  <c r="C2730" i="1" s="1"/>
  <c r="C2731" i="1" a="1"/>
  <c r="C2731" i="1"/>
  <c r="C2732" i="1" a="1"/>
  <c r="C2732" i="1"/>
  <c r="C2733" i="1" a="1"/>
  <c r="C2733" i="1" s="1"/>
  <c r="C2734" i="1" a="1"/>
  <c r="C2734" i="1" s="1"/>
  <c r="C2735" i="1" a="1"/>
  <c r="C2735" i="1" s="1"/>
  <c r="C2736" i="1" a="1"/>
  <c r="C2736" i="1" s="1"/>
  <c r="C2737" i="1" a="1"/>
  <c r="C2737" i="1" s="1"/>
  <c r="C2738" i="1" a="1"/>
  <c r="C2738" i="1" s="1"/>
  <c r="C2739" i="1" a="1"/>
  <c r="C2739" i="1" s="1"/>
  <c r="C2740" i="1" a="1"/>
  <c r="C2740" i="1" s="1"/>
  <c r="C2741" i="1" a="1"/>
  <c r="C2741" i="1" s="1"/>
  <c r="C2742" i="1" a="1"/>
  <c r="C2742" i="1" s="1"/>
  <c r="C2743" i="1" a="1"/>
  <c r="C2743" i="1" s="1"/>
  <c r="C2744" i="1" a="1"/>
  <c r="C2744" i="1" s="1"/>
  <c r="C2745" i="1" a="1"/>
  <c r="C2745" i="1" s="1"/>
  <c r="C2746" i="1" a="1"/>
  <c r="C2746" i="1" s="1"/>
  <c r="C2747" i="1" a="1"/>
  <c r="C2747" i="1" s="1"/>
  <c r="C2748" i="1" a="1"/>
  <c r="C2748" i="1" s="1"/>
  <c r="C2749" i="1" a="1"/>
  <c r="C2749" i="1" s="1"/>
  <c r="C2750" i="1" a="1"/>
  <c r="C2750" i="1" s="1"/>
  <c r="C2751" i="1" a="1"/>
  <c r="C2751" i="1" s="1"/>
  <c r="C2752" i="1" a="1"/>
  <c r="C2752" i="1"/>
  <c r="C2753" i="1" a="1"/>
  <c r="C2753" i="1" s="1"/>
  <c r="C2754" i="1" a="1"/>
  <c r="C2754" i="1"/>
  <c r="C2755" i="1" a="1"/>
  <c r="C2755" i="1" s="1"/>
  <c r="C2756" i="1" a="1"/>
  <c r="C2756" i="1" s="1"/>
  <c r="C2757" i="1" a="1"/>
  <c r="C2757" i="1" s="1"/>
  <c r="C2758" i="1" a="1"/>
  <c r="C2758" i="1" s="1"/>
  <c r="C2759" i="1" a="1"/>
  <c r="C2759" i="1" s="1"/>
  <c r="C2760" i="1" a="1"/>
  <c r="C2760" i="1" s="1"/>
  <c r="C2761" i="1" a="1"/>
  <c r="C2761" i="1" s="1"/>
  <c r="C2762" i="1" a="1"/>
  <c r="C2762" i="1" s="1"/>
  <c r="C2763" i="1" a="1"/>
  <c r="C2763" i="1" s="1"/>
  <c r="C2764" i="1" a="1"/>
  <c r="C2764" i="1" s="1"/>
  <c r="C2765" i="1" a="1"/>
  <c r="C2765" i="1" s="1"/>
  <c r="C2766" i="1" a="1"/>
  <c r="C2766" i="1" s="1"/>
  <c r="C2767" i="1" a="1"/>
  <c r="C2767" i="1" s="1"/>
  <c r="C2768" i="1" a="1"/>
  <c r="C2768" i="1" s="1"/>
  <c r="C2769" i="1" a="1"/>
  <c r="C2769" i="1" s="1"/>
  <c r="C2770" i="1" a="1"/>
  <c r="C2770" i="1" s="1"/>
  <c r="C2771" i="1" a="1"/>
  <c r="C2771" i="1" s="1"/>
  <c r="C2772" i="1" a="1"/>
  <c r="C2772" i="1" s="1"/>
  <c r="C2773" i="1" a="1"/>
  <c r="C2773" i="1" s="1"/>
  <c r="C2774" i="1" a="1"/>
  <c r="C2774" i="1" s="1"/>
  <c r="C2775" i="1" a="1"/>
  <c r="C2775" i="1"/>
  <c r="C2776" i="1" a="1"/>
  <c r="C2776" i="1" s="1"/>
  <c r="C2777" i="1" a="1"/>
  <c r="C2777" i="1" s="1"/>
  <c r="C2778" i="1" a="1"/>
  <c r="C2778" i="1"/>
  <c r="C2779" i="1" a="1"/>
  <c r="C2779" i="1" s="1"/>
  <c r="C2780" i="1" a="1"/>
  <c r="C2780" i="1" s="1"/>
  <c r="C2781" i="1" a="1"/>
  <c r="C2781" i="1" s="1"/>
  <c r="C2782" i="1" a="1"/>
  <c r="C2782" i="1" s="1"/>
  <c r="C2783" i="1" a="1"/>
  <c r="C2783" i="1" s="1"/>
  <c r="C2784" i="1" a="1"/>
  <c r="C2784" i="1" s="1"/>
  <c r="C2785" i="1" a="1"/>
  <c r="C2785" i="1" s="1"/>
  <c r="C2786" i="1" a="1"/>
  <c r="C2786" i="1" s="1"/>
  <c r="C2787" i="1" a="1"/>
  <c r="C2787" i="1" s="1"/>
  <c r="C2788" i="1" a="1"/>
  <c r="C2788" i="1" s="1"/>
  <c r="C2789" i="1" a="1"/>
  <c r="C2789" i="1" s="1"/>
  <c r="C2790" i="1" a="1"/>
  <c r="C2790" i="1" s="1"/>
  <c r="C2791" i="1" a="1"/>
  <c r="C2791" i="1" s="1"/>
  <c r="C2792" i="1" a="1"/>
  <c r="C2792" i="1" s="1"/>
  <c r="C2793" i="1" a="1"/>
  <c r="C2793" i="1"/>
  <c r="C2794" i="1" a="1"/>
  <c r="C2794" i="1" s="1"/>
  <c r="C2795" i="1" a="1"/>
  <c r="C2795" i="1" s="1"/>
  <c r="C2796" i="1" a="1"/>
  <c r="C2796" i="1"/>
  <c r="C2797" i="1" a="1"/>
  <c r="C2797" i="1" s="1"/>
  <c r="C2798" i="1" a="1"/>
  <c r="C2798" i="1" s="1"/>
  <c r="C2799" i="1" a="1"/>
  <c r="C2799" i="1" s="1"/>
  <c r="C2800" i="1" a="1"/>
  <c r="C2800" i="1" s="1"/>
  <c r="C2801" i="1" a="1"/>
  <c r="C2801" i="1" s="1"/>
  <c r="C2802" i="1" a="1"/>
  <c r="C2802" i="1"/>
  <c r="C2803" i="1" a="1"/>
  <c r="C2803" i="1" s="1"/>
  <c r="C2804" i="1" a="1"/>
  <c r="C2804" i="1" s="1"/>
  <c r="C2805" i="1" a="1"/>
  <c r="C2805" i="1" s="1"/>
  <c r="C2806" i="1" a="1"/>
  <c r="C2806" i="1" s="1"/>
  <c r="C2807" i="1" a="1"/>
  <c r="C2807" i="1" s="1"/>
  <c r="C2808" i="1" a="1"/>
  <c r="C2808" i="1" s="1"/>
  <c r="C2809" i="1" a="1"/>
  <c r="C2809" i="1" s="1"/>
  <c r="C2810" i="1" a="1"/>
  <c r="C2810" i="1" s="1"/>
  <c r="C2811" i="1" a="1"/>
  <c r="C2811" i="1" s="1"/>
  <c r="C2812" i="1" a="1"/>
  <c r="C2812" i="1"/>
  <c r="C2813" i="1" a="1"/>
  <c r="C2813" i="1" s="1"/>
  <c r="C2814" i="1" a="1"/>
  <c r="C2814" i="1" s="1"/>
  <c r="C2815" i="1" a="1"/>
  <c r="C2815" i="1" s="1"/>
  <c r="C2816" i="1" a="1"/>
  <c r="C2816" i="1"/>
  <c r="C2817" i="1" a="1"/>
  <c r="C2817" i="1" s="1"/>
  <c r="C2818" i="1" a="1"/>
  <c r="C2818" i="1"/>
  <c r="C2819" i="1" a="1"/>
  <c r="C2819" i="1" s="1"/>
  <c r="C2820" i="1" a="1"/>
  <c r="C2820" i="1"/>
  <c r="C2821" i="1" a="1"/>
  <c r="C2821" i="1" s="1"/>
  <c r="C2822" i="1" a="1"/>
  <c r="C2822" i="1" s="1"/>
  <c r="C2823" i="1" a="1"/>
  <c r="C2823" i="1" s="1"/>
  <c r="C2824" i="1" a="1"/>
  <c r="C2824" i="1" s="1"/>
  <c r="C2825" i="1" a="1"/>
  <c r="C2825" i="1" s="1"/>
  <c r="C2826" i="1" a="1"/>
  <c r="C2826" i="1" s="1"/>
  <c r="C2827" i="1" a="1"/>
  <c r="C2827" i="1" s="1"/>
  <c r="C2828" i="1" a="1"/>
  <c r="C2828" i="1" s="1"/>
  <c r="C2829" i="1" a="1"/>
  <c r="C2829" i="1" s="1"/>
  <c r="C2830" i="1" a="1"/>
  <c r="C2830" i="1" s="1"/>
  <c r="C2831" i="1" a="1"/>
  <c r="C2831" i="1" s="1"/>
  <c r="C2832" i="1" a="1"/>
  <c r="C2832" i="1" s="1"/>
  <c r="C2833" i="1" a="1"/>
  <c r="C2833" i="1"/>
  <c r="C2834" i="1" a="1"/>
  <c r="C2834" i="1" s="1"/>
  <c r="C2835" i="1" a="1"/>
  <c r="C2835" i="1" s="1"/>
  <c r="C2836" i="1" a="1"/>
  <c r="C2836" i="1" s="1"/>
  <c r="C2837" i="1" a="1"/>
  <c r="C2837" i="1" s="1"/>
  <c r="C2838" i="1" a="1"/>
  <c r="C2838" i="1" s="1"/>
  <c r="C2839" i="1" a="1"/>
  <c r="C2839" i="1" s="1"/>
  <c r="C2840" i="1" a="1"/>
  <c r="C2840" i="1" s="1"/>
  <c r="C2841" i="1" a="1"/>
  <c r="C2841" i="1" s="1"/>
  <c r="C2842" i="1" a="1"/>
  <c r="C2842" i="1" s="1"/>
  <c r="C2843" i="1" a="1"/>
  <c r="C2843" i="1" s="1"/>
  <c r="C2844" i="1" a="1"/>
  <c r="C2844" i="1" s="1"/>
  <c r="C2845" i="1" a="1"/>
  <c r="C2845" i="1" s="1"/>
  <c r="C2846" i="1" a="1"/>
  <c r="C2846" i="1" s="1"/>
  <c r="C2847" i="1" a="1"/>
  <c r="C2847" i="1" s="1"/>
  <c r="C2848" i="1" a="1"/>
  <c r="C2848" i="1" s="1"/>
  <c r="C2849" i="1" a="1"/>
  <c r="C2849" i="1"/>
  <c r="C2850" i="1" a="1"/>
  <c r="C2850" i="1" s="1"/>
  <c r="C2851" i="1" a="1"/>
  <c r="C2851" i="1" s="1"/>
  <c r="C2852" i="1" a="1"/>
  <c r="C2852" i="1" s="1"/>
  <c r="C2853" i="1" a="1"/>
  <c r="C2853" i="1" s="1"/>
  <c r="C2854" i="1" a="1"/>
  <c r="C2854" i="1"/>
  <c r="C2855" i="1" a="1"/>
  <c r="C2855" i="1" s="1"/>
  <c r="C2856" i="1" a="1"/>
  <c r="C2856" i="1" s="1"/>
  <c r="C2857" i="1" a="1"/>
  <c r="C2857" i="1" s="1"/>
  <c r="C2858" i="1" a="1"/>
  <c r="C2858" i="1" s="1"/>
  <c r="C2859" i="1" a="1"/>
  <c r="C2859" i="1" s="1"/>
  <c r="C2860" i="1" a="1"/>
  <c r="C2860" i="1" s="1"/>
  <c r="C2861" i="1" a="1"/>
  <c r="C2861" i="1" s="1"/>
  <c r="C2862" i="1" a="1"/>
  <c r="C2862" i="1"/>
  <c r="C2863" i="1" a="1"/>
  <c r="C2863" i="1"/>
  <c r="C2864" i="1" a="1"/>
  <c r="C2864" i="1" s="1"/>
  <c r="C2865" i="1" a="1"/>
  <c r="C2865" i="1" s="1"/>
  <c r="C2866" i="1" a="1"/>
  <c r="C2866" i="1" s="1"/>
  <c r="C2867" i="1" a="1"/>
  <c r="C2867" i="1" s="1"/>
  <c r="C2868" i="1" a="1"/>
  <c r="C2868" i="1"/>
  <c r="C2869" i="1" a="1"/>
  <c r="C2869" i="1" s="1"/>
  <c r="C2870" i="1" a="1"/>
  <c r="C2870" i="1" s="1"/>
  <c r="C2871" i="1" a="1"/>
  <c r="C2871" i="1" s="1"/>
  <c r="C2872" i="1" a="1"/>
  <c r="C2872" i="1" s="1"/>
  <c r="C2873" i="1" a="1"/>
  <c r="C2873" i="1" s="1"/>
  <c r="C2874" i="1" a="1"/>
  <c r="C2874" i="1" s="1"/>
  <c r="C2875" i="1" a="1"/>
  <c r="C2875" i="1"/>
  <c r="C2876" i="1" a="1"/>
  <c r="C2876" i="1" s="1"/>
  <c r="C2877" i="1" a="1"/>
  <c r="C2877" i="1" s="1"/>
  <c r="C2878" i="1" a="1"/>
  <c r="C2878" i="1" s="1"/>
  <c r="C2879" i="1" a="1"/>
  <c r="C2879" i="1" s="1"/>
  <c r="C2880" i="1" a="1"/>
  <c r="C2880" i="1" s="1"/>
  <c r="C2881" i="1" a="1"/>
  <c r="C2881" i="1"/>
  <c r="C2882" i="1" a="1"/>
  <c r="C2882" i="1" s="1"/>
  <c r="C2883" i="1" a="1"/>
  <c r="C2883" i="1"/>
  <c r="C2884" i="1" a="1"/>
  <c r="C2884" i="1" s="1"/>
  <c r="C2885" i="1" a="1"/>
  <c r="C2885" i="1" s="1"/>
  <c r="C2886" i="1" a="1"/>
  <c r="C2886" i="1"/>
  <c r="C2887" i="1" a="1"/>
  <c r="C2887" i="1" s="1"/>
  <c r="C2888" i="1" a="1"/>
  <c r="C2888" i="1" s="1"/>
  <c r="C2889" i="1" a="1"/>
  <c r="C2889" i="1"/>
  <c r="C2890" i="1" a="1"/>
  <c r="C2890" i="1" s="1"/>
  <c r="C2891" i="1" a="1"/>
  <c r="C2891" i="1"/>
  <c r="C2892" i="1" a="1"/>
  <c r="C2892" i="1" s="1"/>
  <c r="C2893" i="1" a="1"/>
  <c r="C2893" i="1" s="1"/>
  <c r="C2894" i="1" a="1"/>
  <c r="C2894" i="1" s="1"/>
  <c r="C2895" i="1" a="1"/>
  <c r="C2895" i="1" s="1"/>
  <c r="C2896" i="1" a="1"/>
  <c r="C2896" i="1" s="1"/>
  <c r="C2897" i="1" a="1"/>
  <c r="C2897" i="1" s="1"/>
  <c r="C2898" i="1" a="1"/>
  <c r="C2898" i="1" s="1"/>
  <c r="C2899" i="1" a="1"/>
  <c r="C2899" i="1" s="1"/>
  <c r="C2900" i="1" a="1"/>
  <c r="C2900" i="1" s="1"/>
  <c r="C2901" i="1" a="1"/>
  <c r="C2901" i="1" s="1"/>
  <c r="C2902" i="1" a="1"/>
  <c r="C2902" i="1" s="1"/>
  <c r="C2903" i="1" a="1"/>
  <c r="C2903" i="1" s="1"/>
  <c r="C2904" i="1" a="1"/>
  <c r="C2904" i="1"/>
  <c r="C2905" i="1" a="1"/>
  <c r="C2905" i="1"/>
  <c r="C2906" i="1" a="1"/>
  <c r="C2906" i="1" s="1"/>
  <c r="C2907" i="1" a="1"/>
  <c r="C2907" i="1" s="1"/>
  <c r="C2908" i="1" a="1"/>
  <c r="C2908" i="1" s="1"/>
  <c r="C2909" i="1" a="1"/>
  <c r="C2909" i="1" s="1"/>
  <c r="C2910" i="1" a="1"/>
  <c r="C2910" i="1"/>
  <c r="C2911" i="1" a="1"/>
  <c r="C2911" i="1" s="1"/>
  <c r="C2912" i="1" a="1"/>
  <c r="C2912" i="1" s="1"/>
  <c r="C2913" i="1" a="1"/>
  <c r="C2913" i="1" s="1"/>
  <c r="C2914" i="1" a="1"/>
  <c r="C2914" i="1" s="1"/>
  <c r="C2915" i="1" a="1"/>
  <c r="C2915" i="1" s="1"/>
  <c r="C2916" i="1" a="1"/>
  <c r="C2916" i="1" s="1"/>
  <c r="C2917" i="1" a="1"/>
  <c r="C2917" i="1" s="1"/>
  <c r="C2918" i="1" a="1"/>
  <c r="C2918" i="1" s="1"/>
  <c r="C2919" i="1" a="1"/>
  <c r="C2919" i="1" s="1"/>
  <c r="C2920" i="1" a="1"/>
  <c r="C2920" i="1" s="1"/>
  <c r="C2921" i="1" a="1"/>
  <c r="C2921" i="1" s="1"/>
  <c r="C2922" i="1" a="1"/>
  <c r="C2922" i="1" s="1"/>
  <c r="C2923" i="1" a="1"/>
  <c r="C2923" i="1" s="1"/>
  <c r="C2924" i="1" a="1"/>
  <c r="C2924" i="1" s="1"/>
  <c r="C2925" i="1" a="1"/>
  <c r="C2925" i="1"/>
  <c r="C2926" i="1" a="1"/>
  <c r="C2926" i="1" s="1"/>
  <c r="C2927" i="1" a="1"/>
  <c r="C2927" i="1" s="1"/>
  <c r="C2928" i="1" a="1"/>
  <c r="C2928" i="1" s="1"/>
  <c r="C2929" i="1" a="1"/>
  <c r="C2929" i="1" s="1"/>
  <c r="C2930" i="1" a="1"/>
  <c r="C2930" i="1"/>
  <c r="C2931" i="1" a="1"/>
  <c r="C2931" i="1"/>
  <c r="C2932" i="1" a="1"/>
  <c r="C2932" i="1"/>
  <c r="C2933" i="1" a="1"/>
  <c r="C2933" i="1" s="1"/>
  <c r="C2934" i="1" a="1"/>
  <c r="C2934" i="1" s="1"/>
  <c r="C2935" i="1" a="1"/>
  <c r="C2935" i="1" s="1"/>
  <c r="C2936" i="1" a="1"/>
  <c r="C2936" i="1" s="1"/>
  <c r="C2937" i="1" a="1"/>
  <c r="C2937" i="1" s="1"/>
  <c r="C2938" i="1" a="1"/>
  <c r="C2938" i="1" s="1"/>
  <c r="C2939" i="1" a="1"/>
  <c r="C2939" i="1" s="1"/>
  <c r="C2940" i="1" a="1"/>
  <c r="C2940" i="1" s="1"/>
  <c r="C2941" i="1" a="1"/>
  <c r="C2941" i="1" s="1"/>
  <c r="C2942" i="1" a="1"/>
  <c r="C2942" i="1" s="1"/>
  <c r="C2943" i="1" a="1"/>
  <c r="C2943" i="1" s="1"/>
  <c r="C2944" i="1" a="1"/>
  <c r="C2944" i="1" s="1"/>
  <c r="C2945" i="1" a="1"/>
  <c r="C2945" i="1" s="1"/>
  <c r="C2946" i="1" a="1"/>
  <c r="C2946" i="1"/>
  <c r="C2947" i="1" a="1"/>
  <c r="C2947" i="1" s="1"/>
  <c r="C2948" i="1" a="1"/>
  <c r="C2948" i="1" s="1"/>
  <c r="C2949" i="1" a="1"/>
  <c r="C2949" i="1" s="1"/>
  <c r="C2950" i="1" a="1"/>
  <c r="C2950" i="1" s="1"/>
  <c r="C2951" i="1" a="1"/>
  <c r="C2951" i="1" s="1"/>
  <c r="C2952" i="1" a="1"/>
  <c r="C2952" i="1"/>
  <c r="C2953" i="1" a="1"/>
  <c r="C2953" i="1" s="1"/>
  <c r="C2954" i="1" a="1"/>
  <c r="C2954" i="1" s="1"/>
  <c r="C2955" i="1" a="1"/>
  <c r="C2955" i="1" s="1"/>
  <c r="C2956" i="1" a="1"/>
  <c r="C2956" i="1" s="1"/>
  <c r="C2957" i="1" a="1"/>
  <c r="C2957" i="1" s="1"/>
  <c r="C2958" i="1" a="1"/>
  <c r="C2958" i="1"/>
  <c r="C2959" i="1" a="1"/>
  <c r="C2959" i="1" s="1"/>
  <c r="C2960" i="1" a="1"/>
  <c r="C2960" i="1" s="1"/>
  <c r="C2961" i="1" a="1"/>
  <c r="C2961" i="1" s="1"/>
  <c r="C2962" i="1" a="1"/>
  <c r="C2962" i="1" s="1"/>
  <c r="C2963" i="1" a="1"/>
  <c r="C2963" i="1" s="1"/>
  <c r="C2964" i="1" a="1"/>
  <c r="C2964" i="1" s="1"/>
  <c r="C2965" i="1" a="1"/>
  <c r="C2965" i="1" s="1"/>
  <c r="C2966" i="1" a="1"/>
  <c r="C2966" i="1" s="1"/>
  <c r="C2967" i="1" a="1"/>
  <c r="C2967" i="1" s="1"/>
  <c r="C2968" i="1" a="1"/>
  <c r="C2968" i="1" s="1"/>
  <c r="C2969" i="1" a="1"/>
  <c r="C2969" i="1" s="1"/>
  <c r="C2970" i="1" a="1"/>
  <c r="C2970" i="1" s="1"/>
  <c r="C2971" i="1" a="1"/>
  <c r="C2971" i="1" s="1"/>
  <c r="C2972" i="1" a="1"/>
  <c r="C2972" i="1"/>
  <c r="C2973" i="1" a="1"/>
  <c r="C2973" i="1"/>
  <c r="C2974" i="1" a="1"/>
  <c r="C2974" i="1" s="1"/>
  <c r="C2975" i="1" a="1"/>
  <c r="C2975" i="1"/>
  <c r="C2976" i="1" a="1"/>
  <c r="C2976" i="1" s="1"/>
  <c r="C2977" i="1" a="1"/>
  <c r="C2977" i="1" s="1"/>
  <c r="C2978" i="1" a="1"/>
  <c r="C2978" i="1"/>
  <c r="C2979" i="1" a="1"/>
  <c r="C2979" i="1" s="1"/>
  <c r="C2980" i="1" a="1"/>
  <c r="C2980" i="1" s="1"/>
  <c r="C2981" i="1" a="1"/>
  <c r="C2981" i="1" s="1"/>
  <c r="C2982" i="1" a="1"/>
  <c r="C2982" i="1" s="1"/>
  <c r="C2983" i="1" a="1"/>
  <c r="C2983" i="1" s="1"/>
  <c r="C2984" i="1" a="1"/>
  <c r="C2984" i="1" s="1"/>
  <c r="C2985" i="1" a="1"/>
  <c r="C2985" i="1" s="1"/>
  <c r="C2986" i="1" a="1"/>
  <c r="C2986" i="1" s="1"/>
  <c r="C2987" i="1" a="1"/>
  <c r="C2987" i="1" s="1"/>
  <c r="C2988" i="1" a="1"/>
  <c r="C2988" i="1" s="1"/>
  <c r="C2989" i="1" a="1"/>
  <c r="C2989" i="1" s="1"/>
  <c r="C2990" i="1" a="1"/>
  <c r="C2990" i="1" s="1"/>
  <c r="C2991" i="1" a="1"/>
  <c r="C2991" i="1"/>
  <c r="C2992" i="1" a="1"/>
  <c r="C2992" i="1" s="1"/>
  <c r="C2993" i="1" a="1"/>
  <c r="C2993" i="1"/>
  <c r="C2994" i="1" a="1"/>
  <c r="C2994" i="1" s="1"/>
  <c r="C2995" i="1" a="1"/>
  <c r="C2995" i="1"/>
  <c r="C2996" i="1" a="1"/>
  <c r="C2996" i="1"/>
  <c r="C2997" i="1" a="1"/>
  <c r="C2997" i="1" s="1"/>
  <c r="C2998" i="1" a="1"/>
  <c r="C2998" i="1" s="1"/>
  <c r="C2999" i="1" a="1"/>
  <c r="C2999" i="1" s="1"/>
  <c r="C3000" i="1" a="1"/>
  <c r="C3000" i="1"/>
  <c r="C3001" i="1" a="1"/>
  <c r="C3001" i="1" s="1"/>
  <c r="C3002" i="1" a="1"/>
  <c r="C3002" i="1" s="1"/>
  <c r="C3003" i="1" a="1"/>
  <c r="C3003" i="1" s="1"/>
  <c r="C3004" i="1" a="1"/>
  <c r="C3004" i="1" s="1"/>
  <c r="C3005" i="1" a="1"/>
  <c r="C3005" i="1" s="1"/>
  <c r="C3006" i="1" a="1"/>
  <c r="C3006" i="1" s="1"/>
  <c r="C3007" i="1" a="1"/>
  <c r="C3007" i="1" s="1"/>
  <c r="C3008" i="1" a="1"/>
  <c r="C3008" i="1" s="1"/>
  <c r="C3009" i="1" a="1"/>
  <c r="C3009" i="1" s="1"/>
  <c r="C3010" i="1" a="1"/>
  <c r="C3010" i="1" s="1"/>
  <c r="C3011" i="1" a="1"/>
  <c r="C3011" i="1" s="1"/>
  <c r="C3012" i="1" a="1"/>
  <c r="C3012" i="1" s="1"/>
  <c r="C3013" i="1" a="1"/>
  <c r="C3013" i="1" s="1"/>
  <c r="C3014" i="1" a="1"/>
  <c r="C3014" i="1" s="1"/>
  <c r="C3015" i="1" a="1"/>
  <c r="C3015" i="1" s="1"/>
  <c r="C3016" i="1" a="1"/>
  <c r="C3016" i="1"/>
  <c r="C3017" i="1" a="1"/>
  <c r="C3017" i="1" s="1"/>
  <c r="C3018" i="1" a="1"/>
  <c r="C3018" i="1"/>
  <c r="C3019" i="1" a="1"/>
  <c r="C3019" i="1" s="1"/>
  <c r="C3020" i="1" a="1"/>
  <c r="C3020" i="1"/>
  <c r="C3021" i="1" a="1"/>
  <c r="C3021" i="1" s="1"/>
  <c r="C3022" i="1" a="1"/>
  <c r="C3022" i="1" s="1"/>
  <c r="C3023" i="1" a="1"/>
  <c r="C3023" i="1" s="1"/>
  <c r="C3024" i="1" a="1"/>
  <c r="C3024" i="1" s="1"/>
  <c r="C3025" i="1" a="1"/>
  <c r="C3025" i="1" s="1"/>
  <c r="C3026" i="1" a="1"/>
  <c r="C3026" i="1" s="1"/>
  <c r="C3027" i="1" a="1"/>
  <c r="C3027" i="1" s="1"/>
  <c r="C3028" i="1" a="1"/>
  <c r="C3028" i="1" s="1"/>
  <c r="C3029" i="1" a="1"/>
  <c r="C3029" i="1" s="1"/>
  <c r="C3030" i="1" a="1"/>
  <c r="C3030" i="1" s="1"/>
  <c r="C3031" i="1" a="1"/>
  <c r="C3031" i="1" s="1"/>
  <c r="C3032" i="1" a="1"/>
  <c r="C3032" i="1" s="1"/>
  <c r="C3033" i="1" a="1"/>
  <c r="C3033" i="1"/>
  <c r="C3034" i="1" a="1"/>
  <c r="C3034" i="1" s="1"/>
  <c r="C3035" i="1" a="1"/>
  <c r="C3035" i="1"/>
  <c r="C3036" i="1" a="1"/>
  <c r="C3036" i="1" s="1"/>
  <c r="C3037" i="1" a="1"/>
  <c r="C3037" i="1" s="1"/>
  <c r="C3038" i="1" a="1"/>
  <c r="C3038" i="1" s="1"/>
  <c r="C3039" i="1" a="1"/>
  <c r="C3039" i="1"/>
  <c r="C3040" i="1" a="1"/>
  <c r="C3040" i="1" s="1"/>
  <c r="C3041" i="1" a="1"/>
  <c r="C3041" i="1" s="1"/>
  <c r="C3042" i="1" a="1"/>
  <c r="C3042" i="1" s="1"/>
  <c r="C3043" i="1" a="1"/>
  <c r="C3043" i="1" s="1"/>
  <c r="C3044" i="1" a="1"/>
  <c r="C3044" i="1" s="1"/>
  <c r="C3045" i="1" a="1"/>
  <c r="C3045" i="1" s="1"/>
  <c r="C3046" i="1" a="1"/>
  <c r="C3046" i="1" s="1"/>
  <c r="C3047" i="1" a="1"/>
  <c r="C3047" i="1" s="1"/>
  <c r="C3048" i="1" a="1"/>
  <c r="C3048" i="1" s="1"/>
  <c r="C3049" i="1" a="1"/>
  <c r="C3049" i="1" s="1"/>
  <c r="C3050" i="1" a="1"/>
  <c r="C3050" i="1" s="1"/>
  <c r="C3051" i="1" a="1"/>
  <c r="C3051" i="1" s="1"/>
  <c r="C3052" i="1" a="1"/>
  <c r="C3052" i="1" s="1"/>
  <c r="C3053" i="1" a="1"/>
  <c r="C3053" i="1" s="1"/>
  <c r="C3054" i="1" a="1"/>
  <c r="C3054" i="1" s="1"/>
  <c r="C3055" i="1" a="1"/>
  <c r="C3055" i="1" s="1"/>
  <c r="C3056" i="1" a="1"/>
  <c r="C3056" i="1" s="1"/>
  <c r="C3057" i="1" a="1"/>
  <c r="C3057" i="1" s="1"/>
  <c r="C3058" i="1" a="1"/>
  <c r="C3058" i="1" s="1"/>
  <c r="C3059" i="1" a="1"/>
  <c r="C3059" i="1" s="1"/>
  <c r="C3060" i="1" a="1"/>
  <c r="C3060" i="1" s="1"/>
  <c r="C3061" i="1" a="1"/>
  <c r="C3061" i="1" s="1"/>
  <c r="C3062" i="1" a="1"/>
  <c r="C3062" i="1" s="1"/>
  <c r="C3063" i="1" a="1"/>
  <c r="C3063" i="1"/>
  <c r="C3064" i="1" a="1"/>
  <c r="C3064" i="1" s="1"/>
  <c r="C3065" i="1" a="1"/>
  <c r="C3065" i="1"/>
  <c r="C3066" i="1" a="1"/>
  <c r="C3066" i="1" s="1"/>
  <c r="C3067" i="1" a="1"/>
  <c r="C3067" i="1" s="1"/>
  <c r="C3068" i="1" a="1"/>
  <c r="C3068" i="1" s="1"/>
  <c r="C3069" i="1" a="1"/>
  <c r="C3069" i="1" s="1"/>
  <c r="C3070" i="1" a="1"/>
  <c r="C3070" i="1" s="1"/>
  <c r="C3071" i="1" a="1"/>
  <c r="C3071" i="1"/>
  <c r="C3072" i="1" a="1"/>
  <c r="C3072" i="1" s="1"/>
  <c r="C3073" i="1" a="1"/>
  <c r="C3073" i="1" s="1"/>
  <c r="C3074" i="1" a="1"/>
  <c r="C3074" i="1" s="1"/>
  <c r="C3075" i="1" a="1"/>
  <c r="C3075" i="1" s="1"/>
  <c r="C3076" i="1" a="1"/>
  <c r="C3076" i="1" s="1"/>
  <c r="C3077" i="1" a="1"/>
  <c r="C3077" i="1" s="1"/>
  <c r="C3078" i="1" a="1"/>
  <c r="C3078" i="1" s="1"/>
  <c r="C3079" i="1" a="1"/>
  <c r="C3079" i="1" s="1"/>
  <c r="C3080" i="1" a="1"/>
  <c r="C3080" i="1" s="1"/>
  <c r="C3081" i="1" a="1"/>
  <c r="C3081" i="1" s="1"/>
  <c r="C3082" i="1" a="1"/>
  <c r="C3082" i="1" s="1"/>
  <c r="C3083" i="1" a="1"/>
  <c r="C3083" i="1" s="1"/>
  <c r="C3084" i="1" a="1"/>
  <c r="C3084" i="1" s="1"/>
  <c r="C3085" i="1" a="1"/>
  <c r="C3085" i="1" s="1"/>
  <c r="C3086" i="1" a="1"/>
  <c r="C3086" i="1"/>
  <c r="C3087" i="1" a="1"/>
  <c r="C3087" i="1" s="1"/>
  <c r="C3088" i="1" a="1"/>
  <c r="C3088" i="1" s="1"/>
  <c r="C3089" i="1" a="1"/>
  <c r="C3089" i="1"/>
  <c r="C3090" i="1" a="1"/>
  <c r="C3090" i="1" s="1"/>
  <c r="C3091" i="1" a="1"/>
  <c r="C3091" i="1" s="1"/>
  <c r="C3092" i="1" a="1"/>
  <c r="C3092" i="1" s="1"/>
  <c r="C3093" i="1" a="1"/>
  <c r="C3093" i="1" s="1"/>
  <c r="C3094" i="1" a="1"/>
  <c r="C3094" i="1" s="1"/>
  <c r="C3095" i="1" a="1"/>
  <c r="C3095" i="1" s="1"/>
  <c r="C3096" i="1" a="1"/>
  <c r="C3096" i="1" s="1"/>
  <c r="C3097" i="1" a="1"/>
  <c r="C3097" i="1" s="1"/>
  <c r="C3098" i="1" a="1"/>
  <c r="C3098" i="1" s="1"/>
  <c r="C3099" i="1" a="1"/>
  <c r="C3099" i="1" s="1"/>
  <c r="C3100" i="1" a="1"/>
  <c r="C3100" i="1" s="1"/>
  <c r="C3101" i="1" a="1"/>
  <c r="C3101" i="1" s="1"/>
  <c r="C3102" i="1" a="1"/>
  <c r="C3102" i="1"/>
  <c r="C3103" i="1" a="1"/>
  <c r="C3103" i="1" s="1"/>
  <c r="C3104" i="1" a="1"/>
  <c r="C3104" i="1" s="1"/>
  <c r="C3105" i="1" a="1"/>
  <c r="C3105" i="1" s="1"/>
  <c r="C3106" i="1" a="1"/>
  <c r="C3106" i="1" s="1"/>
  <c r="C3107" i="1" a="1"/>
  <c r="C3107" i="1" s="1"/>
  <c r="C3108" i="1" a="1"/>
  <c r="C3108" i="1" s="1"/>
  <c r="C3109" i="1" a="1"/>
  <c r="C3109" i="1"/>
  <c r="C3110" i="1" a="1"/>
  <c r="C3110" i="1" s="1"/>
  <c r="C3111" i="1" a="1"/>
  <c r="C3111" i="1" s="1"/>
  <c r="C3112" i="1" a="1"/>
  <c r="C3112" i="1" s="1"/>
  <c r="C3113" i="1" a="1"/>
  <c r="C3113" i="1" s="1"/>
  <c r="C3114" i="1" a="1"/>
  <c r="C3114" i="1" s="1"/>
  <c r="C3115" i="1" a="1"/>
  <c r="C3115" i="1" s="1"/>
  <c r="C3116" i="1" a="1"/>
  <c r="C3116" i="1" s="1"/>
  <c r="C3117" i="1" a="1"/>
  <c r="C3117" i="1" s="1"/>
  <c r="C3118" i="1" a="1"/>
  <c r="C3118" i="1"/>
  <c r="C3119" i="1" a="1"/>
  <c r="C3119" i="1" s="1"/>
  <c r="C3120" i="1" a="1"/>
  <c r="C3120" i="1" s="1"/>
  <c r="C3121" i="1" a="1"/>
  <c r="C3121" i="1" s="1"/>
  <c r="C3122" i="1" a="1"/>
  <c r="C3122" i="1" s="1"/>
  <c r="C3123" i="1" a="1"/>
  <c r="C3123" i="1" s="1"/>
  <c r="C3124" i="1" a="1"/>
  <c r="C3124" i="1" s="1"/>
  <c r="C3125" i="1" a="1"/>
  <c r="C3125" i="1" s="1"/>
  <c r="C3126" i="1" a="1"/>
  <c r="C3126" i="1"/>
  <c r="C3127" i="1" a="1"/>
  <c r="C3127" i="1" s="1"/>
  <c r="C3128" i="1" a="1"/>
  <c r="C3128" i="1" s="1"/>
  <c r="C3129" i="1" a="1"/>
  <c r="C3129" i="1" s="1"/>
  <c r="C3130" i="1" a="1"/>
  <c r="C3130" i="1"/>
  <c r="C3131" i="1" a="1"/>
  <c r="C3131" i="1"/>
  <c r="C3132" i="1" a="1"/>
  <c r="C3132" i="1"/>
  <c r="C3133" i="1" a="1"/>
  <c r="C3133" i="1" s="1"/>
  <c r="C3134" i="1" a="1"/>
  <c r="C3134" i="1"/>
  <c r="C3135" i="1" a="1"/>
  <c r="C3135" i="1" s="1"/>
  <c r="C3136" i="1" a="1"/>
  <c r="C3136" i="1" s="1"/>
  <c r="C3137" i="1" a="1"/>
  <c r="C3137" i="1" s="1"/>
  <c r="C3138" i="1" a="1"/>
  <c r="C3138" i="1" s="1"/>
  <c r="C3139" i="1" a="1"/>
  <c r="C3139" i="1"/>
  <c r="C3140" i="1" a="1"/>
  <c r="C3140" i="1" s="1"/>
  <c r="C3141" i="1" a="1"/>
  <c r="C3141" i="1" s="1"/>
  <c r="C3142" i="1" a="1"/>
  <c r="C3142" i="1" s="1"/>
  <c r="C3143" i="1" a="1"/>
  <c r="C3143" i="1" s="1"/>
  <c r="C3144" i="1" a="1"/>
  <c r="C3144" i="1" s="1"/>
  <c r="C3145" i="1" a="1"/>
  <c r="C3145" i="1" s="1"/>
  <c r="C3146" i="1" a="1"/>
  <c r="C3146" i="1" s="1"/>
  <c r="C3147" i="1" a="1"/>
  <c r="C3147" i="1" s="1"/>
  <c r="C3148" i="1" a="1"/>
  <c r="C3148" i="1" s="1"/>
  <c r="C3149" i="1" a="1"/>
  <c r="C3149" i="1" s="1"/>
  <c r="C3150" i="1" a="1"/>
  <c r="C3150" i="1" s="1"/>
  <c r="C3151" i="1" a="1"/>
  <c r="C3151" i="1" s="1"/>
  <c r="C3152" i="1" a="1"/>
  <c r="C3152" i="1"/>
  <c r="C3153" i="1" a="1"/>
  <c r="C3153" i="1" s="1"/>
  <c r="C3154" i="1" a="1"/>
  <c r="C3154" i="1" s="1"/>
  <c r="C3155" i="1" a="1"/>
  <c r="C3155" i="1" s="1"/>
  <c r="C3156" i="1" a="1"/>
  <c r="C3156" i="1" s="1"/>
  <c r="C3157" i="1" a="1"/>
  <c r="C3157" i="1" s="1"/>
  <c r="C3158" i="1" a="1"/>
  <c r="C3158" i="1" s="1"/>
  <c r="C3159" i="1" a="1"/>
  <c r="C3159" i="1" s="1"/>
  <c r="C3160" i="1" a="1"/>
  <c r="C3160" i="1" s="1"/>
  <c r="C3161" i="1" a="1"/>
  <c r="C3161" i="1" s="1"/>
  <c r="C3162" i="1" a="1"/>
  <c r="C3162" i="1" s="1"/>
  <c r="C3163" i="1" a="1"/>
  <c r="C3163" i="1" s="1"/>
  <c r="C3164" i="1" a="1"/>
  <c r="C3164" i="1" s="1"/>
  <c r="C3165" i="1" a="1"/>
  <c r="C3165" i="1" s="1"/>
  <c r="C3166" i="1" a="1"/>
  <c r="C3166" i="1" s="1"/>
  <c r="C3167" i="1" a="1"/>
  <c r="C3167" i="1" s="1"/>
  <c r="C3168" i="1" a="1"/>
  <c r="C3168" i="1" s="1"/>
  <c r="C3169" i="1" a="1"/>
  <c r="C3169" i="1" s="1"/>
  <c r="C3170" i="1" a="1"/>
  <c r="C3170" i="1" s="1"/>
  <c r="C3171" i="1" a="1"/>
  <c r="C3171" i="1" s="1"/>
  <c r="C3172" i="1" a="1"/>
  <c r="C3172" i="1"/>
  <c r="C3173" i="1" a="1"/>
  <c r="C3173" i="1" s="1"/>
  <c r="C3174" i="1" a="1"/>
  <c r="C3174" i="1"/>
  <c r="C3175" i="1" a="1"/>
  <c r="C3175" i="1"/>
  <c r="C3176" i="1" a="1"/>
  <c r="C3176" i="1" s="1"/>
  <c r="C3177" i="1" a="1"/>
  <c r="C3177" i="1" s="1"/>
  <c r="C3178" i="1" a="1"/>
  <c r="C3178" i="1" s="1"/>
  <c r="C3179" i="1" a="1"/>
  <c r="C3179" i="1" s="1"/>
  <c r="C3180" i="1" a="1"/>
  <c r="C3180" i="1" s="1"/>
  <c r="C3181" i="1" a="1"/>
  <c r="C3181" i="1" s="1"/>
  <c r="C3182" i="1" a="1"/>
  <c r="C3182" i="1" s="1"/>
  <c r="C3183" i="1" a="1"/>
  <c r="C3183" i="1" s="1"/>
  <c r="C3184" i="1" a="1"/>
  <c r="C3184" i="1" s="1"/>
  <c r="C3185" i="1" a="1"/>
  <c r="C3185" i="1" s="1"/>
  <c r="C3186" i="1" a="1"/>
  <c r="C3186" i="1" s="1"/>
  <c r="C3187" i="1" a="1"/>
  <c r="C3187" i="1" s="1"/>
  <c r="C3188" i="1" a="1"/>
  <c r="C3188" i="1" s="1"/>
  <c r="C3189" i="1" a="1"/>
  <c r="C3189" i="1" s="1"/>
  <c r="C3190" i="1" a="1"/>
  <c r="C3190" i="1" s="1"/>
  <c r="C3191" i="1" a="1"/>
  <c r="C3191" i="1"/>
  <c r="C3192" i="1" a="1"/>
  <c r="C3192" i="1" s="1"/>
  <c r="C3193" i="1" a="1"/>
  <c r="C3193" i="1"/>
  <c r="C3194" i="1" a="1"/>
  <c r="C3194" i="1" s="1"/>
  <c r="C3195" i="1" a="1"/>
  <c r="C3195" i="1" s="1"/>
  <c r="C3196" i="1" a="1"/>
  <c r="C3196" i="1"/>
  <c r="C3197" i="1" a="1"/>
  <c r="C3197" i="1" s="1"/>
  <c r="C3198" i="1" a="1"/>
  <c r="C3198" i="1" s="1"/>
  <c r="C3199" i="1" a="1"/>
  <c r="C3199" i="1" s="1"/>
  <c r="C3200" i="1" a="1"/>
  <c r="C3200" i="1" s="1"/>
  <c r="C3201" i="1" a="1"/>
  <c r="C3201" i="1" s="1"/>
  <c r="C3202" i="1" a="1"/>
  <c r="C3202" i="1" s="1"/>
  <c r="C3203" i="1" a="1"/>
  <c r="C3203" i="1" s="1"/>
  <c r="C3204" i="1" a="1"/>
  <c r="C3204" i="1" s="1"/>
  <c r="C3205" i="1" a="1"/>
  <c r="C3205" i="1" s="1"/>
  <c r="C3206" i="1" a="1"/>
  <c r="C3206" i="1" s="1"/>
  <c r="C3207" i="1" a="1"/>
  <c r="C3207" i="1" s="1"/>
  <c r="C3208" i="1" a="1"/>
  <c r="C3208" i="1" s="1"/>
  <c r="C3209" i="1" a="1"/>
  <c r="C3209" i="1" s="1"/>
  <c r="C3210" i="1" a="1"/>
  <c r="C3210" i="1" s="1"/>
  <c r="C3211" i="1" a="1"/>
  <c r="C3211" i="1" s="1"/>
  <c r="C3212" i="1" a="1"/>
  <c r="C3212" i="1"/>
  <c r="C3213" i="1" a="1"/>
  <c r="C3213" i="1" s="1"/>
  <c r="C3214" i="1" a="1"/>
  <c r="C3214" i="1" s="1"/>
  <c r="C3215" i="1" a="1"/>
  <c r="C3215" i="1" s="1"/>
  <c r="C3216" i="1" a="1"/>
  <c r="C3216" i="1"/>
  <c r="C3217" i="1" a="1"/>
  <c r="C3217" i="1" s="1"/>
  <c r="C3218" i="1" a="1"/>
  <c r="C3218" i="1"/>
  <c r="C3219" i="1" a="1"/>
  <c r="C3219" i="1" s="1"/>
  <c r="C3220" i="1" a="1"/>
  <c r="C3220" i="1" s="1"/>
  <c r="C3221" i="1" a="1"/>
  <c r="C3221" i="1"/>
  <c r="C3222" i="1" a="1"/>
  <c r="C3222" i="1" s="1"/>
  <c r="C3223" i="1" a="1"/>
  <c r="C3223" i="1"/>
  <c r="C3224" i="1" a="1"/>
  <c r="C3224" i="1" s="1"/>
  <c r="C3225" i="1" a="1"/>
  <c r="C3225" i="1" s="1"/>
  <c r="C3226" i="1" a="1"/>
  <c r="C3226" i="1" s="1"/>
  <c r="C3227" i="1" a="1"/>
  <c r="C3227" i="1" s="1"/>
  <c r="C3228" i="1" a="1"/>
  <c r="C3228" i="1" s="1"/>
  <c r="C3229" i="1" a="1"/>
  <c r="C3229" i="1" s="1"/>
  <c r="C3230" i="1" a="1"/>
  <c r="C3230" i="1" s="1"/>
  <c r="C3231" i="1" a="1"/>
  <c r="C3231" i="1" s="1"/>
  <c r="C3232" i="1" a="1"/>
  <c r="C3232" i="1" s="1"/>
  <c r="C3233" i="1" a="1"/>
  <c r="C3233" i="1" s="1"/>
  <c r="C3234" i="1" a="1"/>
  <c r="C3234" i="1" s="1"/>
  <c r="C3235" i="1" a="1"/>
  <c r="C3235" i="1"/>
  <c r="C3236" i="1" a="1"/>
  <c r="C3236" i="1" s="1"/>
  <c r="C3237" i="1" a="1"/>
  <c r="C3237" i="1" s="1"/>
  <c r="C3238" i="1" a="1"/>
  <c r="C3238" i="1" s="1"/>
  <c r="C3239" i="1" a="1"/>
  <c r="C3239" i="1" s="1"/>
  <c r="C3240" i="1" a="1"/>
  <c r="C3240" i="1" s="1"/>
  <c r="C3241" i="1" a="1"/>
  <c r="C3241" i="1" s="1"/>
  <c r="C3242" i="1" a="1"/>
  <c r="C3242" i="1" s="1"/>
  <c r="C3243" i="1" a="1"/>
  <c r="C3243" i="1" s="1"/>
  <c r="C3244" i="1" a="1"/>
  <c r="C3244" i="1"/>
  <c r="C3245" i="1" a="1"/>
  <c r="C3245" i="1" s="1"/>
  <c r="C3246" i="1" a="1"/>
  <c r="C3246" i="1" s="1"/>
  <c r="C3247" i="1" a="1"/>
  <c r="C3247" i="1" s="1"/>
  <c r="C3248" i="1" a="1"/>
  <c r="C3248" i="1"/>
  <c r="C3249" i="1" a="1"/>
  <c r="C3249" i="1"/>
  <c r="C3250" i="1" a="1"/>
  <c r="C3250" i="1" s="1"/>
  <c r="C3251" i="1" a="1"/>
  <c r="C3251" i="1" s="1"/>
  <c r="C3252" i="1" a="1"/>
  <c r="C3252" i="1" s="1"/>
  <c r="C3253" i="1" a="1"/>
  <c r="C3253" i="1" s="1"/>
  <c r="C3254" i="1" a="1"/>
  <c r="C3254" i="1"/>
  <c r="C3255" i="1" a="1"/>
  <c r="C3255" i="1" s="1"/>
  <c r="C3256" i="1" a="1"/>
  <c r="C3256" i="1" s="1"/>
  <c r="C3257" i="1" a="1"/>
  <c r="C3257" i="1" s="1"/>
  <c r="C3258" i="1" a="1"/>
  <c r="C3258" i="1" s="1"/>
  <c r="C3259" i="1" a="1"/>
  <c r="C3259" i="1" s="1"/>
  <c r="C3260" i="1" a="1"/>
  <c r="C3260" i="1"/>
  <c r="C3261" i="1" a="1"/>
  <c r="C3261" i="1" s="1"/>
  <c r="C3262" i="1" a="1"/>
  <c r="C3262" i="1" s="1"/>
  <c r="C3263" i="1" a="1"/>
  <c r="C3263" i="1" s="1"/>
  <c r="C3264" i="1" a="1"/>
  <c r="C3264" i="1" s="1"/>
  <c r="C3265" i="1" a="1"/>
  <c r="C3265" i="1" s="1"/>
  <c r="C3266" i="1" a="1"/>
  <c r="C3266" i="1" s="1"/>
  <c r="C3267" i="1" a="1"/>
  <c r="C3267" i="1" s="1"/>
  <c r="C3268" i="1" a="1"/>
  <c r="C3268" i="1" s="1"/>
  <c r="C3269" i="1" a="1"/>
  <c r="C3269" i="1" s="1"/>
  <c r="C3270" i="1" a="1"/>
  <c r="C3270" i="1" s="1"/>
  <c r="C3271" i="1" a="1"/>
  <c r="C3271" i="1" s="1"/>
  <c r="C3272" i="1" a="1"/>
  <c r="C3272" i="1" s="1"/>
  <c r="C3273" i="1" a="1"/>
  <c r="C3273" i="1" s="1"/>
  <c r="C3274" i="1" a="1"/>
  <c r="C3274" i="1" s="1"/>
  <c r="C3275" i="1" a="1"/>
  <c r="C3275" i="1" s="1"/>
  <c r="C3276" i="1" a="1"/>
  <c r="C3276" i="1" s="1"/>
  <c r="C3277" i="1" a="1"/>
  <c r="C3277" i="1" s="1"/>
  <c r="C3278" i="1" a="1"/>
  <c r="C3278" i="1" s="1"/>
  <c r="C3279" i="1" a="1"/>
  <c r="C3279" i="1" s="1"/>
  <c r="C3280" i="1" a="1"/>
  <c r="C3280" i="1" s="1"/>
  <c r="C3281" i="1" a="1"/>
  <c r="C3281" i="1"/>
  <c r="C3282" i="1" a="1"/>
  <c r="C3282" i="1" s="1"/>
  <c r="C3283" i="1" a="1"/>
  <c r="C3283" i="1" s="1"/>
  <c r="C3284" i="1" a="1"/>
  <c r="C3284" i="1" s="1"/>
  <c r="C3285" i="1" a="1"/>
  <c r="C3285" i="1" s="1"/>
  <c r="C3286" i="1" a="1"/>
  <c r="C3286" i="1"/>
  <c r="C3287" i="1" a="1"/>
  <c r="C3287" i="1" s="1"/>
  <c r="C3288" i="1" a="1"/>
  <c r="C3288" i="1"/>
  <c r="C3289" i="1" a="1"/>
  <c r="C3289" i="1" s="1"/>
  <c r="C3290" i="1" a="1"/>
  <c r="C3290" i="1"/>
  <c r="C3291" i="1" a="1"/>
  <c r="C3291" i="1"/>
  <c r="C3292" i="1" a="1"/>
  <c r="C3292" i="1" s="1"/>
  <c r="C3293" i="1" a="1"/>
  <c r="C3293" i="1" s="1"/>
  <c r="C3294" i="1" a="1"/>
  <c r="C3294" i="1" s="1"/>
  <c r="C3295" i="1" a="1"/>
  <c r="C3295" i="1" s="1"/>
  <c r="C3296" i="1" a="1"/>
  <c r="C3296" i="1" s="1"/>
  <c r="C3297" i="1" a="1"/>
  <c r="C3297" i="1" s="1"/>
  <c r="C3298" i="1" a="1"/>
  <c r="C3298" i="1" s="1"/>
  <c r="C3299" i="1" a="1"/>
  <c r="C3299" i="1" s="1"/>
  <c r="C3300" i="1" a="1"/>
  <c r="C3300" i="1" s="1"/>
  <c r="C3301" i="1" a="1"/>
  <c r="C3301" i="1" s="1"/>
  <c r="C3302" i="1" a="1"/>
  <c r="C3302" i="1"/>
  <c r="C3303" i="1" a="1"/>
  <c r="C3303" i="1" s="1"/>
  <c r="C3304" i="1" a="1"/>
  <c r="C3304" i="1" s="1"/>
  <c r="C3305" i="1" a="1"/>
  <c r="C3305" i="1" s="1"/>
  <c r="C3306" i="1" a="1"/>
  <c r="C3306" i="1" s="1"/>
  <c r="C3307" i="1" a="1"/>
  <c r="C3307" i="1" s="1"/>
  <c r="C3308" i="1" a="1"/>
  <c r="C3308" i="1" s="1"/>
  <c r="C3309" i="1" a="1"/>
  <c r="C3309" i="1" s="1"/>
  <c r="C3310" i="1" a="1"/>
  <c r="C3310" i="1"/>
  <c r="C3311" i="1" a="1"/>
  <c r="C3311" i="1" s="1"/>
  <c r="C3312" i="1" a="1"/>
  <c r="C3312" i="1" s="1"/>
  <c r="C3313" i="1" a="1"/>
  <c r="C3313" i="1" s="1"/>
  <c r="C3314" i="1" a="1"/>
  <c r="C3314" i="1" s="1"/>
  <c r="C3315" i="1" a="1"/>
  <c r="C3315" i="1" s="1"/>
  <c r="C3316" i="1" a="1"/>
  <c r="C3316" i="1" s="1"/>
  <c r="C3317" i="1" a="1"/>
  <c r="C3317" i="1" s="1"/>
  <c r="C3318" i="1" a="1"/>
  <c r="C3318" i="1" s="1"/>
  <c r="C3319" i="1" a="1"/>
  <c r="C3319" i="1" s="1"/>
  <c r="C3320" i="1" a="1"/>
  <c r="C3320" i="1" s="1"/>
  <c r="C3321" i="1" a="1"/>
  <c r="C3321" i="1" s="1"/>
  <c r="C3322" i="1" a="1"/>
  <c r="C3322" i="1" s="1"/>
  <c r="C3323" i="1" a="1"/>
  <c r="C3323" i="1" s="1"/>
  <c r="C3324" i="1" a="1"/>
  <c r="C3324" i="1" s="1"/>
  <c r="C3325" i="1" a="1"/>
  <c r="C3325" i="1" s="1"/>
  <c r="C3326" i="1" a="1"/>
  <c r="C3326" i="1" s="1"/>
  <c r="C3327" i="1" a="1"/>
  <c r="C3327" i="1" s="1"/>
  <c r="C3328" i="1" a="1"/>
  <c r="C3328" i="1"/>
  <c r="C3329" i="1" a="1"/>
  <c r="C3329" i="1" s="1"/>
  <c r="C3330" i="1" a="1"/>
  <c r="C3330" i="1" s="1"/>
  <c r="C3331" i="1" a="1"/>
  <c r="C3331" i="1"/>
  <c r="C3332" i="1" a="1"/>
  <c r="C3332" i="1" s="1"/>
  <c r="C3333" i="1" a="1"/>
  <c r="C3333" i="1"/>
  <c r="C3334" i="1" a="1"/>
  <c r="C3334" i="1"/>
  <c r="C3335" i="1" a="1"/>
  <c r="C3335" i="1" s="1"/>
  <c r="C3336" i="1" a="1"/>
  <c r="C3336" i="1" s="1"/>
  <c r="C3337" i="1" a="1"/>
  <c r="C3337" i="1" s="1"/>
  <c r="C3338" i="1" a="1"/>
  <c r="C3338" i="1" s="1"/>
  <c r="C3339" i="1" a="1"/>
  <c r="C3339" i="1" s="1"/>
  <c r="C3340" i="1" a="1"/>
  <c r="C3340" i="1" s="1"/>
  <c r="C3341" i="1" a="1"/>
  <c r="C3341" i="1" s="1"/>
  <c r="C3342" i="1" a="1"/>
  <c r="C3342" i="1" s="1"/>
  <c r="C3343" i="1" a="1"/>
  <c r="C3343" i="1" s="1"/>
  <c r="C3344" i="1" a="1"/>
  <c r="C3344" i="1" s="1"/>
  <c r="C3345" i="1" a="1"/>
  <c r="C3345" i="1" s="1"/>
  <c r="C3346" i="1" a="1"/>
  <c r="C3346" i="1" s="1"/>
  <c r="C3347" i="1" a="1"/>
  <c r="C3347" i="1" s="1"/>
  <c r="C3348" i="1" a="1"/>
  <c r="C3348" i="1" s="1"/>
  <c r="C3349" i="1" a="1"/>
  <c r="C3349" i="1"/>
  <c r="C3350" i="1" a="1"/>
  <c r="C3350" i="1" s="1"/>
  <c r="C3351" i="1" a="1"/>
  <c r="C3351" i="1"/>
  <c r="C3352" i="1" a="1"/>
  <c r="C3352" i="1"/>
  <c r="C3353" i="1" a="1"/>
  <c r="C3353" i="1"/>
  <c r="C3354" i="1" a="1"/>
  <c r="C3354" i="1"/>
  <c r="C3355" i="1" a="1"/>
  <c r="C3355" i="1" s="1"/>
  <c r="C3356" i="1" a="1"/>
  <c r="C3356" i="1" s="1"/>
  <c r="C3357" i="1" a="1"/>
  <c r="C3357" i="1" s="1"/>
  <c r="C3358" i="1" a="1"/>
  <c r="C3358" i="1" s="1"/>
  <c r="C3359" i="1" a="1"/>
  <c r="C3359" i="1" s="1"/>
  <c r="C3360" i="1" a="1"/>
  <c r="C3360" i="1"/>
  <c r="C3361" i="1" a="1"/>
  <c r="C3361" i="1" s="1"/>
  <c r="C3362" i="1" a="1"/>
  <c r="C3362" i="1" s="1"/>
  <c r="C3363" i="1" a="1"/>
  <c r="C3363" i="1" s="1"/>
  <c r="C3364" i="1" a="1"/>
  <c r="C3364" i="1" s="1"/>
  <c r="C3365" i="1" a="1"/>
  <c r="C3365" i="1"/>
  <c r="C3366" i="1" a="1"/>
  <c r="C3366" i="1" s="1"/>
  <c r="C3367" i="1" a="1"/>
  <c r="C3367" i="1" s="1"/>
  <c r="C3368" i="1" a="1"/>
  <c r="C3368" i="1" s="1"/>
  <c r="C3369" i="1" a="1"/>
  <c r="C3369" i="1" s="1"/>
  <c r="C3370" i="1" a="1"/>
  <c r="C3370" i="1"/>
  <c r="C3371" i="1" a="1"/>
  <c r="C3371" i="1" s="1"/>
  <c r="C3372" i="1" a="1"/>
  <c r="C3372" i="1" s="1"/>
  <c r="C3373" i="1" a="1"/>
  <c r="C3373" i="1" s="1"/>
  <c r="C3374" i="1" a="1"/>
  <c r="C3374" i="1"/>
  <c r="C3375" i="1" a="1"/>
  <c r="C3375" i="1" s="1"/>
  <c r="C3376" i="1" a="1"/>
  <c r="C3376" i="1" s="1"/>
  <c r="C3377" i="1" a="1"/>
  <c r="C3377" i="1" s="1"/>
  <c r="C3378" i="1" a="1"/>
  <c r="C3378" i="1" s="1"/>
  <c r="C3379" i="1" a="1"/>
  <c r="C3379" i="1"/>
  <c r="C3380" i="1" a="1"/>
  <c r="C3380" i="1" s="1"/>
  <c r="C3381" i="1" a="1"/>
  <c r="C3381" i="1"/>
  <c r="C3382" i="1" a="1"/>
  <c r="C3382" i="1" s="1"/>
  <c r="C3383" i="1" a="1"/>
  <c r="C3383" i="1" s="1"/>
  <c r="C3384" i="1" a="1"/>
  <c r="C3384" i="1" s="1"/>
  <c r="C3385" i="1" a="1"/>
  <c r="C3385" i="1" s="1"/>
  <c r="C3386" i="1" a="1"/>
  <c r="C3386" i="1" s="1"/>
  <c r="C3387" i="1" a="1"/>
  <c r="C3387" i="1" s="1"/>
  <c r="C3388" i="1" a="1"/>
  <c r="C3388" i="1" s="1"/>
  <c r="C3389" i="1" a="1"/>
  <c r="C3389" i="1" s="1"/>
  <c r="C3390" i="1" a="1"/>
  <c r="C3390" i="1" s="1"/>
  <c r="C3391" i="1" a="1"/>
  <c r="C3391" i="1" s="1"/>
  <c r="C3392" i="1" a="1"/>
  <c r="C3392" i="1" s="1"/>
  <c r="C3393" i="1" a="1"/>
  <c r="C3393" i="1" s="1"/>
  <c r="C3394" i="1" a="1"/>
  <c r="C3394" i="1"/>
  <c r="C3395" i="1" a="1"/>
  <c r="C3395" i="1"/>
  <c r="C3396" i="1" a="1"/>
  <c r="C3396" i="1"/>
  <c r="C3397" i="1" a="1"/>
  <c r="C3397" i="1" s="1"/>
  <c r="C3398" i="1" a="1"/>
  <c r="C3398" i="1" s="1"/>
  <c r="C3399" i="1" a="1"/>
  <c r="C3399" i="1" s="1"/>
  <c r="C3400" i="1" a="1"/>
  <c r="C3400" i="1" s="1"/>
  <c r="C3401" i="1" a="1"/>
  <c r="C3401" i="1" s="1"/>
  <c r="C3402" i="1" a="1"/>
  <c r="C3402" i="1"/>
  <c r="C3403" i="1" a="1"/>
  <c r="C3403" i="1" s="1"/>
  <c r="C3404" i="1" a="1"/>
  <c r="C3404" i="1" s="1"/>
  <c r="C3405" i="1" a="1"/>
  <c r="C3405" i="1" s="1"/>
  <c r="C3406" i="1" a="1"/>
  <c r="C3406" i="1" s="1"/>
  <c r="C3407" i="1" a="1"/>
  <c r="C3407" i="1" s="1"/>
  <c r="C3408" i="1" a="1"/>
  <c r="C3408" i="1"/>
  <c r="C3409" i="1" a="1"/>
  <c r="C3409" i="1" s="1"/>
  <c r="C3410" i="1" a="1"/>
  <c r="C3410" i="1" s="1"/>
  <c r="C3411" i="1" a="1"/>
  <c r="C3411" i="1" s="1"/>
  <c r="C3412" i="1" a="1"/>
  <c r="C3412" i="1"/>
  <c r="C3413" i="1" a="1"/>
  <c r="C3413" i="1" s="1"/>
  <c r="C3414" i="1" a="1"/>
  <c r="C3414" i="1" s="1"/>
  <c r="C3415" i="1" a="1"/>
  <c r="C3415" i="1" s="1"/>
  <c r="C3416" i="1" a="1"/>
  <c r="C3416" i="1" s="1"/>
  <c r="C3417" i="1" a="1"/>
  <c r="C3417" i="1" s="1"/>
  <c r="C3418" i="1" a="1"/>
  <c r="C3418" i="1" s="1"/>
  <c r="C3419" i="1" a="1"/>
  <c r="C3419" i="1" s="1"/>
  <c r="C3420" i="1" a="1"/>
  <c r="C3420" i="1" s="1"/>
  <c r="C3421" i="1" a="1"/>
  <c r="C3421" i="1" s="1"/>
  <c r="C3422" i="1" a="1"/>
  <c r="C3422" i="1" s="1"/>
  <c r="C3423" i="1" a="1"/>
  <c r="C3423" i="1" s="1"/>
  <c r="C3424" i="1" a="1"/>
  <c r="C3424" i="1" s="1"/>
  <c r="C3425" i="1" a="1"/>
  <c r="C3425" i="1" s="1"/>
  <c r="C3426" i="1" a="1"/>
  <c r="C3426" i="1" s="1"/>
  <c r="C3427" i="1" a="1"/>
  <c r="C3427" i="1" s="1"/>
  <c r="C3428" i="1" a="1"/>
  <c r="C3428" i="1" s="1"/>
  <c r="C3429" i="1" a="1"/>
  <c r="C3429" i="1" s="1"/>
  <c r="C3430" i="1" a="1"/>
  <c r="C3430" i="1" s="1"/>
  <c r="C3431" i="1" a="1"/>
  <c r="C3431" i="1" s="1"/>
  <c r="C3432" i="1" a="1"/>
  <c r="C3432" i="1" s="1"/>
  <c r="C3433" i="1" a="1"/>
  <c r="C3433" i="1"/>
  <c r="C3434" i="1" a="1"/>
  <c r="C3434" i="1" s="1"/>
  <c r="C3435" i="1" a="1"/>
  <c r="C3435" i="1"/>
  <c r="C3436" i="1" a="1"/>
  <c r="C3436" i="1" s="1"/>
  <c r="C3437" i="1" a="1"/>
  <c r="C3437" i="1" s="1"/>
  <c r="C3438" i="1" a="1"/>
  <c r="C3438" i="1" s="1"/>
  <c r="C3439" i="1" a="1"/>
  <c r="C3439" i="1"/>
  <c r="C3440" i="1" a="1"/>
  <c r="C3440" i="1" s="1"/>
  <c r="C3441" i="1" a="1"/>
  <c r="C3441" i="1" s="1"/>
  <c r="C3442" i="1" a="1"/>
  <c r="C3442" i="1"/>
  <c r="C3443" i="1" a="1"/>
  <c r="C3443" i="1" s="1"/>
  <c r="C3444" i="1" a="1"/>
  <c r="C3444" i="1" s="1"/>
  <c r="C3445" i="1" a="1"/>
  <c r="C3445" i="1" s="1"/>
  <c r="C3446" i="1" a="1"/>
  <c r="C3446" i="1" s="1"/>
  <c r="C3447" i="1" a="1"/>
  <c r="C3447" i="1" s="1"/>
  <c r="C3448" i="1" a="1"/>
  <c r="C3448" i="1" s="1"/>
  <c r="C3449" i="1" a="1"/>
  <c r="C3449" i="1"/>
  <c r="C3450" i="1" a="1"/>
  <c r="C3450" i="1" s="1"/>
  <c r="C3451" i="1" a="1"/>
  <c r="C3451" i="1" s="1"/>
  <c r="C3452" i="1" a="1"/>
  <c r="C3452" i="1" s="1"/>
  <c r="C3453" i="1" a="1"/>
  <c r="C3453" i="1" s="1"/>
  <c r="C3454" i="1" a="1"/>
  <c r="C3454" i="1"/>
  <c r="C3455" i="1" a="1"/>
  <c r="C3455" i="1" s="1"/>
  <c r="C3456" i="1" a="1"/>
  <c r="C3456" i="1" s="1"/>
  <c r="C3457" i="1" a="1"/>
  <c r="C3457" i="1" s="1"/>
  <c r="C3458" i="1" a="1"/>
  <c r="C3458" i="1" s="1"/>
  <c r="C3459" i="1" a="1"/>
  <c r="C3459" i="1" s="1"/>
  <c r="C3460" i="1" a="1"/>
  <c r="C3460" i="1"/>
  <c r="C3461" i="1" a="1"/>
  <c r="C3461" i="1" s="1"/>
  <c r="C3462" i="1" a="1"/>
  <c r="C3462" i="1" s="1"/>
  <c r="C3463" i="1" a="1"/>
  <c r="C3463" i="1"/>
  <c r="C3464" i="1" a="1"/>
  <c r="C3464" i="1" s="1"/>
  <c r="C3465" i="1" a="1"/>
  <c r="C3465" i="1"/>
  <c r="C3466" i="1" a="1"/>
  <c r="C3466" i="1" s="1"/>
  <c r="C3467" i="1" a="1"/>
  <c r="C3467" i="1" s="1"/>
  <c r="C3468" i="1" a="1"/>
  <c r="C3468" i="1" s="1"/>
  <c r="C3469" i="1" a="1"/>
  <c r="C3469" i="1"/>
  <c r="C3470" i="1" a="1"/>
  <c r="C3470" i="1" s="1"/>
  <c r="C3471" i="1" a="1"/>
  <c r="C3471" i="1" s="1"/>
  <c r="C3472" i="1" a="1"/>
  <c r="C3472" i="1" s="1"/>
  <c r="C3473" i="1" a="1"/>
  <c r="C3473" i="1" s="1"/>
  <c r="C3474" i="1" a="1"/>
  <c r="C3474" i="1" s="1"/>
  <c r="C3475" i="1" a="1"/>
  <c r="C3475" i="1" s="1"/>
  <c r="C3476" i="1" a="1"/>
  <c r="C3476" i="1" s="1"/>
  <c r="C3477" i="1" a="1"/>
  <c r="C3477" i="1" s="1"/>
  <c r="C3478" i="1" a="1"/>
  <c r="C3478" i="1" s="1"/>
  <c r="C3479" i="1" a="1"/>
  <c r="C3479" i="1" s="1"/>
  <c r="C3480" i="1" a="1"/>
  <c r="C3480" i="1" s="1"/>
  <c r="C3481" i="1" a="1"/>
  <c r="C3481" i="1" s="1"/>
  <c r="C3482" i="1" a="1"/>
  <c r="C3482" i="1" s="1"/>
  <c r="C3483" i="1" a="1"/>
  <c r="C3483" i="1" s="1"/>
  <c r="C3484" i="1" a="1"/>
  <c r="C3484" i="1"/>
  <c r="C3485" i="1" a="1"/>
  <c r="C3485" i="1" s="1"/>
  <c r="C3486" i="1" a="1"/>
  <c r="C3486" i="1" s="1"/>
  <c r="C3487" i="1" a="1"/>
  <c r="C3487" i="1" s="1"/>
  <c r="C3488" i="1" a="1"/>
  <c r="C3488" i="1"/>
  <c r="C3489" i="1" a="1"/>
  <c r="C3489" i="1"/>
  <c r="C3490" i="1" a="1"/>
  <c r="C3490" i="1"/>
  <c r="C3491" i="1" a="1"/>
  <c r="C3491" i="1"/>
  <c r="C3492" i="1" a="1"/>
  <c r="C3492" i="1" s="1"/>
  <c r="C3493" i="1" a="1"/>
  <c r="C3493" i="1" s="1"/>
  <c r="C3494" i="1" a="1"/>
  <c r="C3494" i="1" s="1"/>
  <c r="C3495" i="1" a="1"/>
  <c r="C3495" i="1" s="1"/>
  <c r="C3496" i="1" a="1"/>
  <c r="C3496" i="1"/>
  <c r="C3497" i="1" a="1"/>
  <c r="C3497" i="1" s="1"/>
  <c r="C3498" i="1" a="1"/>
  <c r="C3498" i="1" s="1"/>
  <c r="C3499" i="1" a="1"/>
  <c r="C3499" i="1" s="1"/>
  <c r="C3500" i="1" a="1"/>
  <c r="C3500" i="1" s="1"/>
  <c r="C3501" i="1" a="1"/>
  <c r="C3501" i="1" s="1"/>
  <c r="C3502" i="1" a="1"/>
  <c r="C3502" i="1" s="1"/>
  <c r="C3503" i="1" a="1"/>
  <c r="C3503" i="1" s="1"/>
  <c r="C3504" i="1" a="1"/>
  <c r="C3504" i="1" s="1"/>
  <c r="C3505" i="1" a="1"/>
  <c r="C3505" i="1" s="1"/>
  <c r="C3506" i="1" a="1"/>
  <c r="C3506" i="1" s="1"/>
  <c r="C3507" i="1" a="1"/>
  <c r="C3507" i="1" s="1"/>
  <c r="C3508" i="1" a="1"/>
  <c r="C3508" i="1" s="1"/>
  <c r="C3509" i="1" a="1"/>
  <c r="C3509" i="1" s="1"/>
  <c r="C3510" i="1" a="1"/>
  <c r="C3510" i="1" s="1"/>
  <c r="C3511" i="1" a="1"/>
  <c r="C3511" i="1"/>
  <c r="C3512" i="1" a="1"/>
  <c r="C3512" i="1"/>
  <c r="C3513" i="1" a="1"/>
  <c r="C3513" i="1" s="1"/>
  <c r="C3514" i="1" a="1"/>
  <c r="C3514" i="1" s="1"/>
  <c r="C3515" i="1" a="1"/>
  <c r="C3515" i="1" s="1"/>
  <c r="C3516" i="1" a="1"/>
  <c r="C3516" i="1" s="1"/>
  <c r="C3517" i="1" a="1"/>
  <c r="C3517" i="1" s="1"/>
  <c r="C3518" i="1" a="1"/>
  <c r="C3518" i="1" s="1"/>
  <c r="C3519" i="1" a="1"/>
  <c r="C3519" i="1" s="1"/>
  <c r="C3520" i="1" a="1"/>
  <c r="C3520" i="1" s="1"/>
  <c r="C3521" i="1" a="1"/>
  <c r="C3521" i="1" s="1"/>
  <c r="C3522" i="1" a="1"/>
  <c r="C3522" i="1" s="1"/>
  <c r="C3523" i="1" a="1"/>
  <c r="C3523" i="1" s="1"/>
  <c r="C3524" i="1" a="1"/>
  <c r="C3524" i="1" s="1"/>
  <c r="C3525" i="1" a="1"/>
  <c r="C3525" i="1" s="1"/>
  <c r="C3526" i="1" a="1"/>
  <c r="C3526" i="1"/>
  <c r="C3527" i="1" a="1"/>
  <c r="C3527" i="1" s="1"/>
  <c r="C3528" i="1" a="1"/>
  <c r="C3528" i="1" s="1"/>
  <c r="C3529" i="1" a="1"/>
  <c r="C3529" i="1" s="1"/>
  <c r="C3530" i="1" a="1"/>
  <c r="C3530" i="1"/>
  <c r="C3531" i="1" a="1"/>
  <c r="C3531" i="1"/>
  <c r="C3532" i="1" a="1"/>
  <c r="C3532" i="1"/>
  <c r="C3533" i="1" a="1"/>
  <c r="C3533" i="1"/>
  <c r="C3534" i="1" a="1"/>
  <c r="C3534" i="1"/>
  <c r="C3535" i="1" a="1"/>
  <c r="C3535" i="1" s="1"/>
  <c r="C3536" i="1" a="1"/>
  <c r="C3536" i="1" s="1"/>
  <c r="C3537" i="1" a="1"/>
  <c r="C3537" i="1" s="1"/>
  <c r="C3538" i="1" a="1"/>
  <c r="C3538" i="1" s="1"/>
  <c r="C3539" i="1" a="1"/>
  <c r="C3539" i="1"/>
  <c r="C3540" i="1" a="1"/>
  <c r="C3540" i="1" s="1"/>
  <c r="C3541" i="1" a="1"/>
  <c r="C3541" i="1" s="1"/>
  <c r="C3542" i="1" a="1"/>
  <c r="C3542" i="1" s="1"/>
  <c r="C3543" i="1" a="1"/>
  <c r="C3543" i="1" s="1"/>
  <c r="C3544" i="1" a="1"/>
  <c r="C3544" i="1"/>
  <c r="C3545" i="1" a="1"/>
  <c r="C3545" i="1"/>
  <c r="C3546" i="1" a="1"/>
  <c r="C3546" i="1" s="1"/>
  <c r="C3547" i="1" a="1"/>
  <c r="C3547" i="1" s="1"/>
  <c r="C3548" i="1" a="1"/>
  <c r="C3548" i="1" s="1"/>
  <c r="C3549" i="1" a="1"/>
  <c r="C3549" i="1"/>
  <c r="C3550" i="1" a="1"/>
  <c r="C3550" i="1" s="1"/>
  <c r="C3551" i="1" a="1"/>
  <c r="C3551" i="1" s="1"/>
  <c r="C3552" i="1" a="1"/>
  <c r="C3552" i="1" s="1"/>
  <c r="C3553" i="1" a="1"/>
  <c r="C3553" i="1"/>
  <c r="C3554" i="1" a="1"/>
  <c r="C3554" i="1" s="1"/>
  <c r="C3555" i="1" a="1"/>
  <c r="C3555" i="1" s="1"/>
  <c r="C3556" i="1" a="1"/>
  <c r="C3556" i="1" s="1"/>
  <c r="C3557" i="1" a="1"/>
  <c r="C3557" i="1" s="1"/>
  <c r="C3558" i="1" a="1"/>
  <c r="C3558" i="1" s="1"/>
  <c r="C3559" i="1" a="1"/>
  <c r="C3559" i="1" s="1"/>
  <c r="C3560" i="1" a="1"/>
  <c r="C3560" i="1"/>
  <c r="C3561" i="1" a="1"/>
  <c r="C3561" i="1" s="1"/>
  <c r="C3562" i="1" a="1"/>
  <c r="C3562" i="1" s="1"/>
  <c r="C3563" i="1" a="1"/>
  <c r="C3563" i="1" s="1"/>
  <c r="C3564" i="1" a="1"/>
  <c r="C3564" i="1" s="1"/>
  <c r="C3565" i="1" a="1"/>
  <c r="C3565" i="1" s="1"/>
  <c r="C3566" i="1" a="1"/>
  <c r="C3566" i="1" s="1"/>
  <c r="C3567" i="1" a="1"/>
  <c r="C3567" i="1" s="1"/>
  <c r="C3568" i="1" a="1"/>
  <c r="C3568" i="1" s="1"/>
  <c r="C3569" i="1" a="1"/>
  <c r="C3569" i="1" s="1"/>
  <c r="C3570" i="1" a="1"/>
  <c r="C3570" i="1"/>
  <c r="C3571" i="1" a="1"/>
  <c r="C3571" i="1" s="1"/>
  <c r="C3572" i="1" a="1"/>
  <c r="C3572" i="1" s="1"/>
  <c r="C3573" i="1" a="1"/>
  <c r="C3573" i="1" s="1"/>
  <c r="C3574" i="1" a="1"/>
  <c r="C3574" i="1" s="1"/>
  <c r="C3575" i="1" a="1"/>
  <c r="C3575" i="1"/>
  <c r="C3576" i="1" a="1"/>
  <c r="C3576" i="1" s="1"/>
  <c r="C3577" i="1" a="1"/>
  <c r="C3577" i="1" s="1"/>
  <c r="C3578" i="1" a="1"/>
  <c r="C3578" i="1" s="1"/>
  <c r="C3579" i="1" a="1"/>
  <c r="C3579" i="1"/>
  <c r="C3580" i="1" a="1"/>
  <c r="C3580" i="1" s="1"/>
  <c r="C3581" i="1" a="1"/>
  <c r="C3581" i="1" s="1"/>
  <c r="C3582" i="1" a="1"/>
  <c r="C3582" i="1" s="1"/>
  <c r="C3583" i="1" a="1"/>
  <c r="C3583" i="1" s="1"/>
  <c r="C3584" i="1" a="1"/>
  <c r="C3584" i="1" s="1"/>
  <c r="C3585" i="1" a="1"/>
  <c r="C3585" i="1" s="1"/>
  <c r="C3586" i="1" a="1"/>
  <c r="C3586" i="1"/>
  <c r="C3587" i="1" a="1"/>
  <c r="C3587" i="1" s="1"/>
  <c r="C3588" i="1" a="1"/>
  <c r="C3588" i="1" s="1"/>
  <c r="C3589" i="1" a="1"/>
  <c r="C3589" i="1" s="1"/>
  <c r="C3590" i="1" a="1"/>
  <c r="C3590" i="1" s="1"/>
  <c r="C3591" i="1" a="1"/>
  <c r="C3591" i="1"/>
  <c r="C3592" i="1" a="1"/>
  <c r="C3592" i="1" s="1"/>
  <c r="C3593" i="1" a="1"/>
  <c r="C3593" i="1"/>
  <c r="C3594" i="1" a="1"/>
  <c r="C3594" i="1"/>
  <c r="C3595" i="1" a="1"/>
  <c r="C3595" i="1" s="1"/>
  <c r="C3596" i="1" a="1"/>
  <c r="C3596" i="1"/>
  <c r="C3597" i="1" a="1"/>
  <c r="C3597" i="1" s="1"/>
  <c r="C3598" i="1" a="1"/>
  <c r="C3598" i="1" s="1"/>
  <c r="C3599" i="1" a="1"/>
  <c r="C3599" i="1" s="1"/>
  <c r="C3600" i="1" a="1"/>
  <c r="C3600" i="1" s="1"/>
  <c r="C3601" i="1" a="1"/>
  <c r="C3601" i="1" s="1"/>
  <c r="C3602" i="1" a="1"/>
  <c r="C3602" i="1"/>
  <c r="C3603" i="1" a="1"/>
  <c r="C3603" i="1" s="1"/>
  <c r="C3604" i="1" a="1"/>
  <c r="C3604" i="1" s="1"/>
  <c r="C3605" i="1" a="1"/>
  <c r="C3605" i="1" s="1"/>
  <c r="C3606" i="1" a="1"/>
  <c r="C3606" i="1" s="1"/>
  <c r="C3607" i="1" a="1"/>
  <c r="C3607" i="1" s="1"/>
  <c r="C3608" i="1" a="1"/>
  <c r="C3608" i="1" s="1"/>
  <c r="C3609" i="1" a="1"/>
  <c r="C3609" i="1"/>
  <c r="C3610" i="1" a="1"/>
  <c r="C3610" i="1" s="1"/>
  <c r="C3611" i="1" a="1"/>
  <c r="C3611" i="1" s="1"/>
  <c r="C3612" i="1" a="1"/>
  <c r="C3612" i="1"/>
  <c r="C3613" i="1" a="1"/>
  <c r="C3613" i="1" s="1"/>
  <c r="C3614" i="1" a="1"/>
  <c r="C3614" i="1" s="1"/>
  <c r="C3615" i="1" a="1"/>
  <c r="C3615" i="1" s="1"/>
  <c r="C3616" i="1" a="1"/>
  <c r="C3616" i="1" s="1"/>
  <c r="C3617" i="1" a="1"/>
  <c r="C3617" i="1" s="1"/>
  <c r="C3618" i="1" a="1"/>
  <c r="C3618" i="1" s="1"/>
  <c r="C3619" i="1" a="1"/>
  <c r="C3619" i="1" s="1"/>
  <c r="C3620" i="1" a="1"/>
  <c r="C3620" i="1" s="1"/>
  <c r="C3621" i="1" a="1"/>
  <c r="C3621" i="1" s="1"/>
  <c r="C3622" i="1" a="1"/>
  <c r="C3622" i="1" s="1"/>
  <c r="C3623" i="1" a="1"/>
  <c r="C3623" i="1" s="1"/>
  <c r="C3624" i="1" a="1"/>
  <c r="C3624" i="1" s="1"/>
  <c r="C3625" i="1" a="1"/>
  <c r="C3625" i="1" s="1"/>
  <c r="C3626" i="1" a="1"/>
  <c r="C3626" i="1" s="1"/>
  <c r="C3627" i="1" a="1"/>
  <c r="C3627" i="1" s="1"/>
  <c r="C3628" i="1" a="1"/>
  <c r="C3628" i="1" s="1"/>
  <c r="C3629" i="1" a="1"/>
  <c r="C3629" i="1" s="1"/>
  <c r="C3630" i="1" a="1"/>
  <c r="C3630" i="1" s="1"/>
  <c r="C3631" i="1" a="1"/>
  <c r="C3631" i="1"/>
  <c r="C3632" i="1" a="1"/>
  <c r="C3632" i="1" s="1"/>
  <c r="C3633" i="1" a="1"/>
  <c r="C3633" i="1" s="1"/>
  <c r="C3634" i="1" a="1"/>
  <c r="C3634" i="1"/>
  <c r="C3635" i="1" a="1"/>
  <c r="C3635" i="1" s="1"/>
  <c r="C3636" i="1" a="1"/>
  <c r="C3636" i="1"/>
  <c r="C3637" i="1" a="1"/>
  <c r="C3637" i="1" s="1"/>
  <c r="C3638" i="1" a="1"/>
  <c r="C3638" i="1" s="1"/>
  <c r="C3639" i="1" a="1"/>
  <c r="C3639" i="1" s="1"/>
  <c r="C3640" i="1" a="1"/>
  <c r="C3640" i="1" s="1"/>
  <c r="C3641" i="1" a="1"/>
  <c r="C3641" i="1" s="1"/>
  <c r="C3642" i="1" a="1"/>
  <c r="C3642" i="1" s="1"/>
  <c r="C3643" i="1" a="1"/>
  <c r="C3643" i="1" s="1"/>
  <c r="C3644" i="1" a="1"/>
  <c r="C3644" i="1" s="1"/>
  <c r="C3645" i="1" a="1"/>
  <c r="C3645" i="1" s="1"/>
  <c r="C3646" i="1" a="1"/>
  <c r="C3646" i="1"/>
  <c r="C3647" i="1" a="1"/>
  <c r="C3647" i="1" s="1"/>
  <c r="C3648" i="1" a="1"/>
  <c r="C3648" i="1" s="1"/>
  <c r="C3649" i="1" a="1"/>
  <c r="C3649" i="1"/>
  <c r="C3650" i="1" a="1"/>
  <c r="C3650" i="1"/>
  <c r="C3651" i="1" a="1"/>
  <c r="C3651" i="1" s="1"/>
  <c r="C3652" i="1" a="1"/>
  <c r="C3652" i="1"/>
  <c r="C3653" i="1" a="1"/>
  <c r="C3653" i="1" s="1"/>
  <c r="C3654" i="1" a="1"/>
  <c r="C3654" i="1" s="1"/>
  <c r="C3655" i="1" a="1"/>
  <c r="C3655" i="1" s="1"/>
  <c r="C3656" i="1" a="1"/>
  <c r="C3656" i="1" s="1"/>
  <c r="C3657" i="1" a="1"/>
  <c r="C3657" i="1" s="1"/>
  <c r="C3658" i="1" a="1"/>
  <c r="C3658" i="1" s="1"/>
  <c r="C3659" i="1" a="1"/>
  <c r="C3659" i="1" s="1"/>
  <c r="C3660" i="1" a="1"/>
  <c r="C3660" i="1" s="1"/>
  <c r="C3661" i="1" a="1"/>
  <c r="C3661" i="1" s="1"/>
  <c r="C3662" i="1" a="1"/>
  <c r="C3662" i="1" s="1"/>
  <c r="C3663" i="1" a="1"/>
  <c r="C3663" i="1" s="1"/>
  <c r="C3664" i="1" a="1"/>
  <c r="C3664" i="1" s="1"/>
  <c r="C3665" i="1" a="1"/>
  <c r="C3665" i="1" s="1"/>
  <c r="C3666" i="1" a="1"/>
  <c r="C3666" i="1" s="1"/>
  <c r="C3667" i="1" a="1"/>
  <c r="C3667" i="1" s="1"/>
  <c r="C3668" i="1" a="1"/>
  <c r="C3668" i="1" s="1"/>
  <c r="C3669" i="1" a="1"/>
  <c r="C3669" i="1" s="1"/>
  <c r="C3670" i="1" a="1"/>
  <c r="C3670" i="1" s="1"/>
  <c r="C3671" i="1" a="1"/>
  <c r="C3671" i="1" s="1"/>
  <c r="C3672" i="1" a="1"/>
  <c r="C3672" i="1" s="1"/>
  <c r="C3673" i="1" a="1"/>
  <c r="C3673" i="1" s="1"/>
  <c r="C3674" i="1" a="1"/>
  <c r="C3674" i="1" s="1"/>
  <c r="C3675" i="1" a="1"/>
  <c r="C3675" i="1" s="1"/>
  <c r="C3676" i="1" a="1"/>
  <c r="C3676" i="1" s="1"/>
  <c r="C3677" i="1" a="1"/>
  <c r="C3677" i="1" s="1"/>
  <c r="C3678" i="1" a="1"/>
  <c r="C3678" i="1" s="1"/>
  <c r="C3679" i="1" a="1"/>
  <c r="C3679" i="1" s="1"/>
  <c r="C3680" i="1" a="1"/>
  <c r="C3680" i="1" s="1"/>
  <c r="C3681" i="1" a="1"/>
  <c r="C3681" i="1" s="1"/>
  <c r="C3682" i="1" a="1"/>
  <c r="C3682" i="1" s="1"/>
  <c r="C3683" i="1" a="1"/>
  <c r="C3683" i="1" s="1"/>
  <c r="C3684" i="1" a="1"/>
  <c r="C3684" i="1" s="1"/>
  <c r="C3685" i="1" a="1"/>
  <c r="C3685" i="1" s="1"/>
  <c r="C3686" i="1" a="1"/>
  <c r="C3686" i="1" s="1"/>
  <c r="C3687" i="1" a="1"/>
  <c r="C3687" i="1" s="1"/>
  <c r="C3688" i="1" a="1"/>
  <c r="C3688" i="1" s="1"/>
  <c r="C3689" i="1" a="1"/>
  <c r="C3689" i="1"/>
  <c r="C3690" i="1" a="1"/>
  <c r="C3690" i="1" s="1"/>
  <c r="C3691" i="1" a="1"/>
  <c r="C3691" i="1" s="1"/>
  <c r="C3692" i="1" a="1"/>
  <c r="C3692" i="1"/>
  <c r="C3693" i="1" a="1"/>
  <c r="C3693" i="1"/>
  <c r="C3694" i="1" a="1"/>
  <c r="C3694" i="1" s="1"/>
  <c r="C3695" i="1" a="1"/>
  <c r="C3695" i="1" s="1"/>
  <c r="C3696" i="1" a="1"/>
  <c r="C3696" i="1" s="1"/>
  <c r="C3697" i="1" a="1"/>
  <c r="C3697" i="1" s="1"/>
  <c r="C3698" i="1" a="1"/>
  <c r="C3698" i="1" s="1"/>
  <c r="C3699" i="1" a="1"/>
  <c r="C3699" i="1" s="1"/>
  <c r="C3700" i="1" a="1"/>
  <c r="C3700" i="1" s="1"/>
  <c r="C3701" i="1" a="1"/>
  <c r="C3701" i="1" s="1"/>
  <c r="C3702" i="1" a="1"/>
  <c r="C3702" i="1" s="1"/>
  <c r="C3703" i="1" a="1"/>
  <c r="C3703" i="1" s="1"/>
  <c r="C3704" i="1" a="1"/>
  <c r="C3704" i="1" s="1"/>
  <c r="C3705" i="1" a="1"/>
  <c r="C3705" i="1" s="1"/>
  <c r="C3706" i="1" a="1"/>
  <c r="C3706" i="1" s="1"/>
  <c r="C3707" i="1" a="1"/>
  <c r="C3707" i="1" s="1"/>
  <c r="C3708" i="1" a="1"/>
  <c r="C3708" i="1" s="1"/>
  <c r="C3709" i="1" a="1"/>
  <c r="C3709" i="1" s="1"/>
  <c r="C3710" i="1" a="1"/>
  <c r="C3710" i="1" s="1"/>
  <c r="C3711" i="1" a="1"/>
  <c r="C3711" i="1" s="1"/>
  <c r="C3712" i="1" a="1"/>
  <c r="C3712" i="1" s="1"/>
  <c r="C3713" i="1" a="1"/>
  <c r="C3713" i="1"/>
  <c r="C3714" i="1" a="1"/>
  <c r="C3714" i="1"/>
  <c r="C3715" i="1" a="1"/>
  <c r="C3715" i="1"/>
  <c r="C3716" i="1" a="1"/>
  <c r="C3716" i="1" s="1"/>
  <c r="C3717" i="1" a="1"/>
  <c r="C3717" i="1" s="1"/>
  <c r="C3718" i="1" a="1"/>
  <c r="C3718" i="1" s="1"/>
  <c r="C3719" i="1" a="1"/>
  <c r="C3719" i="1" s="1"/>
  <c r="C3720" i="1" a="1"/>
  <c r="C3720" i="1"/>
  <c r="C3721" i="1" a="1"/>
  <c r="C3721" i="1" s="1"/>
  <c r="C3722" i="1" a="1"/>
  <c r="C3722" i="1" s="1"/>
  <c r="C3723" i="1" a="1"/>
  <c r="C3723" i="1" s="1"/>
  <c r="C3724" i="1" a="1"/>
  <c r="C3724" i="1" s="1"/>
  <c r="C3725" i="1" a="1"/>
  <c r="C3725" i="1" s="1"/>
  <c r="C3726" i="1" a="1"/>
  <c r="C3726" i="1" s="1"/>
  <c r="C3727" i="1" a="1"/>
  <c r="C3727" i="1" s="1"/>
  <c r="C3728" i="1" a="1"/>
  <c r="C3728" i="1" s="1"/>
  <c r="C3729" i="1" a="1"/>
  <c r="C3729" i="1" s="1"/>
  <c r="C3730" i="1" a="1"/>
  <c r="C3730" i="1" s="1"/>
  <c r="C3731" i="1" a="1"/>
  <c r="C3731" i="1"/>
  <c r="C3732" i="1" a="1"/>
  <c r="C3732" i="1" s="1"/>
  <c r="C3733" i="1" a="1"/>
  <c r="C3733" i="1"/>
  <c r="C3734" i="1" a="1"/>
  <c r="C3734" i="1" s="1"/>
  <c r="C3735" i="1" a="1"/>
  <c r="C3735" i="1"/>
  <c r="C3736" i="1" a="1"/>
  <c r="C3736" i="1"/>
  <c r="C3737" i="1" a="1"/>
  <c r="C3737" i="1" s="1"/>
  <c r="C3738" i="1" a="1"/>
  <c r="C3738" i="1" s="1"/>
  <c r="C3739" i="1" a="1"/>
  <c r="C3739" i="1"/>
  <c r="C3740" i="1" a="1"/>
  <c r="C3740" i="1" s="1"/>
  <c r="C3741" i="1" a="1"/>
  <c r="C3741" i="1" s="1"/>
  <c r="C3742" i="1" a="1"/>
  <c r="C3742" i="1" s="1"/>
  <c r="C3743" i="1" a="1"/>
  <c r="C3743" i="1" s="1"/>
  <c r="C3744" i="1" a="1"/>
  <c r="C3744" i="1" s="1"/>
  <c r="C3745" i="1" a="1"/>
  <c r="C3745" i="1" s="1"/>
  <c r="C3746" i="1" a="1"/>
  <c r="C3746" i="1" s="1"/>
  <c r="C3747" i="1" a="1"/>
  <c r="C3747" i="1" s="1"/>
  <c r="C3748" i="1" a="1"/>
  <c r="C3748" i="1" s="1"/>
  <c r="C3749" i="1" a="1"/>
  <c r="C3749" i="1" s="1"/>
  <c r="C3750" i="1" a="1"/>
  <c r="C3750" i="1"/>
  <c r="C3751" i="1" a="1"/>
  <c r="C3751" i="1" s="1"/>
  <c r="C3752" i="1" a="1"/>
  <c r="C3752" i="1"/>
  <c r="C3753" i="1" a="1"/>
  <c r="C3753" i="1" s="1"/>
  <c r="C3754" i="1" a="1"/>
  <c r="C3754" i="1" s="1"/>
  <c r="C3755" i="1" a="1"/>
  <c r="C3755" i="1"/>
  <c r="C3756" i="1" a="1"/>
  <c r="C3756" i="1"/>
  <c r="C3757" i="1" a="1"/>
  <c r="C3757" i="1" s="1"/>
  <c r="C3758" i="1" a="1"/>
  <c r="C3758" i="1" s="1"/>
  <c r="C3759" i="1" a="1"/>
  <c r="C3759" i="1"/>
  <c r="C3760" i="1" a="1"/>
  <c r="C3760" i="1"/>
  <c r="C3761" i="1" a="1"/>
  <c r="C3761" i="1" s="1"/>
  <c r="C3762" i="1" a="1"/>
  <c r="C3762" i="1"/>
  <c r="C3763" i="1" a="1"/>
  <c r="C3763" i="1" s="1"/>
  <c r="C3764" i="1" a="1"/>
  <c r="C3764" i="1" s="1"/>
  <c r="C3765" i="1" a="1"/>
  <c r="C3765" i="1" s="1"/>
  <c r="C3766" i="1" a="1"/>
  <c r="C3766" i="1" s="1"/>
  <c r="C3767" i="1" a="1"/>
  <c r="C3767" i="1" s="1"/>
  <c r="C3768" i="1" a="1"/>
  <c r="C3768" i="1" s="1"/>
  <c r="C3769" i="1" a="1"/>
  <c r="C3769" i="1" s="1"/>
  <c r="C3770" i="1" a="1"/>
  <c r="C3770" i="1" s="1"/>
  <c r="C3771" i="1" a="1"/>
  <c r="C3771" i="1"/>
  <c r="C3772" i="1" a="1"/>
  <c r="C3772" i="1" s="1"/>
  <c r="C3773" i="1" a="1"/>
  <c r="C3773" i="1" s="1"/>
  <c r="C3774" i="1" a="1"/>
  <c r="C3774" i="1"/>
  <c r="C3775" i="1" a="1"/>
  <c r="C3775" i="1" s="1"/>
  <c r="C3776" i="1" a="1"/>
  <c r="C3776" i="1"/>
  <c r="C3777" i="1" a="1"/>
  <c r="C3777" i="1" s="1"/>
  <c r="C3778" i="1" a="1"/>
  <c r="C3778" i="1" s="1"/>
  <c r="C3779" i="1" a="1"/>
  <c r="C3779" i="1" s="1"/>
  <c r="C3780" i="1" a="1"/>
  <c r="C3780" i="1" s="1"/>
  <c r="C3781" i="1" a="1"/>
  <c r="C3781" i="1" s="1"/>
  <c r="C3782" i="1" a="1"/>
  <c r="C3782" i="1" s="1"/>
  <c r="C3783" i="1" a="1"/>
  <c r="C3783" i="1" s="1"/>
  <c r="C3784" i="1" a="1"/>
  <c r="C3784" i="1" s="1"/>
  <c r="C3785" i="1" a="1"/>
  <c r="C3785" i="1" s="1"/>
  <c r="C3786" i="1" a="1"/>
  <c r="C3786" i="1" s="1"/>
  <c r="C3787" i="1" a="1"/>
  <c r="C3787" i="1" s="1"/>
  <c r="C3788" i="1" a="1"/>
  <c r="C3788" i="1"/>
  <c r="C3789" i="1" a="1"/>
  <c r="C3789" i="1" s="1"/>
  <c r="C3790" i="1" a="1"/>
  <c r="C3790" i="1" s="1"/>
  <c r="C3791" i="1" a="1"/>
  <c r="C3791" i="1" s="1"/>
  <c r="C3792" i="1" a="1"/>
  <c r="C3792" i="1"/>
  <c r="C3793" i="1" a="1"/>
  <c r="C3793" i="1" s="1"/>
  <c r="C3794" i="1" a="1"/>
  <c r="C3794" i="1" s="1"/>
  <c r="C3795" i="1" a="1"/>
  <c r="C3795" i="1" s="1"/>
  <c r="C3796" i="1" a="1"/>
  <c r="C3796" i="1" s="1"/>
  <c r="C3797" i="1" a="1"/>
  <c r="C3797" i="1" s="1"/>
  <c r="C3798" i="1" a="1"/>
  <c r="C3798" i="1" s="1"/>
  <c r="C3799" i="1" a="1"/>
  <c r="C3799" i="1" s="1"/>
  <c r="C3800" i="1" a="1"/>
  <c r="C3800" i="1" s="1"/>
  <c r="C3801" i="1" a="1"/>
  <c r="C3801" i="1" s="1"/>
  <c r="C3802" i="1" a="1"/>
  <c r="C3802" i="1"/>
  <c r="C3803" i="1" a="1"/>
  <c r="C3803" i="1" s="1"/>
  <c r="C3804" i="1" a="1"/>
  <c r="C3804" i="1"/>
  <c r="C3805" i="1" a="1"/>
  <c r="C3805" i="1" s="1"/>
  <c r="C3806" i="1" a="1"/>
  <c r="C3806" i="1" s="1"/>
  <c r="C3807" i="1" a="1"/>
  <c r="C3807" i="1" s="1"/>
  <c r="C3808" i="1" a="1"/>
  <c r="C3808" i="1" s="1"/>
  <c r="C3809" i="1" a="1"/>
  <c r="C3809" i="1"/>
  <c r="C3810" i="1" a="1"/>
  <c r="C3810" i="1" s="1"/>
  <c r="C3811" i="1" a="1"/>
  <c r="C3811" i="1" s="1"/>
  <c r="C3812" i="1" a="1"/>
  <c r="C3812" i="1" s="1"/>
  <c r="C3813" i="1" a="1"/>
  <c r="C3813" i="1" s="1"/>
  <c r="C3814" i="1" a="1"/>
  <c r="C3814" i="1" s="1"/>
  <c r="C3815" i="1" a="1"/>
  <c r="C3815" i="1"/>
  <c r="C3816" i="1" a="1"/>
  <c r="C3816" i="1" s="1"/>
  <c r="C3817" i="1" a="1"/>
  <c r="C3817" i="1" s="1"/>
  <c r="C3818" i="1" a="1"/>
  <c r="C3818" i="1" s="1"/>
  <c r="C3819" i="1" a="1"/>
  <c r="C3819" i="1" s="1"/>
  <c r="C3820" i="1" a="1"/>
  <c r="C3820" i="1" s="1"/>
  <c r="C3821" i="1" a="1"/>
  <c r="C3821" i="1" s="1"/>
  <c r="C3822" i="1" a="1"/>
  <c r="C3822" i="1"/>
  <c r="C3823" i="1" a="1"/>
  <c r="C3823" i="1" s="1"/>
  <c r="C3824" i="1" a="1"/>
  <c r="C3824" i="1" s="1"/>
  <c r="C3825" i="1" a="1"/>
  <c r="C3825" i="1" s="1"/>
  <c r="C3826" i="1" a="1"/>
  <c r="C3826" i="1" s="1"/>
  <c r="C3827" i="1" a="1"/>
  <c r="C3827" i="1" s="1"/>
  <c r="C3828" i="1" a="1"/>
  <c r="C3828" i="1" s="1"/>
  <c r="C3829" i="1" a="1"/>
  <c r="C3829" i="1" s="1"/>
  <c r="C3830" i="1" a="1"/>
  <c r="C3830" i="1"/>
  <c r="C3831" i="1" a="1"/>
  <c r="C3831" i="1" s="1"/>
  <c r="C3832" i="1" a="1"/>
  <c r="C3832" i="1" s="1"/>
  <c r="C3833" i="1" a="1"/>
  <c r="C3833" i="1" s="1"/>
  <c r="C3834" i="1" a="1"/>
  <c r="C3834" i="1" s="1"/>
  <c r="C3835" i="1" a="1"/>
  <c r="C3835" i="1" s="1"/>
  <c r="C3836" i="1" a="1"/>
  <c r="C3836" i="1" s="1"/>
  <c r="C3837" i="1" a="1"/>
  <c r="C3837" i="1" s="1"/>
  <c r="C3838" i="1" a="1"/>
  <c r="C3838" i="1" s="1"/>
  <c r="C3839" i="1" a="1"/>
  <c r="C3839" i="1" s="1"/>
  <c r="C3840" i="1" a="1"/>
  <c r="C3840" i="1" s="1"/>
  <c r="C3841" i="1" a="1"/>
  <c r="C3841" i="1" s="1"/>
  <c r="C3842" i="1" a="1"/>
  <c r="C3842" i="1" s="1"/>
  <c r="C3843" i="1" a="1"/>
  <c r="C3843" i="1"/>
  <c r="C3844" i="1" a="1"/>
  <c r="C3844" i="1"/>
  <c r="C3845" i="1" a="1"/>
  <c r="C3845" i="1" s="1"/>
  <c r="C3846" i="1" a="1"/>
  <c r="C3846" i="1" s="1"/>
  <c r="C3847" i="1" a="1"/>
  <c r="C3847" i="1" s="1"/>
  <c r="C3848" i="1" a="1"/>
  <c r="C3848" i="1" s="1"/>
  <c r="C3849" i="1" a="1"/>
  <c r="C3849" i="1" s="1"/>
  <c r="C3850" i="1" a="1"/>
  <c r="C3850" i="1" s="1"/>
  <c r="C3851" i="1" a="1"/>
  <c r="C3851" i="1"/>
  <c r="C3852" i="1" a="1"/>
  <c r="C3852" i="1" s="1"/>
  <c r="C3853" i="1" a="1"/>
  <c r="C3853" i="1" s="1"/>
  <c r="C3854" i="1" a="1"/>
  <c r="C3854" i="1" s="1"/>
  <c r="C3855" i="1" a="1"/>
  <c r="C3855" i="1" s="1"/>
  <c r="C3856" i="1" a="1"/>
  <c r="C3856" i="1" s="1"/>
  <c r="C3857" i="1" a="1"/>
  <c r="C3857" i="1" s="1"/>
  <c r="C3858" i="1" a="1"/>
  <c r="C3858" i="1" s="1"/>
  <c r="C3859" i="1" a="1"/>
  <c r="C3859" i="1" s="1"/>
  <c r="C3860" i="1" a="1"/>
  <c r="C3860" i="1" s="1"/>
  <c r="C3861" i="1" a="1"/>
  <c r="C3861" i="1" s="1"/>
  <c r="C3862" i="1" a="1"/>
  <c r="C3862" i="1" s="1"/>
  <c r="C3863" i="1" a="1"/>
  <c r="C3863" i="1" s="1"/>
  <c r="C3864" i="1" a="1"/>
  <c r="C3864" i="1" s="1"/>
  <c r="C3865" i="1" a="1"/>
  <c r="C3865" i="1" s="1"/>
  <c r="C3866" i="1" a="1"/>
  <c r="C3866" i="1" s="1"/>
  <c r="C3867" i="1" a="1"/>
  <c r="C3867" i="1" s="1"/>
  <c r="C3868" i="1" a="1"/>
  <c r="C3868" i="1" s="1"/>
  <c r="C3869" i="1" a="1"/>
  <c r="C3869" i="1" s="1"/>
  <c r="C3870" i="1" a="1"/>
  <c r="C3870" i="1"/>
  <c r="C3871" i="1" a="1"/>
  <c r="C3871" i="1"/>
  <c r="C3872" i="1" a="1"/>
  <c r="C3872" i="1"/>
  <c r="C3873" i="1" a="1"/>
  <c r="C3873" i="1"/>
  <c r="C3874" i="1" a="1"/>
  <c r="C3874" i="1" s="1"/>
  <c r="C3875" i="1" a="1"/>
  <c r="C3875" i="1" s="1"/>
  <c r="C3876" i="1" a="1"/>
  <c r="C3876" i="1" s="1"/>
  <c r="C3877" i="1" a="1"/>
  <c r="C3877" i="1" s="1"/>
  <c r="C3878" i="1" a="1"/>
  <c r="C3878" i="1" s="1"/>
  <c r="C3879" i="1" a="1"/>
  <c r="C3879" i="1" s="1"/>
  <c r="C3880" i="1" a="1"/>
  <c r="C3880" i="1" s="1"/>
  <c r="C3881" i="1" a="1"/>
  <c r="C3881" i="1" s="1"/>
  <c r="C3882" i="1" a="1"/>
  <c r="C3882" i="1" s="1"/>
  <c r="C3883" i="1" a="1"/>
  <c r="C3883" i="1" s="1"/>
  <c r="C3884" i="1" a="1"/>
  <c r="C3884" i="1" s="1"/>
  <c r="C3885" i="1" a="1"/>
  <c r="C3885" i="1" s="1"/>
  <c r="C3886" i="1" a="1"/>
  <c r="C3886" i="1" s="1"/>
  <c r="C3887" i="1" a="1"/>
  <c r="C3887" i="1" s="1"/>
  <c r="C3888" i="1" a="1"/>
  <c r="C3888" i="1" s="1"/>
  <c r="C3889" i="1" a="1"/>
  <c r="C3889" i="1" s="1"/>
  <c r="C3890" i="1" a="1"/>
  <c r="C3890" i="1" s="1"/>
  <c r="C3891" i="1" a="1"/>
  <c r="C3891" i="1" s="1"/>
  <c r="C3892" i="1" a="1"/>
  <c r="C3892" i="1"/>
  <c r="C3893" i="1" a="1"/>
  <c r="C3893" i="1" s="1"/>
  <c r="C3894" i="1" a="1"/>
  <c r="C3894" i="1"/>
  <c r="C3895" i="1" a="1"/>
  <c r="C3895" i="1" s="1"/>
  <c r="C3896" i="1" a="1"/>
  <c r="C3896" i="1" s="1"/>
  <c r="C3897" i="1" a="1"/>
  <c r="C3897" i="1" s="1"/>
  <c r="C3898" i="1" a="1"/>
  <c r="C3898" i="1" s="1"/>
  <c r="C3899" i="1" a="1"/>
  <c r="C3899" i="1"/>
  <c r="C3900" i="1" a="1"/>
  <c r="C3900" i="1" s="1"/>
  <c r="C3901" i="1" a="1"/>
  <c r="C3901" i="1" s="1"/>
  <c r="C3902" i="1" a="1"/>
  <c r="C3902" i="1" s="1"/>
  <c r="C3903" i="1" a="1"/>
  <c r="C3903" i="1" s="1"/>
  <c r="C3904" i="1" a="1"/>
  <c r="C3904" i="1" s="1"/>
  <c r="C3905" i="1" a="1"/>
  <c r="C3905" i="1" s="1"/>
  <c r="C3906" i="1" a="1"/>
  <c r="C3906" i="1" s="1"/>
  <c r="C3907" i="1" a="1"/>
  <c r="C3907" i="1" s="1"/>
  <c r="C3908" i="1" a="1"/>
  <c r="C3908" i="1" s="1"/>
  <c r="C3909" i="1" a="1"/>
  <c r="C3909" i="1" s="1"/>
  <c r="C3910" i="1" a="1"/>
  <c r="C3910" i="1" s="1"/>
  <c r="C3911" i="1" a="1"/>
  <c r="C3911" i="1" s="1"/>
  <c r="C3912" i="1" a="1"/>
  <c r="C3912" i="1" s="1"/>
  <c r="C3913" i="1" a="1"/>
  <c r="C3913" i="1" s="1"/>
  <c r="C3914" i="1" a="1"/>
  <c r="C3914" i="1" s="1"/>
  <c r="C3915" i="1" a="1"/>
  <c r="C3915" i="1"/>
  <c r="C3916" i="1" a="1"/>
  <c r="C3916" i="1" s="1"/>
  <c r="C3917" i="1" a="1"/>
  <c r="C3917" i="1" s="1"/>
  <c r="C3918" i="1" a="1"/>
  <c r="C3918" i="1" s="1"/>
  <c r="C3919" i="1" a="1"/>
  <c r="C3919" i="1" s="1"/>
  <c r="C3920" i="1" a="1"/>
  <c r="C3920" i="1"/>
  <c r="C3921" i="1" a="1"/>
  <c r="C3921" i="1" s="1"/>
  <c r="C3922" i="1" a="1"/>
  <c r="C3922" i="1" s="1"/>
  <c r="C3923" i="1" a="1"/>
  <c r="C3923" i="1" s="1"/>
  <c r="C3924" i="1" a="1"/>
  <c r="C3924" i="1" s="1"/>
  <c r="C3925" i="1" a="1"/>
  <c r="C3925" i="1" s="1"/>
  <c r="C3926" i="1" a="1"/>
  <c r="C3926" i="1" s="1"/>
  <c r="C3927" i="1" a="1"/>
  <c r="C3927" i="1" s="1"/>
  <c r="C3928" i="1" a="1"/>
  <c r="C3928" i="1" s="1"/>
  <c r="C3929" i="1" a="1"/>
  <c r="C3929" i="1"/>
  <c r="C3930" i="1" a="1"/>
  <c r="C3930" i="1" s="1"/>
  <c r="C3931" i="1" a="1"/>
  <c r="C3931" i="1"/>
  <c r="C3932" i="1" a="1"/>
  <c r="C3932" i="1" s="1"/>
  <c r="C3933" i="1" a="1"/>
  <c r="C3933" i="1"/>
  <c r="C3934" i="1" a="1"/>
  <c r="C3934" i="1" s="1"/>
  <c r="C3935" i="1" a="1"/>
  <c r="C3935" i="1"/>
  <c r="C3936" i="1" a="1"/>
  <c r="C3936" i="1" s="1"/>
  <c r="C3937" i="1" a="1"/>
  <c r="C3937" i="1" s="1"/>
  <c r="C3938" i="1" a="1"/>
  <c r="C3938" i="1" s="1"/>
  <c r="C3939" i="1" a="1"/>
  <c r="C3939" i="1" s="1"/>
  <c r="C3940" i="1" a="1"/>
  <c r="C3940" i="1" s="1"/>
  <c r="C3941" i="1" a="1"/>
  <c r="C3941" i="1"/>
  <c r="C3942" i="1" a="1"/>
  <c r="C3942" i="1" s="1"/>
  <c r="C3943" i="1" a="1"/>
  <c r="C3943" i="1" s="1"/>
  <c r="C3944" i="1" a="1"/>
  <c r="C3944" i="1" s="1"/>
  <c r="C3945" i="1" a="1"/>
  <c r="C3945" i="1" s="1"/>
  <c r="C3946" i="1" a="1"/>
  <c r="C3946" i="1" s="1"/>
  <c r="C3947" i="1" a="1"/>
  <c r="C3947" i="1" s="1"/>
  <c r="C3948" i="1" a="1"/>
  <c r="C3948" i="1" s="1"/>
  <c r="C3949" i="1" a="1"/>
  <c r="C3949" i="1" s="1"/>
  <c r="C3950" i="1" a="1"/>
  <c r="C3950" i="1"/>
  <c r="C3951" i="1" a="1"/>
  <c r="C3951" i="1" s="1"/>
  <c r="C3952" i="1" a="1"/>
  <c r="C3952" i="1"/>
  <c r="C3953" i="1" a="1"/>
  <c r="C3953" i="1" s="1"/>
  <c r="C3954" i="1" a="1"/>
  <c r="C3954" i="1"/>
  <c r="C3955" i="1" a="1"/>
  <c r="C3955" i="1"/>
  <c r="C3956" i="1" a="1"/>
  <c r="C3956" i="1"/>
  <c r="C3957" i="1" a="1"/>
  <c r="C3957" i="1" s="1"/>
  <c r="C3958" i="1" a="1"/>
  <c r="C3958" i="1" s="1"/>
  <c r="C3959" i="1" a="1"/>
  <c r="C3959" i="1"/>
  <c r="C3960" i="1" a="1"/>
  <c r="C3960" i="1" s="1"/>
  <c r="C3961" i="1" a="1"/>
  <c r="C3961" i="1" s="1"/>
  <c r="C3962" i="1" a="1"/>
  <c r="C3962" i="1"/>
  <c r="C3963" i="1" a="1"/>
  <c r="C3963" i="1" s="1"/>
  <c r="C3964" i="1" a="1"/>
  <c r="C3964" i="1" s="1"/>
  <c r="C3965" i="1" a="1"/>
  <c r="C3965" i="1" s="1"/>
  <c r="C3966" i="1" a="1"/>
  <c r="C3966" i="1" s="1"/>
  <c r="C3967" i="1" a="1"/>
  <c r="C3967" i="1" s="1"/>
  <c r="C3968" i="1" a="1"/>
  <c r="C3968" i="1" s="1"/>
  <c r="C3969" i="1" a="1"/>
  <c r="C3969" i="1" s="1"/>
  <c r="C3970" i="1" a="1"/>
  <c r="C3970" i="1" s="1"/>
  <c r="C3971" i="1" a="1"/>
  <c r="C3971" i="1"/>
  <c r="C3972" i="1" a="1"/>
  <c r="C3972" i="1" s="1"/>
  <c r="C3973" i="1" a="1"/>
  <c r="C3973" i="1"/>
  <c r="C3974" i="1" a="1"/>
  <c r="C3974" i="1" s="1"/>
  <c r="C3975" i="1" a="1"/>
  <c r="C3975" i="1" s="1"/>
  <c r="C3976" i="1" a="1"/>
  <c r="C3976" i="1" s="1"/>
  <c r="C3977" i="1" a="1"/>
  <c r="C3977" i="1" s="1"/>
  <c r="C3978" i="1" a="1"/>
  <c r="C3978" i="1" s="1"/>
  <c r="C3979" i="1" a="1"/>
  <c r="C3979" i="1" s="1"/>
  <c r="C3980" i="1" a="1"/>
  <c r="C3980" i="1"/>
  <c r="C3981" i="1" a="1"/>
  <c r="C3981" i="1"/>
  <c r="C3982" i="1" a="1"/>
  <c r="C3982" i="1" s="1"/>
  <c r="C3983" i="1" a="1"/>
  <c r="C3983" i="1"/>
  <c r="C3984" i="1" a="1"/>
  <c r="C3984" i="1" s="1"/>
  <c r="C3985" i="1" a="1"/>
  <c r="C3985" i="1" s="1"/>
  <c r="C3986" i="1" a="1"/>
  <c r="C3986" i="1" s="1"/>
  <c r="C3987" i="1" a="1"/>
  <c r="C3987" i="1" s="1"/>
  <c r="C3988" i="1" a="1"/>
  <c r="C3988" i="1"/>
  <c r="C3989" i="1" a="1"/>
  <c r="C3989" i="1" s="1"/>
  <c r="C3990" i="1" a="1"/>
  <c r="C3990" i="1" s="1"/>
  <c r="C3991" i="1" a="1"/>
  <c r="C3991" i="1" s="1"/>
  <c r="C3992" i="1" a="1"/>
  <c r="C3992" i="1"/>
  <c r="C3993" i="1" a="1"/>
  <c r="C3993" i="1" s="1"/>
  <c r="C3994" i="1" a="1"/>
  <c r="C3994" i="1"/>
  <c r="C3995" i="1" a="1"/>
  <c r="C3995" i="1" s="1"/>
  <c r="C3996" i="1" a="1"/>
  <c r="C3996" i="1"/>
  <c r="C3997" i="1" a="1"/>
  <c r="C3997" i="1" s="1"/>
  <c r="C3998" i="1" a="1"/>
  <c r="C3998" i="1" s="1"/>
  <c r="C3999" i="1" a="1"/>
  <c r="C3999" i="1" s="1"/>
  <c r="C4000" i="1" a="1"/>
  <c r="C4000" i="1" s="1"/>
  <c r="C4001" i="1" a="1"/>
  <c r="C4001" i="1"/>
  <c r="C4002" i="1" a="1"/>
  <c r="C4002" i="1"/>
  <c r="C4003" i="1" a="1"/>
  <c r="C4003" i="1" s="1"/>
  <c r="C4004" i="1" a="1"/>
  <c r="C4004" i="1" s="1"/>
  <c r="C4005" i="1" a="1"/>
  <c r="C4005" i="1" s="1"/>
  <c r="C4006" i="1" a="1"/>
  <c r="C4006" i="1" s="1"/>
  <c r="C4007" i="1" a="1"/>
  <c r="C4007" i="1" s="1"/>
  <c r="C4008" i="1" a="1"/>
  <c r="C4008" i="1" s="1"/>
  <c r="C4009" i="1" a="1"/>
  <c r="C4009" i="1" s="1"/>
  <c r="C4010" i="1" a="1"/>
  <c r="C4010" i="1"/>
  <c r="C4011" i="1" a="1"/>
  <c r="C4011" i="1" s="1"/>
  <c r="C4012" i="1" a="1"/>
  <c r="C4012" i="1" s="1"/>
  <c r="C4013" i="1" a="1"/>
  <c r="C4013" i="1" s="1"/>
  <c r="C4014" i="1" a="1"/>
  <c r="C4014" i="1" s="1"/>
  <c r="C4015" i="1" a="1"/>
  <c r="C4015" i="1"/>
  <c r="C4016" i="1" a="1"/>
  <c r="C4016" i="1" s="1"/>
  <c r="C4017" i="1" a="1"/>
  <c r="C4017" i="1" s="1"/>
  <c r="C4018" i="1" a="1"/>
  <c r="C4018" i="1" s="1"/>
  <c r="C4019" i="1" a="1"/>
  <c r="C4019" i="1" s="1"/>
  <c r="C4020" i="1" a="1"/>
  <c r="C4020" i="1" s="1"/>
  <c r="C4021" i="1" a="1"/>
  <c r="C4021" i="1" s="1"/>
  <c r="C4022" i="1" a="1"/>
  <c r="C4022" i="1" s="1"/>
  <c r="C4023" i="1" a="1"/>
  <c r="C4023" i="1" s="1"/>
  <c r="C4024" i="1" a="1"/>
  <c r="C4024" i="1" s="1"/>
  <c r="C4025" i="1" a="1"/>
  <c r="C4025" i="1" s="1"/>
  <c r="C4026" i="1" a="1"/>
  <c r="C4026" i="1" s="1"/>
  <c r="C4027" i="1" a="1"/>
  <c r="C4027" i="1" s="1"/>
  <c r="C4028" i="1" a="1"/>
  <c r="C4028" i="1" s="1"/>
  <c r="C4029" i="1" a="1"/>
  <c r="C4029" i="1" s="1"/>
  <c r="C4030" i="1" a="1"/>
  <c r="C4030" i="1"/>
  <c r="C4031" i="1" a="1"/>
  <c r="C4031" i="1"/>
  <c r="C4032" i="1" a="1"/>
  <c r="C4032" i="1" s="1"/>
  <c r="C4033" i="1" a="1"/>
  <c r="C4033" i="1" s="1"/>
  <c r="C4034" i="1" a="1"/>
  <c r="C4034" i="1" s="1"/>
  <c r="C4035" i="1" a="1"/>
  <c r="C4035" i="1" s="1"/>
  <c r="C4036" i="1" a="1"/>
  <c r="C4036" i="1" s="1"/>
  <c r="C4037" i="1" a="1"/>
  <c r="C4037" i="1" s="1"/>
  <c r="C4038" i="1" a="1"/>
  <c r="C4038" i="1" s="1"/>
  <c r="C4039" i="1" a="1"/>
  <c r="C4039" i="1" s="1"/>
  <c r="C4040" i="1" a="1"/>
  <c r="C4040" i="1" s="1"/>
  <c r="C4041" i="1" a="1"/>
  <c r="C4041" i="1" s="1"/>
  <c r="C4042" i="1" a="1"/>
  <c r="C4042" i="1" s="1"/>
  <c r="C4043" i="1" a="1"/>
  <c r="C4043" i="1" s="1"/>
  <c r="C4044" i="1" a="1"/>
  <c r="C4044" i="1" s="1"/>
  <c r="C4045" i="1" a="1"/>
  <c r="C4045" i="1" s="1"/>
  <c r="C4046" i="1" a="1"/>
  <c r="C4046" i="1" s="1"/>
  <c r="C4047" i="1" a="1"/>
  <c r="C4047" i="1" s="1"/>
  <c r="C4048" i="1" a="1"/>
  <c r="C4048" i="1" s="1"/>
  <c r="C4049" i="1" a="1"/>
  <c r="C4049" i="1"/>
  <c r="C4050" i="1" a="1"/>
  <c r="C4050" i="1"/>
  <c r="C4051" i="1" a="1"/>
  <c r="C4051" i="1" s="1"/>
  <c r="C4052" i="1" a="1"/>
  <c r="C4052" i="1" s="1"/>
  <c r="C4053" i="1" a="1"/>
  <c r="C4053" i="1" s="1"/>
  <c r="C4054" i="1" a="1"/>
  <c r="C4054" i="1" s="1"/>
  <c r="C4055" i="1" a="1"/>
  <c r="C4055" i="1" s="1"/>
  <c r="C4056" i="1" a="1"/>
  <c r="C4056" i="1" s="1"/>
  <c r="C4057" i="1" a="1"/>
  <c r="C4057" i="1" s="1"/>
  <c r="C4058" i="1" a="1"/>
  <c r="C4058" i="1" s="1"/>
  <c r="C4059" i="1" a="1"/>
  <c r="C4059" i="1" s="1"/>
  <c r="C4060" i="1" a="1"/>
  <c r="C4060" i="1" s="1"/>
  <c r="C4061" i="1" a="1"/>
  <c r="C4061" i="1" s="1"/>
  <c r="C4062" i="1" a="1"/>
  <c r="C4062" i="1" s="1"/>
  <c r="C4063" i="1" a="1"/>
  <c r="C4063" i="1" s="1"/>
  <c r="C4064" i="1" a="1"/>
  <c r="C4064" i="1"/>
  <c r="C4065" i="1" a="1"/>
  <c r="C4065" i="1"/>
  <c r="C4066" i="1" a="1"/>
  <c r="C4066" i="1" s="1"/>
  <c r="C4067" i="1" a="1"/>
  <c r="C4067" i="1" s="1"/>
  <c r="C4068" i="1" a="1"/>
  <c r="C4068" i="1"/>
  <c r="C4069" i="1" a="1"/>
  <c r="C4069" i="1" s="1"/>
  <c r="C4070" i="1" a="1"/>
  <c r="C4070" i="1"/>
  <c r="C4071" i="1" a="1"/>
  <c r="C4071" i="1"/>
  <c r="C4072" i="1" a="1"/>
  <c r="C4072" i="1"/>
  <c r="C4073" i="1" a="1"/>
  <c r="C4073" i="1"/>
  <c r="C4074" i="1" a="1"/>
  <c r="C4074" i="1" s="1"/>
  <c r="C4075" i="1" a="1"/>
  <c r="C4075" i="1" s="1"/>
  <c r="C4076" i="1" a="1"/>
  <c r="C4076" i="1" s="1"/>
  <c r="C4077" i="1" a="1"/>
  <c r="C4077" i="1" s="1"/>
  <c r="C4078" i="1" a="1"/>
  <c r="C4078" i="1"/>
  <c r="C4079" i="1" a="1"/>
  <c r="C4079" i="1" s="1"/>
  <c r="C4080" i="1" a="1"/>
  <c r="C4080" i="1" s="1"/>
  <c r="C4081" i="1" a="1"/>
  <c r="C4081" i="1" s="1"/>
  <c r="C4082" i="1" a="1"/>
  <c r="C4082" i="1" s="1"/>
  <c r="C4083" i="1" a="1"/>
  <c r="C4083" i="1" s="1"/>
  <c r="C4084" i="1" a="1"/>
  <c r="C4084" i="1" s="1"/>
  <c r="C4085" i="1" a="1"/>
  <c r="C4085" i="1"/>
  <c r="C4086" i="1" a="1"/>
  <c r="C4086" i="1"/>
  <c r="C4087" i="1" a="1"/>
  <c r="C4087" i="1" s="1"/>
  <c r="C4088" i="1" a="1"/>
  <c r="C4088" i="1" s="1"/>
  <c r="C4089" i="1" a="1"/>
  <c r="C4089" i="1"/>
  <c r="C4090" i="1" a="1"/>
  <c r="C4090" i="1" s="1"/>
  <c r="C4091" i="1" a="1"/>
  <c r="C4091" i="1" s="1"/>
  <c r="C4092" i="1" a="1"/>
  <c r="C4092" i="1"/>
  <c r="C4093" i="1" a="1"/>
  <c r="C4093" i="1"/>
  <c r="C4094" i="1" a="1"/>
  <c r="C4094" i="1" s="1"/>
  <c r="C4095" i="1" a="1"/>
  <c r="C4095" i="1" s="1"/>
  <c r="C4096" i="1" a="1"/>
  <c r="C4096" i="1" s="1"/>
  <c r="C4097" i="1" a="1"/>
  <c r="C4097" i="1" s="1"/>
  <c r="C4098" i="1" a="1"/>
  <c r="C4098" i="1" s="1"/>
  <c r="C4099" i="1" a="1"/>
  <c r="C4099" i="1" s="1"/>
  <c r="C4100" i="1" a="1"/>
  <c r="C4100" i="1" s="1"/>
  <c r="C4101" i="1" a="1"/>
  <c r="C4101" i="1" s="1"/>
  <c r="C4102" i="1" a="1"/>
  <c r="C4102" i="1" s="1"/>
  <c r="C4103" i="1" a="1"/>
  <c r="C4103" i="1" s="1"/>
  <c r="C4104" i="1" a="1"/>
  <c r="C4104" i="1" s="1"/>
  <c r="C4105" i="1" a="1"/>
  <c r="C4105" i="1" s="1"/>
  <c r="C4106" i="1" a="1"/>
  <c r="C4106" i="1"/>
  <c r="C4107" i="1" a="1"/>
  <c r="C4107" i="1" s="1"/>
  <c r="C4108" i="1" a="1"/>
  <c r="C4108" i="1" s="1"/>
  <c r="C4109" i="1" a="1"/>
  <c r="C4109" i="1" s="1"/>
  <c r="C4110" i="1" a="1"/>
  <c r="C4110" i="1"/>
  <c r="C4111" i="1" a="1"/>
  <c r="C4111" i="1" s="1"/>
  <c r="C4112" i="1" a="1"/>
  <c r="C4112" i="1"/>
  <c r="C4113" i="1" a="1"/>
  <c r="C4113" i="1"/>
  <c r="C4114" i="1" a="1"/>
  <c r="C4114" i="1" s="1"/>
  <c r="C4115" i="1" a="1"/>
  <c r="C4115" i="1" s="1"/>
  <c r="C4116" i="1" a="1"/>
  <c r="C4116" i="1" s="1"/>
  <c r="C4117" i="1" a="1"/>
  <c r="C4117" i="1" s="1"/>
  <c r="C4118" i="1" a="1"/>
  <c r="C4118" i="1"/>
  <c r="C4119" i="1" a="1"/>
  <c r="C4119" i="1" s="1"/>
  <c r="C4120" i="1" a="1"/>
  <c r="C4120" i="1" s="1"/>
  <c r="C4121" i="1" a="1"/>
  <c r="C4121" i="1" s="1"/>
  <c r="C4122" i="1" a="1"/>
  <c r="C4122" i="1" s="1"/>
  <c r="C4123" i="1" a="1"/>
  <c r="C4123" i="1" s="1"/>
  <c r="C4124" i="1" a="1"/>
  <c r="C4124" i="1" s="1"/>
  <c r="C4125" i="1" a="1"/>
  <c r="C4125" i="1" s="1"/>
  <c r="C4126" i="1" a="1"/>
  <c r="C4126" i="1" s="1"/>
  <c r="C4127" i="1" a="1"/>
  <c r="C4127" i="1" s="1"/>
  <c r="C4128" i="1" a="1"/>
  <c r="C4128" i="1" s="1"/>
  <c r="C4129" i="1" a="1"/>
  <c r="C4129" i="1" s="1"/>
  <c r="C4130" i="1" a="1"/>
  <c r="C4130" i="1" s="1"/>
  <c r="C4131" i="1" a="1"/>
  <c r="C4131" i="1"/>
  <c r="C4132" i="1" a="1"/>
  <c r="C4132" i="1" s="1"/>
  <c r="C4133" i="1" a="1"/>
  <c r="C4133" i="1" s="1"/>
  <c r="C4134" i="1" a="1"/>
  <c r="C4134" i="1" s="1"/>
  <c r="C4135" i="1" a="1"/>
  <c r="C4135" i="1"/>
  <c r="C4136" i="1" a="1"/>
  <c r="C4136" i="1" s="1"/>
  <c r="C4137" i="1" a="1"/>
  <c r="C4137" i="1" s="1"/>
  <c r="C4138" i="1" a="1"/>
  <c r="C4138" i="1"/>
  <c r="C4139" i="1" a="1"/>
  <c r="C4139" i="1" s="1"/>
  <c r="C4140" i="1" a="1"/>
  <c r="C4140" i="1" s="1"/>
  <c r="C4141" i="1" a="1"/>
  <c r="C4141" i="1"/>
  <c r="C4142" i="1" a="1"/>
  <c r="C4142" i="1" s="1"/>
  <c r="C4143" i="1" a="1"/>
  <c r="C4143" i="1" s="1"/>
  <c r="C4144" i="1" a="1"/>
  <c r="C4144" i="1" s="1"/>
  <c r="C4145" i="1" a="1"/>
  <c r="C4145" i="1" s="1"/>
  <c r="C4146" i="1" a="1"/>
  <c r="C4146" i="1" s="1"/>
  <c r="C4147" i="1" a="1"/>
  <c r="C4147" i="1" s="1"/>
  <c r="C4148" i="1" a="1"/>
  <c r="C4148" i="1" s="1"/>
  <c r="C4149" i="1" a="1"/>
  <c r="C4149" i="1" s="1"/>
  <c r="C4150" i="1" a="1"/>
  <c r="C4150" i="1" s="1"/>
  <c r="C4151" i="1" a="1"/>
  <c r="C4151" i="1" s="1"/>
  <c r="C4152" i="1" a="1"/>
  <c r="C4152" i="1" s="1"/>
  <c r="C4153" i="1" a="1"/>
  <c r="C4153" i="1" s="1"/>
  <c r="C4154" i="1" a="1"/>
  <c r="C4154" i="1"/>
  <c r="C4155" i="1" a="1"/>
  <c r="C4155" i="1" s="1"/>
  <c r="C4156" i="1" a="1"/>
  <c r="C4156" i="1" s="1"/>
  <c r="C4157" i="1" a="1"/>
  <c r="C4157" i="1" s="1"/>
  <c r="C4158" i="1" a="1"/>
  <c r="C4158" i="1" s="1"/>
  <c r="C4159" i="1" a="1"/>
  <c r="C4159" i="1"/>
  <c r="C4160" i="1" a="1"/>
  <c r="C4160" i="1"/>
  <c r="C4161" i="1" a="1"/>
  <c r="C4161" i="1" s="1"/>
  <c r="C4162" i="1" a="1"/>
  <c r="C4162" i="1" s="1"/>
  <c r="C4163" i="1" a="1"/>
  <c r="C4163" i="1" s="1"/>
  <c r="C4164" i="1" a="1"/>
  <c r="C4164" i="1" s="1"/>
  <c r="C4165" i="1" a="1"/>
  <c r="C4165" i="1" s="1"/>
  <c r="C4166" i="1" a="1"/>
  <c r="C4166" i="1" s="1"/>
  <c r="C4167" i="1" a="1"/>
  <c r="C4167" i="1" s="1"/>
  <c r="C4168" i="1" a="1"/>
  <c r="C4168" i="1" s="1"/>
  <c r="C4169" i="1" a="1"/>
  <c r="C4169" i="1" s="1"/>
  <c r="C4170" i="1" a="1"/>
  <c r="C4170" i="1" s="1"/>
  <c r="C4171" i="1" a="1"/>
  <c r="C4171" i="1" s="1"/>
  <c r="C4172" i="1" a="1"/>
  <c r="C4172" i="1" s="1"/>
  <c r="C4173" i="1" a="1"/>
  <c r="C4173" i="1" s="1"/>
  <c r="C4174" i="1" a="1"/>
  <c r="C4174" i="1" s="1"/>
  <c r="C4175" i="1" a="1"/>
  <c r="C4175" i="1"/>
  <c r="C4176" i="1" a="1"/>
  <c r="C4176" i="1" s="1"/>
  <c r="C4177" i="1" a="1"/>
  <c r="C4177" i="1" s="1"/>
  <c r="C4178" i="1" a="1"/>
  <c r="C4178" i="1" s="1"/>
  <c r="C4179" i="1" a="1"/>
  <c r="C4179" i="1" s="1"/>
  <c r="C4180" i="1" a="1"/>
  <c r="C4180" i="1" s="1"/>
  <c r="C4181" i="1" a="1"/>
  <c r="C4181" i="1" s="1"/>
  <c r="C4182" i="1" a="1"/>
  <c r="C4182" i="1" s="1"/>
  <c r="C4183" i="1" a="1"/>
  <c r="C4183" i="1" s="1"/>
  <c r="C4184" i="1" a="1"/>
  <c r="C4184" i="1" s="1"/>
  <c r="C4185" i="1" a="1"/>
  <c r="C4185" i="1" s="1"/>
  <c r="C4186" i="1" a="1"/>
  <c r="C4186" i="1" s="1"/>
  <c r="C4187" i="1" a="1"/>
  <c r="C4187" i="1" s="1"/>
  <c r="C4188" i="1" a="1"/>
  <c r="C4188" i="1" s="1"/>
  <c r="C4189" i="1" a="1"/>
  <c r="C4189" i="1"/>
  <c r="C4190" i="1" a="1"/>
  <c r="C4190" i="1" s="1"/>
  <c r="C4191" i="1" a="1"/>
  <c r="C4191" i="1" s="1"/>
  <c r="C4192" i="1" a="1"/>
  <c r="C4192" i="1" s="1"/>
  <c r="C4193" i="1" a="1"/>
  <c r="C4193" i="1" s="1"/>
  <c r="C4194" i="1" a="1"/>
  <c r="C4194" i="1" s="1"/>
  <c r="C4195" i="1" a="1"/>
  <c r="C4195" i="1" s="1"/>
  <c r="C4196" i="1" a="1"/>
  <c r="C4196" i="1" s="1"/>
  <c r="C4197" i="1" a="1"/>
  <c r="C4197" i="1" s="1"/>
  <c r="C4198" i="1" a="1"/>
  <c r="C4198" i="1" s="1"/>
  <c r="C4199" i="1" a="1"/>
  <c r="C4199" i="1" s="1"/>
  <c r="C4200" i="1" a="1"/>
  <c r="C4200" i="1" s="1"/>
  <c r="C4201" i="1" a="1"/>
  <c r="C4201" i="1" s="1"/>
  <c r="C4202" i="1" a="1"/>
  <c r="C4202" i="1"/>
  <c r="C4203" i="1" a="1"/>
  <c r="C4203" i="1" s="1"/>
  <c r="C4204" i="1" a="1"/>
  <c r="C4204" i="1"/>
  <c r="C4205" i="1" a="1"/>
  <c r="C4205" i="1" s="1"/>
  <c r="C4206" i="1" a="1"/>
  <c r="C4206" i="1" s="1"/>
  <c r="C4207" i="1" a="1"/>
  <c r="C4207" i="1" s="1"/>
  <c r="C4208" i="1" a="1"/>
  <c r="C4208" i="1" s="1"/>
  <c r="C4209" i="1" a="1"/>
  <c r="C4209" i="1"/>
  <c r="C4210" i="1" a="1"/>
  <c r="C4210" i="1" s="1"/>
  <c r="C4211" i="1" a="1"/>
  <c r="C4211" i="1" s="1"/>
  <c r="C4212" i="1" a="1"/>
  <c r="C4212" i="1" s="1"/>
  <c r="C4213" i="1" a="1"/>
  <c r="C4213" i="1" s="1"/>
  <c r="C4214" i="1" a="1"/>
  <c r="C4214" i="1" s="1"/>
  <c r="C4215" i="1" a="1"/>
  <c r="C4215" i="1" s="1"/>
  <c r="C4216" i="1" a="1"/>
  <c r="C4216" i="1" s="1"/>
  <c r="C4217" i="1" a="1"/>
  <c r="C4217" i="1" s="1"/>
  <c r="C4218" i="1" a="1"/>
  <c r="C4218" i="1"/>
  <c r="C4219" i="1" a="1"/>
  <c r="C4219" i="1" s="1"/>
  <c r="C4220" i="1" a="1"/>
  <c r="C4220" i="1" s="1"/>
  <c r="C4221" i="1" a="1"/>
  <c r="C4221" i="1" s="1"/>
  <c r="C4222" i="1" a="1"/>
  <c r="C4222" i="1"/>
  <c r="C4223" i="1" a="1"/>
  <c r="C4223" i="1"/>
  <c r="C4224" i="1" a="1"/>
  <c r="C4224" i="1" s="1"/>
  <c r="C4225" i="1" a="1"/>
  <c r="C4225" i="1" s="1"/>
  <c r="C4226" i="1" a="1"/>
  <c r="C4226" i="1" s="1"/>
  <c r="C4227" i="1" a="1"/>
  <c r="C4227" i="1" s="1"/>
  <c r="C4228" i="1" a="1"/>
  <c r="C4228" i="1"/>
  <c r="C4229" i="1" a="1"/>
  <c r="C4229" i="1" s="1"/>
  <c r="C4230" i="1" a="1"/>
  <c r="C4230" i="1" s="1"/>
  <c r="C4231" i="1" a="1"/>
  <c r="C4231" i="1" s="1"/>
  <c r="C4232" i="1" a="1"/>
  <c r="C4232" i="1" s="1"/>
  <c r="C4233" i="1" a="1"/>
  <c r="C4233" i="1" s="1"/>
  <c r="C4234" i="1" a="1"/>
  <c r="C4234" i="1" s="1"/>
  <c r="C4235" i="1" a="1"/>
  <c r="C4235" i="1" s="1"/>
  <c r="C4236" i="1" a="1"/>
  <c r="C4236" i="1"/>
  <c r="C4237" i="1" a="1"/>
  <c r="C4237" i="1" s="1"/>
  <c r="C4238" i="1" a="1"/>
  <c r="C4238" i="1" s="1"/>
  <c r="C4239" i="1" a="1"/>
  <c r="C4239" i="1"/>
  <c r="C4240" i="1" a="1"/>
  <c r="C4240" i="1" s="1"/>
  <c r="C4241" i="1" a="1"/>
  <c r="C4241" i="1" s="1"/>
  <c r="C4242" i="1" a="1"/>
  <c r="C4242" i="1" s="1"/>
  <c r="C4243" i="1" a="1"/>
  <c r="C4243" i="1" s="1"/>
  <c r="C4244" i="1" a="1"/>
  <c r="C4244" i="1" s="1"/>
  <c r="C4245" i="1" a="1"/>
  <c r="C4245" i="1" s="1"/>
  <c r="C4246" i="1" a="1"/>
  <c r="C4246" i="1" s="1"/>
  <c r="C4247" i="1" a="1"/>
  <c r="C4247" i="1" s="1"/>
  <c r="C4248" i="1" a="1"/>
  <c r="C4248" i="1" s="1"/>
  <c r="C4249" i="1" a="1"/>
  <c r="C4249" i="1" s="1"/>
  <c r="C4250" i="1" a="1"/>
  <c r="C4250" i="1" s="1"/>
  <c r="C4251" i="1" a="1"/>
  <c r="C4251" i="1"/>
  <c r="C4252" i="1" a="1"/>
  <c r="C4252" i="1" s="1"/>
  <c r="C4253" i="1" a="1"/>
  <c r="C4253" i="1" s="1"/>
  <c r="C4254" i="1" a="1"/>
  <c r="C4254" i="1" s="1"/>
  <c r="C4255" i="1" a="1"/>
  <c r="C4255" i="1" s="1"/>
  <c r="C4256" i="1" a="1"/>
  <c r="C4256" i="1" s="1"/>
  <c r="C4257" i="1" a="1"/>
  <c r="C4257" i="1" s="1"/>
  <c r="C4258" i="1" a="1"/>
  <c r="C4258" i="1" s="1"/>
  <c r="C4259" i="1" a="1"/>
  <c r="C4259" i="1" s="1"/>
  <c r="C4260" i="1" a="1"/>
  <c r="C4260" i="1" s="1"/>
  <c r="C4261" i="1" a="1"/>
  <c r="C4261" i="1" s="1"/>
  <c r="C4262" i="1" a="1"/>
  <c r="C4262" i="1" s="1"/>
  <c r="C4263" i="1" a="1"/>
  <c r="C4263" i="1" s="1"/>
  <c r="C4264" i="1" a="1"/>
  <c r="C4264" i="1"/>
  <c r="C4265" i="1" a="1"/>
  <c r="C4265" i="1" s="1"/>
  <c r="C4266" i="1" a="1"/>
  <c r="C4266" i="1" s="1"/>
  <c r="C4267" i="1" a="1"/>
  <c r="C4267" i="1" s="1"/>
  <c r="C4268" i="1" a="1"/>
  <c r="C4268" i="1"/>
  <c r="C4269" i="1" a="1"/>
  <c r="C4269" i="1" s="1"/>
  <c r="C4270" i="1" a="1"/>
  <c r="C4270" i="1"/>
  <c r="C4271" i="1" a="1"/>
  <c r="C4271" i="1" s="1"/>
  <c r="C4272" i="1" a="1"/>
  <c r="C4272" i="1" s="1"/>
  <c r="C4273" i="1" a="1"/>
  <c r="C4273" i="1" s="1"/>
  <c r="C4274" i="1" a="1"/>
  <c r="C4274" i="1" s="1"/>
  <c r="C4275" i="1" a="1"/>
  <c r="C4275" i="1" s="1"/>
  <c r="C4276" i="1" a="1"/>
  <c r="C4276" i="1" s="1"/>
  <c r="C4277" i="1" a="1"/>
  <c r="C4277" i="1" s="1"/>
  <c r="C4278" i="1" a="1"/>
  <c r="C4278" i="1"/>
  <c r="C4279" i="1" a="1"/>
  <c r="C4279" i="1" s="1"/>
  <c r="C4280" i="1" a="1"/>
  <c r="C4280" i="1" s="1"/>
  <c r="C4281" i="1" a="1"/>
  <c r="C4281" i="1"/>
  <c r="C4282" i="1" a="1"/>
  <c r="C4282" i="1" s="1"/>
  <c r="C4283" i="1" a="1"/>
  <c r="C4283" i="1" s="1"/>
  <c r="C4284" i="1" a="1"/>
  <c r="C4284" i="1" s="1"/>
  <c r="C4285" i="1" a="1"/>
  <c r="C4285" i="1"/>
  <c r="C4286" i="1" a="1"/>
  <c r="C4286" i="1" s="1"/>
  <c r="C4287" i="1" a="1"/>
  <c r="C4287" i="1" s="1"/>
  <c r="C4288" i="1" a="1"/>
  <c r="C4288" i="1" s="1"/>
  <c r="C4289" i="1" a="1"/>
  <c r="C4289" i="1" s="1"/>
  <c r="C4290" i="1" a="1"/>
  <c r="C4290" i="1" s="1"/>
  <c r="C4291" i="1" a="1"/>
  <c r="C4291" i="1" s="1"/>
  <c r="C4292" i="1" a="1"/>
  <c r="C4292" i="1" s="1"/>
  <c r="C4293" i="1" a="1"/>
  <c r="C4293" i="1" s="1"/>
  <c r="C4294" i="1" a="1"/>
  <c r="C4294" i="1" s="1"/>
  <c r="C4295" i="1" a="1"/>
  <c r="C4295" i="1" s="1"/>
  <c r="C4296" i="1" a="1"/>
  <c r="C4296" i="1" s="1"/>
  <c r="C4297" i="1" a="1"/>
  <c r="C4297" i="1" s="1"/>
  <c r="C4298" i="1" a="1"/>
  <c r="C4298" i="1" s="1"/>
  <c r="C4299" i="1" a="1"/>
  <c r="C4299" i="1"/>
  <c r="C4300" i="1" a="1"/>
  <c r="C4300" i="1" s="1"/>
  <c r="C4301" i="1" a="1"/>
  <c r="C4301" i="1" s="1"/>
  <c r="C4302" i="1" a="1"/>
  <c r="C4302" i="1" s="1"/>
  <c r="C4303" i="1" a="1"/>
  <c r="C4303" i="1" s="1"/>
  <c r="C4304" i="1" a="1"/>
  <c r="C4304" i="1" s="1"/>
  <c r="C4305" i="1" a="1"/>
  <c r="C4305" i="1" s="1"/>
  <c r="C4306" i="1" a="1"/>
  <c r="C4306" i="1" s="1"/>
  <c r="C4307" i="1" a="1"/>
  <c r="C4307" i="1" s="1"/>
  <c r="C4308" i="1" a="1"/>
  <c r="C4308" i="1" s="1"/>
  <c r="C4309" i="1" a="1"/>
  <c r="C4309" i="1" s="1"/>
  <c r="C4310" i="1" a="1"/>
  <c r="C4310" i="1" s="1"/>
  <c r="C4311" i="1" a="1"/>
  <c r="C4311" i="1" s="1"/>
  <c r="C4312" i="1" a="1"/>
  <c r="C4312" i="1"/>
  <c r="C4313" i="1" a="1"/>
  <c r="C4313" i="1" s="1"/>
  <c r="C4314" i="1" a="1"/>
  <c r="C4314" i="1"/>
  <c r="C4315" i="1" a="1"/>
  <c r="C4315" i="1"/>
  <c r="C4316" i="1" a="1"/>
  <c r="C4316" i="1" s="1"/>
  <c r="C4317" i="1" a="1"/>
  <c r="C4317" i="1" s="1"/>
  <c r="C4318" i="1" a="1"/>
  <c r="C4318" i="1" s="1"/>
  <c r="C4319" i="1" a="1"/>
  <c r="C4319" i="1" s="1"/>
  <c r="C4320" i="1" a="1"/>
  <c r="C4320" i="1"/>
  <c r="C4321" i="1" a="1"/>
  <c r="C4321" i="1" s="1"/>
  <c r="C4322" i="1" a="1"/>
  <c r="C4322" i="1" s="1"/>
  <c r="C4323" i="1" a="1"/>
  <c r="C4323" i="1" s="1"/>
  <c r="C4324" i="1" a="1"/>
  <c r="C4324" i="1" s="1"/>
  <c r="C4325" i="1" a="1"/>
  <c r="C4325" i="1" s="1"/>
  <c r="C4326" i="1" a="1"/>
  <c r="C4326" i="1" s="1"/>
  <c r="C4327" i="1" a="1"/>
  <c r="C4327" i="1" s="1"/>
  <c r="C4328" i="1" a="1"/>
  <c r="C4328" i="1" s="1"/>
  <c r="C4329" i="1" a="1"/>
  <c r="C4329" i="1" s="1"/>
  <c r="C4330" i="1" a="1"/>
  <c r="C4330" i="1" s="1"/>
  <c r="C4331" i="1" a="1"/>
  <c r="C4331" i="1"/>
  <c r="C4332" i="1" a="1"/>
  <c r="C4332" i="1" s="1"/>
  <c r="C4333" i="1" a="1"/>
  <c r="C4333" i="1" s="1"/>
  <c r="C4334" i="1" a="1"/>
  <c r="C4334" i="1" s="1"/>
  <c r="C4335" i="1" a="1"/>
  <c r="C4335" i="1"/>
  <c r="C4336" i="1" a="1"/>
  <c r="C4336" i="1" s="1"/>
  <c r="C4337" i="1" a="1"/>
  <c r="C4337" i="1" s="1"/>
  <c r="C4338" i="1" a="1"/>
  <c r="C4338" i="1" s="1"/>
  <c r="C4339" i="1" a="1"/>
  <c r="C4339" i="1" s="1"/>
  <c r="C4340" i="1" a="1"/>
  <c r="C4340" i="1" s="1"/>
  <c r="C4341" i="1" a="1"/>
  <c r="C4341" i="1"/>
  <c r="C4342" i="1" a="1"/>
  <c r="C4342" i="1" s="1"/>
  <c r="C4343" i="1" a="1"/>
  <c r="C4343" i="1" s="1"/>
  <c r="C4344" i="1" a="1"/>
  <c r="C4344" i="1"/>
  <c r="C4345" i="1" a="1"/>
  <c r="C4345" i="1" s="1"/>
  <c r="C4346" i="1" a="1"/>
  <c r="C4346" i="1" s="1"/>
  <c r="C4347" i="1" a="1"/>
  <c r="C4347" i="1" s="1"/>
  <c r="C4348" i="1" a="1"/>
  <c r="C4348" i="1" s="1"/>
  <c r="C4349" i="1" a="1"/>
  <c r="C4349" i="1" s="1"/>
  <c r="C4350" i="1" a="1"/>
  <c r="C4350" i="1" s="1"/>
  <c r="C4351" i="1" a="1"/>
  <c r="C4351" i="1" s="1"/>
  <c r="C4352" i="1" a="1"/>
  <c r="C4352" i="1" s="1"/>
  <c r="C4353" i="1" a="1"/>
  <c r="C4353" i="1" s="1"/>
  <c r="C4354" i="1" a="1"/>
  <c r="C4354" i="1"/>
  <c r="C4355" i="1" a="1"/>
  <c r="C4355" i="1" s="1"/>
  <c r="C4356" i="1" a="1"/>
  <c r="C4356" i="1"/>
  <c r="C4357" i="1" a="1"/>
  <c r="C4357" i="1" s="1"/>
  <c r="C4358" i="1" a="1"/>
  <c r="C4358" i="1" s="1"/>
  <c r="C4359" i="1" a="1"/>
  <c r="C4359" i="1" s="1"/>
  <c r="C4360" i="1" a="1"/>
  <c r="C4360" i="1"/>
  <c r="C4361" i="1" a="1"/>
  <c r="C4361" i="1" s="1"/>
  <c r="C4362" i="1" a="1"/>
  <c r="C4362" i="1" s="1"/>
  <c r="C4363" i="1" a="1"/>
  <c r="C4363" i="1" s="1"/>
  <c r="C4364" i="1" a="1"/>
  <c r="C4364" i="1" s="1"/>
  <c r="C4365" i="1" a="1"/>
  <c r="C4365" i="1"/>
  <c r="C4366" i="1" a="1"/>
  <c r="C4366" i="1" s="1"/>
  <c r="C4367" i="1" a="1"/>
  <c r="C4367" i="1" s="1"/>
  <c r="C4368" i="1" a="1"/>
  <c r="C4368" i="1" s="1"/>
  <c r="C4369" i="1" a="1"/>
  <c r="C4369" i="1" s="1"/>
  <c r="C4370" i="1" a="1"/>
  <c r="C4370" i="1" s="1"/>
  <c r="C4371" i="1" a="1"/>
  <c r="C4371" i="1" s="1"/>
  <c r="C4372" i="1" a="1"/>
  <c r="C4372" i="1" s="1"/>
  <c r="C4373" i="1" a="1"/>
  <c r="C4373" i="1"/>
  <c r="C4374" i="1" a="1"/>
  <c r="C4374" i="1" s="1"/>
  <c r="C4375" i="1" a="1"/>
  <c r="C4375" i="1"/>
  <c r="C4376" i="1" a="1"/>
  <c r="C4376" i="1" s="1"/>
  <c r="C4377" i="1" a="1"/>
  <c r="C4377" i="1" s="1"/>
  <c r="C4378" i="1" a="1"/>
  <c r="C4378" i="1" s="1"/>
  <c r="C4379" i="1" a="1"/>
  <c r="C4379" i="1" s="1"/>
  <c r="C4380" i="1" a="1"/>
  <c r="C4380" i="1"/>
  <c r="C4381" i="1" a="1"/>
  <c r="C4381" i="1" s="1"/>
  <c r="C4382" i="1" a="1"/>
  <c r="C4382" i="1" s="1"/>
  <c r="C4383" i="1" a="1"/>
  <c r="C4383" i="1" s="1"/>
  <c r="C4384" i="1" a="1"/>
  <c r="C4384" i="1" s="1"/>
  <c r="C4385" i="1" a="1"/>
  <c r="C4385" i="1" s="1"/>
  <c r="C4386" i="1" a="1"/>
  <c r="C4386" i="1"/>
  <c r="C4387" i="1" a="1"/>
  <c r="C4387" i="1" s="1"/>
  <c r="C4388" i="1" a="1"/>
  <c r="C4388" i="1" s="1"/>
  <c r="C4389" i="1" a="1"/>
  <c r="C4389" i="1"/>
  <c r="C4390" i="1" a="1"/>
  <c r="C4390" i="1" s="1"/>
  <c r="C4391" i="1" a="1"/>
  <c r="C4391" i="1" s="1"/>
  <c r="C4392" i="1" a="1"/>
  <c r="C4392" i="1" s="1"/>
  <c r="C4393" i="1" a="1"/>
  <c r="C4393" i="1" s="1"/>
  <c r="C4394" i="1" a="1"/>
  <c r="C4394" i="1"/>
  <c r="C4395" i="1" a="1"/>
  <c r="C4395" i="1" s="1"/>
  <c r="C4396" i="1" a="1"/>
  <c r="C4396" i="1" s="1"/>
  <c r="C4397" i="1" a="1"/>
  <c r="C4397" i="1" s="1"/>
  <c r="C4398" i="1" a="1"/>
  <c r="C4398" i="1" s="1"/>
  <c r="C4399" i="1" a="1"/>
  <c r="C4399" i="1" s="1"/>
  <c r="C4400" i="1" a="1"/>
  <c r="C4400" i="1" s="1"/>
  <c r="C4401" i="1" a="1"/>
  <c r="C4401" i="1"/>
  <c r="C4402" i="1" a="1"/>
  <c r="C4402" i="1"/>
  <c r="C4403" i="1" a="1"/>
  <c r="C4403" i="1" s="1"/>
  <c r="C4404" i="1" a="1"/>
  <c r="C4404" i="1"/>
  <c r="C4405" i="1" a="1"/>
  <c r="C4405" i="1" s="1"/>
  <c r="C4406" i="1" a="1"/>
  <c r="C4406" i="1" s="1"/>
  <c r="C4407" i="1" a="1"/>
  <c r="C4407" i="1" s="1"/>
  <c r="C4408" i="1" a="1"/>
  <c r="C4408" i="1" s="1"/>
  <c r="C4409" i="1" a="1"/>
  <c r="C4409" i="1"/>
  <c r="C4410" i="1" a="1"/>
  <c r="C4410" i="1" s="1"/>
  <c r="C4411" i="1" a="1"/>
  <c r="C4411" i="1" s="1"/>
  <c r="C4412" i="1" a="1"/>
  <c r="C4412" i="1" s="1"/>
  <c r="C4413" i="1" a="1"/>
  <c r="C4413" i="1" s="1"/>
  <c r="C4414" i="1" a="1"/>
  <c r="C4414" i="1" s="1"/>
  <c r="C4415" i="1" a="1"/>
  <c r="C4415" i="1" s="1"/>
  <c r="C4416" i="1" a="1"/>
  <c r="C4416" i="1" s="1"/>
  <c r="C4417" i="1" a="1"/>
  <c r="C4417" i="1" s="1"/>
  <c r="C4418" i="1" a="1"/>
  <c r="C4418" i="1" s="1"/>
  <c r="C4419" i="1" a="1"/>
  <c r="C4419" i="1" s="1"/>
  <c r="C4420" i="1" a="1"/>
  <c r="C4420" i="1" s="1"/>
  <c r="C4421" i="1" a="1"/>
  <c r="C4421" i="1" s="1"/>
  <c r="C4422" i="1" a="1"/>
  <c r="C4422" i="1" s="1"/>
  <c r="C4423" i="1" a="1"/>
  <c r="C4423" i="1" s="1"/>
  <c r="C4424" i="1" a="1"/>
  <c r="C4424" i="1" s="1"/>
  <c r="C4425" i="1" a="1"/>
  <c r="C4425" i="1" s="1"/>
  <c r="C4426" i="1" a="1"/>
  <c r="C4426" i="1" s="1"/>
  <c r="C4427" i="1" a="1"/>
  <c r="C4427" i="1" s="1"/>
  <c r="C4428" i="1" a="1"/>
  <c r="C4428" i="1"/>
  <c r="C4429" i="1" a="1"/>
  <c r="C4429" i="1" s="1"/>
  <c r="C4430" i="1" a="1"/>
  <c r="C4430" i="1"/>
  <c r="C4431" i="1" a="1"/>
  <c r="C4431" i="1"/>
  <c r="C4432" i="1" a="1"/>
  <c r="C4432" i="1" s="1"/>
  <c r="C4433" i="1" a="1"/>
  <c r="C4433" i="1" s="1"/>
  <c r="C4434" i="1" a="1"/>
  <c r="C4434" i="1" s="1"/>
  <c r="C4435" i="1" a="1"/>
  <c r="C4435" i="1" s="1"/>
  <c r="C4436" i="1" a="1"/>
  <c r="C4436" i="1" s="1"/>
  <c r="C4437" i="1" a="1"/>
  <c r="C4437" i="1" s="1"/>
  <c r="C4438" i="1" a="1"/>
  <c r="C4438" i="1" s="1"/>
  <c r="C4439" i="1" a="1"/>
  <c r="C4439" i="1"/>
  <c r="C4440" i="1" a="1"/>
  <c r="C4440" i="1" s="1"/>
  <c r="C4441" i="1" a="1"/>
  <c r="C4441" i="1" s="1"/>
  <c r="C4442" i="1" a="1"/>
  <c r="C4442" i="1" s="1"/>
  <c r="C4443" i="1" a="1"/>
  <c r="C4443" i="1"/>
  <c r="C4444" i="1" a="1"/>
  <c r="C4444" i="1" s="1"/>
  <c r="C4445" i="1" a="1"/>
  <c r="C4445" i="1" s="1"/>
  <c r="C4446" i="1" a="1"/>
  <c r="C4446" i="1"/>
  <c r="C4447" i="1" a="1"/>
  <c r="C4447" i="1" s="1"/>
  <c r="C4448" i="1" a="1"/>
  <c r="C4448" i="1" s="1"/>
  <c r="C4449" i="1" a="1"/>
  <c r="C4449" i="1"/>
  <c r="C4450" i="1" a="1"/>
  <c r="C4450" i="1" s="1"/>
  <c r="C4451" i="1" a="1"/>
  <c r="C4451" i="1"/>
  <c r="C4452" i="1" a="1"/>
  <c r="C4452" i="1"/>
  <c r="C4453" i="1" a="1"/>
  <c r="C4453" i="1" s="1"/>
  <c r="C4454" i="1" a="1"/>
  <c r="C4454" i="1" s="1"/>
  <c r="C4455" i="1" a="1"/>
  <c r="C4455" i="1" s="1"/>
  <c r="C4456" i="1" a="1"/>
  <c r="C4456" i="1" s="1"/>
  <c r="C4457" i="1" a="1"/>
  <c r="C4457" i="1" s="1"/>
  <c r="C4458" i="1" a="1"/>
  <c r="C4458" i="1" s="1"/>
  <c r="C4459" i="1" a="1"/>
  <c r="C4459" i="1" s="1"/>
  <c r="C4460" i="1" a="1"/>
  <c r="C4460" i="1"/>
  <c r="C4461" i="1" a="1"/>
  <c r="C4461" i="1" s="1"/>
  <c r="C4462" i="1" a="1"/>
  <c r="C4462" i="1" s="1"/>
  <c r="C4463" i="1" a="1"/>
  <c r="C4463" i="1" s="1"/>
  <c r="C4464" i="1" a="1"/>
  <c r="C4464" i="1" s="1"/>
  <c r="C4465" i="1" a="1"/>
  <c r="C4465" i="1"/>
  <c r="C4466" i="1" a="1"/>
  <c r="C4466" i="1" s="1"/>
  <c r="C4467" i="1" a="1"/>
  <c r="C4467" i="1" s="1"/>
  <c r="C4468" i="1" a="1"/>
  <c r="C4468" i="1"/>
  <c r="C4469" i="1" a="1"/>
  <c r="C4469" i="1" s="1"/>
  <c r="C4470" i="1" a="1"/>
  <c r="C4470" i="1" s="1"/>
  <c r="C4471" i="1" a="1"/>
  <c r="C4471" i="1" s="1"/>
  <c r="C4472" i="1" a="1"/>
  <c r="C4472" i="1"/>
  <c r="C4473" i="1" a="1"/>
  <c r="C4473" i="1" s="1"/>
  <c r="C4474" i="1" a="1"/>
  <c r="C4474" i="1" s="1"/>
  <c r="C4475" i="1" a="1"/>
  <c r="C4475" i="1" s="1"/>
  <c r="C4476" i="1" a="1"/>
  <c r="C4476" i="1" s="1"/>
  <c r="C4477" i="1" a="1"/>
  <c r="C4477" i="1" s="1"/>
  <c r="C4478" i="1" a="1"/>
  <c r="C4478" i="1" s="1"/>
  <c r="C4479" i="1" a="1"/>
  <c r="C4479" i="1" s="1"/>
  <c r="C4480" i="1" a="1"/>
  <c r="C4480" i="1" s="1"/>
  <c r="C4481" i="1" a="1"/>
  <c r="C4481" i="1"/>
  <c r="C4482" i="1" a="1"/>
  <c r="C4482" i="1" s="1"/>
  <c r="C4483" i="1" a="1"/>
  <c r="C4483" i="1" s="1"/>
  <c r="C4484" i="1" a="1"/>
  <c r="C4484" i="1" s="1"/>
  <c r="C4485" i="1" a="1"/>
  <c r="C4485" i="1" s="1"/>
  <c r="C4486" i="1" a="1"/>
  <c r="C4486" i="1" s="1"/>
  <c r="C4487" i="1" a="1"/>
  <c r="C4487" i="1" s="1"/>
  <c r="C4488" i="1" a="1"/>
  <c r="C4488" i="1" s="1"/>
  <c r="C4489" i="1" a="1"/>
  <c r="C4489" i="1"/>
  <c r="C4490" i="1" a="1"/>
  <c r="C4490" i="1" s="1"/>
  <c r="C4491" i="1" a="1"/>
  <c r="C4491" i="1" s="1"/>
  <c r="C4492" i="1" a="1"/>
  <c r="C4492" i="1" s="1"/>
  <c r="C4493" i="1" a="1"/>
  <c r="C4493" i="1"/>
  <c r="C4494" i="1" a="1"/>
  <c r="C4494" i="1" s="1"/>
  <c r="C4495" i="1" a="1"/>
  <c r="C4495" i="1" s="1"/>
  <c r="C4496" i="1" a="1"/>
  <c r="C4496" i="1" s="1"/>
  <c r="C4497" i="1" a="1"/>
  <c r="C4497" i="1" s="1"/>
  <c r="C4498" i="1" a="1"/>
  <c r="C4498" i="1" s="1"/>
  <c r="C4499" i="1" a="1"/>
  <c r="C4499" i="1" s="1"/>
  <c r="C4500" i="1" a="1"/>
  <c r="C4500" i="1" s="1"/>
  <c r="C4501" i="1" a="1"/>
  <c r="C4501" i="1" s="1"/>
  <c r="C4502" i="1" a="1"/>
  <c r="C4502" i="1" s="1"/>
  <c r="C4503" i="1" a="1"/>
  <c r="C4503" i="1" s="1"/>
  <c r="C4504" i="1" a="1"/>
  <c r="C4504" i="1" s="1"/>
  <c r="C4505" i="1" a="1"/>
  <c r="C4505" i="1" s="1"/>
  <c r="C4506" i="1" a="1"/>
  <c r="C4506" i="1" s="1"/>
  <c r="C4507" i="1" a="1"/>
  <c r="C4507" i="1" s="1"/>
  <c r="C4508" i="1" a="1"/>
  <c r="C4508" i="1" s="1"/>
  <c r="C4509" i="1" a="1"/>
  <c r="C4509" i="1" s="1"/>
  <c r="C4510" i="1" a="1"/>
  <c r="C4510" i="1" s="1"/>
  <c r="C4511" i="1" a="1"/>
  <c r="C4511" i="1" s="1"/>
  <c r="C4512" i="1" a="1"/>
  <c r="C4512" i="1"/>
  <c r="C4513" i="1" a="1"/>
  <c r="C4513" i="1" s="1"/>
  <c r="C4514" i="1" a="1"/>
  <c r="C4514" i="1" s="1"/>
  <c r="C4515" i="1" a="1"/>
  <c r="C4515" i="1" s="1"/>
  <c r="C4516" i="1" a="1"/>
  <c r="C4516" i="1" s="1"/>
  <c r="C4517" i="1" a="1"/>
  <c r="C4517" i="1" s="1"/>
  <c r="C4518" i="1" a="1"/>
  <c r="C4518" i="1"/>
  <c r="C4519" i="1" a="1"/>
  <c r="C4519" i="1" s="1"/>
  <c r="C4520" i="1" a="1"/>
  <c r="C4520" i="1" s="1"/>
  <c r="C4521" i="1" a="1"/>
  <c r="C4521" i="1" s="1"/>
  <c r="C4522" i="1" a="1"/>
  <c r="C4522" i="1" s="1"/>
  <c r="C4523" i="1" a="1"/>
  <c r="C4523" i="1"/>
  <c r="C4524" i="1" a="1"/>
  <c r="C4524" i="1" s="1"/>
  <c r="C4525" i="1" a="1"/>
  <c r="C4525" i="1" s="1"/>
  <c r="C4526" i="1" a="1"/>
  <c r="C4526" i="1" s="1"/>
  <c r="C4527" i="1" a="1"/>
  <c r="C4527" i="1" s="1"/>
  <c r="C4528" i="1" a="1"/>
  <c r="C4528" i="1" s="1"/>
  <c r="C4529" i="1" a="1"/>
  <c r="C4529" i="1" s="1"/>
  <c r="C4530" i="1" a="1"/>
  <c r="C4530" i="1" s="1"/>
  <c r="C4531" i="1" a="1"/>
  <c r="C4531" i="1" s="1"/>
  <c r="C4532" i="1" a="1"/>
  <c r="C4532" i="1" s="1"/>
  <c r="C4533" i="1" a="1"/>
  <c r="C4533" i="1" s="1"/>
  <c r="C4534" i="1" a="1"/>
  <c r="C4534" i="1" s="1"/>
  <c r="C4535" i="1" a="1"/>
  <c r="C4535" i="1"/>
  <c r="C4536" i="1" a="1"/>
  <c r="C4536" i="1"/>
  <c r="C4537" i="1" a="1"/>
  <c r="C4537" i="1" s="1"/>
  <c r="C4538" i="1" a="1"/>
  <c r="C4538" i="1"/>
  <c r="C4539" i="1" a="1"/>
  <c r="C4539" i="1"/>
  <c r="C4540" i="1" a="1"/>
  <c r="C4540" i="1" s="1"/>
  <c r="C4541" i="1" a="1"/>
  <c r="C4541" i="1"/>
  <c r="C4542" i="1" a="1"/>
  <c r="C4542" i="1" s="1"/>
  <c r="C4543" i="1" a="1"/>
  <c r="C4543" i="1" s="1"/>
  <c r="C4544" i="1" a="1"/>
  <c r="C4544" i="1" s="1"/>
  <c r="C4545" i="1" a="1"/>
  <c r="C4545" i="1" s="1"/>
  <c r="C4546" i="1" a="1"/>
  <c r="C4546" i="1" s="1"/>
  <c r="C4547" i="1" a="1"/>
  <c r="C4547" i="1" s="1"/>
  <c r="C4548" i="1" a="1"/>
  <c r="C4548" i="1" s="1"/>
  <c r="C4549" i="1" a="1"/>
  <c r="C4549" i="1" s="1"/>
  <c r="C4550" i="1" a="1"/>
  <c r="C4550" i="1" s="1"/>
  <c r="C4551" i="1" a="1"/>
  <c r="C4551" i="1" s="1"/>
  <c r="C4552" i="1" a="1"/>
  <c r="C4552" i="1" s="1"/>
  <c r="C4553" i="1" a="1"/>
  <c r="C4553" i="1" s="1"/>
  <c r="C4554" i="1" a="1"/>
  <c r="C4554" i="1" s="1"/>
  <c r="C4555" i="1" a="1"/>
  <c r="C4555" i="1" s="1"/>
  <c r="C4556" i="1" a="1"/>
  <c r="C4556" i="1"/>
  <c r="C4557" i="1" a="1"/>
  <c r="C4557" i="1" s="1"/>
  <c r="C4558" i="1" a="1"/>
  <c r="C4558" i="1" s="1"/>
  <c r="C4559" i="1" a="1"/>
  <c r="C4559" i="1"/>
  <c r="C4560" i="1" a="1"/>
  <c r="C4560" i="1"/>
  <c r="C4561" i="1" a="1"/>
  <c r="C4561" i="1" s="1"/>
  <c r="C4562" i="1" a="1"/>
  <c r="C4562" i="1"/>
  <c r="C4563" i="1" a="1"/>
  <c r="C4563" i="1" s="1"/>
  <c r="C4564" i="1" a="1"/>
  <c r="C4564" i="1" s="1"/>
  <c r="C4565" i="1" a="1"/>
  <c r="C4565" i="1"/>
  <c r="C4566" i="1" a="1"/>
  <c r="C4566" i="1" s="1"/>
  <c r="C4567" i="1" a="1"/>
  <c r="C4567" i="1" s="1"/>
  <c r="C4568" i="1" a="1"/>
  <c r="C4568" i="1" s="1"/>
  <c r="C4569" i="1" a="1"/>
  <c r="C4569" i="1" s="1"/>
  <c r="C4570" i="1" a="1"/>
  <c r="C4570" i="1" s="1"/>
  <c r="C4571" i="1" a="1"/>
  <c r="C4571" i="1" s="1"/>
  <c r="C4572" i="1" a="1"/>
  <c r="C4572" i="1" s="1"/>
  <c r="C4573" i="1" a="1"/>
  <c r="C4573" i="1" s="1"/>
  <c r="C4574" i="1" a="1"/>
  <c r="C4574" i="1" s="1"/>
  <c r="C4575" i="1" a="1"/>
  <c r="C4575" i="1"/>
  <c r="C4576" i="1" a="1"/>
  <c r="C4576" i="1" s="1"/>
  <c r="C4577" i="1" a="1"/>
  <c r="C4577" i="1" s="1"/>
  <c r="C4578" i="1" a="1"/>
  <c r="C4578" i="1" s="1"/>
  <c r="C4579" i="1" a="1"/>
  <c r="C4579" i="1" s="1"/>
  <c r="C4580" i="1" a="1"/>
  <c r="C4580" i="1" s="1"/>
  <c r="C4581" i="1" a="1"/>
  <c r="C4581" i="1" s="1"/>
  <c r="C4582" i="1" a="1"/>
  <c r="C4582" i="1" s="1"/>
  <c r="C4583" i="1" a="1"/>
  <c r="C4583" i="1" s="1"/>
  <c r="C4584" i="1" a="1"/>
  <c r="C4584" i="1" s="1"/>
  <c r="C4585" i="1" a="1"/>
  <c r="C4585" i="1" s="1"/>
  <c r="C4586" i="1" a="1"/>
  <c r="C4586" i="1"/>
  <c r="C4587" i="1" a="1"/>
  <c r="C4587" i="1" s="1"/>
  <c r="C4588" i="1" a="1"/>
  <c r="C4588" i="1"/>
  <c r="C4589" i="1" a="1"/>
  <c r="C4589" i="1"/>
  <c r="C4590" i="1" a="1"/>
  <c r="C4590" i="1" s="1"/>
  <c r="C4591" i="1" a="1"/>
  <c r="C4591" i="1" s="1"/>
  <c r="C4592" i="1" a="1"/>
  <c r="C4592" i="1" s="1"/>
  <c r="C4593" i="1" a="1"/>
  <c r="C4593" i="1" s="1"/>
  <c r="C4594" i="1" a="1"/>
  <c r="C4594" i="1" s="1"/>
  <c r="C4595" i="1" a="1"/>
  <c r="C4595" i="1" s="1"/>
  <c r="C4596" i="1" a="1"/>
  <c r="C4596" i="1"/>
  <c r="C4597" i="1" a="1"/>
  <c r="C4597" i="1" s="1"/>
  <c r="C4598" i="1" a="1"/>
  <c r="C4598" i="1" s="1"/>
  <c r="C4599" i="1" a="1"/>
  <c r="C4599" i="1" s="1"/>
  <c r="C4600" i="1" a="1"/>
  <c r="C4600" i="1" s="1"/>
  <c r="C4601" i="1" a="1"/>
  <c r="C4601" i="1"/>
  <c r="C4602" i="1" a="1"/>
  <c r="C4602" i="1" s="1"/>
  <c r="C4603" i="1" a="1"/>
  <c r="C4603" i="1" s="1"/>
  <c r="C4604" i="1" a="1"/>
  <c r="C4604" i="1"/>
  <c r="C4605" i="1" a="1"/>
  <c r="C4605" i="1" s="1"/>
  <c r="C4606" i="1" a="1"/>
  <c r="C4606" i="1" s="1"/>
  <c r="C4607" i="1" a="1"/>
  <c r="C4607" i="1" s="1"/>
  <c r="C4608" i="1" a="1"/>
  <c r="C4608" i="1" s="1"/>
  <c r="C4609" i="1" a="1"/>
  <c r="C4609" i="1" s="1"/>
  <c r="C4610" i="1" a="1"/>
  <c r="C4610" i="1" s="1"/>
  <c r="C4611" i="1" a="1"/>
  <c r="C4611" i="1" s="1"/>
  <c r="C4612" i="1" a="1"/>
  <c r="C4612" i="1" s="1"/>
  <c r="C4613" i="1" a="1"/>
  <c r="C4613" i="1" s="1"/>
  <c r="C4614" i="1" a="1"/>
  <c r="C4614" i="1" s="1"/>
  <c r="C4615" i="1" a="1"/>
  <c r="C4615" i="1"/>
  <c r="C4616" i="1" a="1"/>
  <c r="C4616" i="1" s="1"/>
  <c r="C4617" i="1" a="1"/>
  <c r="C4617" i="1" s="1"/>
  <c r="C4618" i="1" a="1"/>
  <c r="C4618" i="1"/>
  <c r="C4619" i="1" a="1"/>
  <c r="C4619" i="1" s="1"/>
  <c r="C4620" i="1" a="1"/>
  <c r="C4620" i="1" s="1"/>
  <c r="C4621" i="1" a="1"/>
  <c r="C4621" i="1" s="1"/>
  <c r="C4622" i="1" a="1"/>
  <c r="C4622" i="1"/>
  <c r="C4623" i="1" a="1"/>
  <c r="C4623" i="1"/>
  <c r="C4624" i="1" a="1"/>
  <c r="C4624" i="1" s="1"/>
  <c r="C4625" i="1" a="1"/>
  <c r="C4625" i="1" s="1"/>
  <c r="C4626" i="1" a="1"/>
  <c r="C4626" i="1" s="1"/>
  <c r="C4627" i="1" a="1"/>
  <c r="C4627" i="1" s="1"/>
  <c r="C4628" i="1" a="1"/>
  <c r="C4628" i="1"/>
  <c r="C4629" i="1" a="1"/>
  <c r="C4629" i="1" s="1"/>
  <c r="C4630" i="1" a="1"/>
  <c r="C4630" i="1"/>
  <c r="C4631" i="1" a="1"/>
  <c r="C4631" i="1" s="1"/>
  <c r="C4632" i="1" a="1"/>
  <c r="C4632" i="1" s="1"/>
  <c r="C4633" i="1" a="1"/>
  <c r="C4633" i="1" s="1"/>
  <c r="C4634" i="1" a="1"/>
  <c r="C4634" i="1" s="1"/>
  <c r="C4635" i="1" a="1"/>
  <c r="C4635" i="1" s="1"/>
  <c r="C4636" i="1" a="1"/>
  <c r="C4636" i="1" s="1"/>
  <c r="C4637" i="1" a="1"/>
  <c r="C4637" i="1" s="1"/>
  <c r="C4638" i="1" a="1"/>
  <c r="C4638" i="1" s="1"/>
  <c r="C4639" i="1" a="1"/>
  <c r="C4639" i="1"/>
  <c r="C4640" i="1" a="1"/>
  <c r="C4640" i="1" s="1"/>
  <c r="C4641" i="1" a="1"/>
  <c r="C4641" i="1" s="1"/>
  <c r="C4642" i="1" a="1"/>
  <c r="C4642" i="1" s="1"/>
  <c r="C4643" i="1" a="1"/>
  <c r="C4643" i="1"/>
  <c r="C4644" i="1" a="1"/>
  <c r="C4644" i="1"/>
  <c r="C4645" i="1" a="1"/>
  <c r="C4645" i="1" s="1"/>
  <c r="C4646" i="1" a="1"/>
  <c r="C4646" i="1" s="1"/>
  <c r="C4647" i="1" a="1"/>
  <c r="C4647" i="1" s="1"/>
  <c r="C4648" i="1" a="1"/>
  <c r="C4648" i="1" s="1"/>
  <c r="C4649" i="1" a="1"/>
  <c r="C4649" i="1" s="1"/>
  <c r="C4650" i="1" a="1"/>
  <c r="C4650" i="1" s="1"/>
  <c r="C4651" i="1" a="1"/>
  <c r="C4651" i="1"/>
  <c r="C4652" i="1" a="1"/>
  <c r="C4652" i="1" s="1"/>
  <c r="C4653" i="1" a="1"/>
  <c r="C4653" i="1" s="1"/>
  <c r="C4654" i="1" a="1"/>
  <c r="C4654" i="1" s="1"/>
  <c r="C4655" i="1" a="1"/>
  <c r="C4655" i="1"/>
  <c r="C4656" i="1" a="1"/>
  <c r="C4656" i="1" s="1"/>
  <c r="C4657" i="1" a="1"/>
  <c r="C4657" i="1" s="1"/>
  <c r="C4658" i="1" a="1"/>
  <c r="C4658" i="1" s="1"/>
  <c r="C4659" i="1" a="1"/>
  <c r="C4659" i="1" s="1"/>
  <c r="C4660" i="1" a="1"/>
  <c r="C4660" i="1" s="1"/>
  <c r="C4661" i="1" a="1"/>
  <c r="C4661" i="1" s="1"/>
  <c r="C4662" i="1" a="1"/>
  <c r="C4662" i="1" s="1"/>
  <c r="C4663" i="1" a="1"/>
  <c r="C4663" i="1" s="1"/>
  <c r="C4664" i="1" a="1"/>
  <c r="C4664" i="1" s="1"/>
  <c r="C4665" i="1" a="1"/>
  <c r="C4665" i="1" s="1"/>
  <c r="C4666" i="1" a="1"/>
  <c r="C4666" i="1" s="1"/>
  <c r="C4667" i="1" a="1"/>
  <c r="C4667" i="1" s="1"/>
  <c r="C4668" i="1" a="1"/>
  <c r="C4668" i="1"/>
  <c r="C4669" i="1" a="1"/>
  <c r="C4669" i="1" s="1"/>
  <c r="C4670" i="1" a="1"/>
  <c r="C4670" i="1"/>
  <c r="C4671" i="1" a="1"/>
  <c r="C4671" i="1" s="1"/>
  <c r="C4672" i="1" a="1"/>
  <c r="C4672" i="1" s="1"/>
  <c r="C4673" i="1" a="1"/>
  <c r="C4673" i="1"/>
  <c r="C4674" i="1" a="1"/>
  <c r="C4674" i="1" s="1"/>
  <c r="C4675" i="1" a="1"/>
  <c r="C4675" i="1" s="1"/>
  <c r="C4676" i="1" a="1"/>
  <c r="C4676" i="1" s="1"/>
  <c r="C4677" i="1" a="1"/>
  <c r="C4677" i="1" s="1"/>
  <c r="C4678" i="1" a="1"/>
  <c r="C4678" i="1" s="1"/>
  <c r="C4679" i="1" a="1"/>
  <c r="C4679" i="1" s="1"/>
  <c r="C4680" i="1" a="1"/>
  <c r="C4680" i="1" s="1"/>
  <c r="C4681" i="1" a="1"/>
  <c r="C4681" i="1" s="1"/>
  <c r="C4682" i="1" a="1"/>
  <c r="C4682" i="1" s="1"/>
  <c r="C4683" i="1" a="1"/>
  <c r="C4683" i="1" s="1"/>
  <c r="C4684" i="1" a="1"/>
  <c r="C4684" i="1" s="1"/>
  <c r="C4685" i="1" a="1"/>
  <c r="C4685" i="1" s="1"/>
  <c r="C4686" i="1" a="1"/>
  <c r="C4686" i="1" s="1"/>
  <c r="C4687" i="1" a="1"/>
  <c r="C4687" i="1" s="1"/>
  <c r="C4688" i="1" a="1"/>
  <c r="C4688" i="1" s="1"/>
  <c r="C4689" i="1" a="1"/>
  <c r="C4689" i="1" s="1"/>
  <c r="C4690" i="1" a="1"/>
  <c r="C4690" i="1" s="1"/>
  <c r="C4691" i="1" a="1"/>
  <c r="C4691" i="1"/>
  <c r="C4692" i="1" a="1"/>
  <c r="C4692" i="1" s="1"/>
  <c r="C4693" i="1" a="1"/>
  <c r="C4693" i="1" s="1"/>
  <c r="C4694" i="1" a="1"/>
  <c r="C4694" i="1"/>
  <c r="C4695" i="1" a="1"/>
  <c r="C4695" i="1" s="1"/>
  <c r="C4696" i="1" a="1"/>
  <c r="C4696" i="1" s="1"/>
  <c r="C4697" i="1" a="1"/>
  <c r="C4697" i="1" s="1"/>
  <c r="C4698" i="1" a="1"/>
  <c r="C4698" i="1" s="1"/>
  <c r="C4699" i="1" a="1"/>
  <c r="C4699" i="1" s="1"/>
  <c r="C4700" i="1" a="1"/>
  <c r="C4700" i="1" s="1"/>
  <c r="C4701" i="1" a="1"/>
  <c r="C4701" i="1" s="1"/>
  <c r="C4702" i="1" a="1"/>
  <c r="C4702" i="1"/>
  <c r="C4703" i="1" a="1"/>
  <c r="C4703" i="1" s="1"/>
  <c r="C4704" i="1" a="1"/>
  <c r="C4704" i="1" s="1"/>
  <c r="C4705" i="1" a="1"/>
  <c r="C4705" i="1" s="1"/>
  <c r="C4706" i="1" a="1"/>
  <c r="C4706" i="1"/>
  <c r="C4707" i="1" a="1"/>
  <c r="C4707" i="1" s="1"/>
  <c r="C4708" i="1" a="1"/>
  <c r="C4708" i="1" s="1"/>
  <c r="C4709" i="1" a="1"/>
  <c r="C4709" i="1" s="1"/>
  <c r="C4710" i="1" a="1"/>
  <c r="C4710" i="1" s="1"/>
  <c r="C4711" i="1" a="1"/>
  <c r="C4711" i="1" s="1"/>
  <c r="C4712" i="1" a="1"/>
  <c r="C4712" i="1"/>
  <c r="C4713" i="1" a="1"/>
  <c r="C4713" i="1" s="1"/>
  <c r="C4714" i="1" a="1"/>
  <c r="C4714" i="1"/>
  <c r="C4715" i="1" a="1"/>
  <c r="C4715" i="1"/>
  <c r="C4716" i="1" a="1"/>
  <c r="C4716" i="1" s="1"/>
  <c r="C4717" i="1" a="1"/>
  <c r="C4717" i="1" s="1"/>
  <c r="C4718" i="1" a="1"/>
  <c r="C4718" i="1"/>
  <c r="C4719" i="1" a="1"/>
  <c r="C4719" i="1" s="1"/>
  <c r="C4720" i="1" a="1"/>
  <c r="C4720" i="1"/>
  <c r="C4721" i="1" a="1"/>
  <c r="C4721" i="1" s="1"/>
  <c r="C4722" i="1" a="1"/>
  <c r="C4722" i="1" s="1"/>
  <c r="C4723" i="1" a="1"/>
  <c r="C4723" i="1"/>
  <c r="C4724" i="1" a="1"/>
  <c r="C4724" i="1" s="1"/>
  <c r="C4725" i="1" a="1"/>
  <c r="C4725" i="1" s="1"/>
  <c r="C4726" i="1" a="1"/>
  <c r="C4726" i="1" s="1"/>
  <c r="C4727" i="1" a="1"/>
  <c r="C4727" i="1" s="1"/>
  <c r="C4728" i="1" a="1"/>
  <c r="C4728" i="1" s="1"/>
  <c r="C4729" i="1" a="1"/>
  <c r="C4729" i="1"/>
  <c r="C4730" i="1" a="1"/>
  <c r="C4730" i="1" s="1"/>
  <c r="C4731" i="1" a="1"/>
  <c r="C4731" i="1"/>
  <c r="C4732" i="1" a="1"/>
  <c r="C4732" i="1" s="1"/>
  <c r="C4733" i="1" a="1"/>
  <c r="C4733" i="1"/>
  <c r="C4734" i="1" a="1"/>
  <c r="C4734" i="1" s="1"/>
  <c r="C4735" i="1" a="1"/>
  <c r="C4735" i="1"/>
  <c r="C4736" i="1" a="1"/>
  <c r="C4736" i="1" s="1"/>
  <c r="C4737" i="1" a="1"/>
  <c r="C4737" i="1" s="1"/>
  <c r="C4738" i="1" a="1"/>
  <c r="C4738" i="1" s="1"/>
  <c r="C4739" i="1" a="1"/>
  <c r="C4739" i="1" s="1"/>
  <c r="C4740" i="1" a="1"/>
  <c r="C4740" i="1" s="1"/>
  <c r="C4741" i="1" a="1"/>
  <c r="C4741" i="1" s="1"/>
  <c r="C4742" i="1" a="1"/>
  <c r="C4742" i="1" s="1"/>
  <c r="C4743" i="1" a="1"/>
  <c r="C4743" i="1" s="1"/>
  <c r="C4744" i="1" a="1"/>
  <c r="C4744" i="1"/>
  <c r="C4745" i="1" a="1"/>
  <c r="C4745" i="1" s="1"/>
  <c r="C4746" i="1" a="1"/>
  <c r="C4746" i="1" s="1"/>
  <c r="C4747" i="1" a="1"/>
  <c r="C4747" i="1" s="1"/>
  <c r="C4748" i="1" a="1"/>
  <c r="C4748" i="1" s="1"/>
  <c r="C4749" i="1" a="1"/>
  <c r="C4749" i="1" s="1"/>
  <c r="C4750" i="1" a="1"/>
  <c r="C4750" i="1" s="1"/>
  <c r="C4751" i="1" a="1"/>
  <c r="C4751" i="1" s="1"/>
  <c r="C4752" i="1" a="1"/>
  <c r="C4752" i="1"/>
  <c r="C4753" i="1" a="1"/>
  <c r="C4753" i="1" s="1"/>
  <c r="C4754" i="1" a="1"/>
  <c r="C4754" i="1" s="1"/>
  <c r="C4755" i="1" a="1"/>
  <c r="C4755" i="1" s="1"/>
  <c r="C4756" i="1" a="1"/>
  <c r="C4756" i="1" s="1"/>
  <c r="C4757" i="1" a="1"/>
  <c r="C4757" i="1" s="1"/>
  <c r="C4758" i="1" a="1"/>
  <c r="C4758" i="1" s="1"/>
  <c r="C4759" i="1" a="1"/>
  <c r="C4759" i="1"/>
  <c r="C4760" i="1" a="1"/>
  <c r="C4760" i="1" s="1"/>
  <c r="C4761" i="1" a="1"/>
  <c r="C4761" i="1" s="1"/>
  <c r="C4762" i="1" a="1"/>
  <c r="C4762" i="1"/>
  <c r="C4763" i="1" a="1"/>
  <c r="C4763" i="1" s="1"/>
  <c r="C4764" i="1" a="1"/>
  <c r="C4764" i="1" s="1"/>
  <c r="C4765" i="1" a="1"/>
  <c r="C4765" i="1"/>
  <c r="C4766" i="1" a="1"/>
  <c r="C4766" i="1" s="1"/>
  <c r="C4767" i="1" a="1"/>
  <c r="C4767" i="1" s="1"/>
  <c r="C4768" i="1" a="1"/>
  <c r="C4768" i="1" s="1"/>
  <c r="C4769" i="1" a="1"/>
  <c r="C4769" i="1" s="1"/>
  <c r="C4770" i="1" a="1"/>
  <c r="C4770" i="1" s="1"/>
  <c r="C4771" i="1" a="1"/>
  <c r="C4771" i="1"/>
  <c r="C4772" i="1" a="1"/>
  <c r="C4772" i="1" s="1"/>
  <c r="C4773" i="1" a="1"/>
  <c r="C4773" i="1"/>
  <c r="C4774" i="1" a="1"/>
  <c r="C4774" i="1" s="1"/>
  <c r="C4775" i="1" a="1"/>
  <c r="C4775" i="1"/>
  <c r="C4776" i="1" a="1"/>
  <c r="C4776" i="1" s="1"/>
  <c r="C4777" i="1" a="1"/>
  <c r="C4777" i="1" s="1"/>
  <c r="C4778" i="1" a="1"/>
  <c r="C4778" i="1" s="1"/>
  <c r="C4779" i="1" a="1"/>
  <c r="C4779" i="1" s="1"/>
  <c r="C4780" i="1" a="1"/>
  <c r="C4780" i="1"/>
  <c r="C4781" i="1" a="1"/>
  <c r="C4781" i="1" s="1"/>
  <c r="C4782" i="1" a="1"/>
  <c r="C4782" i="1" s="1"/>
  <c r="C4783" i="1" a="1"/>
  <c r="C4783" i="1"/>
  <c r="C4784" i="1" a="1"/>
  <c r="C4784" i="1" s="1"/>
  <c r="C4785" i="1" a="1"/>
  <c r="C4785" i="1" s="1"/>
  <c r="C4786" i="1" a="1"/>
  <c r="C4786" i="1" s="1"/>
  <c r="C4787" i="1" a="1"/>
  <c r="C4787" i="1" s="1"/>
  <c r="C4788" i="1" a="1"/>
  <c r="C4788" i="1" s="1"/>
  <c r="C4789" i="1" a="1"/>
  <c r="C4789" i="1"/>
  <c r="C4790" i="1" a="1"/>
  <c r="C4790" i="1" s="1"/>
  <c r="C4791" i="1" a="1"/>
  <c r="C4791" i="1" s="1"/>
  <c r="C4792" i="1" a="1"/>
  <c r="C4792" i="1" s="1"/>
  <c r="C4793" i="1" a="1"/>
  <c r="C4793" i="1" s="1"/>
  <c r="C4794" i="1" a="1"/>
  <c r="C4794" i="1"/>
  <c r="C4795" i="1" a="1"/>
  <c r="C4795" i="1" s="1"/>
  <c r="C4796" i="1" a="1"/>
  <c r="C4796" i="1" s="1"/>
  <c r="C4797" i="1" a="1"/>
  <c r="C4797" i="1" s="1"/>
  <c r="C4798" i="1" a="1"/>
  <c r="C4798" i="1" s="1"/>
  <c r="C4799" i="1" a="1"/>
  <c r="C4799" i="1" s="1"/>
  <c r="C4800" i="1" a="1"/>
  <c r="C4800" i="1" s="1"/>
  <c r="C4801" i="1" a="1"/>
  <c r="C4801" i="1"/>
  <c r="C4802" i="1" a="1"/>
  <c r="C4802" i="1" s="1"/>
  <c r="C4803" i="1" a="1"/>
  <c r="C4803" i="1" s="1"/>
  <c r="C4804" i="1" a="1"/>
  <c r="C4804" i="1" s="1"/>
  <c r="C4805" i="1" a="1"/>
  <c r="C4805" i="1" s="1"/>
  <c r="C4806" i="1" a="1"/>
  <c r="C4806" i="1" s="1"/>
  <c r="C4807" i="1" a="1"/>
  <c r="C4807" i="1" s="1"/>
  <c r="C4808" i="1" a="1"/>
  <c r="C4808" i="1" s="1"/>
  <c r="C4809" i="1" a="1"/>
  <c r="C4809" i="1"/>
  <c r="C4810" i="1" a="1"/>
  <c r="C4810" i="1"/>
  <c r="C4811" i="1" a="1"/>
  <c r="C4811" i="1" s="1"/>
  <c r="C4812" i="1" a="1"/>
  <c r="C4812" i="1" s="1"/>
  <c r="C4813" i="1" a="1"/>
  <c r="C4813" i="1" s="1"/>
  <c r="C4814" i="1" a="1"/>
  <c r="C4814" i="1" s="1"/>
  <c r="C4815" i="1" a="1"/>
  <c r="C4815" i="1"/>
  <c r="C4816" i="1" a="1"/>
  <c r="C4816" i="1" s="1"/>
  <c r="C4817" i="1" a="1"/>
  <c r="C4817" i="1" s="1"/>
  <c r="C4818" i="1" a="1"/>
  <c r="C4818" i="1"/>
  <c r="C4819" i="1" a="1"/>
  <c r="C4819" i="1" s="1"/>
  <c r="C4820" i="1" a="1"/>
  <c r="C4820" i="1" s="1"/>
  <c r="C4821" i="1" a="1"/>
  <c r="C4821" i="1" s="1"/>
  <c r="C4822" i="1" a="1"/>
  <c r="C4822" i="1" s="1"/>
  <c r="C4823" i="1" a="1"/>
  <c r="C4823" i="1"/>
  <c r="C4824" i="1" a="1"/>
  <c r="C4824" i="1" s="1"/>
  <c r="C4825" i="1" a="1"/>
  <c r="C4825" i="1" s="1"/>
  <c r="C4826" i="1" a="1"/>
  <c r="C4826" i="1" s="1"/>
  <c r="C4827" i="1" a="1"/>
  <c r="C4827" i="1" s="1"/>
  <c r="C4828" i="1" a="1"/>
  <c r="C4828" i="1"/>
  <c r="C4829" i="1" a="1"/>
  <c r="C4829" i="1"/>
  <c r="C4830" i="1" a="1"/>
  <c r="C4830" i="1" s="1"/>
  <c r="C4831" i="1" a="1"/>
  <c r="C4831" i="1" s="1"/>
  <c r="C4832" i="1" a="1"/>
  <c r="C4832" i="1" s="1"/>
  <c r="C4833" i="1" a="1"/>
  <c r="C4833" i="1" s="1"/>
  <c r="C4834" i="1" a="1"/>
  <c r="C4834" i="1" s="1"/>
  <c r="C4835" i="1" a="1"/>
  <c r="C4835" i="1" s="1"/>
  <c r="C4836" i="1" a="1"/>
  <c r="C4836" i="1"/>
  <c r="C4837" i="1" a="1"/>
  <c r="C4837" i="1" s="1"/>
  <c r="C4838" i="1" a="1"/>
  <c r="C4838" i="1" s="1"/>
  <c r="C4839" i="1" a="1"/>
  <c r="C4839" i="1"/>
  <c r="C4840" i="1" a="1"/>
  <c r="C4840" i="1" s="1"/>
  <c r="C4841" i="1" a="1"/>
  <c r="C4841" i="1" s="1"/>
  <c r="C4842" i="1" a="1"/>
  <c r="C4842" i="1" s="1"/>
  <c r="C4843" i="1" a="1"/>
  <c r="C4843" i="1"/>
  <c r="C4844" i="1" a="1"/>
  <c r="C4844" i="1" s="1"/>
  <c r="C4845" i="1" a="1"/>
  <c r="C4845" i="1" s="1"/>
  <c r="C4846" i="1" a="1"/>
  <c r="C4846" i="1" s="1"/>
  <c r="C4847" i="1" a="1"/>
  <c r="C4847" i="1" s="1"/>
  <c r="C4848" i="1" a="1"/>
  <c r="C4848" i="1" s="1"/>
  <c r="C4849" i="1" a="1"/>
  <c r="C4849" i="1" s="1"/>
  <c r="C4850" i="1" a="1"/>
  <c r="C4850" i="1"/>
  <c r="C4851" i="1" a="1"/>
  <c r="C4851" i="1"/>
  <c r="C4852" i="1" a="1"/>
  <c r="C4852" i="1"/>
  <c r="C4853" i="1" a="1"/>
  <c r="C4853" i="1" s="1"/>
  <c r="C4854" i="1" a="1"/>
  <c r="C4854" i="1" s="1"/>
  <c r="C4855" i="1" a="1"/>
  <c r="C4855" i="1" s="1"/>
  <c r="C4856" i="1" a="1"/>
  <c r="C4856" i="1" s="1"/>
  <c r="C4857" i="1" a="1"/>
  <c r="C4857" i="1" s="1"/>
  <c r="C4858" i="1" a="1"/>
  <c r="C4858" i="1" s="1"/>
  <c r="C4859" i="1" a="1"/>
  <c r="C4859" i="1" s="1"/>
  <c r="C4860" i="1" a="1"/>
  <c r="C4860" i="1" s="1"/>
  <c r="C4861" i="1" a="1"/>
  <c r="C4861" i="1" s="1"/>
  <c r="C4862" i="1" a="1"/>
  <c r="C4862" i="1" s="1"/>
  <c r="C4863" i="1" a="1"/>
  <c r="C4863" i="1" s="1"/>
  <c r="C4864" i="1" a="1"/>
  <c r="C4864" i="1"/>
  <c r="C4865" i="1" a="1"/>
  <c r="C4865" i="1" s="1"/>
  <c r="C4866" i="1" a="1"/>
  <c r="C4866" i="1" s="1"/>
  <c r="C4867" i="1" a="1"/>
  <c r="C4867" i="1" s="1"/>
  <c r="C4868" i="1" a="1"/>
  <c r="C4868" i="1" s="1"/>
  <c r="C4869" i="1" a="1"/>
  <c r="C4869" i="1" s="1"/>
  <c r="C4870" i="1" a="1"/>
  <c r="C4870" i="1"/>
  <c r="C4871" i="1" a="1"/>
  <c r="C4871" i="1"/>
  <c r="C4872" i="1" a="1"/>
  <c r="C4872" i="1" s="1"/>
  <c r="C4873" i="1" a="1"/>
  <c r="C4873" i="1" s="1"/>
  <c r="C4874" i="1" a="1"/>
  <c r="C4874" i="1" s="1"/>
  <c r="C4875" i="1" a="1"/>
  <c r="C4875" i="1" s="1"/>
  <c r="C4876" i="1" a="1"/>
  <c r="C4876" i="1" s="1"/>
  <c r="C4877" i="1" a="1"/>
  <c r="C4877" i="1" s="1"/>
  <c r="C4878" i="1" a="1"/>
  <c r="C4878" i="1"/>
  <c r="C4879" i="1" a="1"/>
  <c r="C4879" i="1" s="1"/>
  <c r="C4880" i="1" a="1"/>
  <c r="C4880" i="1" s="1"/>
  <c r="C4881" i="1" a="1"/>
  <c r="C4881" i="1"/>
  <c r="C4882" i="1" a="1"/>
  <c r="C4882" i="1" s="1"/>
  <c r="C4883" i="1" a="1"/>
  <c r="C4883" i="1" s="1"/>
  <c r="C4884" i="1" a="1"/>
  <c r="C4884" i="1" s="1"/>
  <c r="C4885" i="1" a="1"/>
  <c r="C4885" i="1"/>
  <c r="C4886" i="1" a="1"/>
  <c r="C4886" i="1" s="1"/>
  <c r="C4887" i="1" a="1"/>
  <c r="C4887" i="1" s="1"/>
  <c r="C4888" i="1" a="1"/>
  <c r="C4888" i="1" s="1"/>
  <c r="C4889" i="1" a="1"/>
  <c r="C4889" i="1" s="1"/>
  <c r="C4890" i="1" a="1"/>
  <c r="C4890" i="1" s="1"/>
  <c r="C4891" i="1" a="1"/>
  <c r="C4891" i="1" s="1"/>
  <c r="C4892" i="1" a="1"/>
  <c r="C4892" i="1"/>
  <c r="C4893" i="1" a="1"/>
  <c r="C4893" i="1" s="1"/>
  <c r="C4894" i="1" a="1"/>
  <c r="C4894" i="1" s="1"/>
  <c r="C4895" i="1" a="1"/>
  <c r="C4895" i="1" s="1"/>
  <c r="C4896" i="1" a="1"/>
  <c r="C4896" i="1" s="1"/>
  <c r="C4897" i="1" a="1"/>
  <c r="C4897" i="1" s="1"/>
  <c r="C4898" i="1" a="1"/>
  <c r="C4898" i="1" s="1"/>
  <c r="C4899" i="1" a="1"/>
  <c r="C4899" i="1" s="1"/>
  <c r="C4900" i="1" a="1"/>
  <c r="C4900" i="1" s="1"/>
  <c r="C4901" i="1" a="1"/>
  <c r="C4901" i="1" s="1"/>
  <c r="C4902" i="1" a="1"/>
  <c r="C4902" i="1" s="1"/>
  <c r="C4903" i="1" a="1"/>
  <c r="C4903" i="1" s="1"/>
  <c r="C4904" i="1" a="1"/>
  <c r="C4904" i="1" s="1"/>
  <c r="C4905" i="1" a="1"/>
  <c r="C4905" i="1" s="1"/>
  <c r="C4906" i="1" a="1"/>
  <c r="C4906" i="1" s="1"/>
  <c r="C4907" i="1" a="1"/>
  <c r="C4907" i="1" s="1"/>
  <c r="C4908" i="1" a="1"/>
  <c r="C4908" i="1"/>
  <c r="C4909" i="1" a="1"/>
  <c r="C4909" i="1" s="1"/>
  <c r="C4910" i="1" a="1"/>
  <c r="C4910" i="1" s="1"/>
  <c r="C4911" i="1" a="1"/>
  <c r="C4911" i="1" s="1"/>
  <c r="C4912" i="1" a="1"/>
  <c r="C4912" i="1"/>
  <c r="C4913" i="1" a="1"/>
  <c r="C4913" i="1"/>
  <c r="C4914" i="1" a="1"/>
  <c r="C4914" i="1"/>
  <c r="C4915" i="1" a="1"/>
  <c r="C4915" i="1" s="1"/>
  <c r="C4916" i="1" a="1"/>
  <c r="C4916" i="1" s="1"/>
  <c r="C4917" i="1" a="1"/>
  <c r="C4917" i="1" s="1"/>
  <c r="C4918" i="1" a="1"/>
  <c r="C4918" i="1" s="1"/>
  <c r="C4919" i="1" a="1"/>
  <c r="C4919" i="1" s="1"/>
  <c r="C4920" i="1" a="1"/>
  <c r="C4920" i="1" s="1"/>
  <c r="C4921" i="1" a="1"/>
  <c r="C4921" i="1" s="1"/>
  <c r="C4922" i="1" a="1"/>
  <c r="C4922" i="1" s="1"/>
  <c r="C4923" i="1" a="1"/>
  <c r="C4923" i="1" s="1"/>
  <c r="C4924" i="1" a="1"/>
  <c r="C4924" i="1" s="1"/>
  <c r="C4925" i="1" a="1"/>
  <c r="C4925" i="1" s="1"/>
  <c r="C4926" i="1" a="1"/>
  <c r="C4926" i="1" s="1"/>
  <c r="C4927" i="1" a="1"/>
  <c r="C4927" i="1" s="1"/>
  <c r="C4928" i="1" a="1"/>
  <c r="C4928" i="1" s="1"/>
  <c r="C4929" i="1" a="1"/>
  <c r="C4929" i="1" s="1"/>
  <c r="C4930" i="1" a="1"/>
  <c r="C4930" i="1" s="1"/>
  <c r="C4931" i="1" a="1"/>
  <c r="C4931" i="1" s="1"/>
  <c r="C4932" i="1" a="1"/>
  <c r="C4932" i="1" s="1"/>
  <c r="C4933" i="1" a="1"/>
  <c r="C4933" i="1" s="1"/>
  <c r="C4934" i="1" a="1"/>
  <c r="C4934" i="1"/>
  <c r="C4935" i="1" a="1"/>
  <c r="C4935" i="1" s="1"/>
  <c r="C4936" i="1" a="1"/>
  <c r="C4936" i="1" s="1"/>
  <c r="I2" i="1" a="1"/>
  <c r="I2" i="1" s="1"/>
  <c r="I6" i="1" a="1"/>
  <c r="I6" i="1" s="1"/>
  <c r="I5" i="1" a="1"/>
  <c r="I5" i="1" s="1"/>
  <c r="I4" i="1" a="1"/>
  <c r="I4" i="1" s="1"/>
  <c r="I3" i="1" a="1"/>
  <c r="I3" i="1" s="1"/>
  <c r="K3" i="1" l="1"/>
  <c r="K5" i="1"/>
  <c r="K2" i="1"/>
  <c r="L2" i="1" s="1"/>
  <c r="K4" i="1"/>
  <c r="J4" i="1"/>
  <c r="J3" i="1"/>
  <c r="J5" i="1"/>
  <c r="J6" i="1"/>
  <c r="L6" i="1" s="1"/>
  <c r="K6" i="1"/>
  <c r="L5" i="1" l="1"/>
  <c r="L4" i="1"/>
  <c r="L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466323-2621-426A-9327-3562FB57056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EBDAB476-C332-4B90-8600-49B0FE9BF7F1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CEF0F0C4-C372-4534-AA27-4AD815448D6B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C37EC066-C410-49CE-8D1A-77CB49D17D12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5" xr16:uid="{5EE1FF9E-36C2-4008-ACFD-C9E5E3FF1EA7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<sst xmlns="http://schemas.openxmlformats.org/spreadsheetml/2006/main" count="20499" uniqueCount="1563">
  <si>
    <t>ID_CLIENTE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</si>
  <si>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</si>
  <si>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</si>
  <si>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</si>
  <si>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</si>
  <si>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</si>
  <si>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</si>
  <si>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</si>
  <si>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</si>
  <si>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</si>
  <si>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</si>
  <si>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C11221</t>
  </si>
  <si>
    <t>C11222</t>
  </si>
  <si>
    <t>C11223</t>
  </si>
  <si>
    <t>C11224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</si>
  <si>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</si>
  <si>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</si>
  <si>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</si>
  <si>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</si>
  <si>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</si>
  <si>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</si>
  <si>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</si>
  <si>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</si>
  <si>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</si>
  <si>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</si>
  <si>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</si>
  <si>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</si>
  <si>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</si>
  <si>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</si>
  <si>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</si>
  <si>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</si>
  <si>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</si>
  <si>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</si>
  <si>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</si>
  <si>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</si>
  <si>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</si>
  <si>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</si>
  <si>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</si>
  <si>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</si>
  <si>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</si>
  <si>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</si>
  <si>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</si>
  <si>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</si>
  <si>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</si>
  <si>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</si>
  <si>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</si>
  <si>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</si>
  <si>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</si>
  <si>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</si>
  <si>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</si>
  <si>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</si>
  <si>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</si>
  <si>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</si>
  <si>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</si>
  <si>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</si>
  <si>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</si>
  <si>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</si>
  <si>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</si>
  <si>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</si>
  <si>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</si>
  <si>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</si>
  <si>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</si>
  <si>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</si>
  <si>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</si>
  <si>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</si>
  <si>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</si>
  <si>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</si>
  <si>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</si>
  <si>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</si>
  <si>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</si>
  <si>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</si>
  <si>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</si>
  <si>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</si>
  <si>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</si>
  <si>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</si>
  <si>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</si>
  <si>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</si>
  <si>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</si>
  <si>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</si>
  <si>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</si>
  <si>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</si>
  <si>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</si>
  <si>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</si>
  <si>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</si>
  <si>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</si>
  <si>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</si>
  <si>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</si>
  <si>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</si>
  <si>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</si>
  <si>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</si>
  <si>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</si>
  <si>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</si>
  <si>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</si>
  <si>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</si>
  <si>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</si>
  <si>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</si>
  <si>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</si>
  <si>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</si>
  <si>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</si>
  <si>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</si>
  <si>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</si>
  <si>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</si>
  <si>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</si>
  <si>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</si>
  <si>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</si>
  <si>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</si>
  <si>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</si>
  <si>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</si>
  <si>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</si>
  <si>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</si>
  <si>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</si>
  <si>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</si>
  <si>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</si>
  <si>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</si>
  <si>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</si>
  <si>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</si>
  <si>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</si>
  <si>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</si>
  <si>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</si>
  <si>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</si>
  <si>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</si>
  <si>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</si>
  <si>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</si>
  <si>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</si>
  <si>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</si>
  <si>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</si>
  <si>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</si>
  <si>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</si>
  <si>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</si>
  <si>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</si>
  <si>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</si>
  <si>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</si>
  <si>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</si>
  <si>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</si>
  <si>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</si>
  <si>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</si>
  <si>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</si>
  <si>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</si>
  <si>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</si>
  <si>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</si>
  <si>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</si>
  <si>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</si>
  <si>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</si>
  <si>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</si>
  <si>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</si>
  <si>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</si>
  <si>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</si>
  <si>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</si>
  <si>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</si>
  <si>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</si>
  <si>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</si>
  <si>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</si>
  <si>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</si>
  <si>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</si>
  <si>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</si>
  <si>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</si>
  <si>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</si>
  <si>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</si>
  <si>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</si>
  <si>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</si>
  <si>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</si>
  <si>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</si>
  <si>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</si>
  <si>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</si>
  <si>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</si>
  <si>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</si>
  <si>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</si>
  <si>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</si>
  <si>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</si>
  <si>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</si>
  <si>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</si>
  <si>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</si>
  <si>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</si>
  <si>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</si>
  <si>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</si>
  <si>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</si>
  <si>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</si>
  <si>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</si>
  <si>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</si>
  <si>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</si>
  <si>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</si>
  <si>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</si>
  <si>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</si>
  <si>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</si>
  <si>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</si>
  <si>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</si>
  <si>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</si>
  <si>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</si>
  <si>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</si>
  <si>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C20442</t>
  </si>
  <si>
    <t>C20444</t>
  </si>
  <si>
    <t>C20446</t>
  </si>
  <si>
    <t>C20448</t>
  </si>
  <si>
    <t>C20450</t>
  </si>
  <si>
    <t>C20452</t>
  </si>
  <si>
    <t>C20454</t>
  </si>
  <si>
    <t>C20456</t>
  </si>
  <si>
    <t>C20458</t>
  </si>
  <si>
    <t>C20460</t>
  </si>
  <si>
    <t>C22442</t>
  </si>
  <si>
    <t>C22444</t>
  </si>
  <si>
    <t>C22446</t>
  </si>
  <si>
    <t>C22448</t>
  </si>
  <si>
    <t>C22490</t>
  </si>
  <si>
    <t>C22492</t>
  </si>
  <si>
    <t>C22494</t>
  </si>
  <si>
    <t>C22496</t>
  </si>
  <si>
    <t>C22498</t>
  </si>
  <si>
    <t>C22500</t>
  </si>
  <si>
    <t>C22502</t>
  </si>
  <si>
    <t>C22504</t>
  </si>
  <si>
    <t>C22506</t>
  </si>
  <si>
    <t>C22508</t>
  </si>
  <si>
    <t>C22824</t>
  </si>
  <si>
    <t>C22826</t>
  </si>
  <si>
    <t>C22828</t>
  </si>
  <si>
    <t>C22830</t>
  </si>
  <si>
    <t>C22832</t>
  </si>
  <si>
    <t>C22834</t>
  </si>
  <si>
    <t>C22836</t>
  </si>
  <si>
    <t>C22838</t>
  </si>
  <si>
    <t>C22840</t>
  </si>
  <si>
    <t>C22842</t>
  </si>
  <si>
    <t>C22844</t>
  </si>
  <si>
    <t>C22846</t>
  </si>
  <si>
    <t>C22848</t>
  </si>
  <si>
    <t>C22850</t>
  </si>
  <si>
    <t>C22852</t>
  </si>
  <si>
    <t>C22854</t>
  </si>
  <si>
    <t>C22856</t>
  </si>
  <si>
    <t>C22858</t>
  </si>
  <si>
    <t>C22860</t>
  </si>
  <si>
    <t>C22862</t>
  </si>
  <si>
    <t>C22864</t>
  </si>
  <si>
    <t>C22964</t>
  </si>
  <si>
    <t>C22966</t>
  </si>
  <si>
    <t>C22968</t>
  </si>
  <si>
    <t>C22970</t>
  </si>
  <si>
    <t>C22972</t>
  </si>
  <si>
    <t>C22974</t>
  </si>
  <si>
    <t>C22976</t>
  </si>
  <si>
    <t>C22978</t>
  </si>
  <si>
    <t>C22980</t>
  </si>
  <si>
    <t>C22982</t>
  </si>
  <si>
    <t>C22984</t>
  </si>
  <si>
    <t>C22986</t>
  </si>
  <si>
    <t>C22988</t>
  </si>
  <si>
    <t>C22990</t>
  </si>
  <si>
    <t>C22992</t>
  </si>
  <si>
    <t>C22994</t>
  </si>
  <si>
    <t>C22996</t>
  </si>
  <si>
    <t>C22998</t>
  </si>
  <si>
    <t>C23000</t>
  </si>
  <si>
    <t>C23002</t>
  </si>
  <si>
    <t>C23004</t>
  </si>
  <si>
    <t>C23006</t>
  </si>
  <si>
    <t>C23008</t>
  </si>
  <si>
    <t>C23010</t>
  </si>
  <si>
    <t>C23012</t>
  </si>
  <si>
    <t>C23014</t>
  </si>
  <si>
    <t>C23040</t>
  </si>
  <si>
    <t>C23042</t>
  </si>
  <si>
    <t>C23044</t>
  </si>
  <si>
    <t>C23046</t>
  </si>
  <si>
    <t>C23048</t>
  </si>
  <si>
    <t>C23050</t>
  </si>
  <si>
    <t>C23052</t>
  </si>
  <si>
    <t>C23054</t>
  </si>
  <si>
    <t>C23056</t>
  </si>
  <si>
    <t>C23058</t>
  </si>
  <si>
    <t>C23060</t>
  </si>
  <si>
    <t>C23062</t>
  </si>
  <si>
    <t>C23064</t>
  </si>
  <si>
    <t>C23066</t>
  </si>
  <si>
    <t>C23068</t>
  </si>
  <si>
    <t>C23070</t>
  </si>
  <si>
    <t>C23072</t>
  </si>
  <si>
    <t>C23074</t>
  </si>
  <si>
    <t>C23076</t>
  </si>
  <si>
    <t>C23078</t>
  </si>
  <si>
    <t>C23080</t>
  </si>
  <si>
    <t>C23082</t>
  </si>
  <si>
    <t>C23084</t>
  </si>
  <si>
    <t>C23086</t>
  </si>
  <si>
    <t>C23088</t>
  </si>
  <si>
    <t>C23090</t>
  </si>
  <si>
    <t>C23370</t>
  </si>
  <si>
    <t>C23372</t>
  </si>
  <si>
    <t>C23374</t>
  </si>
  <si>
    <t>C23376</t>
  </si>
  <si>
    <t>C23378</t>
  </si>
  <si>
    <t>C23380</t>
  </si>
  <si>
    <t>C23382</t>
  </si>
  <si>
    <t>C23384</t>
  </si>
  <si>
    <t>C23386</t>
  </si>
  <si>
    <t>C23388</t>
  </si>
  <si>
    <t>C23390</t>
  </si>
  <si>
    <t>C23392</t>
  </si>
  <si>
    <t>C23394</t>
  </si>
  <si>
    <t>C23396</t>
  </si>
  <si>
    <t>C23398</t>
  </si>
  <si>
    <t>C23400</t>
  </si>
  <si>
    <t>C23402</t>
  </si>
  <si>
    <t>C23404</t>
  </si>
  <si>
    <t>C23406</t>
  </si>
  <si>
    <t>C23408</t>
  </si>
  <si>
    <t>C23410</t>
  </si>
  <si>
    <t>C23412</t>
  </si>
  <si>
    <t>C23414</t>
  </si>
  <si>
    <t>C23416</t>
  </si>
  <si>
    <t>C23418</t>
  </si>
  <si>
    <t>C23420</t>
  </si>
  <si>
    <t>C23422</t>
  </si>
  <si>
    <t>C23516</t>
  </si>
  <si>
    <t>C23518</t>
  </si>
  <si>
    <t>C23520</t>
  </si>
  <si>
    <t>C23522</t>
  </si>
  <si>
    <t>C23524</t>
  </si>
  <si>
    <t>C23526</t>
  </si>
  <si>
    <t>C23528</t>
  </si>
  <si>
    <t>C23530</t>
  </si>
  <si>
    <t>C23532</t>
  </si>
  <si>
    <t>C23534</t>
  </si>
  <si>
    <t>C23536</t>
  </si>
  <si>
    <t>C23538</t>
  </si>
  <si>
    <t>C23540</t>
  </si>
  <si>
    <t>C23542</t>
  </si>
  <si>
    <t>C23544</t>
  </si>
  <si>
    <t>C23546</t>
  </si>
  <si>
    <t>C23548</t>
  </si>
  <si>
    <t>C23550</t>
  </si>
  <si>
    <t>C23552</t>
  </si>
  <si>
    <t>C23554</t>
  </si>
  <si>
    <t>C23640</t>
  </si>
  <si>
    <t>C23642</t>
  </si>
  <si>
    <t>C23644</t>
  </si>
  <si>
    <t>C23646</t>
  </si>
  <si>
    <t>C23648</t>
  </si>
  <si>
    <t>C23650</t>
  </si>
  <si>
    <t>C23652</t>
  </si>
  <si>
    <t>C23654</t>
  </si>
  <si>
    <t>C23656</t>
  </si>
  <si>
    <t>C23658</t>
  </si>
  <si>
    <t>C23660</t>
  </si>
  <si>
    <t>C23662</t>
  </si>
  <si>
    <t>C23664</t>
  </si>
  <si>
    <t>C23666</t>
  </si>
  <si>
    <t>C23668</t>
  </si>
  <si>
    <t>C23670</t>
  </si>
  <si>
    <t>C23672</t>
  </si>
  <si>
    <t>C23674</t>
  </si>
  <si>
    <t>C23676</t>
  </si>
  <si>
    <t>C23678</t>
  </si>
  <si>
    <t>C23680</t>
  </si>
  <si>
    <t>C23682</t>
  </si>
  <si>
    <t>C23684</t>
  </si>
  <si>
    <t>C23686</t>
  </si>
  <si>
    <t>C23688</t>
  </si>
  <si>
    <t>C23690</t>
  </si>
  <si>
    <t>C23692</t>
  </si>
  <si>
    <t>C23694</t>
  </si>
  <si>
    <t>C23696</t>
  </si>
  <si>
    <t>C23820</t>
  </si>
  <si>
    <t>C23822</t>
  </si>
  <si>
    <t>C23824</t>
  </si>
  <si>
    <t>C23826</t>
  </si>
  <si>
    <t>C23828</t>
  </si>
  <si>
    <t>C23830</t>
  </si>
  <si>
    <t>C23832</t>
  </si>
  <si>
    <t>C23834</t>
  </si>
  <si>
    <t>C23836</t>
  </si>
  <si>
    <t>C23838</t>
  </si>
  <si>
    <t>C23840</t>
  </si>
  <si>
    <t>C23842</t>
  </si>
  <si>
    <t>C23844</t>
  </si>
  <si>
    <t>C23846</t>
  </si>
  <si>
    <t>C23848</t>
  </si>
  <si>
    <t>C30663</t>
  </si>
  <si>
    <t>C30666</t>
  </si>
  <si>
    <t>C30669</t>
  </si>
  <si>
    <t>C30672</t>
  </si>
  <si>
    <t>C30675</t>
  </si>
  <si>
    <t>C30678</t>
  </si>
  <si>
    <t>C30681</t>
  </si>
  <si>
    <t>C30684</t>
  </si>
  <si>
    <t>C30687</t>
  </si>
  <si>
    <t>C30690</t>
  </si>
  <si>
    <t>C33663</t>
  </si>
  <si>
    <t>C33666</t>
  </si>
  <si>
    <t>C33669</t>
  </si>
  <si>
    <t>C33672</t>
  </si>
  <si>
    <t>C33735</t>
  </si>
  <si>
    <t>C33738</t>
  </si>
  <si>
    <t>C33741</t>
  </si>
  <si>
    <t>C33744</t>
  </si>
  <si>
    <t>C33747</t>
  </si>
  <si>
    <t>C33750</t>
  </si>
  <si>
    <t>C33753</t>
  </si>
  <si>
    <t>C33756</t>
  </si>
  <si>
    <t>C33759</t>
  </si>
  <si>
    <t>C33762</t>
  </si>
  <si>
    <t>C34236</t>
  </si>
  <si>
    <t>C34239</t>
  </si>
  <si>
    <t>C34242</t>
  </si>
  <si>
    <t>C34245</t>
  </si>
  <si>
    <t>C34248</t>
  </si>
  <si>
    <t>C34251</t>
  </si>
  <si>
    <t>C34254</t>
  </si>
  <si>
    <t>C34257</t>
  </si>
  <si>
    <t>C34260</t>
  </si>
  <si>
    <t>C34263</t>
  </si>
  <si>
    <t>C34266</t>
  </si>
  <si>
    <t>C34269</t>
  </si>
  <si>
    <t>C34272</t>
  </si>
  <si>
    <t>C34275</t>
  </si>
  <si>
    <t>C34278</t>
  </si>
  <si>
    <t>C34281</t>
  </si>
  <si>
    <t>C34284</t>
  </si>
  <si>
    <t>C34287</t>
  </si>
  <si>
    <t>C34290</t>
  </si>
  <si>
    <t>C34293</t>
  </si>
  <si>
    <t>C34296</t>
  </si>
  <si>
    <t>C34446</t>
  </si>
  <si>
    <t>C34449</t>
  </si>
  <si>
    <t>C34452</t>
  </si>
  <si>
    <t>C34455</t>
  </si>
  <si>
    <t>C34458</t>
  </si>
  <si>
    <t>C34461</t>
  </si>
  <si>
    <t>C34464</t>
  </si>
  <si>
    <t>C34467</t>
  </si>
  <si>
    <t>C34470</t>
  </si>
  <si>
    <t>C34473</t>
  </si>
  <si>
    <t>C34476</t>
  </si>
  <si>
    <t>C34479</t>
  </si>
  <si>
    <t>C34482</t>
  </si>
  <si>
    <t>C34485</t>
  </si>
  <si>
    <t>C34488</t>
  </si>
  <si>
    <t>C34491</t>
  </si>
  <si>
    <t>C34494</t>
  </si>
  <si>
    <t>C34497</t>
  </si>
  <si>
    <t>C34500</t>
  </si>
  <si>
    <t>C34503</t>
  </si>
  <si>
    <t>C34506</t>
  </si>
  <si>
    <t>C34509</t>
  </si>
  <si>
    <t>C34512</t>
  </si>
  <si>
    <t>C34515</t>
  </si>
  <si>
    <t>C34518</t>
  </si>
  <si>
    <t>C34521</t>
  </si>
  <si>
    <t>C34560</t>
  </si>
  <si>
    <t>C34563</t>
  </si>
  <si>
    <t>C34566</t>
  </si>
  <si>
    <t>C34569</t>
  </si>
  <si>
    <t>C34572</t>
  </si>
  <si>
    <t>C34575</t>
  </si>
  <si>
    <t>C34578</t>
  </si>
  <si>
    <t>C34581</t>
  </si>
  <si>
    <t>C34584</t>
  </si>
  <si>
    <t>C34587</t>
  </si>
  <si>
    <t>C34590</t>
  </si>
  <si>
    <t>C34593</t>
  </si>
  <si>
    <t>C34596</t>
  </si>
  <si>
    <t>C34599</t>
  </si>
  <si>
    <t>C34602</t>
  </si>
  <si>
    <t>C34605</t>
  </si>
  <si>
    <t>C34608</t>
  </si>
  <si>
    <t>C34611</t>
  </si>
  <si>
    <t>C34614</t>
  </si>
  <si>
    <t>C34617</t>
  </si>
  <si>
    <t>C34620</t>
  </si>
  <si>
    <t>C34623</t>
  </si>
  <si>
    <t>C34626</t>
  </si>
  <si>
    <t>C34629</t>
  </si>
  <si>
    <t>C34632</t>
  </si>
  <si>
    <t>C34635</t>
  </si>
  <si>
    <t>C35055</t>
  </si>
  <si>
    <t>C35058</t>
  </si>
  <si>
    <t>C35061</t>
  </si>
  <si>
    <t>C35064</t>
  </si>
  <si>
    <t>C35067</t>
  </si>
  <si>
    <t>C35070</t>
  </si>
  <si>
    <t>C35073</t>
  </si>
  <si>
    <t>C35076</t>
  </si>
  <si>
    <t>C35079</t>
  </si>
  <si>
    <t>C35082</t>
  </si>
  <si>
    <t>C35085</t>
  </si>
  <si>
    <t>C35088</t>
  </si>
  <si>
    <t>C35091</t>
  </si>
  <si>
    <t>C35094</t>
  </si>
  <si>
    <t>C35097</t>
  </si>
  <si>
    <t>C35100</t>
  </si>
  <si>
    <t>C35103</t>
  </si>
  <si>
    <t>C35106</t>
  </si>
  <si>
    <t>C35109</t>
  </si>
  <si>
    <t>C35112</t>
  </si>
  <si>
    <t>C35115</t>
  </si>
  <si>
    <t>C35118</t>
  </si>
  <si>
    <t>C35121</t>
  </si>
  <si>
    <t>C35124</t>
  </si>
  <si>
    <t>C35127</t>
  </si>
  <si>
    <t>C35130</t>
  </si>
  <si>
    <t>C35133</t>
  </si>
  <si>
    <t>C35274</t>
  </si>
  <si>
    <t>C35277</t>
  </si>
  <si>
    <t>C35280</t>
  </si>
  <si>
    <t>C35283</t>
  </si>
  <si>
    <t>C35286</t>
  </si>
  <si>
    <t>C35289</t>
  </si>
  <si>
    <t>C35292</t>
  </si>
  <si>
    <t>C35295</t>
  </si>
  <si>
    <t>C35298</t>
  </si>
  <si>
    <t>C35301</t>
  </si>
  <si>
    <t>C35304</t>
  </si>
  <si>
    <t>C35307</t>
  </si>
  <si>
    <t>C35310</t>
  </si>
  <si>
    <t>C35313</t>
  </si>
  <si>
    <t>C35316</t>
  </si>
  <si>
    <t>C35319</t>
  </si>
  <si>
    <t>C35322</t>
  </si>
  <si>
    <t>C35325</t>
  </si>
  <si>
    <t>C35328</t>
  </si>
  <si>
    <t>C35331</t>
  </si>
  <si>
    <t>C35460</t>
  </si>
  <si>
    <t>C35463</t>
  </si>
  <si>
    <t>C35466</t>
  </si>
  <si>
    <t>C35469</t>
  </si>
  <si>
    <t>C35472</t>
  </si>
  <si>
    <t>C35475</t>
  </si>
  <si>
    <t>C35478</t>
  </si>
  <si>
    <t>C35481</t>
  </si>
  <si>
    <t>C35484</t>
  </si>
  <si>
    <t>C35487</t>
  </si>
  <si>
    <t>C35490</t>
  </si>
  <si>
    <t>C35493</t>
  </si>
  <si>
    <t>C35496</t>
  </si>
  <si>
    <t>C35499</t>
  </si>
  <si>
    <t>C35502</t>
  </si>
  <si>
    <t>C35505</t>
  </si>
  <si>
    <t>C35508</t>
  </si>
  <si>
    <t>C35511</t>
  </si>
  <si>
    <t>C35514</t>
  </si>
  <si>
    <t>C35517</t>
  </si>
  <si>
    <t>C35520</t>
  </si>
  <si>
    <t>C35523</t>
  </si>
  <si>
    <t>C35526</t>
  </si>
  <si>
    <t>C35529</t>
  </si>
  <si>
    <t>C35532</t>
  </si>
  <si>
    <t>C35535</t>
  </si>
  <si>
    <t>C35538</t>
  </si>
  <si>
    <t>C35541</t>
  </si>
  <si>
    <t>C35544</t>
  </si>
  <si>
    <t>C35730</t>
  </si>
  <si>
    <t>C35733</t>
  </si>
  <si>
    <t>C35736</t>
  </si>
  <si>
    <t>C35739</t>
  </si>
  <si>
    <t>C35742</t>
  </si>
  <si>
    <t>C35745</t>
  </si>
  <si>
    <t>C35748</t>
  </si>
  <si>
    <t>C35751</t>
  </si>
  <si>
    <t>C35754</t>
  </si>
  <si>
    <t>C35757</t>
  </si>
  <si>
    <t>C35760</t>
  </si>
  <si>
    <t>C35763</t>
  </si>
  <si>
    <t>C35766</t>
  </si>
  <si>
    <t>C35769</t>
  </si>
  <si>
    <t>C35772</t>
  </si>
  <si>
    <t>C40884</t>
  </si>
  <si>
    <t>C40888</t>
  </si>
  <si>
    <t>C40892</t>
  </si>
  <si>
    <t>C40896</t>
  </si>
  <si>
    <t>C40900</t>
  </si>
  <si>
    <t>C40904</t>
  </si>
  <si>
    <t>C40908</t>
  </si>
  <si>
    <t>C40912</t>
  </si>
  <si>
    <t>C40916</t>
  </si>
  <si>
    <t>C40920</t>
  </si>
  <si>
    <t>C44884</t>
  </si>
  <si>
    <t>C44888</t>
  </si>
  <si>
    <t>C44892</t>
  </si>
  <si>
    <t>C44896</t>
  </si>
  <si>
    <t>C44980</t>
  </si>
  <si>
    <t>C44984</t>
  </si>
  <si>
    <t>C44988</t>
  </si>
  <si>
    <t>C44992</t>
  </si>
  <si>
    <t>C44996</t>
  </si>
  <si>
    <t>C45000</t>
  </si>
  <si>
    <t>C45004</t>
  </si>
  <si>
    <t>C45008</t>
  </si>
  <si>
    <t>C45012</t>
  </si>
  <si>
    <t>C45016</t>
  </si>
  <si>
    <t>C45648</t>
  </si>
  <si>
    <t>C45652</t>
  </si>
  <si>
    <t>C45656</t>
  </si>
  <si>
    <t>C45660</t>
  </si>
  <si>
    <t>C45664</t>
  </si>
  <si>
    <t>C45668</t>
  </si>
  <si>
    <t>C45672</t>
  </si>
  <si>
    <t>C45676</t>
  </si>
  <si>
    <t>C45680</t>
  </si>
  <si>
    <t>C45684</t>
  </si>
  <si>
    <t>C45688</t>
  </si>
  <si>
    <t>C45692</t>
  </si>
  <si>
    <t>C45696</t>
  </si>
  <si>
    <t>C45700</t>
  </si>
  <si>
    <t>C45704</t>
  </si>
  <si>
    <t>C45708</t>
  </si>
  <si>
    <t>C45712</t>
  </si>
  <si>
    <t>C45716</t>
  </si>
  <si>
    <t>C45720</t>
  </si>
  <si>
    <t>C45724</t>
  </si>
  <si>
    <t>C45728</t>
  </si>
  <si>
    <t>C45928</t>
  </si>
  <si>
    <t>C45932</t>
  </si>
  <si>
    <t>C45936</t>
  </si>
  <si>
    <t>C45940</t>
  </si>
  <si>
    <t>C45944</t>
  </si>
  <si>
    <t>C45948</t>
  </si>
  <si>
    <t>C45952</t>
  </si>
  <si>
    <t>C45956</t>
  </si>
  <si>
    <t>C45960</t>
  </si>
  <si>
    <t>C45964</t>
  </si>
  <si>
    <t>C45968</t>
  </si>
  <si>
    <t>C45972</t>
  </si>
  <si>
    <t>C45976</t>
  </si>
  <si>
    <t>C45980</t>
  </si>
  <si>
    <t>C45984</t>
  </si>
  <si>
    <t>C45988</t>
  </si>
  <si>
    <t>C45992</t>
  </si>
  <si>
    <t>C45996</t>
  </si>
  <si>
    <t>C46000</t>
  </si>
  <si>
    <t>C46004</t>
  </si>
  <si>
    <t>C46008</t>
  </si>
  <si>
    <t>C46012</t>
  </si>
  <si>
    <t>C46016</t>
  </si>
  <si>
    <t>C46020</t>
  </si>
  <si>
    <t>C46024</t>
  </si>
  <si>
    <t>C46028</t>
  </si>
  <si>
    <t>C46080</t>
  </si>
  <si>
    <t>C46084</t>
  </si>
  <si>
    <t>C46088</t>
  </si>
  <si>
    <t>C46092</t>
  </si>
  <si>
    <t>C46096</t>
  </si>
  <si>
    <t>C46100</t>
  </si>
  <si>
    <t>C46104</t>
  </si>
  <si>
    <t>C46108</t>
  </si>
  <si>
    <t>C46112</t>
  </si>
  <si>
    <t>C46116</t>
  </si>
  <si>
    <t>C46120</t>
  </si>
  <si>
    <t>C46124</t>
  </si>
  <si>
    <t>C46128</t>
  </si>
  <si>
    <t>C46132</t>
  </si>
  <si>
    <t>C46136</t>
  </si>
  <si>
    <t>C46140</t>
  </si>
  <si>
    <t>C46144</t>
  </si>
  <si>
    <t>C46148</t>
  </si>
  <si>
    <t>C46152</t>
  </si>
  <si>
    <t>C46156</t>
  </si>
  <si>
    <t>C46160</t>
  </si>
  <si>
    <t>C46164</t>
  </si>
  <si>
    <t>C46168</t>
  </si>
  <si>
    <t>C46172</t>
  </si>
  <si>
    <t>C46176</t>
  </si>
  <si>
    <t>C46180</t>
  </si>
  <si>
    <t>C46740</t>
  </si>
  <si>
    <t>C46744</t>
  </si>
  <si>
    <t>C46748</t>
  </si>
  <si>
    <t>C46752</t>
  </si>
  <si>
    <t>C46756</t>
  </si>
  <si>
    <t>C46760</t>
  </si>
  <si>
    <t>C46764</t>
  </si>
  <si>
    <t>C46768</t>
  </si>
  <si>
    <t>C46772</t>
  </si>
  <si>
    <t>C46776</t>
  </si>
  <si>
    <t>C46780</t>
  </si>
  <si>
    <t>C46784</t>
  </si>
  <si>
    <t>C46788</t>
  </si>
  <si>
    <t>C46792</t>
  </si>
  <si>
    <t>C46796</t>
  </si>
  <si>
    <t>C46800</t>
  </si>
  <si>
    <t>C46804</t>
  </si>
  <si>
    <t>C46808</t>
  </si>
  <si>
    <t>C46812</t>
  </si>
  <si>
    <t>C46816</t>
  </si>
  <si>
    <t>C46820</t>
  </si>
  <si>
    <t>C46824</t>
  </si>
  <si>
    <t>C46828</t>
  </si>
  <si>
    <t>C46832</t>
  </si>
  <si>
    <t>C46836</t>
  </si>
  <si>
    <t>C46840</t>
  </si>
  <si>
    <t>C46844</t>
  </si>
  <si>
    <t>C47032</t>
  </si>
  <si>
    <t>C47036</t>
  </si>
  <si>
    <t>C47040</t>
  </si>
  <si>
    <t>C47044</t>
  </si>
  <si>
    <t>C47048</t>
  </si>
  <si>
    <t>C47052</t>
  </si>
  <si>
    <t>C47056</t>
  </si>
  <si>
    <t>C47060</t>
  </si>
  <si>
    <t>C47064</t>
  </si>
  <si>
    <t>C47068</t>
  </si>
  <si>
    <t>C47072</t>
  </si>
  <si>
    <t>C47076</t>
  </si>
  <si>
    <t>C47080</t>
  </si>
  <si>
    <t>C47084</t>
  </si>
  <si>
    <t>C47088</t>
  </si>
  <si>
    <t>C47092</t>
  </si>
  <si>
    <t>C47096</t>
  </si>
  <si>
    <t>C47100</t>
  </si>
  <si>
    <t>C47104</t>
  </si>
  <si>
    <t>C47108</t>
  </si>
  <si>
    <t>C47280</t>
  </si>
  <si>
    <t>C47284</t>
  </si>
  <si>
    <t>C47288</t>
  </si>
  <si>
    <t>C47292</t>
  </si>
  <si>
    <t>C47296</t>
  </si>
  <si>
    <t>C47300</t>
  </si>
  <si>
    <t>C47304</t>
  </si>
  <si>
    <t>C47308</t>
  </si>
  <si>
    <t>C47312</t>
  </si>
  <si>
    <t>C47316</t>
  </si>
  <si>
    <t>C47320</t>
  </si>
  <si>
    <t>C47324</t>
  </si>
  <si>
    <t>C47328</t>
  </si>
  <si>
    <t>C47332</t>
  </si>
  <si>
    <t>C47336</t>
  </si>
  <si>
    <t>C47340</t>
  </si>
  <si>
    <t>C47344</t>
  </si>
  <si>
    <t>C47348</t>
  </si>
  <si>
    <t>C47352</t>
  </si>
  <si>
    <t>C47356</t>
  </si>
  <si>
    <t>C47360</t>
  </si>
  <si>
    <t>C47364</t>
  </si>
  <si>
    <t>C47368</t>
  </si>
  <si>
    <t>C47372</t>
  </si>
  <si>
    <t>C47376</t>
  </si>
  <si>
    <t>C47380</t>
  </si>
  <si>
    <t>C47384</t>
  </si>
  <si>
    <t>C47388</t>
  </si>
  <si>
    <t>C47392</t>
  </si>
  <si>
    <t>C47640</t>
  </si>
  <si>
    <t>C47644</t>
  </si>
  <si>
    <t>C47648</t>
  </si>
  <si>
    <t>C47652</t>
  </si>
  <si>
    <t>C47656</t>
  </si>
  <si>
    <t>C47660</t>
  </si>
  <si>
    <t>C47664</t>
  </si>
  <si>
    <t>C47668</t>
  </si>
  <si>
    <t>C47672</t>
  </si>
  <si>
    <t>C47676</t>
  </si>
  <si>
    <t>C47680</t>
  </si>
  <si>
    <t>C47684</t>
  </si>
  <si>
    <t>C47688</t>
  </si>
  <si>
    <t>C47692</t>
  </si>
  <si>
    <t>C47696</t>
  </si>
  <si>
    <t>C51105</t>
  </si>
  <si>
    <t>C51110</t>
  </si>
  <si>
    <t>C51115</t>
  </si>
  <si>
    <t>C51120</t>
  </si>
  <si>
    <t>C51125</t>
  </si>
  <si>
    <t>C51130</t>
  </si>
  <si>
    <t>C51135</t>
  </si>
  <si>
    <t>C51140</t>
  </si>
  <si>
    <t>C51145</t>
  </si>
  <si>
    <t>C51150</t>
  </si>
  <si>
    <t>C56105</t>
  </si>
  <si>
    <t>C56110</t>
  </si>
  <si>
    <t>C56115</t>
  </si>
  <si>
    <t>C56120</t>
  </si>
  <si>
    <t>C56225</t>
  </si>
  <si>
    <t>C56230</t>
  </si>
  <si>
    <t>C56235</t>
  </si>
  <si>
    <t>C56240</t>
  </si>
  <si>
    <t>C56245</t>
  </si>
  <si>
    <t>C56250</t>
  </si>
  <si>
    <t>C56255</t>
  </si>
  <si>
    <t>C56260</t>
  </si>
  <si>
    <t>C56265</t>
  </si>
  <si>
    <t>C56270</t>
  </si>
  <si>
    <t>C57060</t>
  </si>
  <si>
    <t>C57065</t>
  </si>
  <si>
    <t>C57070</t>
  </si>
  <si>
    <t>C57075</t>
  </si>
  <si>
    <t>C57080</t>
  </si>
  <si>
    <t>C57085</t>
  </si>
  <si>
    <t>C57090</t>
  </si>
  <si>
    <t>C57095</t>
  </si>
  <si>
    <t>C57100</t>
  </si>
  <si>
    <t>C57105</t>
  </si>
  <si>
    <t>C57110</t>
  </si>
  <si>
    <t>C57115</t>
  </si>
  <si>
    <t>C57120</t>
  </si>
  <si>
    <t>C57125</t>
  </si>
  <si>
    <t>C57130</t>
  </si>
  <si>
    <t>C57135</t>
  </si>
  <si>
    <t>C57140</t>
  </si>
  <si>
    <t>C57145</t>
  </si>
  <si>
    <t>C57150</t>
  </si>
  <si>
    <t>C57155</t>
  </si>
  <si>
    <t>C57160</t>
  </si>
  <si>
    <t>C57410</t>
  </si>
  <si>
    <t>C57415</t>
  </si>
  <si>
    <t>C57420</t>
  </si>
  <si>
    <t>C57425</t>
  </si>
  <si>
    <t>C57430</t>
  </si>
  <si>
    <t>C57435</t>
  </si>
  <si>
    <t>C57440</t>
  </si>
  <si>
    <t>C57445</t>
  </si>
  <si>
    <t>C57450</t>
  </si>
  <si>
    <t>C57455</t>
  </si>
  <si>
    <t>C57460</t>
  </si>
  <si>
    <t>C57465</t>
  </si>
  <si>
    <t>C57470</t>
  </si>
  <si>
    <t>C57475</t>
  </si>
  <si>
    <t>C57480</t>
  </si>
  <si>
    <t>C57485</t>
  </si>
  <si>
    <t>C57490</t>
  </si>
  <si>
    <t>C57495</t>
  </si>
  <si>
    <t>C57500</t>
  </si>
  <si>
    <t>C57505</t>
  </si>
  <si>
    <t>C57510</t>
  </si>
  <si>
    <t>C57515</t>
  </si>
  <si>
    <t>C57520</t>
  </si>
  <si>
    <t>C57525</t>
  </si>
  <si>
    <t>C57530</t>
  </si>
  <si>
    <t>C57535</t>
  </si>
  <si>
    <t>C57600</t>
  </si>
  <si>
    <t>C57605</t>
  </si>
  <si>
    <t>C57610</t>
  </si>
  <si>
    <t>C57615</t>
  </si>
  <si>
    <t>C57620</t>
  </si>
  <si>
    <t>C57625</t>
  </si>
  <si>
    <t>C57630</t>
  </si>
  <si>
    <t>C57635</t>
  </si>
  <si>
    <t>C57640</t>
  </si>
  <si>
    <t>C57645</t>
  </si>
  <si>
    <t>C57650</t>
  </si>
  <si>
    <t>C57655</t>
  </si>
  <si>
    <t>C57660</t>
  </si>
  <si>
    <t>C57665</t>
  </si>
  <si>
    <t>C57670</t>
  </si>
  <si>
    <t>C57675</t>
  </si>
  <si>
    <t>C57680</t>
  </si>
  <si>
    <t>C57685</t>
  </si>
  <si>
    <t>C57690</t>
  </si>
  <si>
    <t>C57695</t>
  </si>
  <si>
    <t>C57700</t>
  </si>
  <si>
    <t>C57705</t>
  </si>
  <si>
    <t>C57710</t>
  </si>
  <si>
    <t>C57715</t>
  </si>
  <si>
    <t>C57720</t>
  </si>
  <si>
    <t>C57725</t>
  </si>
  <si>
    <t>C58425</t>
  </si>
  <si>
    <t>C58430</t>
  </si>
  <si>
    <t>C58435</t>
  </si>
  <si>
    <t>C58440</t>
  </si>
  <si>
    <t>C58445</t>
  </si>
  <si>
    <t>C58450</t>
  </si>
  <si>
    <t>C58455</t>
  </si>
  <si>
    <t>C58460</t>
  </si>
  <si>
    <t>C58465</t>
  </si>
  <si>
    <t>C58470</t>
  </si>
  <si>
    <t>C58475</t>
  </si>
  <si>
    <t>C58480</t>
  </si>
  <si>
    <t>C58485</t>
  </si>
  <si>
    <t>C58490</t>
  </si>
  <si>
    <t>C58495</t>
  </si>
  <si>
    <t>C58500</t>
  </si>
  <si>
    <t>C58505</t>
  </si>
  <si>
    <t>C58510</t>
  </si>
  <si>
    <t>C58515</t>
  </si>
  <si>
    <t>C58520</t>
  </si>
  <si>
    <t>C58525</t>
  </si>
  <si>
    <t>C58530</t>
  </si>
  <si>
    <t>C58535</t>
  </si>
  <si>
    <t>C58540</t>
  </si>
  <si>
    <t>C58545</t>
  </si>
  <si>
    <t>C58550</t>
  </si>
  <si>
    <t>C58555</t>
  </si>
  <si>
    <t>C58790</t>
  </si>
  <si>
    <t>C58795</t>
  </si>
  <si>
    <t>C58800</t>
  </si>
  <si>
    <t>C58805</t>
  </si>
  <si>
    <t>C58810</t>
  </si>
  <si>
    <t>C58815</t>
  </si>
  <si>
    <t>C58820</t>
  </si>
  <si>
    <t>C58825</t>
  </si>
  <si>
    <t>C58830</t>
  </si>
  <si>
    <t>C58835</t>
  </si>
  <si>
    <t>C58840</t>
  </si>
  <si>
    <t>C58845</t>
  </si>
  <si>
    <t>C58850</t>
  </si>
  <si>
    <t>C58855</t>
  </si>
  <si>
    <t>C58860</t>
  </si>
  <si>
    <t>C58865</t>
  </si>
  <si>
    <t>C58870</t>
  </si>
  <si>
    <t>C58875</t>
  </si>
  <si>
    <t>C58880</t>
  </si>
  <si>
    <t>C58885</t>
  </si>
  <si>
    <t>C59100</t>
  </si>
  <si>
    <t>C59105</t>
  </si>
  <si>
    <t>C59110</t>
  </si>
  <si>
    <t>C59115</t>
  </si>
  <si>
    <t>C59120</t>
  </si>
  <si>
    <t>C59125</t>
  </si>
  <si>
    <t>C59130</t>
  </si>
  <si>
    <t>C59135</t>
  </si>
  <si>
    <t>C59140</t>
  </si>
  <si>
    <t>C59145</t>
  </si>
  <si>
    <t>C59150</t>
  </si>
  <si>
    <t>C59155</t>
  </si>
  <si>
    <t>C59160</t>
  </si>
  <si>
    <t>C59165</t>
  </si>
  <si>
    <t>C59170</t>
  </si>
  <si>
    <t>C59175</t>
  </si>
  <si>
    <t>C59180</t>
  </si>
  <si>
    <t>C59185</t>
  </si>
  <si>
    <t>C59190</t>
  </si>
  <si>
    <t>C59195</t>
  </si>
  <si>
    <t>C59200</t>
  </si>
  <si>
    <t>C59205</t>
  </si>
  <si>
    <t>C59210</t>
  </si>
  <si>
    <t>C59215</t>
  </si>
  <si>
    <t>C59220</t>
  </si>
  <si>
    <t>C59225</t>
  </si>
  <si>
    <t>C59230</t>
  </si>
  <si>
    <t>C59235</t>
  </si>
  <si>
    <t>C59240</t>
  </si>
  <si>
    <t>C59550</t>
  </si>
  <si>
    <t>C59555</t>
  </si>
  <si>
    <t>C59560</t>
  </si>
  <si>
    <t>C59565</t>
  </si>
  <si>
    <t>C59570</t>
  </si>
  <si>
    <t>C59575</t>
  </si>
  <si>
    <t>C59580</t>
  </si>
  <si>
    <t>C59585</t>
  </si>
  <si>
    <t>C59590</t>
  </si>
  <si>
    <t>C59595</t>
  </si>
  <si>
    <t>C59600</t>
  </si>
  <si>
    <t>C59605</t>
  </si>
  <si>
    <t>C59610</t>
  </si>
  <si>
    <t>C59615</t>
  </si>
  <si>
    <t>C59620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</si>
  <si>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</si>
  <si>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</si>
  <si>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</si>
  <si>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</si>
  <si>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</si>
  <si>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</si>
  <si>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</si>
  <si>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</si>
  <si>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</si>
  <si>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C20560</t>
  </si>
  <si>
    <t>C20562</t>
  </si>
  <si>
    <t>C20564</t>
  </si>
  <si>
    <t>C20566</t>
  </si>
  <si>
    <t>C20568</t>
  </si>
  <si>
    <t>C20570</t>
  </si>
  <si>
    <t>C20572</t>
  </si>
  <si>
    <t>C20574</t>
  </si>
  <si>
    <t>C20576</t>
  </si>
  <si>
    <t>C30840</t>
  </si>
  <si>
    <t>C30843</t>
  </si>
  <si>
    <t>C30846</t>
  </si>
  <si>
    <t>C30849</t>
  </si>
  <si>
    <t>C30852</t>
  </si>
  <si>
    <t>C30855</t>
  </si>
  <si>
    <t>C30858</t>
  </si>
  <si>
    <t>C30861</t>
  </si>
  <si>
    <t>C30864</t>
  </si>
  <si>
    <t>C41120</t>
  </si>
  <si>
    <t>C41124</t>
  </si>
  <si>
    <t>C41128</t>
  </si>
  <si>
    <t>C41132</t>
  </si>
  <si>
    <t>C41136</t>
  </si>
  <si>
    <t>C41140</t>
  </si>
  <si>
    <t>C41144</t>
  </si>
  <si>
    <t>C41148</t>
  </si>
  <si>
    <t>C41152</t>
  </si>
  <si>
    <t>C51400</t>
  </si>
  <si>
    <t>C51405</t>
  </si>
  <si>
    <t>C51410</t>
  </si>
  <si>
    <t>C51415</t>
  </si>
  <si>
    <t>C51420</t>
  </si>
  <si>
    <t>C51425</t>
  </si>
  <si>
    <t>C51430</t>
  </si>
  <si>
    <t>C51435</t>
  </si>
  <si>
    <t>C51440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</si>
  <si>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</si>
  <si>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</si>
  <si>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</si>
  <si>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</si>
  <si>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</si>
  <si>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</si>
  <si>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</si>
  <si>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</si>
  <si>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</si>
  <si>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</si>
  <si>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</si>
  <si>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</si>
  <si>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</si>
  <si>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</si>
  <si>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</si>
  <si>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</si>
  <si>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</si>
  <si>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</si>
  <si>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</si>
  <si>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</si>
  <si>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</si>
  <si>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C23850</t>
  </si>
  <si>
    <t>C23852</t>
  </si>
  <si>
    <t>C23854</t>
  </si>
  <si>
    <t>C23856</t>
  </si>
  <si>
    <t>C23858</t>
  </si>
  <si>
    <t>C23860</t>
  </si>
  <si>
    <t>C23862</t>
  </si>
  <si>
    <t>C23864</t>
  </si>
  <si>
    <t>C23866</t>
  </si>
  <si>
    <t>C23868</t>
  </si>
  <si>
    <t>C23870</t>
  </si>
  <si>
    <t>C24000</t>
  </si>
  <si>
    <t>C24002</t>
  </si>
  <si>
    <t>C24004</t>
  </si>
  <si>
    <t>C24006</t>
  </si>
  <si>
    <t>C24008</t>
  </si>
  <si>
    <t>C24010</t>
  </si>
  <si>
    <t>C24012</t>
  </si>
  <si>
    <t>C24014</t>
  </si>
  <si>
    <t>C24016</t>
  </si>
  <si>
    <t>C24018</t>
  </si>
  <si>
    <t>C35775</t>
  </si>
  <si>
    <t>C35778</t>
  </si>
  <si>
    <t>C35781</t>
  </si>
  <si>
    <t>C35784</t>
  </si>
  <si>
    <t>C35787</t>
  </si>
  <si>
    <t>C35790</t>
  </si>
  <si>
    <t>C35793</t>
  </si>
  <si>
    <t>C35796</t>
  </si>
  <si>
    <t>C35799</t>
  </si>
  <si>
    <t>C35802</t>
  </si>
  <si>
    <t>C35805</t>
  </si>
  <si>
    <t>C36000</t>
  </si>
  <si>
    <t>C36003</t>
  </si>
  <si>
    <t>C36006</t>
  </si>
  <si>
    <t>C36009</t>
  </si>
  <si>
    <t>C36012</t>
  </si>
  <si>
    <t>C36015</t>
  </si>
  <si>
    <t>C36018</t>
  </si>
  <si>
    <t>C36021</t>
  </si>
  <si>
    <t>C36024</t>
  </si>
  <si>
    <t>C36027</t>
  </si>
  <si>
    <t>C47700</t>
  </si>
  <si>
    <t>C47704</t>
  </si>
  <si>
    <t>C47708</t>
  </si>
  <si>
    <t>C47712</t>
  </si>
  <si>
    <t>C47716</t>
  </si>
  <si>
    <t>C47720</t>
  </si>
  <si>
    <t>C47724</t>
  </si>
  <si>
    <t>C47728</t>
  </si>
  <si>
    <t>C47732</t>
  </si>
  <si>
    <t>C47736</t>
  </si>
  <si>
    <t>C47740</t>
  </si>
  <si>
    <t>C48000</t>
  </si>
  <si>
    <t>C48004</t>
  </si>
  <si>
    <t>C48008</t>
  </si>
  <si>
    <t>C48012</t>
  </si>
  <si>
    <t>C48016</t>
  </si>
  <si>
    <t>C48020</t>
  </si>
  <si>
    <t>C48024</t>
  </si>
  <si>
    <t>C48028</t>
  </si>
  <si>
    <t>C48032</t>
  </si>
  <si>
    <t>C48036</t>
  </si>
  <si>
    <t>C59625</t>
  </si>
  <si>
    <t>C59630</t>
  </si>
  <si>
    <t>C59635</t>
  </si>
  <si>
    <t>C59640</t>
  </si>
  <si>
    <t>C59645</t>
  </si>
  <si>
    <t>C59650</t>
  </si>
  <si>
    <t>C59655</t>
  </si>
  <si>
    <t>C59660</t>
  </si>
  <si>
    <t>C59665</t>
  </si>
  <si>
    <t>C59670</t>
  </si>
  <si>
    <t>C59675</t>
  </si>
  <si>
    <t>C60000</t>
  </si>
  <si>
    <t>C60005</t>
  </si>
  <si>
    <t>C60010</t>
  </si>
  <si>
    <t>C60015</t>
  </si>
  <si>
    <t>C60020</t>
  </si>
  <si>
    <t>C60025</t>
  </si>
  <si>
    <t>C60030</t>
  </si>
  <si>
    <t>C60035</t>
  </si>
  <si>
    <t>C60040</t>
  </si>
  <si>
    <t>C60045</t>
  </si>
  <si>
    <t>C10500</t>
  </si>
  <si>
    <t>C11110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</si>
  <si>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</si>
  <si>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</si>
  <si>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</si>
  <si>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</si>
  <si>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</si>
  <si>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</si>
  <si>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</si>
  <si>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</si>
  <si>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</si>
  <si>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</si>
  <si>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</si>
  <si>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</si>
  <si>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C21000</t>
  </si>
  <si>
    <t>C22220</t>
  </si>
  <si>
    <t>C24200</t>
  </si>
  <si>
    <t>C24202</t>
  </si>
  <si>
    <t>C24204</t>
  </si>
  <si>
    <t>C24206</t>
  </si>
  <si>
    <t>C24208</t>
  </si>
  <si>
    <t>C24210</t>
  </si>
  <si>
    <t>C24212</t>
  </si>
  <si>
    <t>C24214</t>
  </si>
  <si>
    <t>C24216</t>
  </si>
  <si>
    <t>C24218</t>
  </si>
  <si>
    <t>C24220</t>
  </si>
  <si>
    <t>C24222</t>
  </si>
  <si>
    <t>C31500</t>
  </si>
  <si>
    <t>C33330</t>
  </si>
  <si>
    <t>C36300</t>
  </si>
  <si>
    <t>C36303</t>
  </si>
  <si>
    <t>C36306</t>
  </si>
  <si>
    <t>C36309</t>
  </si>
  <si>
    <t>C36312</t>
  </si>
  <si>
    <t>C36315</t>
  </si>
  <si>
    <t>C36318</t>
  </si>
  <si>
    <t>C36321</t>
  </si>
  <si>
    <t>C36324</t>
  </si>
  <si>
    <t>C36327</t>
  </si>
  <si>
    <t>C36330</t>
  </si>
  <si>
    <t>C36333</t>
  </si>
  <si>
    <t>C42000</t>
  </si>
  <si>
    <t>C44440</t>
  </si>
  <si>
    <t>C48400</t>
  </si>
  <si>
    <t>C48404</t>
  </si>
  <si>
    <t>C48408</t>
  </si>
  <si>
    <t>C48412</t>
  </si>
  <si>
    <t>C48416</t>
  </si>
  <si>
    <t>C48420</t>
  </si>
  <si>
    <t>C48424</t>
  </si>
  <si>
    <t>C48428</t>
  </si>
  <si>
    <t>C48432</t>
  </si>
  <si>
    <t>C48436</t>
  </si>
  <si>
    <t>C48440</t>
  </si>
  <si>
    <t>C48444</t>
  </si>
  <si>
    <t>C52500</t>
  </si>
  <si>
    <t>C55550</t>
  </si>
  <si>
    <t>C60500</t>
  </si>
  <si>
    <t>C60505</t>
  </si>
  <si>
    <t>C60510</t>
  </si>
  <si>
    <t>C60515</t>
  </si>
  <si>
    <t>C60520</t>
  </si>
  <si>
    <t>C60525</t>
  </si>
  <si>
    <t>C60530</t>
  </si>
  <si>
    <t>C60535</t>
  </si>
  <si>
    <t>C60540</t>
  </si>
  <si>
    <t>C60545</t>
  </si>
  <si>
    <t>C60550</t>
  </si>
  <si>
    <t>C60555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</si>
  <si>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</si>
  <si>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</si>
  <si>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</si>
  <si>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</si>
  <si>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</si>
  <si>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</si>
  <si>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</si>
  <si>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</si>
  <si>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</si>
  <si>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</si>
  <si>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</si>
  <si>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C24364</t>
  </si>
  <si>
    <t>C24366</t>
  </si>
  <si>
    <t>C24368</t>
  </si>
  <si>
    <t>C24370</t>
  </si>
  <si>
    <t>C24372</t>
  </si>
  <si>
    <t>C24374</t>
  </si>
  <si>
    <t>C24376</t>
  </si>
  <si>
    <t>C24378</t>
  </si>
  <si>
    <t>C24380</t>
  </si>
  <si>
    <t>C24382</t>
  </si>
  <si>
    <t>C24384</t>
  </si>
  <si>
    <t>C36546</t>
  </si>
  <si>
    <t>C36549</t>
  </si>
  <si>
    <t>C36552</t>
  </si>
  <si>
    <t>C36555</t>
  </si>
  <si>
    <t>C36558</t>
  </si>
  <si>
    <t>C36561</t>
  </si>
  <si>
    <t>C36564</t>
  </si>
  <si>
    <t>C36567</t>
  </si>
  <si>
    <t>C36570</t>
  </si>
  <si>
    <t>C36573</t>
  </si>
  <si>
    <t>C36576</t>
  </si>
  <si>
    <t>C48728</t>
  </si>
  <si>
    <t>C48732</t>
  </si>
  <si>
    <t>C48736</t>
  </si>
  <si>
    <t>C48740</t>
  </si>
  <si>
    <t>C48744</t>
  </si>
  <si>
    <t>C48748</t>
  </si>
  <si>
    <t>C48752</t>
  </si>
  <si>
    <t>C48756</t>
  </si>
  <si>
    <t>C48760</t>
  </si>
  <si>
    <t>C48764</t>
  </si>
  <si>
    <t>C48768</t>
  </si>
  <si>
    <t>C60910</t>
  </si>
  <si>
    <t>C60915</t>
  </si>
  <si>
    <t>C60920</t>
  </si>
  <si>
    <t>C60925</t>
  </si>
  <si>
    <t>C60930</t>
  </si>
  <si>
    <t>C60935</t>
  </si>
  <si>
    <t>C60940</t>
  </si>
  <si>
    <t>C60945</t>
  </si>
  <si>
    <t>C60950</t>
  </si>
  <si>
    <t>C60955</t>
  </si>
  <si>
    <t>C60960</t>
  </si>
  <si>
    <t>DESC_PACOTE</t>
  </si>
  <si>
    <t>PRECO</t>
  </si>
  <si>
    <t>PANAMA</t>
  </si>
  <si>
    <t>COLOMBIA</t>
  </si>
  <si>
    <t>CLIENTE</t>
  </si>
  <si>
    <t>PACOTE_RECOMENDADO</t>
  </si>
  <si>
    <t>FLG_ENTROU_SAC</t>
  </si>
  <si>
    <t>FLG_ENTROU_LOJAS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</si>
  <si>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</si>
  <si>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</si>
  <si>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</si>
  <si>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</si>
  <si>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</si>
  <si>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</si>
  <si>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</si>
  <si>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</si>
  <si>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</si>
  <si>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</si>
  <si>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</si>
  <si>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</si>
  <si>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</si>
  <si>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</si>
  <si>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</si>
  <si>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</si>
  <si>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</si>
  <si>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</si>
  <si>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</si>
  <si>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</si>
  <si>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</si>
  <si>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</si>
  <si>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</si>
  <si>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</si>
  <si>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</si>
  <si>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</si>
  <si>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</si>
  <si>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</si>
  <si>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</si>
  <si>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</si>
  <si>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</si>
  <si>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</si>
  <si>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</si>
  <si>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</si>
  <si>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</si>
  <si>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</si>
  <si>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</si>
  <si>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</si>
  <si>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</si>
  <si>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</si>
  <si>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</si>
  <si>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</si>
  <si>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</si>
  <si>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</si>
  <si>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</si>
  <si>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</si>
  <si>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</si>
  <si>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</si>
  <si>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</si>
  <si>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</si>
  <si>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</si>
  <si>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</si>
  <si>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</si>
  <si>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</si>
  <si>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</si>
  <si>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</si>
  <si>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</si>
  <si>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</si>
  <si>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</si>
  <si>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</si>
  <si>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</si>
  <si>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</si>
  <si>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</si>
  <si>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</si>
  <si>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</si>
  <si>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</si>
  <si>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</si>
  <si>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</si>
  <si>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</si>
  <si>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</si>
  <si>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</si>
  <si>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</si>
  <si>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</si>
  <si>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</si>
  <si>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</si>
  <si>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</si>
  <si>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</si>
  <si>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</si>
  <si>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</si>
  <si>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</si>
  <si>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</si>
  <si>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</si>
  <si>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</si>
  <si>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</si>
  <si>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</si>
  <si>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</si>
  <si>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</si>
  <si>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</si>
  <si>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</si>
  <si>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</si>
  <si>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</si>
  <si>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</si>
  <si>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</si>
  <si>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</si>
  <si>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</si>
  <si>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</si>
  <si>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</si>
  <si>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</si>
  <si>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</si>
  <si>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</si>
  <si>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</si>
  <si>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</si>
  <si>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</si>
  <si>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</si>
  <si>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</si>
  <si>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</si>
  <si>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</si>
  <si>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</si>
  <si>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</si>
  <si>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</si>
  <si>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</si>
  <si>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</si>
  <si>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</si>
  <si>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</si>
  <si>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</si>
  <si>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</si>
  <si>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</si>
  <si>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</si>
  <si>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</si>
  <si>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</si>
  <si>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</si>
  <si>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</si>
  <si>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</si>
  <si>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</si>
  <si>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</si>
  <si>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</si>
  <si>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</si>
  <si>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</si>
  <si>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</si>
  <si>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</si>
  <si>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</si>
  <si>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</si>
  <si>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</si>
  <si>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</si>
  <si>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</si>
  <si>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</si>
  <si>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</si>
  <si>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</si>
  <si>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</si>
  <si>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</si>
  <si>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</si>
  <si>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</si>
  <si>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</si>
  <si>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</si>
  <si>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</si>
  <si>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</si>
  <si>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</si>
  <si>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</si>
  <si>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</si>
  <si>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</si>
  <si>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</si>
  <si>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</si>
  <si>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</si>
  <si>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</si>
  <si>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</si>
  <si>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</si>
  <si>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</si>
  <si>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</si>
  <si>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</si>
  <si>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</si>
  <si>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</si>
  <si>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</si>
  <si>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</si>
  <si>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</si>
  <si>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</si>
  <si>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</si>
  <si>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</si>
  <si>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</si>
  <si>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</si>
  <si>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</si>
  <si>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</si>
  <si>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</si>
  <si>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</si>
  <si>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</si>
  <si>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</si>
  <si>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</si>
  <si>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</si>
  <si>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</si>
  <si>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</si>
  <si>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</si>
  <si>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</si>
  <si>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</si>
  <si>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</si>
  <si>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</si>
  <si>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</si>
  <si>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</si>
  <si>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</si>
  <si>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</si>
  <si>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</si>
  <si>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</si>
  <si>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</si>
  <si>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</si>
  <si>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</si>
  <si>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</si>
  <si>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</si>
  <si>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</si>
  <si>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</si>
  <si>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</si>
  <si>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</si>
  <si>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</si>
  <si>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</si>
  <si>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</si>
  <si>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</si>
  <si>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</si>
  <si>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</si>
  <si>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</si>
  <si>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</si>
  <si>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</si>
  <si>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</si>
  <si>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</si>
  <si>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</si>
  <si>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</si>
  <si>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</si>
  <si>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</si>
  <si>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</si>
  <si>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</si>
  <si>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</si>
  <si>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</si>
  <si>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</si>
  <si>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</si>
  <si>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</si>
  <si>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</si>
  <si>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</si>
  <si>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</si>
  <si>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</si>
  <si>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</si>
  <si>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</si>
  <si>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</si>
  <si>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</si>
  <si>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</si>
  <si>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</si>
  <si>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</si>
  <si>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</si>
  <si>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</si>
  <si>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</si>
  <si>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</si>
  <si>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</si>
  <si>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</si>
  <si>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</si>
  <si>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</si>
  <si>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</si>
  <si>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</si>
  <si>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</si>
  <si>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</si>
  <si>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</si>
  <si>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</si>
  <si>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</si>
  <si>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</si>
  <si>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</si>
  <si>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</si>
  <si>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</si>
  <si>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</si>
  <si>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</si>
  <si>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</si>
  <si>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</si>
  <si>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</si>
  <si>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</si>
  <si>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</si>
  <si>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</si>
  <si>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</si>
  <si>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</si>
  <si>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</si>
  <si>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</si>
  <si>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</si>
  <si>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</si>
  <si>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</si>
  <si>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</si>
  <si>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</si>
  <si>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</si>
  <si>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</si>
  <si>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</si>
  <si>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</si>
  <si>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</si>
  <si>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</si>
  <si>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</si>
  <si>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</si>
  <si>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</si>
  <si>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</si>
  <si>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</si>
  <si>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</si>
  <si>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</si>
  <si>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</si>
  <si>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</si>
  <si>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</si>
  <si>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</si>
  <si>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</si>
  <si>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</si>
  <si>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</si>
  <si>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</si>
  <si>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</si>
  <si>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</si>
  <si>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</si>
  <si>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</si>
  <si>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</si>
  <si>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</si>
  <si>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</si>
  <si>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</si>
  <si>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</si>
  <si>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</si>
  <si>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</si>
  <si>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DATA_VENDA</t>
  </si>
  <si>
    <t>FLG_TENTATIVA_OUTBOUND</t>
  </si>
  <si>
    <t>FLG_ATENDEU_OUTBOUND</t>
  </si>
  <si>
    <t>DATE</t>
  </si>
  <si>
    <t>2020-12</t>
  </si>
  <si>
    <t>2021-01</t>
  </si>
  <si>
    <t>2021-02</t>
  </si>
  <si>
    <t>2021-03</t>
  </si>
  <si>
    <t>2021-04</t>
  </si>
  <si>
    <t>2020-03</t>
  </si>
  <si>
    <t>2020-04</t>
  </si>
  <si>
    <t>Q_VENDIDAS</t>
  </si>
  <si>
    <t>Turkey</t>
  </si>
  <si>
    <t>New Zealand</t>
  </si>
  <si>
    <t>India</t>
  </si>
  <si>
    <t>Japan</t>
  </si>
  <si>
    <t>Cuba</t>
  </si>
  <si>
    <t>Brazil</t>
  </si>
  <si>
    <t>Mexico</t>
  </si>
  <si>
    <t>Panama</t>
  </si>
  <si>
    <t>Colombia</t>
  </si>
  <si>
    <t>Italy</t>
  </si>
  <si>
    <t>Ecuador</t>
  </si>
  <si>
    <t>TURKEY</t>
  </si>
  <si>
    <t>NEW ZEALAND</t>
  </si>
  <si>
    <t>JAPAN</t>
  </si>
  <si>
    <t>BRAZIL</t>
  </si>
  <si>
    <t>ITALY</t>
  </si>
  <si>
    <t>ECUADOR</t>
  </si>
  <si>
    <t>TOTAL SOCIOS</t>
  </si>
  <si>
    <t xml:space="preserve">NOVOS SOCIOS </t>
  </si>
  <si>
    <t>PACOTES_VENDIDOS</t>
  </si>
  <si>
    <t>StatusSocios_2020-1</t>
  </si>
  <si>
    <t>StatusSocios_2021-01</t>
  </si>
  <si>
    <t>StatusSocios_2021-02</t>
  </si>
  <si>
    <t>StatusSocios_2021-03</t>
  </si>
  <si>
    <t>TOTAL</t>
  </si>
  <si>
    <t>CLIENTES ATIVOS</t>
  </si>
  <si>
    <t>CLIENTE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</si>
</sst>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yyyy\-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16" fontId="0" fillId="0" borderId="0" xfId="0" applyNumberFormat="1"/>
    <xf numFmtId="164" fontId="0" fillId="0" borderId="0" xfId="0" applyNumberFormat="1"/>
    <xf numFmtId="16" fontId="2" fillId="0" borderId="0" xfId="0" applyNumberFormat="1" applyFont="1"/>
    <xf numFmtId="0" fontId="2" fillId="0" borderId="0" xfId="0" applyFont="1"/>
    <xf numFmtId="17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0" xfId="1" applyNumberFormat="1" applyFont="1"/>
    <xf numFmtId="2" fontId="0" fillId="0" borderId="0" xfId="0" applyNumberFormat="1"/>
    <xf numFmtId="0" fontId="0" fillId="0" borderId="0" xfId="0" applyFont="1" applyFill="1"/>
    <xf numFmtId="0" fontId="1" fillId="0" borderId="0" xfId="0" applyFont="1" applyFill="1"/>
    <xf numFmtId="0" fontId="0" fillId="0" borderId="0" xfId="0" applyNumberFormat="1" applyFont="1" applyFill="1"/>
  </cellXfs>
  <cellStyles count="2">
    <cellStyle name="Normal" xfId="0" builtinId="0"/>
    <cellStyle name="Percent" xfId="1" builtinId="5"/>
  </cellStyles>
  <dxfs count="14">
    <dxf>
      <numFmt numFmtId="2" formatCode="0.00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11</xdr:row>
      <xdr:rowOff>114299</xdr:rowOff>
    </xdr:from>
    <xdr:to>
      <xdr:col>11</xdr:col>
      <xdr:colOff>342900</xdr:colOff>
      <xdr:row>25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A9BB57-EA98-403C-DFAE-A7F1A4F5036A}"/>
            </a:ext>
          </a:extLst>
        </xdr:cNvPr>
        <xdr:cNvSpPr txBox="1"/>
      </xdr:nvSpPr>
      <xdr:spPr>
        <a:xfrm>
          <a:off x="7705725" y="2209799"/>
          <a:ext cx="4867275" cy="269557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solidFill>
                <a:schemeClr val="bg1"/>
              </a:solidFill>
            </a:rPr>
            <a:t>Para responder à Pergunta 1, utilizei fórmulas no Excel com </a:t>
          </a:r>
          <a:r>
            <a:rPr lang="en-GB" sz="1400">
              <a:solidFill>
                <a:schemeClr val="bg1"/>
              </a:solidFill>
              <a:latin typeface="+mn-lt"/>
              <a:ea typeface="+mn-ea"/>
              <a:cs typeface="+mn-cs"/>
            </a:rPr>
            <a:t>COUNT(UNIQUE(FILTER))</a:t>
          </a:r>
          <a:r>
            <a:rPr lang="en-GB" sz="1400">
              <a:solidFill>
                <a:schemeClr val="bg1"/>
              </a:solidFill>
            </a:rPr>
            <a:t> para calcular o total de sócios por mês (Dez/2020–Abr/2021) e </a:t>
          </a:r>
          <a:r>
            <a:rPr lang="en-GB" sz="1400">
              <a:solidFill>
                <a:schemeClr val="bg1"/>
              </a:solidFill>
              <a:latin typeface="+mn-lt"/>
              <a:ea typeface="+mn-ea"/>
              <a:cs typeface="+mn-cs"/>
            </a:rPr>
            <a:t>MAX</a:t>
          </a:r>
          <a:r>
            <a:rPr lang="en-GB" sz="1400">
              <a:solidFill>
                <a:schemeClr val="bg1"/>
              </a:solidFill>
            </a:rPr>
            <a:t> para identificar o número de novos sócios e de sócios que deixaram o programa.</a:t>
          </a:r>
          <a:br>
            <a:rPr lang="en-GB" sz="1400">
              <a:solidFill>
                <a:schemeClr val="bg1"/>
              </a:solidFill>
            </a:rPr>
          </a:br>
          <a:r>
            <a:rPr lang="en-GB" sz="1400">
              <a:solidFill>
                <a:schemeClr val="bg1"/>
              </a:solidFill>
            </a:rPr>
            <a:t>A análise comparou os </a:t>
          </a:r>
          <a:r>
            <a:rPr lang="en-GB" sz="1400" b="1">
              <a:solidFill>
                <a:schemeClr val="bg1"/>
              </a:solidFill>
            </a:rPr>
            <a:t>IDs de clientes entre meses consecutivos</a:t>
          </a:r>
          <a:r>
            <a:rPr lang="en-GB" sz="1400">
              <a:solidFill>
                <a:schemeClr val="bg1"/>
              </a:solidFill>
            </a:rPr>
            <a:t>, permitindo detectar possíveis cancelamentos e adesões.</a:t>
          </a:r>
          <a:br>
            <a:rPr lang="en-GB" sz="1400">
              <a:solidFill>
                <a:schemeClr val="bg1"/>
              </a:solidFill>
            </a:rPr>
          </a:br>
          <a:r>
            <a:rPr lang="en-GB" sz="1400">
              <a:solidFill>
                <a:schemeClr val="bg1"/>
              </a:solidFill>
            </a:rPr>
            <a:t>Mesmo com o aumento contínuo no número total de sócios, observou-se que </a:t>
          </a:r>
          <a:r>
            <a:rPr lang="en-GB" sz="1400" b="1">
              <a:solidFill>
                <a:schemeClr val="bg1"/>
              </a:solidFill>
            </a:rPr>
            <a:t>alguns clientes deixaram o programa em determinados meses</a:t>
          </a:r>
          <a:r>
            <a:rPr lang="en-GB" sz="1400">
              <a:solidFill>
                <a:schemeClr val="bg1"/>
              </a:solidFill>
            </a:rPr>
            <a:t>, refletindo as variações normais de entrada e saída em um ciclo de membership.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33DDB42-E0DB-4CD9-A9F4-11892B88DD57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DATE" tableColumnId="1"/>
      <queryTableField id="2" name="TOTAL SOCIOS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670AAE-1E44-419C-811F-30E56B11C68F}" name="Table1__24" displayName="Table1__24" ref="H1:L7" tableType="queryTable" totalsRowCount="1">
  <autoFilter ref="H1:L6" xr:uid="{ED670AAE-1E44-419C-811F-30E56B11C68F}"/>
  <tableColumns count="5">
    <tableColumn id="1" xr3:uid="{DE12BF4C-BB06-454F-BEE6-3882EDB6B5E6}" uniqueName="1" name="DATE" totalsRowLabel="TOTAL" queryTableFieldId="1" dataDxfId="9" totalsRowDxfId="1"/>
    <tableColumn id="2" xr3:uid="{2904270E-47C6-46E2-BC8A-A49EE75B394A}" uniqueName="2" name="TOTAL SOCIOS" queryTableFieldId="2"/>
    <tableColumn id="3" xr3:uid="{A9645EEE-49A0-4753-B366-4DA395FD6996}" uniqueName="3" name="NOVOS SOCIOS " queryTableFieldId="3" dataDxfId="8">
      <calculatedColumnFormula>I2 - I3</calculatedColumnFormula>
    </tableColumn>
    <tableColumn id="4" xr3:uid="{176A01EA-9FED-421E-823C-3BD5545E1D90}" uniqueName="4" name="CLIENTE LEFT" totalsRowFunction="custom" queryTableFieldId="4" dataDxfId="7">
      <calculatedColumnFormula>MAX(B1 - B2, 0)</calculatedColumnFormula>
      <totalsRowFormula>COUNTIF(C:F, "Left")</totalsRowFormula>
    </tableColumn>
    <tableColumn id="5" xr3:uid="{09B5EDDA-9AA0-4222-9E51-708825E8C03B}" uniqueName="5" name="CLIENTES ATIVOS" totalsRowFunction="custom" queryTableFieldId="5" dataDxfId="6" totalsRowDxfId="0" dataCellStyle="Percent">
      <calculatedColumnFormula>I2 + J2 - K2</calculatedColumnFormula>
      <totalsRowFormula array="1">COUNTA(_xlfn.UNIQUE(_xlfn._xlws.FILTER(B:B, (C:C="Ativo") + (D:D="Ativo") + (E:E="Ativo") + (F:F="Ativo"))))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D54AF-6958-4DCB-BE00-01AC6E8427EE}" name="Table1" displayName="Table1" ref="A1:F4936" totalsRowShown="0" headerRowDxfId="13" dataDxfId="12">
  <autoFilter ref="A1:F4936" xr:uid="{509D54AF-6958-4DCB-BE00-01AC6E8427EE}"/>
  <tableColumns count="6">
    <tableColumn id="1" xr3:uid="{D9B673D6-ED94-4A85-B674-D6E190CFBBD9}" name="DATE" dataDxfId="11"/>
    <tableColumn id="2" xr3:uid="{D787FF00-EF0A-4AF2-BF99-23ED4F8D5AFB}" name="ID_CLIENTE" dataDxfId="10"/>
    <tableColumn id="3" xr3:uid="{CCA97B5C-D07D-4453-B8AB-AD1E10575EE6}" name="StatusSocios_2020-1" dataDxfId="5">
      <calculatedColumnFormula array="1">IF(AND(A2="2020-12", ISNA(MATCH(B2, _xlfn._xlws.FILTER(B:B, A:A="2021-01"), 0))), "Left", "Ativo")</calculatedColumnFormula>
    </tableColumn>
    <tableColumn id="4" xr3:uid="{7E7871E9-8B60-42A6-B919-31AE9CA6D3EC}" name="StatusSocios_2021-01" dataDxfId="4">
      <calculatedColumnFormula array="1">IF(AND(A2="2021-01", ISNA(MATCH(B2, _xlfn._xlws.FILTER(B:B, A:A="2021-02"), 0))), "Left", "Ativo")</calculatedColumnFormula>
    </tableColumn>
    <tableColumn id="5" xr3:uid="{EEE5CAE2-D989-41C4-819C-BF8A0A7C1D1E}" name="StatusSocios_2021-02" dataDxfId="3">
      <calculatedColumnFormula array="1">IF(AND(A2="2021-02", ISNA(MATCH(B2, _xlfn._xlws.FILTER(B:B, A:A="2021-03"), 0))), "Left", "Ativo")</calculatedColumnFormula>
    </tableColumn>
    <tableColumn id="6" xr3:uid="{13B7F15D-442E-47E8-B1D8-11FD5FD21714}" name="StatusSocios_2021-03" dataDxfId="2">
      <calculatedColumnFormula array="1">IF(AND(A2="2021-03", ISNA(MATCH(B2, _xlfn._xlws.FILTER(B:B, A:A="2021-04"), 0))), "Left", "Ativo")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36"/>
  <sheetViews>
    <sheetView tabSelected="1" zoomScaleNormal="100" workbookViewId="0">
      <selection activeCell="R19" sqref="R19"/>
    </sheetView>
  </sheetViews>
  <sheetFormatPr defaultRowHeight="15" x14ac:dyDescent="0.25"/>
  <cols>
    <col min="2" max="2" width="13" customWidth="1"/>
    <col min="3" max="3" width="21.28515625" bestFit="1" customWidth="1"/>
    <col min="4" max="6" width="22.28515625" bestFit="1" customWidth="1"/>
    <col min="8" max="8" width="10.7109375" style="5" bestFit="1" customWidth="1"/>
    <col min="9" max="9" width="16" customWidth="1"/>
    <col min="10" max="10" width="17.42578125" bestFit="1" customWidth="1"/>
    <col min="11" max="11" width="19.85546875" bestFit="1" customWidth="1"/>
    <col min="12" max="12" width="20.140625" style="8" bestFit="1" customWidth="1"/>
  </cols>
  <sheetData>
    <row r="1" spans="1:12" x14ac:dyDescent="0.25">
      <c r="A1" s="7" t="s">
        <v>1527</v>
      </c>
      <c r="B1" s="7" t="s">
        <v>0</v>
      </c>
      <c r="C1" s="11" t="s">
        <v>1556</v>
      </c>
      <c r="D1" s="11" t="s">
        <v>1557</v>
      </c>
      <c r="E1" s="11" t="s">
        <v>1558</v>
      </c>
      <c r="F1" s="11" t="s">
        <v>1559</v>
      </c>
      <c r="H1" s="5" t="s">
        <v>1527</v>
      </c>
      <c r="I1" t="s">
        <v>1553</v>
      </c>
      <c r="J1" t="s">
        <v>1554</v>
      </c>
      <c r="K1" t="s">
        <v>1562</v>
      </c>
      <c r="L1" s="8" t="s">
        <v>1561</v>
      </c>
    </row>
    <row r="2" spans="1:12" x14ac:dyDescent="0.25">
      <c r="A2" t="s">
        <v>1528</v>
      </c>
      <c r="B2" t="s">
        <v>1</v>
      </c>
      <c r="C2" s="10" t="str" cm="1">
        <f t="array" ref="C2">IF(AND(A2="2020-12", ISNA(MATCH(B2, _xlfn._xlws.FILTER(B:B, A:A="2021-01"), 0))), "Left", "Ativo")</f>
        <v>Ativo</v>
      </c>
      <c r="D2" s="10" t="str" cm="1">
        <f t="array" ref="D2">IF(AND(A2="2021-01", ISNA(MATCH(B2, _xlfn._xlws.FILTER(B:B, A:A="2021-02"), 0))), "Left", "Ativo")</f>
        <v>Ativo</v>
      </c>
      <c r="E2" s="10" t="str" cm="1">
        <f t="array" ref="E2">IF(AND(A2="2021-02", ISNA(MATCH(B2, _xlfn._xlws.FILTER(B:B, A:A="2021-03"), 0))), "Left", "Ativo")</f>
        <v>Ativo</v>
      </c>
      <c r="F2" s="12" t="str" cm="1">
        <f t="array" ref="F2">IF(AND(A2="2021-03", ISNA(MATCH(B2, _xlfn._xlws.FILTER(B:B, A:A="2021-04"), 0))), "Left", "Ativo")</f>
        <v>Ativo</v>
      </c>
      <c r="H2" s="6">
        <v>44166</v>
      </c>
      <c r="I2" cm="1">
        <f t="array" ref="I2">COUNTA(_xlfn.UNIQUE(_xlfn._xlws.FILTER(B:B, A:A="2020-12")))</f>
        <v>940</v>
      </c>
      <c r="K2">
        <f>COUNTIF(C:C, "*Left*")</f>
        <v>20</v>
      </c>
      <c r="L2" s="8">
        <f t="shared" ref="L2:L6" si="0">I2 + J2 - K2</f>
        <v>920</v>
      </c>
    </row>
    <row r="3" spans="1:12" x14ac:dyDescent="0.25">
      <c r="A3" t="s">
        <v>1528</v>
      </c>
      <c r="B3" t="s">
        <v>2</v>
      </c>
      <c r="C3" s="10" t="str" cm="1">
        <f t="array" ref="C3">IF(AND(A3="2020-12", ISNA(MATCH(B3, _xlfn._xlws.FILTER(B:B, A:A="2021-01"), 0))), "Left", "Ativo")</f>
        <v>Ativo</v>
      </c>
      <c r="D3" s="10" t="str" cm="1">
        <f t="array" ref="D3">IF(AND(A3="2021-01", ISNA(MATCH(B3, _xlfn._xlws.FILTER(B:B, A:A="2021-02"), 0))), "Left", "Ativo")</f>
        <v>Ativo</v>
      </c>
      <c r="E3" s="10" t="str" cm="1">
        <f t="array" ref="E3">IF(AND(A3="2021-02", ISNA(MATCH(B3, _xlfn._xlws.FILTER(B:B, A:A="2021-03"), 0))), "Left", "Ativo")</f>
        <v>Ativo</v>
      </c>
      <c r="F3" s="12" t="str" cm="1">
        <f t="array" ref="F3">IF(AND(A3="2021-03", ISNA(MATCH(B3, _xlfn._xlws.FILTER(B:B, A:A="2021-04"), 0))), "Left", "Ativo")</f>
        <v>Ativo</v>
      </c>
      <c r="H3" s="6">
        <v>44197</v>
      </c>
      <c r="I3" cm="1">
        <f t="array" ref="I3">COUNTA(_xlfn.UNIQUE(_xlfn._xlws.FILTER(B:B, A:A="2021-01")))</f>
        <v>965</v>
      </c>
      <c r="J3">
        <f>MAX(I3 - I2, 0)</f>
        <v>25</v>
      </c>
      <c r="K3">
        <f>COUNTIF(D:D, "*Left*")</f>
        <v>75</v>
      </c>
      <c r="L3" s="8">
        <f>I3 + J3 - K3</f>
        <v>915</v>
      </c>
    </row>
    <row r="4" spans="1:12" x14ac:dyDescent="0.25">
      <c r="A4" t="s">
        <v>1528</v>
      </c>
      <c r="B4" t="s">
        <v>3</v>
      </c>
      <c r="C4" s="10" t="str" cm="1">
        <f t="array" ref="C4">IF(AND(A4="2020-12", ISNA(MATCH(B4, _xlfn._xlws.FILTER(B:B, A:A="2021-01"), 0))), "Left", "Ativo")</f>
        <v>Left</v>
      </c>
      <c r="D4" s="10" t="str" cm="1">
        <f t="array" ref="D4">IF(AND(A4="2021-01", ISNA(MATCH(B4, _xlfn._xlws.FILTER(B:B, A:A="2021-02"), 0))), "Left", "Ativo")</f>
        <v>Ativo</v>
      </c>
      <c r="E4" s="10" t="str" cm="1">
        <f t="array" ref="E4">IF(AND(A4="2021-02", ISNA(MATCH(B4, _xlfn._xlws.FILTER(B:B, A:A="2021-03"), 0))), "Left", "Ativo")</f>
        <v>Ativo</v>
      </c>
      <c r="F4" s="12" t="str" cm="1">
        <f t="array" ref="F4">IF(AND(A4="2021-03", ISNA(MATCH(B4, _xlfn._xlws.FILTER(B:B, A:A="2021-04"), 0))), "Left", "Ativo")</f>
        <v>Ativo</v>
      </c>
      <c r="H4" s="6">
        <v>44228</v>
      </c>
      <c r="I4" cm="1">
        <f t="array" ref="I4">COUNTA(_xlfn.UNIQUE(_xlfn._xlws.FILTER(B:B, A:A="2021-02")))</f>
        <v>995</v>
      </c>
      <c r="J4">
        <f>MAX(I4 - I3, 0)</f>
        <v>30</v>
      </c>
      <c r="K4">
        <f>COUNTIF(E:E, "*Left*")</f>
        <v>50</v>
      </c>
      <c r="L4" s="8">
        <f t="shared" si="0"/>
        <v>975</v>
      </c>
    </row>
    <row r="5" spans="1:12" x14ac:dyDescent="0.25">
      <c r="A5" t="s">
        <v>1528</v>
      </c>
      <c r="B5" t="s">
        <v>4</v>
      </c>
      <c r="C5" s="10" t="str" cm="1">
        <f t="array" ref="C5">IF(AND(A5="2020-12", ISNA(MATCH(B5, _xlfn._xlws.FILTER(B:B, A:A="2021-01"), 0))), "Left", "Ativo")</f>
        <v>Ativo</v>
      </c>
      <c r="D5" s="10" t="str" cm="1">
        <f t="array" ref="D5">IF(AND(A5="2021-01", ISNA(MATCH(B5, _xlfn._xlws.FILTER(B:B, A:A="2021-02"), 0))), "Left", "Ativo")</f>
        <v>Ativo</v>
      </c>
      <c r="E5" s="10" t="str" cm="1">
        <f t="array" ref="E5">IF(AND(A5="2021-02", ISNA(MATCH(B5, _xlfn._xlws.FILTER(B:B, A:A="2021-03"), 0))), "Left", "Ativo")</f>
        <v>Ativo</v>
      </c>
      <c r="F5" s="12" t="str" cm="1">
        <f t="array" ref="F5">IF(AND(A5="2021-03", ISNA(MATCH(B5, _xlfn._xlws.FILTER(B:B, A:A="2021-04"), 0))), "Left", "Ativo")</f>
        <v>Ativo</v>
      </c>
      <c r="H5" s="6">
        <v>44256</v>
      </c>
      <c r="I5" cm="1">
        <f t="array" ref="I5">COUNTA(_xlfn.UNIQUE(_xlfn._xlws.FILTER(B:B, A:A="2021-03")))</f>
        <v>1015</v>
      </c>
      <c r="J5">
        <f>MAX(I5 - I4, 0)</f>
        <v>20</v>
      </c>
      <c r="K5">
        <f>COUNTIF(F:F, "*Left*")</f>
        <v>60</v>
      </c>
      <c r="L5" s="8">
        <f t="shared" si="0"/>
        <v>975</v>
      </c>
    </row>
    <row r="6" spans="1:12" x14ac:dyDescent="0.25">
      <c r="A6" t="s">
        <v>1528</v>
      </c>
      <c r="B6" t="s">
        <v>5</v>
      </c>
      <c r="C6" s="10" t="str" cm="1">
        <f t="array" ref="C6">IF(AND(A6="2020-12", ISNA(MATCH(B6, _xlfn._xlws.FILTER(B:B, A:A="2021-01"), 0))), "Left", "Ativo")</f>
        <v>Ativo</v>
      </c>
      <c r="D6" s="10" t="str" cm="1">
        <f t="array" ref="D6">IF(AND(A6="2021-01", ISNA(MATCH(B6, _xlfn._xlws.FILTER(B:B, A:A="2021-02"), 0))), "Left", "Ativo")</f>
        <v>Ativo</v>
      </c>
      <c r="E6" s="10" t="str" cm="1">
        <f t="array" ref="E6">IF(AND(A6="2021-02", ISNA(MATCH(B6, _xlfn._xlws.FILTER(B:B, A:A="2021-03"), 0))), "Left", "Ativo")</f>
        <v>Ativo</v>
      </c>
      <c r="F6" s="12" t="str" cm="1">
        <f t="array" ref="F6">IF(AND(A6="2021-03", ISNA(MATCH(B6, _xlfn._xlws.FILTER(B:B, A:A="2021-04"), 0))), "Left", "Ativo")</f>
        <v>Ativo</v>
      </c>
      <c r="H6" s="6">
        <v>44287</v>
      </c>
      <c r="I6" cm="1">
        <f t="array" ref="I6">COUNTA(_xlfn.UNIQUE(_xlfn._xlws.FILTER(B:B, A:A="2021-04")))</f>
        <v>1020</v>
      </c>
      <c r="J6">
        <f>MAX(I6 - I5, 0)</f>
        <v>5</v>
      </c>
      <c r="K6">
        <f>MAX(I5 - I6, 0)</f>
        <v>0</v>
      </c>
      <c r="L6" s="8">
        <f t="shared" si="0"/>
        <v>1025</v>
      </c>
    </row>
    <row r="7" spans="1:12" x14ac:dyDescent="0.25">
      <c r="A7" t="s">
        <v>1528</v>
      </c>
      <c r="B7" t="s">
        <v>6</v>
      </c>
      <c r="C7" s="10" t="str" cm="1">
        <f t="array" ref="C7">IF(AND(A7="2020-12", ISNA(MATCH(B7, _xlfn._xlws.FILTER(B:B, A:A="2021-01"), 0))), "Left", "Ativo")</f>
        <v>Left</v>
      </c>
      <c r="D7" s="10" t="str" cm="1">
        <f t="array" ref="D7">IF(AND(A7="2021-01", ISNA(MATCH(B7, _xlfn._xlws.FILTER(B:B, A:A="2021-02"), 0))), "Left", "Ativo")</f>
        <v>Ativo</v>
      </c>
      <c r="E7" s="10" t="str" cm="1">
        <f t="array" ref="E7">IF(AND(A7="2021-02", ISNA(MATCH(B7, _xlfn._xlws.FILTER(B:B, A:A="2021-03"), 0))), "Left", "Ativo")</f>
        <v>Ativo</v>
      </c>
      <c r="F7" s="12" t="str" cm="1">
        <f t="array" ref="F7">IF(AND(A7="2021-03", ISNA(MATCH(B7, _xlfn._xlws.FILTER(B:B, A:A="2021-04"), 0))), "Left", "Ativo")</f>
        <v>Ativo</v>
      </c>
      <c r="H7" s="5" t="s">
        <v>1560</v>
      </c>
      <c r="K7">
        <f>COUNTIF(C:F, "Left")</f>
        <v>205</v>
      </c>
      <c r="L7" s="9" cm="1">
        <f t="array" ref="L7">COUNTA(_xlfn.UNIQUE(_xlfn._xlws.FILTER(B:B, (C:C="Ativo") + (D:D="Ativo") + (E:E="Ativo") + (F:F="Ativo"))))</f>
        <v>1215</v>
      </c>
    </row>
    <row r="8" spans="1:12" x14ac:dyDescent="0.25">
      <c r="A8" t="s">
        <v>1528</v>
      </c>
      <c r="B8" t="s">
        <v>7</v>
      </c>
      <c r="C8" s="10" t="str" cm="1">
        <f t="array" ref="C8">IF(AND(A8="2020-12", ISNA(MATCH(B8, _xlfn._xlws.FILTER(B:B, A:A="2021-01"), 0))), "Left", "Ativo")</f>
        <v>Ativo</v>
      </c>
      <c r="D8" s="10" t="str" cm="1">
        <f t="array" ref="D8">IF(AND(A8="2021-01", ISNA(MATCH(B8, _xlfn._xlws.FILTER(B:B, A:A="2021-02"), 0))), "Left", "Ativo")</f>
        <v>Ativo</v>
      </c>
      <c r="E8" s="10" t="str" cm="1">
        <f t="array" ref="E8">IF(AND(A8="2021-02", ISNA(MATCH(B8, _xlfn._xlws.FILTER(B:B, A:A="2021-03"), 0))), "Left", "Ativo")</f>
        <v>Ativo</v>
      </c>
      <c r="F8" s="12" t="str" cm="1">
        <f t="array" ref="F8">IF(AND(A8="2021-03", ISNA(MATCH(B8, _xlfn._xlws.FILTER(B:B, A:A="2021-04"), 0))), "Left", "Ativo")</f>
        <v>Ativo</v>
      </c>
    </row>
    <row r="9" spans="1:12" x14ac:dyDescent="0.25">
      <c r="A9" t="s">
        <v>1528</v>
      </c>
      <c r="B9" t="s">
        <v>8</v>
      </c>
      <c r="C9" s="10" t="str" cm="1">
        <f t="array" ref="C9">IF(AND(A9="2020-12", ISNA(MATCH(B9, _xlfn._xlws.FILTER(B:B, A:A="2021-01"), 0))), "Left", "Ativo")</f>
        <v>Left</v>
      </c>
      <c r="D9" s="10" t="str" cm="1">
        <f t="array" ref="D9">IF(AND(A9="2021-01", ISNA(MATCH(B9, _xlfn._xlws.FILTER(B:B, A:A="2021-02"), 0))), "Left", "Ativo")</f>
        <v>Ativo</v>
      </c>
      <c r="E9" s="10" t="str" cm="1">
        <f t="array" ref="E9">IF(AND(A9="2021-02", ISNA(MATCH(B9, _xlfn._xlws.FILTER(B:B, A:A="2021-03"), 0))), "Left", "Ativo")</f>
        <v>Ativo</v>
      </c>
      <c r="F9" s="12" t="str" cm="1">
        <f t="array" ref="F9">IF(AND(A9="2021-03", ISNA(MATCH(B9, _xlfn._xlws.FILTER(B:B, A:A="2021-04"), 0))), "Left", "Ativo")</f>
        <v>Ativo</v>
      </c>
    </row>
    <row r="10" spans="1:12" x14ac:dyDescent="0.25">
      <c r="A10" t="s">
        <v>1528</v>
      </c>
      <c r="B10" t="s">
        <v>9</v>
      </c>
      <c r="C10" s="10" t="str" cm="1">
        <f t="array" ref="C10">IF(AND(A10="2020-12", ISNA(MATCH(B10, _xlfn._xlws.FILTER(B:B, A:A="2021-01"), 0))), "Left", "Ativo")</f>
        <v>Left</v>
      </c>
      <c r="D10" s="10" t="str" cm="1">
        <f t="array" ref="D10">IF(AND(A10="2021-01", ISNA(MATCH(B10, _xlfn._xlws.FILTER(B:B, A:A="2021-02"), 0))), "Left", "Ativo")</f>
        <v>Ativo</v>
      </c>
      <c r="E10" s="10" t="str" cm="1">
        <f t="array" ref="E10">IF(AND(A10="2021-02", ISNA(MATCH(B10, _xlfn._xlws.FILTER(B:B, A:A="2021-03"), 0))), "Left", "Ativo")</f>
        <v>Ativo</v>
      </c>
      <c r="F10" s="12" t="str" cm="1">
        <f t="array" ref="F10">IF(AND(A10="2021-03", ISNA(MATCH(B10, _xlfn._xlws.FILTER(B:B, A:A="2021-04"), 0))), "Left", "Ativo")</f>
        <v>Ativo</v>
      </c>
    </row>
    <row r="11" spans="1:12" x14ac:dyDescent="0.25">
      <c r="A11" t="s">
        <v>1528</v>
      </c>
      <c r="B11" t="s">
        <v>10</v>
      </c>
      <c r="C11" s="10" t="str" cm="1">
        <f t="array" ref="C11">IF(AND(A11="2020-12", ISNA(MATCH(B11, _xlfn._xlws.FILTER(B:B, A:A="2021-01"), 0))), "Left", "Ativo")</f>
        <v>Ativo</v>
      </c>
      <c r="D11" s="10" t="str" cm="1">
        <f t="array" ref="D11">IF(AND(A11="2021-01", ISNA(MATCH(B11, _xlfn._xlws.FILTER(B:B, A:A="2021-02"), 0))), "Left", "Ativo")</f>
        <v>Ativo</v>
      </c>
      <c r="E11" s="10" t="str" cm="1">
        <f t="array" ref="E11">IF(AND(A11="2021-02", ISNA(MATCH(B11, _xlfn._xlws.FILTER(B:B, A:A="2021-03"), 0))), "Left", "Ativo")</f>
        <v>Ativo</v>
      </c>
      <c r="F11" s="12" t="str" cm="1">
        <f t="array" ref="F11">IF(AND(A11="2021-03", ISNA(MATCH(B11, _xlfn._xlws.FILTER(B:B, A:A="2021-04"), 0))), "Left", "Ativo")</f>
        <v>Ativo</v>
      </c>
    </row>
    <row r="12" spans="1:12" x14ac:dyDescent="0.25">
      <c r="A12" t="s">
        <v>1528</v>
      </c>
      <c r="B12" t="s">
        <v>11</v>
      </c>
      <c r="C12" s="10" t="str" cm="1">
        <f t="array" ref="C12">IF(AND(A12="2020-12", ISNA(MATCH(B12, _xlfn._xlws.FILTER(B:B, A:A="2021-01"), 0))), "Left", "Ativo")</f>
        <v>Ativo</v>
      </c>
      <c r="D12" s="10" t="str" cm="1">
        <f t="array" ref="D12">IF(AND(A12="2021-01", ISNA(MATCH(B12, _xlfn._xlws.FILTER(B:B, A:A="2021-02"), 0))), "Left", "Ativo")</f>
        <v>Ativo</v>
      </c>
      <c r="E12" s="10" t="str" cm="1">
        <f t="array" ref="E12">IF(AND(A12="2021-02", ISNA(MATCH(B12, _xlfn._xlws.FILTER(B:B, A:A="2021-03"), 0))), "Left", "Ativo")</f>
        <v>Ativo</v>
      </c>
      <c r="F12" s="12" t="str" cm="1">
        <f t="array" ref="F12">IF(AND(A12="2021-03", ISNA(MATCH(B12, _xlfn._xlws.FILTER(B:B, A:A="2021-04"), 0))), "Left", "Ativo")</f>
        <v>Ativo</v>
      </c>
    </row>
    <row r="13" spans="1:12" x14ac:dyDescent="0.25">
      <c r="A13" t="s">
        <v>1528</v>
      </c>
      <c r="B13" t="s">
        <v>12</v>
      </c>
      <c r="C13" s="10" t="str" cm="1">
        <f t="array" ref="C13">IF(AND(A13="2020-12", ISNA(MATCH(B13, _xlfn._xlws.FILTER(B:B, A:A="2021-01"), 0))), "Left", "Ativo")</f>
        <v>Ativo</v>
      </c>
      <c r="D13" s="10" t="str" cm="1">
        <f t="array" ref="D13">IF(AND(A13="2021-01", ISNA(MATCH(B13, _xlfn._xlws.FILTER(B:B, A:A="2021-02"), 0))), "Left", "Ativo")</f>
        <v>Ativo</v>
      </c>
      <c r="E13" s="10" t="str" cm="1">
        <f t="array" ref="E13">IF(AND(A13="2021-02", ISNA(MATCH(B13, _xlfn._xlws.FILTER(B:B, A:A="2021-03"), 0))), "Left", "Ativo")</f>
        <v>Ativo</v>
      </c>
      <c r="F13" s="12" t="str" cm="1">
        <f t="array" ref="F13">IF(AND(A13="2021-03", ISNA(MATCH(B13, _xlfn._xlws.FILTER(B:B, A:A="2021-04"), 0))), "Left", "Ativo")</f>
        <v>Ativo</v>
      </c>
    </row>
    <row r="14" spans="1:12" x14ac:dyDescent="0.25">
      <c r="A14" t="s">
        <v>1528</v>
      </c>
      <c r="B14" t="s">
        <v>13</v>
      </c>
      <c r="C14" s="10" t="str" cm="1">
        <f t="array" ref="C14">IF(AND(A14="2020-12", ISNA(MATCH(B14, _xlfn._xlws.FILTER(B:B, A:A="2021-01"), 0))), "Left", "Ativo")</f>
        <v>Ativo</v>
      </c>
      <c r="D14" s="10" t="str" cm="1">
        <f t="array" ref="D14">IF(AND(A14="2021-01", ISNA(MATCH(B14, _xlfn._xlws.FILTER(B:B, A:A="2021-02"), 0))), "Left", "Ativo")</f>
        <v>Ativo</v>
      </c>
      <c r="E14" s="10" t="str" cm="1">
        <f t="array" ref="E14">IF(AND(A14="2021-02", ISNA(MATCH(B14, _xlfn._xlws.FILTER(B:B, A:A="2021-03"), 0))), "Left", "Ativo")</f>
        <v>Ativo</v>
      </c>
      <c r="F14" s="12" t="str" cm="1">
        <f t="array" ref="F14">IF(AND(A14="2021-03", ISNA(MATCH(B14, _xlfn._xlws.FILTER(B:B, A:A="2021-04"), 0))), "Left", "Ativo")</f>
        <v>Ativo</v>
      </c>
    </row>
    <row r="15" spans="1:12" x14ac:dyDescent="0.25">
      <c r="A15" t="s">
        <v>1528</v>
      </c>
      <c r="B15" t="s">
        <v>14</v>
      </c>
      <c r="C15" s="10" t="str" cm="1">
        <f t="array" ref="C15">IF(AND(A15="2020-12", ISNA(MATCH(B15, _xlfn._xlws.FILTER(B:B, A:A="2021-01"), 0))), "Left", "Ativo")</f>
        <v>Ativo</v>
      </c>
      <c r="D15" s="10" t="str" cm="1">
        <f t="array" ref="D15">IF(AND(A15="2021-01", ISNA(MATCH(B15, _xlfn._xlws.FILTER(B:B, A:A="2021-02"), 0))), "Left", "Ativo")</f>
        <v>Ativo</v>
      </c>
      <c r="E15" s="10" t="str" cm="1">
        <f t="array" ref="E15">IF(AND(A15="2021-02", ISNA(MATCH(B15, _xlfn._xlws.FILTER(B:B, A:A="2021-03"), 0))), "Left", "Ativo")</f>
        <v>Ativo</v>
      </c>
      <c r="F15" s="12" t="str" cm="1">
        <f t="array" ref="F15">IF(AND(A15="2021-03", ISNA(MATCH(B15, _xlfn._xlws.FILTER(B:B, A:A="2021-04"), 0))), "Left", "Ativo")</f>
        <v>Ativo</v>
      </c>
    </row>
    <row r="16" spans="1:12" x14ac:dyDescent="0.25">
      <c r="A16" t="s">
        <v>1528</v>
      </c>
      <c r="B16" t="s">
        <v>15</v>
      </c>
      <c r="C16" s="10" t="str" cm="1">
        <f t="array" ref="C16">IF(AND(A16="2020-12", ISNA(MATCH(B16, _xlfn._xlws.FILTER(B:B, A:A="2021-01"), 0))), "Left", "Ativo")</f>
        <v>Ativo</v>
      </c>
      <c r="D16" s="10" t="str" cm="1">
        <f t="array" ref="D16">IF(AND(A16="2021-01", ISNA(MATCH(B16, _xlfn._xlws.FILTER(B:B, A:A="2021-02"), 0))), "Left", "Ativo")</f>
        <v>Ativo</v>
      </c>
      <c r="E16" s="10" t="str" cm="1">
        <f t="array" ref="E16">IF(AND(A16="2021-02", ISNA(MATCH(B16, _xlfn._xlws.FILTER(B:B, A:A="2021-03"), 0))), "Left", "Ativo")</f>
        <v>Ativo</v>
      </c>
      <c r="F16" s="12" t="str" cm="1">
        <f t="array" ref="F16">IF(AND(A16="2021-03", ISNA(MATCH(B16, _xlfn._xlws.FILTER(B:B, A:A="2021-04"), 0))), "Left", "Ativo")</f>
        <v>Ativo</v>
      </c>
    </row>
    <row r="17" spans="1:6" x14ac:dyDescent="0.25">
      <c r="A17" t="s">
        <v>1528</v>
      </c>
      <c r="B17" t="s">
        <v>16</v>
      </c>
      <c r="C17" s="10" t="str" cm="1">
        <f t="array" ref="C17">IF(AND(A17="2020-12", ISNA(MATCH(B17, _xlfn._xlws.FILTER(B:B, A:A="2021-01"), 0))), "Left", "Ativo")</f>
        <v>Ativo</v>
      </c>
      <c r="D17" s="10" t="str" cm="1">
        <f t="array" ref="D17">IF(AND(A17="2021-01", ISNA(MATCH(B17, _xlfn._xlws.FILTER(B:B, A:A="2021-02"), 0))), "Left", "Ativo")</f>
        <v>Ativo</v>
      </c>
      <c r="E17" s="10" t="str" cm="1">
        <f t="array" ref="E17">IF(AND(A17="2021-02", ISNA(MATCH(B17, _xlfn._xlws.FILTER(B:B, A:A="2021-03"), 0))), "Left", "Ativo")</f>
        <v>Ativo</v>
      </c>
      <c r="F17" s="12" t="str" cm="1">
        <f t="array" ref="F17">IF(AND(A17="2021-03", ISNA(MATCH(B17, _xlfn._xlws.FILTER(B:B, A:A="2021-04"), 0))), "Left", "Ativo")</f>
        <v>Ativo</v>
      </c>
    </row>
    <row r="18" spans="1:6" x14ac:dyDescent="0.25">
      <c r="A18" t="s">
        <v>1528</v>
      </c>
      <c r="B18" t="s">
        <v>17</v>
      </c>
      <c r="C18" s="10" t="str" cm="1">
        <f t="array" ref="C18">IF(AND(A18="2020-12", ISNA(MATCH(B18, _xlfn._xlws.FILTER(B:B, A:A="2021-01"), 0))), "Left", "Ativo")</f>
        <v>Ativo</v>
      </c>
      <c r="D18" s="10" t="str" cm="1">
        <f t="array" ref="D18">IF(AND(A18="2021-01", ISNA(MATCH(B18, _xlfn._xlws.FILTER(B:B, A:A="2021-02"), 0))), "Left", "Ativo")</f>
        <v>Ativo</v>
      </c>
      <c r="E18" s="10" t="str" cm="1">
        <f t="array" ref="E18">IF(AND(A18="2021-02", ISNA(MATCH(B18, _xlfn._xlws.FILTER(B:B, A:A="2021-03"), 0))), "Left", "Ativo")</f>
        <v>Ativo</v>
      </c>
      <c r="F18" s="12" t="str" cm="1">
        <f t="array" ref="F18">IF(AND(A18="2021-03", ISNA(MATCH(B18, _xlfn._xlws.FILTER(B:B, A:A="2021-04"), 0))), "Left", "Ativo")</f>
        <v>Ativo</v>
      </c>
    </row>
    <row r="19" spans="1:6" x14ac:dyDescent="0.25">
      <c r="A19" t="s">
        <v>1528</v>
      </c>
      <c r="B19" t="s">
        <v>18</v>
      </c>
      <c r="C19" s="10" t="str" cm="1">
        <f t="array" ref="C19">IF(AND(A19="2020-12", ISNA(MATCH(B19, _xlfn._xlws.FILTER(B:B, A:A="2021-01"), 0))), "Left", "Ativo")</f>
        <v>Ativo</v>
      </c>
      <c r="D19" s="10" t="str" cm="1">
        <f t="array" ref="D19">IF(AND(A19="2021-01", ISNA(MATCH(B19, _xlfn._xlws.FILTER(B:B, A:A="2021-02"), 0))), "Left", "Ativo")</f>
        <v>Ativo</v>
      </c>
      <c r="E19" s="10" t="str" cm="1">
        <f t="array" ref="E19">IF(AND(A19="2021-02", ISNA(MATCH(B19, _xlfn._xlws.FILTER(B:B, A:A="2021-03"), 0))), "Left", "Ativo")</f>
        <v>Ativo</v>
      </c>
      <c r="F19" s="12" t="str" cm="1">
        <f t="array" ref="F19">IF(AND(A19="2021-03", ISNA(MATCH(B19, _xlfn._xlws.FILTER(B:B, A:A="2021-04"), 0))), "Left", "Ativo")</f>
        <v>Ativo</v>
      </c>
    </row>
    <row r="20" spans="1:6" x14ac:dyDescent="0.25">
      <c r="A20" t="s">
        <v>1528</v>
      </c>
      <c r="B20" t="s">
        <v>19</v>
      </c>
      <c r="C20" s="10" t="str" cm="1">
        <f t="array" ref="C20">IF(AND(A20="2020-12", ISNA(MATCH(B20, _xlfn._xlws.FILTER(B:B, A:A="2021-01"), 0))), "Left", "Ativo")</f>
        <v>Ativo</v>
      </c>
      <c r="D20" s="10" t="str" cm="1">
        <f t="array" ref="D20">IF(AND(A20="2021-01", ISNA(MATCH(B20, _xlfn._xlws.FILTER(B:B, A:A="2021-02"), 0))), "Left", "Ativo")</f>
        <v>Ativo</v>
      </c>
      <c r="E20" s="10" t="str" cm="1">
        <f t="array" ref="E20">IF(AND(A20="2021-02", ISNA(MATCH(B20, _xlfn._xlws.FILTER(B:B, A:A="2021-03"), 0))), "Left", "Ativo")</f>
        <v>Ativo</v>
      </c>
      <c r="F20" s="12" t="str" cm="1">
        <f t="array" ref="F20">IF(AND(A20="2021-03", ISNA(MATCH(B20, _xlfn._xlws.FILTER(B:B, A:A="2021-04"), 0))), "Left", "Ativo")</f>
        <v>Ativo</v>
      </c>
    </row>
    <row r="21" spans="1:6" x14ac:dyDescent="0.25">
      <c r="A21" t="s">
        <v>1528</v>
      </c>
      <c r="B21" t="s">
        <v>20</v>
      </c>
      <c r="C21" s="10" t="str" cm="1">
        <f t="array" ref="C21">IF(AND(A21="2020-12", ISNA(MATCH(B21, _xlfn._xlws.FILTER(B:B, A:A="2021-01"), 0))), "Left", "Ativo")</f>
        <v>Ativo</v>
      </c>
      <c r="D21" s="10" t="str" cm="1">
        <f t="array" ref="D21">IF(AND(A21="2021-01", ISNA(MATCH(B21, _xlfn._xlws.FILTER(B:B, A:A="2021-02"), 0))), "Left", "Ativo")</f>
        <v>Ativo</v>
      </c>
      <c r="E21" s="10" t="str" cm="1">
        <f t="array" ref="E21">IF(AND(A21="2021-02", ISNA(MATCH(B21, _xlfn._xlws.FILTER(B:B, A:A="2021-03"), 0))), "Left", "Ativo")</f>
        <v>Ativo</v>
      </c>
      <c r="F21" s="12" t="str" cm="1">
        <f t="array" ref="F21">IF(AND(A21="2021-03", ISNA(MATCH(B21, _xlfn._xlws.FILTER(B:B, A:A="2021-04"), 0))), "Left", "Ativo")</f>
        <v>Ativo</v>
      </c>
    </row>
    <row r="22" spans="1:6" x14ac:dyDescent="0.25">
      <c r="A22" t="s">
        <v>1528</v>
      </c>
      <c r="B22" t="s">
        <v>21</v>
      </c>
      <c r="C22" s="10" t="str" cm="1">
        <f t="array" ref="C22">IF(AND(A22="2020-12", ISNA(MATCH(B22, _xlfn._xlws.FILTER(B:B, A:A="2021-01"), 0))), "Left", "Ativo")</f>
        <v>Ativo</v>
      </c>
      <c r="D22" s="10" t="str" cm="1">
        <f t="array" ref="D22">IF(AND(A22="2021-01", ISNA(MATCH(B22, _xlfn._xlws.FILTER(B:B, A:A="2021-02"), 0))), "Left", "Ativo")</f>
        <v>Ativo</v>
      </c>
      <c r="E22" s="10" t="str" cm="1">
        <f t="array" ref="E22">IF(AND(A22="2021-02", ISNA(MATCH(B22, _xlfn._xlws.FILTER(B:B, A:A="2021-03"), 0))), "Left", "Ativo")</f>
        <v>Ativo</v>
      </c>
      <c r="F22" s="12" t="str" cm="1">
        <f t="array" ref="F22">IF(AND(A22="2021-03", ISNA(MATCH(B22, _xlfn._xlws.FILTER(B:B, A:A="2021-04"), 0))), "Left", "Ativo")</f>
        <v>Ativo</v>
      </c>
    </row>
    <row r="23" spans="1:6" x14ac:dyDescent="0.25">
      <c r="A23" t="s">
        <v>1528</v>
      </c>
      <c r="B23" t="s">
        <v>22</v>
      </c>
      <c r="C23" s="10" t="str" cm="1">
        <f t="array" ref="C23">IF(AND(A23="2020-12", ISNA(MATCH(B23, _xlfn._xlws.FILTER(B:B, A:A="2021-01"), 0))), "Left", "Ativo")</f>
        <v>Ativo</v>
      </c>
      <c r="D23" s="10" t="str" cm="1">
        <f t="array" ref="D23">IF(AND(A23="2021-01", ISNA(MATCH(B23, _xlfn._xlws.FILTER(B:B, A:A="2021-02"), 0))), "Left", "Ativo")</f>
        <v>Ativo</v>
      </c>
      <c r="E23" s="10" t="str" cm="1">
        <f t="array" ref="E23">IF(AND(A23="2021-02", ISNA(MATCH(B23, _xlfn._xlws.FILTER(B:B, A:A="2021-03"), 0))), "Left", "Ativo")</f>
        <v>Ativo</v>
      </c>
      <c r="F23" s="12" t="str" cm="1">
        <f t="array" ref="F23">IF(AND(A23="2021-03", ISNA(MATCH(B23, _xlfn._xlws.FILTER(B:B, A:A="2021-04"), 0))), "Left", "Ativo")</f>
        <v>Ativo</v>
      </c>
    </row>
    <row r="24" spans="1:6" x14ac:dyDescent="0.25">
      <c r="A24" t="s">
        <v>1528</v>
      </c>
      <c r="B24" t="s">
        <v>23</v>
      </c>
      <c r="C24" s="10" t="str" cm="1">
        <f t="array" ref="C24">IF(AND(A24="2020-12", ISNA(MATCH(B24, _xlfn._xlws.FILTER(B:B, A:A="2021-01"), 0))), "Left", "Ativo")</f>
        <v>Ativo</v>
      </c>
      <c r="D24" s="10" t="str" cm="1">
        <f t="array" ref="D24">IF(AND(A24="2021-01", ISNA(MATCH(B24, _xlfn._xlws.FILTER(B:B, A:A="2021-02"), 0))), "Left", "Ativo")</f>
        <v>Ativo</v>
      </c>
      <c r="E24" s="10" t="str" cm="1">
        <f t="array" ref="E24">IF(AND(A24="2021-02", ISNA(MATCH(B24, _xlfn._xlws.FILTER(B:B, A:A="2021-03"), 0))), "Left", "Ativo")</f>
        <v>Ativo</v>
      </c>
      <c r="F24" s="12" t="str" cm="1">
        <f t="array" ref="F24">IF(AND(A24="2021-03", ISNA(MATCH(B24, _xlfn._xlws.FILTER(B:B, A:A="2021-04"), 0))), "Left", "Ativo")</f>
        <v>Ativo</v>
      </c>
    </row>
    <row r="25" spans="1:6" x14ac:dyDescent="0.25">
      <c r="A25" t="s">
        <v>1528</v>
      </c>
      <c r="B25" t="s">
        <v>24</v>
      </c>
      <c r="C25" s="10" t="str" cm="1">
        <f t="array" ref="C25">IF(AND(A25="2020-12", ISNA(MATCH(B25, _xlfn._xlws.FILTER(B:B, A:A="2021-01"), 0))), "Left", "Ativo")</f>
        <v>Ativo</v>
      </c>
      <c r="D25" s="10" t="str" cm="1">
        <f t="array" ref="D25">IF(AND(A25="2021-01", ISNA(MATCH(B25, _xlfn._xlws.FILTER(B:B, A:A="2021-02"), 0))), "Left", "Ativo")</f>
        <v>Ativo</v>
      </c>
      <c r="E25" s="10" t="str" cm="1">
        <f t="array" ref="E25">IF(AND(A25="2021-02", ISNA(MATCH(B25, _xlfn._xlws.FILTER(B:B, A:A="2021-03"), 0))), "Left", "Ativo")</f>
        <v>Ativo</v>
      </c>
      <c r="F25" s="12" t="str" cm="1">
        <f t="array" ref="F25">IF(AND(A25="2021-03", ISNA(MATCH(B25, _xlfn._xlws.FILTER(B:B, A:A="2021-04"), 0))), "Left", "Ativo")</f>
        <v>Ativo</v>
      </c>
    </row>
    <row r="26" spans="1:6" x14ac:dyDescent="0.25">
      <c r="A26" t="s">
        <v>1528</v>
      </c>
      <c r="B26" t="s">
        <v>25</v>
      </c>
      <c r="C26" s="10" t="str" cm="1">
        <f t="array" ref="C26">IF(AND(A26="2020-12", ISNA(MATCH(B26, _xlfn._xlws.FILTER(B:B, A:A="2021-01"), 0))), "Left", "Ativo")</f>
        <v>Ativo</v>
      </c>
      <c r="D26" s="10" t="str" cm="1">
        <f t="array" ref="D26">IF(AND(A26="2021-01", ISNA(MATCH(B26, _xlfn._xlws.FILTER(B:B, A:A="2021-02"), 0))), "Left", "Ativo")</f>
        <v>Ativo</v>
      </c>
      <c r="E26" s="10" t="str" cm="1">
        <f t="array" ref="E26">IF(AND(A26="2021-02", ISNA(MATCH(B26, _xlfn._xlws.FILTER(B:B, A:A="2021-03"), 0))), "Left", "Ativo")</f>
        <v>Ativo</v>
      </c>
      <c r="F26" s="12" t="str" cm="1">
        <f t="array" ref="F26">IF(AND(A26="2021-03", ISNA(MATCH(B26, _xlfn._xlws.FILTER(B:B, A:A="2021-04"), 0))), "Left", "Ativo")</f>
        <v>Ativo</v>
      </c>
    </row>
    <row r="27" spans="1:6" x14ac:dyDescent="0.25">
      <c r="A27" t="s">
        <v>1528</v>
      </c>
      <c r="B27" t="s">
        <v>26</v>
      </c>
      <c r="C27" s="10" t="str" cm="1">
        <f t="array" ref="C27">IF(AND(A27="2020-12", ISNA(MATCH(B27, _xlfn._xlws.FILTER(B:B, A:A="2021-01"), 0))), "Left", "Ativo")</f>
        <v>Ativo</v>
      </c>
      <c r="D27" s="10" t="str" cm="1">
        <f t="array" ref="D27">IF(AND(A27="2021-01", ISNA(MATCH(B27, _xlfn._xlws.FILTER(B:B, A:A="2021-02"), 0))), "Left", "Ativo")</f>
        <v>Ativo</v>
      </c>
      <c r="E27" s="10" t="str" cm="1">
        <f t="array" ref="E27">IF(AND(A27="2021-02", ISNA(MATCH(B27, _xlfn._xlws.FILTER(B:B, A:A="2021-03"), 0))), "Left", "Ativo")</f>
        <v>Ativo</v>
      </c>
      <c r="F27" s="12" t="str" cm="1">
        <f t="array" ref="F27">IF(AND(A27="2021-03", ISNA(MATCH(B27, _xlfn._xlws.FILTER(B:B, A:A="2021-04"), 0))), "Left", "Ativo")</f>
        <v>Ativo</v>
      </c>
    </row>
    <row r="28" spans="1:6" x14ac:dyDescent="0.25">
      <c r="A28" t="s">
        <v>1528</v>
      </c>
      <c r="B28" t="s">
        <v>27</v>
      </c>
      <c r="C28" s="10" t="str" cm="1">
        <f t="array" ref="C28">IF(AND(A28="2020-12", ISNA(MATCH(B28, _xlfn._xlws.FILTER(B:B, A:A="2021-01"), 0))), "Left", "Ativo")</f>
        <v>Ativo</v>
      </c>
      <c r="D28" s="10" t="str" cm="1">
        <f t="array" ref="D28">IF(AND(A28="2021-01", ISNA(MATCH(B28, _xlfn._xlws.FILTER(B:B, A:A="2021-02"), 0))), "Left", "Ativo")</f>
        <v>Ativo</v>
      </c>
      <c r="E28" s="10" t="str" cm="1">
        <f t="array" ref="E28">IF(AND(A28="2021-02", ISNA(MATCH(B28, _xlfn._xlws.FILTER(B:B, A:A="2021-03"), 0))), "Left", "Ativo")</f>
        <v>Ativo</v>
      </c>
      <c r="F28" s="12" t="str" cm="1">
        <f t="array" ref="F28">IF(AND(A28="2021-03", ISNA(MATCH(B28, _xlfn._xlws.FILTER(B:B, A:A="2021-04"), 0))), "Left", "Ativo")</f>
        <v>Ativo</v>
      </c>
    </row>
    <row r="29" spans="1:6" x14ac:dyDescent="0.25">
      <c r="A29" t="s">
        <v>1528</v>
      </c>
      <c r="B29" t="s">
        <v>28</v>
      </c>
      <c r="C29" s="10" t="str" cm="1">
        <f t="array" ref="C29">IF(AND(A29="2020-12", ISNA(MATCH(B29, _xlfn._xlws.FILTER(B:B, A:A="2021-01"), 0))), "Left", "Ativo")</f>
        <v>Ativo</v>
      </c>
      <c r="D29" s="10" t="str" cm="1">
        <f t="array" ref="D29">IF(AND(A29="2021-01", ISNA(MATCH(B29, _xlfn._xlws.FILTER(B:B, A:A="2021-02"), 0))), "Left", "Ativo")</f>
        <v>Ativo</v>
      </c>
      <c r="E29" s="10" t="str" cm="1">
        <f t="array" ref="E29">IF(AND(A29="2021-02", ISNA(MATCH(B29, _xlfn._xlws.FILTER(B:B, A:A="2021-03"), 0))), "Left", "Ativo")</f>
        <v>Ativo</v>
      </c>
      <c r="F29" s="12" t="str" cm="1">
        <f t="array" ref="F29">IF(AND(A29="2021-03", ISNA(MATCH(B29, _xlfn._xlws.FILTER(B:B, A:A="2021-04"), 0))), "Left", "Ativo")</f>
        <v>Ativo</v>
      </c>
    </row>
    <row r="30" spans="1:6" x14ac:dyDescent="0.25">
      <c r="A30" t="s">
        <v>1528</v>
      </c>
      <c r="B30" t="s">
        <v>29</v>
      </c>
      <c r="C30" s="10" t="str" cm="1">
        <f t="array" ref="C30">IF(AND(A30="2020-12", ISNA(MATCH(B30, _xlfn._xlws.FILTER(B:B, A:A="2021-01"), 0))), "Left", "Ativo")</f>
        <v>Ativo</v>
      </c>
      <c r="D30" s="10" t="str" cm="1">
        <f t="array" ref="D30">IF(AND(A30="2021-01", ISNA(MATCH(B30, _xlfn._xlws.FILTER(B:B, A:A="2021-02"), 0))), "Left", "Ativo")</f>
        <v>Ativo</v>
      </c>
      <c r="E30" s="10" t="str" cm="1">
        <f t="array" ref="E30">IF(AND(A30="2021-02", ISNA(MATCH(B30, _xlfn._xlws.FILTER(B:B, A:A="2021-03"), 0))), "Left", "Ativo")</f>
        <v>Ativo</v>
      </c>
      <c r="F30" s="12" t="str" cm="1">
        <f t="array" ref="F30">IF(AND(A30="2021-03", ISNA(MATCH(B30, _xlfn._xlws.FILTER(B:B, A:A="2021-04"), 0))), "Left", "Ativo")</f>
        <v>Ativo</v>
      </c>
    </row>
    <row r="31" spans="1:6" x14ac:dyDescent="0.25">
      <c r="A31" t="s">
        <v>1528</v>
      </c>
      <c r="B31" t="s">
        <v>30</v>
      </c>
      <c r="C31" s="10" t="str" cm="1">
        <f t="array" ref="C31">IF(AND(A31="2020-12", ISNA(MATCH(B31, _xlfn._xlws.FILTER(B:B, A:A="2021-01"), 0))), "Left", "Ativo")</f>
        <v>Ativo</v>
      </c>
      <c r="D31" s="10" t="str" cm="1">
        <f t="array" ref="D31">IF(AND(A31="2021-01", ISNA(MATCH(B31, _xlfn._xlws.FILTER(B:B, A:A="2021-02"), 0))), "Left", "Ativo")</f>
        <v>Ativo</v>
      </c>
      <c r="E31" s="10" t="str" cm="1">
        <f t="array" ref="E31">IF(AND(A31="2021-02", ISNA(MATCH(B31, _xlfn._xlws.FILTER(B:B, A:A="2021-03"), 0))), "Left", "Ativo")</f>
        <v>Ativo</v>
      </c>
      <c r="F31" s="12" t="str" cm="1">
        <f t="array" ref="F31">IF(AND(A31="2021-03", ISNA(MATCH(B31, _xlfn._xlws.FILTER(B:B, A:A="2021-04"), 0))), "Left", "Ativo")</f>
        <v>Ativo</v>
      </c>
    </row>
    <row r="32" spans="1:6" x14ac:dyDescent="0.25">
      <c r="A32" t="s">
        <v>1528</v>
      </c>
      <c r="B32" t="s">
        <v>31</v>
      </c>
      <c r="C32" s="10" t="str" cm="1">
        <f t="array" ref="C32">IF(AND(A32="2020-12", ISNA(MATCH(B32, _xlfn._xlws.FILTER(B:B, A:A="2021-01"), 0))), "Left", "Ativo")</f>
        <v>Ativo</v>
      </c>
      <c r="D32" s="10" t="str" cm="1">
        <f t="array" ref="D32">IF(AND(A32="2021-01", ISNA(MATCH(B32, _xlfn._xlws.FILTER(B:B, A:A="2021-02"), 0))), "Left", "Ativo")</f>
        <v>Ativo</v>
      </c>
      <c r="E32" s="10" t="str" cm="1">
        <f t="array" ref="E32">IF(AND(A32="2021-02", ISNA(MATCH(B32, _xlfn._xlws.FILTER(B:B, A:A="2021-03"), 0))), "Left", "Ativo")</f>
        <v>Ativo</v>
      </c>
      <c r="F32" s="12" t="str" cm="1">
        <f t="array" ref="F32">IF(AND(A32="2021-03", ISNA(MATCH(B32, _xlfn._xlws.FILTER(B:B, A:A="2021-04"), 0))), "Left", "Ativo")</f>
        <v>Ativo</v>
      </c>
    </row>
    <row r="33" spans="1:6" x14ac:dyDescent="0.25">
      <c r="A33" t="s">
        <v>1528</v>
      </c>
      <c r="B33" t="s">
        <v>32</v>
      </c>
      <c r="C33" s="10" t="str" cm="1">
        <f t="array" ref="C33">IF(AND(A33="2020-12", ISNA(MATCH(B33, _xlfn._xlws.FILTER(B:B, A:A="2021-01"), 0))), "Left", "Ativo")</f>
        <v>Ativo</v>
      </c>
      <c r="D33" s="10" t="str" cm="1">
        <f t="array" ref="D33">IF(AND(A33="2021-01", ISNA(MATCH(B33, _xlfn._xlws.FILTER(B:B, A:A="2021-02"), 0))), "Left", "Ativo")</f>
        <v>Ativo</v>
      </c>
      <c r="E33" s="10" t="str" cm="1">
        <f t="array" ref="E33">IF(AND(A33="2021-02", ISNA(MATCH(B33, _xlfn._xlws.FILTER(B:B, A:A="2021-03"), 0))), "Left", "Ativo")</f>
        <v>Ativo</v>
      </c>
      <c r="F33" s="12" t="str" cm="1">
        <f t="array" ref="F33">IF(AND(A33="2021-03", ISNA(MATCH(B33, _xlfn._xlws.FILTER(B:B, A:A="2021-04"), 0))), "Left", "Ativo")</f>
        <v>Ativo</v>
      </c>
    </row>
    <row r="34" spans="1:6" x14ac:dyDescent="0.25">
      <c r="A34" t="s">
        <v>1528</v>
      </c>
      <c r="B34" t="s">
        <v>33</v>
      </c>
      <c r="C34" s="10" t="str" cm="1">
        <f t="array" ref="C34">IF(AND(A34="2020-12", ISNA(MATCH(B34, _xlfn._xlws.FILTER(B:B, A:A="2021-01"), 0))), "Left", "Ativo")</f>
        <v>Ativo</v>
      </c>
      <c r="D34" s="10" t="str" cm="1">
        <f t="array" ref="D34">IF(AND(A34="2021-01", ISNA(MATCH(B34, _xlfn._xlws.FILTER(B:B, A:A="2021-02"), 0))), "Left", "Ativo")</f>
        <v>Ativo</v>
      </c>
      <c r="E34" s="10" t="str" cm="1">
        <f t="array" ref="E34">IF(AND(A34="2021-02", ISNA(MATCH(B34, _xlfn._xlws.FILTER(B:B, A:A="2021-03"), 0))), "Left", "Ativo")</f>
        <v>Ativo</v>
      </c>
      <c r="F34" s="12" t="str" cm="1">
        <f t="array" ref="F34">IF(AND(A34="2021-03", ISNA(MATCH(B34, _xlfn._xlws.FILTER(B:B, A:A="2021-04"), 0))), "Left", "Ativo")</f>
        <v>Ativo</v>
      </c>
    </row>
    <row r="35" spans="1:6" x14ac:dyDescent="0.25">
      <c r="A35" t="s">
        <v>1528</v>
      </c>
      <c r="B35" t="s">
        <v>34</v>
      </c>
      <c r="C35" s="10" t="str" cm="1">
        <f t="array" ref="C35">IF(AND(A35="2020-12", ISNA(MATCH(B35, _xlfn._xlws.FILTER(B:B, A:A="2021-01"), 0))), "Left", "Ativo")</f>
        <v>Ativo</v>
      </c>
      <c r="D35" s="10" t="str" cm="1">
        <f t="array" ref="D35">IF(AND(A35="2021-01", ISNA(MATCH(B35, _xlfn._xlws.FILTER(B:B, A:A="2021-02"), 0))), "Left", "Ativo")</f>
        <v>Ativo</v>
      </c>
      <c r="E35" s="10" t="str" cm="1">
        <f t="array" ref="E35">IF(AND(A35="2021-02", ISNA(MATCH(B35, _xlfn._xlws.FILTER(B:B, A:A="2021-03"), 0))), "Left", "Ativo")</f>
        <v>Ativo</v>
      </c>
      <c r="F35" s="12" t="str" cm="1">
        <f t="array" ref="F35">IF(AND(A35="2021-03", ISNA(MATCH(B35, _xlfn._xlws.FILTER(B:B, A:A="2021-04"), 0))), "Left", "Ativo")</f>
        <v>Ativo</v>
      </c>
    </row>
    <row r="36" spans="1:6" x14ac:dyDescent="0.25">
      <c r="A36" t="s">
        <v>1528</v>
      </c>
      <c r="B36" t="s">
        <v>35</v>
      </c>
      <c r="C36" s="10" t="str" cm="1">
        <f t="array" ref="C36">IF(AND(A36="2020-12", ISNA(MATCH(B36, _xlfn._xlws.FILTER(B:B, A:A="2021-01"), 0))), "Left", "Ativo")</f>
        <v>Ativo</v>
      </c>
      <c r="D36" s="10" t="str" cm="1">
        <f t="array" ref="D36">IF(AND(A36="2021-01", ISNA(MATCH(B36, _xlfn._xlws.FILTER(B:B, A:A="2021-02"), 0))), "Left", "Ativo")</f>
        <v>Ativo</v>
      </c>
      <c r="E36" s="10" t="str" cm="1">
        <f t="array" ref="E36">IF(AND(A36="2021-02", ISNA(MATCH(B36, _xlfn._xlws.FILTER(B:B, A:A="2021-03"), 0))), "Left", "Ativo")</f>
        <v>Ativo</v>
      </c>
      <c r="F36" s="12" t="str" cm="1">
        <f t="array" ref="F36">IF(AND(A36="2021-03", ISNA(MATCH(B36, _xlfn._xlws.FILTER(B:B, A:A="2021-04"), 0))), "Left", "Ativo")</f>
        <v>Ativo</v>
      </c>
    </row>
    <row r="37" spans="1:6" x14ac:dyDescent="0.25">
      <c r="A37" t="s">
        <v>1528</v>
      </c>
      <c r="B37" t="s">
        <v>36</v>
      </c>
      <c r="C37" s="10" t="str" cm="1">
        <f t="array" ref="C37">IF(AND(A37="2020-12", ISNA(MATCH(B37, _xlfn._xlws.FILTER(B:B, A:A="2021-01"), 0))), "Left", "Ativo")</f>
        <v>Ativo</v>
      </c>
      <c r="D37" s="10" t="str" cm="1">
        <f t="array" ref="D37">IF(AND(A37="2021-01", ISNA(MATCH(B37, _xlfn._xlws.FILTER(B:B, A:A="2021-02"), 0))), "Left", "Ativo")</f>
        <v>Ativo</v>
      </c>
      <c r="E37" s="10" t="str" cm="1">
        <f t="array" ref="E37">IF(AND(A37="2021-02", ISNA(MATCH(B37, _xlfn._xlws.FILTER(B:B, A:A="2021-03"), 0))), "Left", "Ativo")</f>
        <v>Ativo</v>
      </c>
      <c r="F37" s="12" t="str" cm="1">
        <f t="array" ref="F37">IF(AND(A37="2021-03", ISNA(MATCH(B37, _xlfn._xlws.FILTER(B:B, A:A="2021-04"), 0))), "Left", "Ativo")</f>
        <v>Ativo</v>
      </c>
    </row>
    <row r="38" spans="1:6" x14ac:dyDescent="0.25">
      <c r="A38" t="s">
        <v>1528</v>
      </c>
      <c r="B38" t="s">
        <v>37</v>
      </c>
      <c r="C38" s="10" t="str" cm="1">
        <f t="array" ref="C38">IF(AND(A38="2020-12", ISNA(MATCH(B38, _xlfn._xlws.FILTER(B:B, A:A="2021-01"), 0))), "Left", "Ativo")</f>
        <v>Ativo</v>
      </c>
      <c r="D38" s="10" t="str" cm="1">
        <f t="array" ref="D38">IF(AND(A38="2021-01", ISNA(MATCH(B38, _xlfn._xlws.FILTER(B:B, A:A="2021-02"), 0))), "Left", "Ativo")</f>
        <v>Ativo</v>
      </c>
      <c r="E38" s="10" t="str" cm="1">
        <f t="array" ref="E38">IF(AND(A38="2021-02", ISNA(MATCH(B38, _xlfn._xlws.FILTER(B:B, A:A="2021-03"), 0))), "Left", "Ativo")</f>
        <v>Ativo</v>
      </c>
      <c r="F38" s="12" t="str" cm="1">
        <f t="array" ref="F38">IF(AND(A38="2021-03", ISNA(MATCH(B38, _xlfn._xlws.FILTER(B:B, A:A="2021-04"), 0))), "Left", "Ativo")</f>
        <v>Ativo</v>
      </c>
    </row>
    <row r="39" spans="1:6" x14ac:dyDescent="0.25">
      <c r="A39" t="s">
        <v>1528</v>
      </c>
      <c r="B39" t="s">
        <v>38</v>
      </c>
      <c r="C39" s="10" t="str" cm="1">
        <f t="array" ref="C39">IF(AND(A39="2020-12", ISNA(MATCH(B39, _xlfn._xlws.FILTER(B:B, A:A="2021-01"), 0))), "Left", "Ativo")</f>
        <v>Ativo</v>
      </c>
      <c r="D39" s="10" t="str" cm="1">
        <f t="array" ref="D39">IF(AND(A39="2021-01", ISNA(MATCH(B39, _xlfn._xlws.FILTER(B:B, A:A="2021-02"), 0))), "Left", "Ativo")</f>
        <v>Ativo</v>
      </c>
      <c r="E39" s="10" t="str" cm="1">
        <f t="array" ref="E39">IF(AND(A39="2021-02", ISNA(MATCH(B39, _xlfn._xlws.FILTER(B:B, A:A="2021-03"), 0))), "Left", "Ativo")</f>
        <v>Ativo</v>
      </c>
      <c r="F39" s="12" t="str" cm="1">
        <f t="array" ref="F39">IF(AND(A39="2021-03", ISNA(MATCH(B39, _xlfn._xlws.FILTER(B:B, A:A="2021-04"), 0))), "Left", "Ativo")</f>
        <v>Ativo</v>
      </c>
    </row>
    <row r="40" spans="1:6" x14ac:dyDescent="0.25">
      <c r="A40" t="s">
        <v>1528</v>
      </c>
      <c r="B40" t="s">
        <v>39</v>
      </c>
      <c r="C40" s="10" t="str" cm="1">
        <f t="array" ref="C40">IF(AND(A40="2020-12", ISNA(MATCH(B40, _xlfn._xlws.FILTER(B:B, A:A="2021-01"), 0))), "Left", "Ativo")</f>
        <v>Ativo</v>
      </c>
      <c r="D40" s="10" t="str" cm="1">
        <f t="array" ref="D40">IF(AND(A40="2021-01", ISNA(MATCH(B40, _xlfn._xlws.FILTER(B:B, A:A="2021-02"), 0))), "Left", "Ativo")</f>
        <v>Ativo</v>
      </c>
      <c r="E40" s="10" t="str" cm="1">
        <f t="array" ref="E40">IF(AND(A40="2021-02", ISNA(MATCH(B40, _xlfn._xlws.FILTER(B:B, A:A="2021-03"), 0))), "Left", "Ativo")</f>
        <v>Ativo</v>
      </c>
      <c r="F40" s="12" t="str" cm="1">
        <f t="array" ref="F40">IF(AND(A40="2021-03", ISNA(MATCH(B40, _xlfn._xlws.FILTER(B:B, A:A="2021-04"), 0))), "Left", "Ativo")</f>
        <v>Ativo</v>
      </c>
    </row>
    <row r="41" spans="1:6" x14ac:dyDescent="0.25">
      <c r="A41" t="s">
        <v>1528</v>
      </c>
      <c r="B41" t="s">
        <v>40</v>
      </c>
      <c r="C41" s="10" t="str" cm="1">
        <f t="array" ref="C41">IF(AND(A41="2020-12", ISNA(MATCH(B41, _xlfn._xlws.FILTER(B:B, A:A="2021-01"), 0))), "Left", "Ativo")</f>
        <v>Ativo</v>
      </c>
      <c r="D41" s="10" t="str" cm="1">
        <f t="array" ref="D41">IF(AND(A41="2021-01", ISNA(MATCH(B41, _xlfn._xlws.FILTER(B:B, A:A="2021-02"), 0))), "Left", "Ativo")</f>
        <v>Ativo</v>
      </c>
      <c r="E41" s="10" t="str" cm="1">
        <f t="array" ref="E41">IF(AND(A41="2021-02", ISNA(MATCH(B41, _xlfn._xlws.FILTER(B:B, A:A="2021-03"), 0))), "Left", "Ativo")</f>
        <v>Ativo</v>
      </c>
      <c r="F41" s="12" t="str" cm="1">
        <f t="array" ref="F41">IF(AND(A41="2021-03", ISNA(MATCH(B41, _xlfn._xlws.FILTER(B:B, A:A="2021-04"), 0))), "Left", "Ativo")</f>
        <v>Ativo</v>
      </c>
    </row>
    <row r="42" spans="1:6" x14ac:dyDescent="0.25">
      <c r="A42" t="s">
        <v>1528</v>
      </c>
      <c r="B42" t="s">
        <v>41</v>
      </c>
      <c r="C42" s="10" t="str" cm="1">
        <f t="array" ref="C42">IF(AND(A42="2020-12", ISNA(MATCH(B42, _xlfn._xlws.FILTER(B:B, A:A="2021-01"), 0))), "Left", "Ativo")</f>
        <v>Ativo</v>
      </c>
      <c r="D42" s="10" t="str" cm="1">
        <f t="array" ref="D42">IF(AND(A42="2021-01", ISNA(MATCH(B42, _xlfn._xlws.FILTER(B:B, A:A="2021-02"), 0))), "Left", "Ativo")</f>
        <v>Ativo</v>
      </c>
      <c r="E42" s="10" t="str" cm="1">
        <f t="array" ref="E42">IF(AND(A42="2021-02", ISNA(MATCH(B42, _xlfn._xlws.FILTER(B:B, A:A="2021-03"), 0))), "Left", "Ativo")</f>
        <v>Ativo</v>
      </c>
      <c r="F42" s="12" t="str" cm="1">
        <f t="array" ref="F42">IF(AND(A42="2021-03", ISNA(MATCH(B42, _xlfn._xlws.FILTER(B:B, A:A="2021-04"), 0))), "Left", "Ativo")</f>
        <v>Ativo</v>
      </c>
    </row>
    <row r="43" spans="1:6" x14ac:dyDescent="0.25">
      <c r="A43" t="s">
        <v>1528</v>
      </c>
      <c r="B43" t="s">
        <v>42</v>
      </c>
      <c r="C43" s="10" t="str" cm="1">
        <f t="array" ref="C43">IF(AND(A43="2020-12", ISNA(MATCH(B43, _xlfn._xlws.FILTER(B:B, A:A="2021-01"), 0))), "Left", "Ativo")</f>
        <v>Ativo</v>
      </c>
      <c r="D43" s="10" t="str" cm="1">
        <f t="array" ref="D43">IF(AND(A43="2021-01", ISNA(MATCH(B43, _xlfn._xlws.FILTER(B:B, A:A="2021-02"), 0))), "Left", "Ativo")</f>
        <v>Ativo</v>
      </c>
      <c r="E43" s="10" t="str" cm="1">
        <f t="array" ref="E43">IF(AND(A43="2021-02", ISNA(MATCH(B43, _xlfn._xlws.FILTER(B:B, A:A="2021-03"), 0))), "Left", "Ativo")</f>
        <v>Ativo</v>
      </c>
      <c r="F43" s="12" t="str" cm="1">
        <f t="array" ref="F43">IF(AND(A43="2021-03", ISNA(MATCH(B43, _xlfn._xlws.FILTER(B:B, A:A="2021-04"), 0))), "Left", "Ativo")</f>
        <v>Ativo</v>
      </c>
    </row>
    <row r="44" spans="1:6" x14ac:dyDescent="0.25">
      <c r="A44" t="s">
        <v>1528</v>
      </c>
      <c r="B44" t="s">
        <v>43</v>
      </c>
      <c r="C44" s="10" t="str" cm="1">
        <f t="array" ref="C44">IF(AND(A44="2020-12", ISNA(MATCH(B44, _xlfn._xlws.FILTER(B:B, A:A="2021-01"), 0))), "Left", "Ativo")</f>
        <v>Ativo</v>
      </c>
      <c r="D44" s="10" t="str" cm="1">
        <f t="array" ref="D44">IF(AND(A44="2021-01", ISNA(MATCH(B44, _xlfn._xlws.FILTER(B:B, A:A="2021-02"), 0))), "Left", "Ativo")</f>
        <v>Ativo</v>
      </c>
      <c r="E44" s="10" t="str" cm="1">
        <f t="array" ref="E44">IF(AND(A44="2021-02", ISNA(MATCH(B44, _xlfn._xlws.FILTER(B:B, A:A="2021-03"), 0))), "Left", "Ativo")</f>
        <v>Ativo</v>
      </c>
      <c r="F44" s="12" t="str" cm="1">
        <f t="array" ref="F44">IF(AND(A44="2021-03", ISNA(MATCH(B44, _xlfn._xlws.FILTER(B:B, A:A="2021-04"), 0))), "Left", "Ativo")</f>
        <v>Ativo</v>
      </c>
    </row>
    <row r="45" spans="1:6" x14ac:dyDescent="0.25">
      <c r="A45" t="s">
        <v>1528</v>
      </c>
      <c r="B45" t="s">
        <v>44</v>
      </c>
      <c r="C45" s="10" t="str" cm="1">
        <f t="array" ref="C45">IF(AND(A45="2020-12", ISNA(MATCH(B45, _xlfn._xlws.FILTER(B:B, A:A="2021-01"), 0))), "Left", "Ativo")</f>
        <v>Ativo</v>
      </c>
      <c r="D45" s="10" t="str" cm="1">
        <f t="array" ref="D45">IF(AND(A45="2021-01", ISNA(MATCH(B45, _xlfn._xlws.FILTER(B:B, A:A="2021-02"), 0))), "Left", "Ativo")</f>
        <v>Ativo</v>
      </c>
      <c r="E45" s="10" t="str" cm="1">
        <f t="array" ref="E45">IF(AND(A45="2021-02", ISNA(MATCH(B45, _xlfn._xlws.FILTER(B:B, A:A="2021-03"), 0))), "Left", "Ativo")</f>
        <v>Ativo</v>
      </c>
      <c r="F45" s="12" t="str" cm="1">
        <f t="array" ref="F45">IF(AND(A45="2021-03", ISNA(MATCH(B45, _xlfn._xlws.FILTER(B:B, A:A="2021-04"), 0))), "Left", "Ativo")</f>
        <v>Ativo</v>
      </c>
    </row>
    <row r="46" spans="1:6" x14ac:dyDescent="0.25">
      <c r="A46" t="s">
        <v>1528</v>
      </c>
      <c r="B46" t="s">
        <v>45</v>
      </c>
      <c r="C46" s="10" t="str" cm="1">
        <f t="array" ref="C46">IF(AND(A46="2020-12", ISNA(MATCH(B46, _xlfn._xlws.FILTER(B:B, A:A="2021-01"), 0))), "Left", "Ativo")</f>
        <v>Ativo</v>
      </c>
      <c r="D46" s="10" t="str" cm="1">
        <f t="array" ref="D46">IF(AND(A46="2021-01", ISNA(MATCH(B46, _xlfn._xlws.FILTER(B:B, A:A="2021-02"), 0))), "Left", "Ativo")</f>
        <v>Ativo</v>
      </c>
      <c r="E46" s="10" t="str" cm="1">
        <f t="array" ref="E46">IF(AND(A46="2021-02", ISNA(MATCH(B46, _xlfn._xlws.FILTER(B:B, A:A="2021-03"), 0))), "Left", "Ativo")</f>
        <v>Ativo</v>
      </c>
      <c r="F46" s="12" t="str" cm="1">
        <f t="array" ref="F46">IF(AND(A46="2021-03", ISNA(MATCH(B46, _xlfn._xlws.FILTER(B:B, A:A="2021-04"), 0))), "Left", "Ativo")</f>
        <v>Ativo</v>
      </c>
    </row>
    <row r="47" spans="1:6" x14ac:dyDescent="0.25">
      <c r="A47" t="s">
        <v>1528</v>
      </c>
      <c r="B47" t="s">
        <v>46</v>
      </c>
      <c r="C47" s="10" t="str" cm="1">
        <f t="array" ref="C47">IF(AND(A47="2020-12", ISNA(MATCH(B47, _xlfn._xlws.FILTER(B:B, A:A="2021-01"), 0))), "Left", "Ativo")</f>
        <v>Ativo</v>
      </c>
      <c r="D47" s="10" t="str" cm="1">
        <f t="array" ref="D47">IF(AND(A47="2021-01", ISNA(MATCH(B47, _xlfn._xlws.FILTER(B:B, A:A="2021-02"), 0))), "Left", "Ativo")</f>
        <v>Ativo</v>
      </c>
      <c r="E47" s="10" t="str" cm="1">
        <f t="array" ref="E47">IF(AND(A47="2021-02", ISNA(MATCH(B47, _xlfn._xlws.FILTER(B:B, A:A="2021-03"), 0))), "Left", "Ativo")</f>
        <v>Ativo</v>
      </c>
      <c r="F47" s="12" t="str" cm="1">
        <f t="array" ref="F47">IF(AND(A47="2021-03", ISNA(MATCH(B47, _xlfn._xlws.FILTER(B:B, A:A="2021-04"), 0))), "Left", "Ativo")</f>
        <v>Ativo</v>
      </c>
    </row>
    <row r="48" spans="1:6" x14ac:dyDescent="0.25">
      <c r="A48" t="s">
        <v>1528</v>
      </c>
      <c r="B48" t="s">
        <v>47</v>
      </c>
      <c r="C48" s="10" t="str" cm="1">
        <f t="array" ref="C48">IF(AND(A48="2020-12", ISNA(MATCH(B48, _xlfn._xlws.FILTER(B:B, A:A="2021-01"), 0))), "Left", "Ativo")</f>
        <v>Ativo</v>
      </c>
      <c r="D48" s="10" t="str" cm="1">
        <f t="array" ref="D48">IF(AND(A48="2021-01", ISNA(MATCH(B48, _xlfn._xlws.FILTER(B:B, A:A="2021-02"), 0))), "Left", "Ativo")</f>
        <v>Ativo</v>
      </c>
      <c r="E48" s="10" t="str" cm="1">
        <f t="array" ref="E48">IF(AND(A48="2021-02", ISNA(MATCH(B48, _xlfn._xlws.FILTER(B:B, A:A="2021-03"), 0))), "Left", "Ativo")</f>
        <v>Ativo</v>
      </c>
      <c r="F48" s="12" t="str" cm="1">
        <f t="array" ref="F48">IF(AND(A48="2021-03", ISNA(MATCH(B48, _xlfn._xlws.FILTER(B:B, A:A="2021-04"), 0))), "Left", "Ativo")</f>
        <v>Ativo</v>
      </c>
    </row>
    <row r="49" spans="1:6" x14ac:dyDescent="0.25">
      <c r="A49" t="s">
        <v>1528</v>
      </c>
      <c r="B49" t="s">
        <v>48</v>
      </c>
      <c r="C49" s="10" t="str" cm="1">
        <f t="array" ref="C49">IF(AND(A49="2020-12", ISNA(MATCH(B49, _xlfn._xlws.FILTER(B:B, A:A="2021-01"), 0))), "Left", "Ativo")</f>
        <v>Ativo</v>
      </c>
      <c r="D49" s="10" t="str" cm="1">
        <f t="array" ref="D49">IF(AND(A49="2021-01", ISNA(MATCH(B49, _xlfn._xlws.FILTER(B:B, A:A="2021-02"), 0))), "Left", "Ativo")</f>
        <v>Ativo</v>
      </c>
      <c r="E49" s="10" t="str" cm="1">
        <f t="array" ref="E49">IF(AND(A49="2021-02", ISNA(MATCH(B49, _xlfn._xlws.FILTER(B:B, A:A="2021-03"), 0))), "Left", "Ativo")</f>
        <v>Ativo</v>
      </c>
      <c r="F49" s="12" t="str" cm="1">
        <f t="array" ref="F49">IF(AND(A49="2021-03", ISNA(MATCH(B49, _xlfn._xlws.FILTER(B:B, A:A="2021-04"), 0))), "Left", "Ativo")</f>
        <v>Ativo</v>
      </c>
    </row>
    <row r="50" spans="1:6" x14ac:dyDescent="0.25">
      <c r="A50" t="s">
        <v>1528</v>
      </c>
      <c r="B50" t="s">
        <v>49</v>
      </c>
      <c r="C50" s="10" t="str" cm="1">
        <f t="array" ref="C50">IF(AND(A50="2020-12", ISNA(MATCH(B50, _xlfn._xlws.FILTER(B:B, A:A="2021-01"), 0))), "Left", "Ativo")</f>
        <v>Ativo</v>
      </c>
      <c r="D50" s="10" t="str" cm="1">
        <f t="array" ref="D50">IF(AND(A50="2021-01", ISNA(MATCH(B50, _xlfn._xlws.FILTER(B:B, A:A="2021-02"), 0))), "Left", "Ativo")</f>
        <v>Ativo</v>
      </c>
      <c r="E50" s="10" t="str" cm="1">
        <f t="array" ref="E50">IF(AND(A50="2021-02", ISNA(MATCH(B50, _xlfn._xlws.FILTER(B:B, A:A="2021-03"), 0))), "Left", "Ativo")</f>
        <v>Ativo</v>
      </c>
      <c r="F50" s="12" t="str" cm="1">
        <f t="array" ref="F50">IF(AND(A50="2021-03", ISNA(MATCH(B50, _xlfn._xlws.FILTER(B:B, A:A="2021-04"), 0))), "Left", "Ativo")</f>
        <v>Ativo</v>
      </c>
    </row>
    <row r="51" spans="1:6" x14ac:dyDescent="0.25">
      <c r="A51" t="s">
        <v>1528</v>
      </c>
      <c r="B51" t="s">
        <v>50</v>
      </c>
      <c r="C51" s="10" t="str" cm="1">
        <f t="array" ref="C51">IF(AND(A51="2020-12", ISNA(MATCH(B51, _xlfn._xlws.FILTER(B:B, A:A="2021-01"), 0))), "Left", "Ativo")</f>
        <v>Ativo</v>
      </c>
      <c r="D51" s="10" t="str" cm="1">
        <f t="array" ref="D51">IF(AND(A51="2021-01", ISNA(MATCH(B51, _xlfn._xlws.FILTER(B:B, A:A="2021-02"), 0))), "Left", "Ativo")</f>
        <v>Ativo</v>
      </c>
      <c r="E51" s="10" t="str" cm="1">
        <f t="array" ref="E51">IF(AND(A51="2021-02", ISNA(MATCH(B51, _xlfn._xlws.FILTER(B:B, A:A="2021-03"), 0))), "Left", "Ativo")</f>
        <v>Ativo</v>
      </c>
      <c r="F51" s="12" t="str" cm="1">
        <f t="array" ref="F51">IF(AND(A51="2021-03", ISNA(MATCH(B51, _xlfn._xlws.FILTER(B:B, A:A="2021-04"), 0))), "Left", "Ativo")</f>
        <v>Ativo</v>
      </c>
    </row>
    <row r="52" spans="1:6" x14ac:dyDescent="0.25">
      <c r="A52" t="s">
        <v>1528</v>
      </c>
      <c r="B52" t="s">
        <v>51</v>
      </c>
      <c r="C52" s="10" t="str" cm="1">
        <f t="array" ref="C52">IF(AND(A52="2020-12", ISNA(MATCH(B52, _xlfn._xlws.FILTER(B:B, A:A="2021-01"), 0))), "Left", "Ativo")</f>
        <v>Ativo</v>
      </c>
      <c r="D52" s="10" t="str" cm="1">
        <f t="array" ref="D52">IF(AND(A52="2021-01", ISNA(MATCH(B52, _xlfn._xlws.FILTER(B:B, A:A="2021-02"), 0))), "Left", "Ativo")</f>
        <v>Ativo</v>
      </c>
      <c r="E52" s="10" t="str" cm="1">
        <f t="array" ref="E52">IF(AND(A52="2021-02", ISNA(MATCH(B52, _xlfn._xlws.FILTER(B:B, A:A="2021-03"), 0))), "Left", "Ativo")</f>
        <v>Ativo</v>
      </c>
      <c r="F52" s="12" t="str" cm="1">
        <f t="array" ref="F52">IF(AND(A52="2021-03", ISNA(MATCH(B52, _xlfn._xlws.FILTER(B:B, A:A="2021-04"), 0))), "Left", "Ativo")</f>
        <v>Ativo</v>
      </c>
    </row>
    <row r="53" spans="1:6" x14ac:dyDescent="0.25">
      <c r="A53" t="s">
        <v>1528</v>
      </c>
      <c r="B53" t="s">
        <v>52</v>
      </c>
      <c r="C53" s="10" t="str" cm="1">
        <f t="array" ref="C53">IF(AND(A53="2020-12", ISNA(MATCH(B53, _xlfn._xlws.FILTER(B:B, A:A="2021-01"), 0))), "Left", "Ativo")</f>
        <v>Ativo</v>
      </c>
      <c r="D53" s="10" t="str" cm="1">
        <f t="array" ref="D53">IF(AND(A53="2021-01", ISNA(MATCH(B53, _xlfn._xlws.FILTER(B:B, A:A="2021-02"), 0))), "Left", "Ativo")</f>
        <v>Ativo</v>
      </c>
      <c r="E53" s="10" t="str" cm="1">
        <f t="array" ref="E53">IF(AND(A53="2021-02", ISNA(MATCH(B53, _xlfn._xlws.FILTER(B:B, A:A="2021-03"), 0))), "Left", "Ativo")</f>
        <v>Ativo</v>
      </c>
      <c r="F53" s="12" t="str" cm="1">
        <f t="array" ref="F53">IF(AND(A53="2021-03", ISNA(MATCH(B53, _xlfn._xlws.FILTER(B:B, A:A="2021-04"), 0))), "Left", "Ativo")</f>
        <v>Ativo</v>
      </c>
    </row>
    <row r="54" spans="1:6" x14ac:dyDescent="0.25">
      <c r="A54" t="s">
        <v>1528</v>
      </c>
      <c r="B54" t="s">
        <v>53</v>
      </c>
      <c r="C54" s="10" t="str" cm="1">
        <f t="array" ref="C54">IF(AND(A54="2020-12", ISNA(MATCH(B54, _xlfn._xlws.FILTER(B:B, A:A="2021-01"), 0))), "Left", "Ativo")</f>
        <v>Ativo</v>
      </c>
      <c r="D54" s="10" t="str" cm="1">
        <f t="array" ref="D54">IF(AND(A54="2021-01", ISNA(MATCH(B54, _xlfn._xlws.FILTER(B:B, A:A="2021-02"), 0))), "Left", "Ativo")</f>
        <v>Ativo</v>
      </c>
      <c r="E54" s="10" t="str" cm="1">
        <f t="array" ref="E54">IF(AND(A54="2021-02", ISNA(MATCH(B54, _xlfn._xlws.FILTER(B:B, A:A="2021-03"), 0))), "Left", "Ativo")</f>
        <v>Ativo</v>
      </c>
      <c r="F54" s="12" t="str" cm="1">
        <f t="array" ref="F54">IF(AND(A54="2021-03", ISNA(MATCH(B54, _xlfn._xlws.FILTER(B:B, A:A="2021-04"), 0))), "Left", "Ativo")</f>
        <v>Ativo</v>
      </c>
    </row>
    <row r="55" spans="1:6" x14ac:dyDescent="0.25">
      <c r="A55" t="s">
        <v>1528</v>
      </c>
      <c r="B55" t="s">
        <v>54</v>
      </c>
      <c r="C55" s="10" t="str" cm="1">
        <f t="array" ref="C55">IF(AND(A55="2020-12", ISNA(MATCH(B55, _xlfn._xlws.FILTER(B:B, A:A="2021-01"), 0))), "Left", "Ativo")</f>
        <v>Ativo</v>
      </c>
      <c r="D55" s="10" t="str" cm="1">
        <f t="array" ref="D55">IF(AND(A55="2021-01", ISNA(MATCH(B55, _xlfn._xlws.FILTER(B:B, A:A="2021-02"), 0))), "Left", "Ativo")</f>
        <v>Ativo</v>
      </c>
      <c r="E55" s="10" t="str" cm="1">
        <f t="array" ref="E55">IF(AND(A55="2021-02", ISNA(MATCH(B55, _xlfn._xlws.FILTER(B:B, A:A="2021-03"), 0))), "Left", "Ativo")</f>
        <v>Ativo</v>
      </c>
      <c r="F55" s="12" t="str" cm="1">
        <f t="array" ref="F55">IF(AND(A55="2021-03", ISNA(MATCH(B55, _xlfn._xlws.FILTER(B:B, A:A="2021-04"), 0))), "Left", "Ativo")</f>
        <v>Ativo</v>
      </c>
    </row>
    <row r="56" spans="1:6" x14ac:dyDescent="0.25">
      <c r="A56" t="s">
        <v>1528</v>
      </c>
      <c r="B56" t="s">
        <v>55</v>
      </c>
      <c r="C56" s="10" t="str" cm="1">
        <f t="array" ref="C56">IF(AND(A56="2020-12", ISNA(MATCH(B56, _xlfn._xlws.FILTER(B:B, A:A="2021-01"), 0))), "Left", "Ativo")</f>
        <v>Ativo</v>
      </c>
      <c r="D56" s="10" t="str" cm="1">
        <f t="array" ref="D56">IF(AND(A56="2021-01", ISNA(MATCH(B56, _xlfn._xlws.FILTER(B:B, A:A="2021-02"), 0))), "Left", "Ativo")</f>
        <v>Ativo</v>
      </c>
      <c r="E56" s="10" t="str" cm="1">
        <f t="array" ref="E56">IF(AND(A56="2021-02", ISNA(MATCH(B56, _xlfn._xlws.FILTER(B:B, A:A="2021-03"), 0))), "Left", "Ativo")</f>
        <v>Ativo</v>
      </c>
      <c r="F56" s="12" t="str" cm="1">
        <f t="array" ref="F56">IF(AND(A56="2021-03", ISNA(MATCH(B56, _xlfn._xlws.FILTER(B:B, A:A="2021-04"), 0))), "Left", "Ativo")</f>
        <v>Ativo</v>
      </c>
    </row>
    <row r="57" spans="1:6" x14ac:dyDescent="0.25">
      <c r="A57" t="s">
        <v>1528</v>
      </c>
      <c r="B57" t="s">
        <v>56</v>
      </c>
      <c r="C57" s="10" t="str" cm="1">
        <f t="array" ref="C57">IF(AND(A57="2020-12", ISNA(MATCH(B57, _xlfn._xlws.FILTER(B:B, A:A="2021-01"), 0))), "Left", "Ativo")</f>
        <v>Ativo</v>
      </c>
      <c r="D57" s="10" t="str" cm="1">
        <f t="array" ref="D57">IF(AND(A57="2021-01", ISNA(MATCH(B57, _xlfn._xlws.FILTER(B:B, A:A="2021-02"), 0))), "Left", "Ativo")</f>
        <v>Ativo</v>
      </c>
      <c r="E57" s="10" t="str" cm="1">
        <f t="array" ref="E57">IF(AND(A57="2021-02", ISNA(MATCH(B57, _xlfn._xlws.FILTER(B:B, A:A="2021-03"), 0))), "Left", "Ativo")</f>
        <v>Ativo</v>
      </c>
      <c r="F57" s="12" t="str" cm="1">
        <f t="array" ref="F57">IF(AND(A57="2021-03", ISNA(MATCH(B57, _xlfn._xlws.FILTER(B:B, A:A="2021-04"), 0))), "Left", "Ativo")</f>
        <v>Ativo</v>
      </c>
    </row>
    <row r="58" spans="1:6" x14ac:dyDescent="0.25">
      <c r="A58" t="s">
        <v>1528</v>
      </c>
      <c r="B58" t="s">
        <v>57</v>
      </c>
      <c r="C58" s="10" t="str" cm="1">
        <f t="array" ref="C58">IF(AND(A58="2020-12", ISNA(MATCH(B58, _xlfn._xlws.FILTER(B:B, A:A="2021-01"), 0))), "Left", "Ativo")</f>
        <v>Ativo</v>
      </c>
      <c r="D58" s="10" t="str" cm="1">
        <f t="array" ref="D58">IF(AND(A58="2021-01", ISNA(MATCH(B58, _xlfn._xlws.FILTER(B:B, A:A="2021-02"), 0))), "Left", "Ativo")</f>
        <v>Ativo</v>
      </c>
      <c r="E58" s="10" t="str" cm="1">
        <f t="array" ref="E58">IF(AND(A58="2021-02", ISNA(MATCH(B58, _xlfn._xlws.FILTER(B:B, A:A="2021-03"), 0))), "Left", "Ativo")</f>
        <v>Ativo</v>
      </c>
      <c r="F58" s="12" t="str" cm="1">
        <f t="array" ref="F58">IF(AND(A58="2021-03", ISNA(MATCH(B58, _xlfn._xlws.FILTER(B:B, A:A="2021-04"), 0))), "Left", "Ativo")</f>
        <v>Ativo</v>
      </c>
    </row>
    <row r="59" spans="1:6" x14ac:dyDescent="0.25">
      <c r="A59" t="s">
        <v>1528</v>
      </c>
      <c r="B59" t="s">
        <v>58</v>
      </c>
      <c r="C59" s="10" t="str" cm="1">
        <f t="array" ref="C59">IF(AND(A59="2020-12", ISNA(MATCH(B59, _xlfn._xlws.FILTER(B:B, A:A="2021-01"), 0))), "Left", "Ativo")</f>
        <v>Ativo</v>
      </c>
      <c r="D59" s="10" t="str" cm="1">
        <f t="array" ref="D59">IF(AND(A59="2021-01", ISNA(MATCH(B59, _xlfn._xlws.FILTER(B:B, A:A="2021-02"), 0))), "Left", "Ativo")</f>
        <v>Ativo</v>
      </c>
      <c r="E59" s="10" t="str" cm="1">
        <f t="array" ref="E59">IF(AND(A59="2021-02", ISNA(MATCH(B59, _xlfn._xlws.FILTER(B:B, A:A="2021-03"), 0))), "Left", "Ativo")</f>
        <v>Ativo</v>
      </c>
      <c r="F59" s="12" t="str" cm="1">
        <f t="array" ref="F59">IF(AND(A59="2021-03", ISNA(MATCH(B59, _xlfn._xlws.FILTER(B:B, A:A="2021-04"), 0))), "Left", "Ativo")</f>
        <v>Ativo</v>
      </c>
    </row>
    <row r="60" spans="1:6" x14ac:dyDescent="0.25">
      <c r="A60" t="s">
        <v>1528</v>
      </c>
      <c r="B60" t="s">
        <v>59</v>
      </c>
      <c r="C60" s="10" t="str" cm="1">
        <f t="array" ref="C60">IF(AND(A60="2020-12", ISNA(MATCH(B60, _xlfn._xlws.FILTER(B:B, A:A="2021-01"), 0))), "Left", "Ativo")</f>
        <v>Ativo</v>
      </c>
      <c r="D60" s="10" t="str" cm="1">
        <f t="array" ref="D60">IF(AND(A60="2021-01", ISNA(MATCH(B60, _xlfn._xlws.FILTER(B:B, A:A="2021-02"), 0))), "Left", "Ativo")</f>
        <v>Ativo</v>
      </c>
      <c r="E60" s="10" t="str" cm="1">
        <f t="array" ref="E60">IF(AND(A60="2021-02", ISNA(MATCH(B60, _xlfn._xlws.FILTER(B:B, A:A="2021-03"), 0))), "Left", "Ativo")</f>
        <v>Ativo</v>
      </c>
      <c r="F60" s="12" t="str" cm="1">
        <f t="array" ref="F60">IF(AND(A60="2021-03", ISNA(MATCH(B60, _xlfn._xlws.FILTER(B:B, A:A="2021-04"), 0))), "Left", "Ativo")</f>
        <v>Ativo</v>
      </c>
    </row>
    <row r="61" spans="1:6" x14ac:dyDescent="0.25">
      <c r="A61" t="s">
        <v>1528</v>
      </c>
      <c r="B61" t="s">
        <v>60</v>
      </c>
      <c r="C61" s="10" t="str" cm="1">
        <f t="array" ref="C61">IF(AND(A61="2020-12", ISNA(MATCH(B61, _xlfn._xlws.FILTER(B:B, A:A="2021-01"), 0))), "Left", "Ativo")</f>
        <v>Ativo</v>
      </c>
      <c r="D61" s="10" t="str" cm="1">
        <f t="array" ref="D61">IF(AND(A61="2021-01", ISNA(MATCH(B61, _xlfn._xlws.FILTER(B:B, A:A="2021-02"), 0))), "Left", "Ativo")</f>
        <v>Ativo</v>
      </c>
      <c r="E61" s="10" t="str" cm="1">
        <f t="array" ref="E61">IF(AND(A61="2021-02", ISNA(MATCH(B61, _xlfn._xlws.FILTER(B:B, A:A="2021-03"), 0))), "Left", "Ativo")</f>
        <v>Ativo</v>
      </c>
      <c r="F61" s="12" t="str" cm="1">
        <f t="array" ref="F61">IF(AND(A61="2021-03", ISNA(MATCH(B61, _xlfn._xlws.FILTER(B:B, A:A="2021-04"), 0))), "Left", "Ativo")</f>
        <v>Ativo</v>
      </c>
    </row>
    <row r="62" spans="1:6" x14ac:dyDescent="0.25">
      <c r="A62" t="s">
        <v>1528</v>
      </c>
      <c r="B62" t="s">
        <v>61</v>
      </c>
      <c r="C62" s="10" t="str" cm="1">
        <f t="array" ref="C62">IF(AND(A62="2020-12", ISNA(MATCH(B62, _xlfn._xlws.FILTER(B:B, A:A="2021-01"), 0))), "Left", "Ativo")</f>
        <v>Ativo</v>
      </c>
      <c r="D62" s="10" t="str" cm="1">
        <f t="array" ref="D62">IF(AND(A62="2021-01", ISNA(MATCH(B62, _xlfn._xlws.FILTER(B:B, A:A="2021-02"), 0))), "Left", "Ativo")</f>
        <v>Ativo</v>
      </c>
      <c r="E62" s="10" t="str" cm="1">
        <f t="array" ref="E62">IF(AND(A62="2021-02", ISNA(MATCH(B62, _xlfn._xlws.FILTER(B:B, A:A="2021-03"), 0))), "Left", "Ativo")</f>
        <v>Ativo</v>
      </c>
      <c r="F62" s="12" t="str" cm="1">
        <f t="array" ref="F62">IF(AND(A62="2021-03", ISNA(MATCH(B62, _xlfn._xlws.FILTER(B:B, A:A="2021-04"), 0))), "Left", "Ativo")</f>
        <v>Ativo</v>
      </c>
    </row>
    <row r="63" spans="1:6" x14ac:dyDescent="0.25">
      <c r="A63" t="s">
        <v>1528</v>
      </c>
      <c r="B63" t="s">
        <v>62</v>
      </c>
      <c r="C63" s="10" t="str" cm="1">
        <f t="array" ref="C63">IF(AND(A63="2020-12", ISNA(MATCH(B63, _xlfn._xlws.FILTER(B:B, A:A="2021-01"), 0))), "Left", "Ativo")</f>
        <v>Ativo</v>
      </c>
      <c r="D63" s="10" t="str" cm="1">
        <f t="array" ref="D63">IF(AND(A63="2021-01", ISNA(MATCH(B63, _xlfn._xlws.FILTER(B:B, A:A="2021-02"), 0))), "Left", "Ativo")</f>
        <v>Ativo</v>
      </c>
      <c r="E63" s="10" t="str" cm="1">
        <f t="array" ref="E63">IF(AND(A63="2021-02", ISNA(MATCH(B63, _xlfn._xlws.FILTER(B:B, A:A="2021-03"), 0))), "Left", "Ativo")</f>
        <v>Ativo</v>
      </c>
      <c r="F63" s="12" t="str" cm="1">
        <f t="array" ref="F63">IF(AND(A63="2021-03", ISNA(MATCH(B63, _xlfn._xlws.FILTER(B:B, A:A="2021-04"), 0))), "Left", "Ativo")</f>
        <v>Ativo</v>
      </c>
    </row>
    <row r="64" spans="1:6" x14ac:dyDescent="0.25">
      <c r="A64" t="s">
        <v>1528</v>
      </c>
      <c r="B64" t="s">
        <v>63</v>
      </c>
      <c r="C64" s="10" t="str" cm="1">
        <f t="array" ref="C64">IF(AND(A64="2020-12", ISNA(MATCH(B64, _xlfn._xlws.FILTER(B:B, A:A="2021-01"), 0))), "Left", "Ativo")</f>
        <v>Ativo</v>
      </c>
      <c r="D64" s="10" t="str" cm="1">
        <f t="array" ref="D64">IF(AND(A64="2021-01", ISNA(MATCH(B64, _xlfn._xlws.FILTER(B:B, A:A="2021-02"), 0))), "Left", "Ativo")</f>
        <v>Ativo</v>
      </c>
      <c r="E64" s="10" t="str" cm="1">
        <f t="array" ref="E64">IF(AND(A64="2021-02", ISNA(MATCH(B64, _xlfn._xlws.FILTER(B:B, A:A="2021-03"), 0))), "Left", "Ativo")</f>
        <v>Ativo</v>
      </c>
      <c r="F64" s="12" t="str" cm="1">
        <f t="array" ref="F64">IF(AND(A64="2021-03", ISNA(MATCH(B64, _xlfn._xlws.FILTER(B:B, A:A="2021-04"), 0))), "Left", "Ativo")</f>
        <v>Ativo</v>
      </c>
    </row>
    <row r="65" spans="1:6" x14ac:dyDescent="0.25">
      <c r="A65" t="s">
        <v>1528</v>
      </c>
      <c r="B65" t="s">
        <v>64</v>
      </c>
      <c r="C65" s="10" t="str" cm="1">
        <f t="array" ref="C65">IF(AND(A65="2020-12", ISNA(MATCH(B65, _xlfn._xlws.FILTER(B:B, A:A="2021-01"), 0))), "Left", "Ativo")</f>
        <v>Ativo</v>
      </c>
      <c r="D65" s="10" t="str" cm="1">
        <f t="array" ref="D65">IF(AND(A65="2021-01", ISNA(MATCH(B65, _xlfn._xlws.FILTER(B:B, A:A="2021-02"), 0))), "Left", "Ativo")</f>
        <v>Ativo</v>
      </c>
      <c r="E65" s="10" t="str" cm="1">
        <f t="array" ref="E65">IF(AND(A65="2021-02", ISNA(MATCH(B65, _xlfn._xlws.FILTER(B:B, A:A="2021-03"), 0))), "Left", "Ativo")</f>
        <v>Ativo</v>
      </c>
      <c r="F65" s="12" t="str" cm="1">
        <f t="array" ref="F65">IF(AND(A65="2021-03", ISNA(MATCH(B65, _xlfn._xlws.FILTER(B:B, A:A="2021-04"), 0))), "Left", "Ativo")</f>
        <v>Ativo</v>
      </c>
    </row>
    <row r="66" spans="1:6" x14ac:dyDescent="0.25">
      <c r="A66" t="s">
        <v>1528</v>
      </c>
      <c r="B66" t="s">
        <v>65</v>
      </c>
      <c r="C66" s="10" t="str" cm="1">
        <f t="array" ref="C66">IF(AND(A66="2020-12", ISNA(MATCH(B66, _xlfn._xlws.FILTER(B:B, A:A="2021-01"), 0))), "Left", "Ativo")</f>
        <v>Ativo</v>
      </c>
      <c r="D66" s="10" t="str" cm="1">
        <f t="array" ref="D66">IF(AND(A66="2021-01", ISNA(MATCH(B66, _xlfn._xlws.FILTER(B:B, A:A="2021-02"), 0))), "Left", "Ativo")</f>
        <v>Ativo</v>
      </c>
      <c r="E66" s="10" t="str" cm="1">
        <f t="array" ref="E66">IF(AND(A66="2021-02", ISNA(MATCH(B66, _xlfn._xlws.FILTER(B:B, A:A="2021-03"), 0))), "Left", "Ativo")</f>
        <v>Ativo</v>
      </c>
      <c r="F66" s="12" t="str" cm="1">
        <f t="array" ref="F66">IF(AND(A66="2021-03", ISNA(MATCH(B66, _xlfn._xlws.FILTER(B:B, A:A="2021-04"), 0))), "Left", "Ativo")</f>
        <v>Ativo</v>
      </c>
    </row>
    <row r="67" spans="1:6" x14ac:dyDescent="0.25">
      <c r="A67" t="s">
        <v>1528</v>
      </c>
      <c r="B67" t="s">
        <v>66</v>
      </c>
      <c r="C67" s="10" t="str" cm="1">
        <f t="array" ref="C67">IF(AND(A67="2020-12", ISNA(MATCH(B67, _xlfn._xlws.FILTER(B:B, A:A="2021-01"), 0))), "Left", "Ativo")</f>
        <v>Ativo</v>
      </c>
      <c r="D67" s="10" t="str" cm="1">
        <f t="array" ref="D67">IF(AND(A67="2021-01", ISNA(MATCH(B67, _xlfn._xlws.FILTER(B:B, A:A="2021-02"), 0))), "Left", "Ativo")</f>
        <v>Ativo</v>
      </c>
      <c r="E67" s="10" t="str" cm="1">
        <f t="array" ref="E67">IF(AND(A67="2021-02", ISNA(MATCH(B67, _xlfn._xlws.FILTER(B:B, A:A="2021-03"), 0))), "Left", "Ativo")</f>
        <v>Ativo</v>
      </c>
      <c r="F67" s="12" t="str" cm="1">
        <f t="array" ref="F67">IF(AND(A67="2021-03", ISNA(MATCH(B67, _xlfn._xlws.FILTER(B:B, A:A="2021-04"), 0))), "Left", "Ativo")</f>
        <v>Ativo</v>
      </c>
    </row>
    <row r="68" spans="1:6" x14ac:dyDescent="0.25">
      <c r="A68" t="s">
        <v>1528</v>
      </c>
      <c r="B68" t="s">
        <v>67</v>
      </c>
      <c r="C68" s="10" t="str" cm="1">
        <f t="array" ref="C68">IF(AND(A68="2020-12", ISNA(MATCH(B68, _xlfn._xlws.FILTER(B:B, A:A="2021-01"), 0))), "Left", "Ativo")</f>
        <v>Ativo</v>
      </c>
      <c r="D68" s="10" t="str" cm="1">
        <f t="array" ref="D68">IF(AND(A68="2021-01", ISNA(MATCH(B68, _xlfn._xlws.FILTER(B:B, A:A="2021-02"), 0))), "Left", "Ativo")</f>
        <v>Ativo</v>
      </c>
      <c r="E68" s="10" t="str" cm="1">
        <f t="array" ref="E68">IF(AND(A68="2021-02", ISNA(MATCH(B68, _xlfn._xlws.FILTER(B:B, A:A="2021-03"), 0))), "Left", "Ativo")</f>
        <v>Ativo</v>
      </c>
      <c r="F68" s="12" t="str" cm="1">
        <f t="array" ref="F68">IF(AND(A68="2021-03", ISNA(MATCH(B68, _xlfn._xlws.FILTER(B:B, A:A="2021-04"), 0))), "Left", "Ativo")</f>
        <v>Ativo</v>
      </c>
    </row>
    <row r="69" spans="1:6" x14ac:dyDescent="0.25">
      <c r="A69" t="s">
        <v>1528</v>
      </c>
      <c r="B69" t="s">
        <v>68</v>
      </c>
      <c r="C69" s="10" t="str" cm="1">
        <f t="array" ref="C69">IF(AND(A69="2020-12", ISNA(MATCH(B69, _xlfn._xlws.FILTER(B:B, A:A="2021-01"), 0))), "Left", "Ativo")</f>
        <v>Ativo</v>
      </c>
      <c r="D69" s="10" t="str" cm="1">
        <f t="array" ref="D69">IF(AND(A69="2021-01", ISNA(MATCH(B69, _xlfn._xlws.FILTER(B:B, A:A="2021-02"), 0))), "Left", "Ativo")</f>
        <v>Ativo</v>
      </c>
      <c r="E69" s="10" t="str" cm="1">
        <f t="array" ref="E69">IF(AND(A69="2021-02", ISNA(MATCH(B69, _xlfn._xlws.FILTER(B:B, A:A="2021-03"), 0))), "Left", "Ativo")</f>
        <v>Ativo</v>
      </c>
      <c r="F69" s="12" t="str" cm="1">
        <f t="array" ref="F69">IF(AND(A69="2021-03", ISNA(MATCH(B69, _xlfn._xlws.FILTER(B:B, A:A="2021-04"), 0))), "Left", "Ativo")</f>
        <v>Ativo</v>
      </c>
    </row>
    <row r="70" spans="1:6" x14ac:dyDescent="0.25">
      <c r="A70" t="s">
        <v>1528</v>
      </c>
      <c r="B70" t="s">
        <v>69</v>
      </c>
      <c r="C70" s="10" t="str" cm="1">
        <f t="array" ref="C70">IF(AND(A70="2020-12", ISNA(MATCH(B70, _xlfn._xlws.FILTER(B:B, A:A="2021-01"), 0))), "Left", "Ativo")</f>
        <v>Ativo</v>
      </c>
      <c r="D70" s="10" t="str" cm="1">
        <f t="array" ref="D70">IF(AND(A70="2021-01", ISNA(MATCH(B70, _xlfn._xlws.FILTER(B:B, A:A="2021-02"), 0))), "Left", "Ativo")</f>
        <v>Ativo</v>
      </c>
      <c r="E70" s="10" t="str" cm="1">
        <f t="array" ref="E70">IF(AND(A70="2021-02", ISNA(MATCH(B70, _xlfn._xlws.FILTER(B:B, A:A="2021-03"), 0))), "Left", "Ativo")</f>
        <v>Ativo</v>
      </c>
      <c r="F70" s="12" t="str" cm="1">
        <f t="array" ref="F70">IF(AND(A70="2021-03", ISNA(MATCH(B70, _xlfn._xlws.FILTER(B:B, A:A="2021-04"), 0))), "Left", "Ativo")</f>
        <v>Ativo</v>
      </c>
    </row>
    <row r="71" spans="1:6" x14ac:dyDescent="0.25">
      <c r="A71" t="s">
        <v>1528</v>
      </c>
      <c r="B71" t="s">
        <v>70</v>
      </c>
      <c r="C71" s="10" t="str" cm="1">
        <f t="array" ref="C71">IF(AND(A71="2020-12", ISNA(MATCH(B71, _xlfn._xlws.FILTER(B:B, A:A="2021-01"), 0))), "Left", "Ativo")</f>
        <v>Ativo</v>
      </c>
      <c r="D71" s="10" t="str" cm="1">
        <f t="array" ref="D71">IF(AND(A71="2021-01", ISNA(MATCH(B71, _xlfn._xlws.FILTER(B:B, A:A="2021-02"), 0))), "Left", "Ativo")</f>
        <v>Ativo</v>
      </c>
      <c r="E71" s="10" t="str" cm="1">
        <f t="array" ref="E71">IF(AND(A71="2021-02", ISNA(MATCH(B71, _xlfn._xlws.FILTER(B:B, A:A="2021-03"), 0))), "Left", "Ativo")</f>
        <v>Ativo</v>
      </c>
      <c r="F71" s="12" t="str" cm="1">
        <f t="array" ref="F71">IF(AND(A71="2021-03", ISNA(MATCH(B71, _xlfn._xlws.FILTER(B:B, A:A="2021-04"), 0))), "Left", "Ativo")</f>
        <v>Ativo</v>
      </c>
    </row>
    <row r="72" spans="1:6" x14ac:dyDescent="0.25">
      <c r="A72" t="s">
        <v>1528</v>
      </c>
      <c r="B72" t="s">
        <v>71</v>
      </c>
      <c r="C72" s="10" t="str" cm="1">
        <f t="array" ref="C72">IF(AND(A72="2020-12", ISNA(MATCH(B72, _xlfn._xlws.FILTER(B:B, A:A="2021-01"), 0))), "Left", "Ativo")</f>
        <v>Ativo</v>
      </c>
      <c r="D72" s="10" t="str" cm="1">
        <f t="array" ref="D72">IF(AND(A72="2021-01", ISNA(MATCH(B72, _xlfn._xlws.FILTER(B:B, A:A="2021-02"), 0))), "Left", "Ativo")</f>
        <v>Ativo</v>
      </c>
      <c r="E72" s="10" t="str" cm="1">
        <f t="array" ref="E72">IF(AND(A72="2021-02", ISNA(MATCH(B72, _xlfn._xlws.FILTER(B:B, A:A="2021-03"), 0))), "Left", "Ativo")</f>
        <v>Ativo</v>
      </c>
      <c r="F72" s="12" t="str" cm="1">
        <f t="array" ref="F72">IF(AND(A72="2021-03", ISNA(MATCH(B72, _xlfn._xlws.FILTER(B:B, A:A="2021-04"), 0))), "Left", "Ativo")</f>
        <v>Ativo</v>
      </c>
    </row>
    <row r="73" spans="1:6" x14ac:dyDescent="0.25">
      <c r="A73" t="s">
        <v>1528</v>
      </c>
      <c r="B73" t="s">
        <v>72</v>
      </c>
      <c r="C73" s="10" t="str" cm="1">
        <f t="array" ref="C73">IF(AND(A73="2020-12", ISNA(MATCH(B73, _xlfn._xlws.FILTER(B:B, A:A="2021-01"), 0))), "Left", "Ativo")</f>
        <v>Ativo</v>
      </c>
      <c r="D73" s="10" t="str" cm="1">
        <f t="array" ref="D73">IF(AND(A73="2021-01", ISNA(MATCH(B73, _xlfn._xlws.FILTER(B:B, A:A="2021-02"), 0))), "Left", "Ativo")</f>
        <v>Ativo</v>
      </c>
      <c r="E73" s="10" t="str" cm="1">
        <f t="array" ref="E73">IF(AND(A73="2021-02", ISNA(MATCH(B73, _xlfn._xlws.FILTER(B:B, A:A="2021-03"), 0))), "Left", "Ativo")</f>
        <v>Ativo</v>
      </c>
      <c r="F73" s="12" t="str" cm="1">
        <f t="array" ref="F73">IF(AND(A73="2021-03", ISNA(MATCH(B73, _xlfn._xlws.FILTER(B:B, A:A="2021-04"), 0))), "Left", "Ativo")</f>
        <v>Ativo</v>
      </c>
    </row>
    <row r="74" spans="1:6" x14ac:dyDescent="0.25">
      <c r="A74" t="s">
        <v>1528</v>
      </c>
      <c r="B74" t="s">
        <v>73</v>
      </c>
      <c r="C74" s="10" t="str" cm="1">
        <f t="array" ref="C74">IF(AND(A74="2020-12", ISNA(MATCH(B74, _xlfn._xlws.FILTER(B:B, A:A="2021-01"), 0))), "Left", "Ativo")</f>
        <v>Ativo</v>
      </c>
      <c r="D74" s="10" t="str" cm="1">
        <f t="array" ref="D74">IF(AND(A74="2021-01", ISNA(MATCH(B74, _xlfn._xlws.FILTER(B:B, A:A="2021-02"), 0))), "Left", "Ativo")</f>
        <v>Ativo</v>
      </c>
      <c r="E74" s="10" t="str" cm="1">
        <f t="array" ref="E74">IF(AND(A74="2021-02", ISNA(MATCH(B74, _xlfn._xlws.FILTER(B:B, A:A="2021-03"), 0))), "Left", "Ativo")</f>
        <v>Ativo</v>
      </c>
      <c r="F74" s="12" t="str" cm="1">
        <f t="array" ref="F74">IF(AND(A74="2021-03", ISNA(MATCH(B74, _xlfn._xlws.FILTER(B:B, A:A="2021-04"), 0))), "Left", "Ativo")</f>
        <v>Ativo</v>
      </c>
    </row>
    <row r="75" spans="1:6" x14ac:dyDescent="0.25">
      <c r="A75" t="s">
        <v>1528</v>
      </c>
      <c r="B75" t="s">
        <v>74</v>
      </c>
      <c r="C75" s="10" t="str" cm="1">
        <f t="array" ref="C75">IF(AND(A75="2020-12", ISNA(MATCH(B75, _xlfn._xlws.FILTER(B:B, A:A="2021-01"), 0))), "Left", "Ativo")</f>
        <v>Ativo</v>
      </c>
      <c r="D75" s="10" t="str" cm="1">
        <f t="array" ref="D75">IF(AND(A75="2021-01", ISNA(MATCH(B75, _xlfn._xlws.FILTER(B:B, A:A="2021-02"), 0))), "Left", "Ativo")</f>
        <v>Ativo</v>
      </c>
      <c r="E75" s="10" t="str" cm="1">
        <f t="array" ref="E75">IF(AND(A75="2021-02", ISNA(MATCH(B75, _xlfn._xlws.FILTER(B:B, A:A="2021-03"), 0))), "Left", "Ativo")</f>
        <v>Ativo</v>
      </c>
      <c r="F75" s="12" t="str" cm="1">
        <f t="array" ref="F75">IF(AND(A75="2021-03", ISNA(MATCH(B75, _xlfn._xlws.FILTER(B:B, A:A="2021-04"), 0))), "Left", "Ativo")</f>
        <v>Ativo</v>
      </c>
    </row>
    <row r="76" spans="1:6" x14ac:dyDescent="0.25">
      <c r="A76" t="s">
        <v>1528</v>
      </c>
      <c r="B76" t="s">
        <v>75</v>
      </c>
      <c r="C76" s="10" t="str" cm="1">
        <f t="array" ref="C76">IF(AND(A76="2020-12", ISNA(MATCH(B76, _xlfn._xlws.FILTER(B:B, A:A="2021-01"), 0))), "Left", "Ativo")</f>
        <v>Ativo</v>
      </c>
      <c r="D76" s="10" t="str" cm="1">
        <f t="array" ref="D76">IF(AND(A76="2021-01", ISNA(MATCH(B76, _xlfn._xlws.FILTER(B:B, A:A="2021-02"), 0))), "Left", "Ativo")</f>
        <v>Ativo</v>
      </c>
      <c r="E76" s="10" t="str" cm="1">
        <f t="array" ref="E76">IF(AND(A76="2021-02", ISNA(MATCH(B76, _xlfn._xlws.FILTER(B:B, A:A="2021-03"), 0))), "Left", "Ativo")</f>
        <v>Ativo</v>
      </c>
      <c r="F76" s="12" t="str" cm="1">
        <f t="array" ref="F76">IF(AND(A76="2021-03", ISNA(MATCH(B76, _xlfn._xlws.FILTER(B:B, A:A="2021-04"), 0))), "Left", "Ativo")</f>
        <v>Ativo</v>
      </c>
    </row>
    <row r="77" spans="1:6" x14ac:dyDescent="0.25">
      <c r="A77" t="s">
        <v>1528</v>
      </c>
      <c r="B77" t="s">
        <v>76</v>
      </c>
      <c r="C77" s="10" t="str" cm="1">
        <f t="array" ref="C77">IF(AND(A77="2020-12", ISNA(MATCH(B77, _xlfn._xlws.FILTER(B:B, A:A="2021-01"), 0))), "Left", "Ativo")</f>
        <v>Ativo</v>
      </c>
      <c r="D77" s="10" t="str" cm="1">
        <f t="array" ref="D77">IF(AND(A77="2021-01", ISNA(MATCH(B77, _xlfn._xlws.FILTER(B:B, A:A="2021-02"), 0))), "Left", "Ativo")</f>
        <v>Ativo</v>
      </c>
      <c r="E77" s="10" t="str" cm="1">
        <f t="array" ref="E77">IF(AND(A77="2021-02", ISNA(MATCH(B77, _xlfn._xlws.FILTER(B:B, A:A="2021-03"), 0))), "Left", "Ativo")</f>
        <v>Ativo</v>
      </c>
      <c r="F77" s="12" t="str" cm="1">
        <f t="array" ref="F77">IF(AND(A77="2021-03", ISNA(MATCH(B77, _xlfn._xlws.FILTER(B:B, A:A="2021-04"), 0))), "Left", "Ativo")</f>
        <v>Ativo</v>
      </c>
    </row>
    <row r="78" spans="1:6" x14ac:dyDescent="0.25">
      <c r="A78" t="s">
        <v>1528</v>
      </c>
      <c r="B78" t="s">
        <v>77</v>
      </c>
      <c r="C78" s="10" t="str" cm="1">
        <f t="array" ref="C78">IF(AND(A78="2020-12", ISNA(MATCH(B78, _xlfn._xlws.FILTER(B:B, A:A="2021-01"), 0))), "Left", "Ativo")</f>
        <v>Ativo</v>
      </c>
      <c r="D78" s="10" t="str" cm="1">
        <f t="array" ref="D78">IF(AND(A78="2021-01", ISNA(MATCH(B78, _xlfn._xlws.FILTER(B:B, A:A="2021-02"), 0))), "Left", "Ativo")</f>
        <v>Ativo</v>
      </c>
      <c r="E78" s="10" t="str" cm="1">
        <f t="array" ref="E78">IF(AND(A78="2021-02", ISNA(MATCH(B78, _xlfn._xlws.FILTER(B:B, A:A="2021-03"), 0))), "Left", "Ativo")</f>
        <v>Ativo</v>
      </c>
      <c r="F78" s="12" t="str" cm="1">
        <f t="array" ref="F78">IF(AND(A78="2021-03", ISNA(MATCH(B78, _xlfn._xlws.FILTER(B:B, A:A="2021-04"), 0))), "Left", "Ativo")</f>
        <v>Ativo</v>
      </c>
    </row>
    <row r="79" spans="1:6" x14ac:dyDescent="0.25">
      <c r="A79" t="s">
        <v>1528</v>
      </c>
      <c r="B79" t="s">
        <v>78</v>
      </c>
      <c r="C79" s="10" t="str" cm="1">
        <f t="array" ref="C79">IF(AND(A79="2020-12", ISNA(MATCH(B79, _xlfn._xlws.FILTER(B:B, A:A="2021-01"), 0))), "Left", "Ativo")</f>
        <v>Ativo</v>
      </c>
      <c r="D79" s="10" t="str" cm="1">
        <f t="array" ref="D79">IF(AND(A79="2021-01", ISNA(MATCH(B79, _xlfn._xlws.FILTER(B:B, A:A="2021-02"), 0))), "Left", "Ativo")</f>
        <v>Ativo</v>
      </c>
      <c r="E79" s="10" t="str" cm="1">
        <f t="array" ref="E79">IF(AND(A79="2021-02", ISNA(MATCH(B79, _xlfn._xlws.FILTER(B:B, A:A="2021-03"), 0))), "Left", "Ativo")</f>
        <v>Ativo</v>
      </c>
      <c r="F79" s="12" t="str" cm="1">
        <f t="array" ref="F79">IF(AND(A79="2021-03", ISNA(MATCH(B79, _xlfn._xlws.FILTER(B:B, A:A="2021-04"), 0))), "Left", "Ativo")</f>
        <v>Ativo</v>
      </c>
    </row>
    <row r="80" spans="1:6" x14ac:dyDescent="0.25">
      <c r="A80" t="s">
        <v>1528</v>
      </c>
      <c r="B80" t="s">
        <v>79</v>
      </c>
      <c r="C80" s="10" t="str" cm="1">
        <f t="array" ref="C80">IF(AND(A80="2020-12", ISNA(MATCH(B80, _xlfn._xlws.FILTER(B:B, A:A="2021-01"), 0))), "Left", "Ativo")</f>
        <v>Ativo</v>
      </c>
      <c r="D80" s="10" t="str" cm="1">
        <f t="array" ref="D80">IF(AND(A80="2021-01", ISNA(MATCH(B80, _xlfn._xlws.FILTER(B:B, A:A="2021-02"), 0))), "Left", "Ativo")</f>
        <v>Ativo</v>
      </c>
      <c r="E80" s="10" t="str" cm="1">
        <f t="array" ref="E80">IF(AND(A80="2021-02", ISNA(MATCH(B80, _xlfn._xlws.FILTER(B:B, A:A="2021-03"), 0))), "Left", "Ativo")</f>
        <v>Ativo</v>
      </c>
      <c r="F80" s="12" t="str" cm="1">
        <f t="array" ref="F80">IF(AND(A80="2021-03", ISNA(MATCH(B80, _xlfn._xlws.FILTER(B:B, A:A="2021-04"), 0))), "Left", "Ativo")</f>
        <v>Ativo</v>
      </c>
    </row>
    <row r="81" spans="1:6" x14ac:dyDescent="0.25">
      <c r="A81" t="s">
        <v>1528</v>
      </c>
      <c r="B81" t="s">
        <v>80</v>
      </c>
      <c r="C81" s="10" t="str" cm="1">
        <f t="array" ref="C81">IF(AND(A81="2020-12", ISNA(MATCH(B81, _xlfn._xlws.FILTER(B:B, A:A="2021-01"), 0))), "Left", "Ativo")</f>
        <v>Ativo</v>
      </c>
      <c r="D81" s="10" t="str" cm="1">
        <f t="array" ref="D81">IF(AND(A81="2021-01", ISNA(MATCH(B81, _xlfn._xlws.FILTER(B:B, A:A="2021-02"), 0))), "Left", "Ativo")</f>
        <v>Ativo</v>
      </c>
      <c r="E81" s="10" t="str" cm="1">
        <f t="array" ref="E81">IF(AND(A81="2021-02", ISNA(MATCH(B81, _xlfn._xlws.FILTER(B:B, A:A="2021-03"), 0))), "Left", "Ativo")</f>
        <v>Ativo</v>
      </c>
      <c r="F81" s="12" t="str" cm="1">
        <f t="array" ref="F81">IF(AND(A81="2021-03", ISNA(MATCH(B81, _xlfn._xlws.FILTER(B:B, A:A="2021-04"), 0))), "Left", "Ativo")</f>
        <v>Ativo</v>
      </c>
    </row>
    <row r="82" spans="1:6" x14ac:dyDescent="0.25">
      <c r="A82" t="s">
        <v>1528</v>
      </c>
      <c r="B82" t="s">
        <v>81</v>
      </c>
      <c r="C82" s="10" t="str" cm="1">
        <f t="array" ref="C82">IF(AND(A82="2020-12", ISNA(MATCH(B82, _xlfn._xlws.FILTER(B:B, A:A="2021-01"), 0))), "Left", "Ativo")</f>
        <v>Ativo</v>
      </c>
      <c r="D82" s="10" t="str" cm="1">
        <f t="array" ref="D82">IF(AND(A82="2021-01", ISNA(MATCH(B82, _xlfn._xlws.FILTER(B:B, A:A="2021-02"), 0))), "Left", "Ativo")</f>
        <v>Ativo</v>
      </c>
      <c r="E82" s="10" t="str" cm="1">
        <f t="array" ref="E82">IF(AND(A82="2021-02", ISNA(MATCH(B82, _xlfn._xlws.FILTER(B:B, A:A="2021-03"), 0))), "Left", "Ativo")</f>
        <v>Ativo</v>
      </c>
      <c r="F82" s="12" t="str" cm="1">
        <f t="array" ref="F82">IF(AND(A82="2021-03", ISNA(MATCH(B82, _xlfn._xlws.FILTER(B:B, A:A="2021-04"), 0))), "Left", "Ativo")</f>
        <v>Ativo</v>
      </c>
    </row>
    <row r="83" spans="1:6" x14ac:dyDescent="0.25">
      <c r="A83" t="s">
        <v>1528</v>
      </c>
      <c r="B83" t="s">
        <v>82</v>
      </c>
      <c r="C83" s="10" t="str" cm="1">
        <f t="array" ref="C83">IF(AND(A83="2020-12", ISNA(MATCH(B83, _xlfn._xlws.FILTER(B:B, A:A="2021-01"), 0))), "Left", "Ativo")</f>
        <v>Ativo</v>
      </c>
      <c r="D83" s="10" t="str" cm="1">
        <f t="array" ref="D83">IF(AND(A83="2021-01", ISNA(MATCH(B83, _xlfn._xlws.FILTER(B:B, A:A="2021-02"), 0))), "Left", "Ativo")</f>
        <v>Ativo</v>
      </c>
      <c r="E83" s="10" t="str" cm="1">
        <f t="array" ref="E83">IF(AND(A83="2021-02", ISNA(MATCH(B83, _xlfn._xlws.FILTER(B:B, A:A="2021-03"), 0))), "Left", "Ativo")</f>
        <v>Ativo</v>
      </c>
      <c r="F83" s="12" t="str" cm="1">
        <f t="array" ref="F83">IF(AND(A83="2021-03", ISNA(MATCH(B83, _xlfn._xlws.FILTER(B:B, A:A="2021-04"), 0))), "Left", "Ativo")</f>
        <v>Ativo</v>
      </c>
    </row>
    <row r="84" spans="1:6" x14ac:dyDescent="0.25">
      <c r="A84" t="s">
        <v>1528</v>
      </c>
      <c r="B84" t="s">
        <v>83</v>
      </c>
      <c r="C84" s="10" t="str" cm="1">
        <f t="array" ref="C84">IF(AND(A84="2020-12", ISNA(MATCH(B84, _xlfn._xlws.FILTER(B:B, A:A="2021-01"), 0))), "Left", "Ativo")</f>
        <v>Ativo</v>
      </c>
      <c r="D84" s="10" t="str" cm="1">
        <f t="array" ref="D84">IF(AND(A84="2021-01", ISNA(MATCH(B84, _xlfn._xlws.FILTER(B:B, A:A="2021-02"), 0))), "Left", "Ativo")</f>
        <v>Ativo</v>
      </c>
      <c r="E84" s="10" t="str" cm="1">
        <f t="array" ref="E84">IF(AND(A84="2021-02", ISNA(MATCH(B84, _xlfn._xlws.FILTER(B:B, A:A="2021-03"), 0))), "Left", "Ativo")</f>
        <v>Ativo</v>
      </c>
      <c r="F84" s="12" t="str" cm="1">
        <f t="array" ref="F84">IF(AND(A84="2021-03", ISNA(MATCH(B84, _xlfn._xlws.FILTER(B:B, A:A="2021-04"), 0))), "Left", "Ativo")</f>
        <v>Ativo</v>
      </c>
    </row>
    <row r="85" spans="1:6" x14ac:dyDescent="0.25">
      <c r="A85" t="s">
        <v>1528</v>
      </c>
      <c r="B85" t="s">
        <v>84</v>
      </c>
      <c r="C85" s="10" t="str" cm="1">
        <f t="array" ref="C85">IF(AND(A85="2020-12", ISNA(MATCH(B85, _xlfn._xlws.FILTER(B:B, A:A="2021-01"), 0))), "Left", "Ativo")</f>
        <v>Ativo</v>
      </c>
      <c r="D85" s="10" t="str" cm="1">
        <f t="array" ref="D85">IF(AND(A85="2021-01", ISNA(MATCH(B85, _xlfn._xlws.FILTER(B:B, A:A="2021-02"), 0))), "Left", "Ativo")</f>
        <v>Ativo</v>
      </c>
      <c r="E85" s="10" t="str" cm="1">
        <f t="array" ref="E85">IF(AND(A85="2021-02", ISNA(MATCH(B85, _xlfn._xlws.FILTER(B:B, A:A="2021-03"), 0))), "Left", "Ativo")</f>
        <v>Ativo</v>
      </c>
      <c r="F85" s="12" t="str" cm="1">
        <f t="array" ref="F85">IF(AND(A85="2021-03", ISNA(MATCH(B85, _xlfn._xlws.FILTER(B:B, A:A="2021-04"), 0))), "Left", "Ativo")</f>
        <v>Ativo</v>
      </c>
    </row>
    <row r="86" spans="1:6" x14ac:dyDescent="0.25">
      <c r="A86" t="s">
        <v>1528</v>
      </c>
      <c r="B86" t="s">
        <v>85</v>
      </c>
      <c r="C86" s="10" t="str" cm="1">
        <f t="array" ref="C86">IF(AND(A86="2020-12", ISNA(MATCH(B86, _xlfn._xlws.FILTER(B:B, A:A="2021-01"), 0))), "Left", "Ativo")</f>
        <v>Ativo</v>
      </c>
      <c r="D86" s="10" t="str" cm="1">
        <f t="array" ref="D86">IF(AND(A86="2021-01", ISNA(MATCH(B86, _xlfn._xlws.FILTER(B:B, A:A="2021-02"), 0))), "Left", "Ativo")</f>
        <v>Ativo</v>
      </c>
      <c r="E86" s="10" t="str" cm="1">
        <f t="array" ref="E86">IF(AND(A86="2021-02", ISNA(MATCH(B86, _xlfn._xlws.FILTER(B:B, A:A="2021-03"), 0))), "Left", "Ativo")</f>
        <v>Ativo</v>
      </c>
      <c r="F86" s="12" t="str" cm="1">
        <f t="array" ref="F86">IF(AND(A86="2021-03", ISNA(MATCH(B86, _xlfn._xlws.FILTER(B:B, A:A="2021-04"), 0))), "Left", "Ativo")</f>
        <v>Ativo</v>
      </c>
    </row>
    <row r="87" spans="1:6" x14ac:dyDescent="0.25">
      <c r="A87" t="s">
        <v>1528</v>
      </c>
      <c r="B87" t="s">
        <v>86</v>
      </c>
      <c r="C87" s="10" t="str" cm="1">
        <f t="array" ref="C87">IF(AND(A87="2020-12", ISNA(MATCH(B87, _xlfn._xlws.FILTER(B:B, A:A="2021-01"), 0))), "Left", "Ativo")</f>
        <v>Ativo</v>
      </c>
      <c r="D87" s="10" t="str" cm="1">
        <f t="array" ref="D87">IF(AND(A87="2021-01", ISNA(MATCH(B87, _xlfn._xlws.FILTER(B:B, A:A="2021-02"), 0))), "Left", "Ativo")</f>
        <v>Ativo</v>
      </c>
      <c r="E87" s="10" t="str" cm="1">
        <f t="array" ref="E87">IF(AND(A87="2021-02", ISNA(MATCH(B87, _xlfn._xlws.FILTER(B:B, A:A="2021-03"), 0))), "Left", "Ativo")</f>
        <v>Ativo</v>
      </c>
      <c r="F87" s="12" t="str" cm="1">
        <f t="array" ref="F87">IF(AND(A87="2021-03", ISNA(MATCH(B87, _xlfn._xlws.FILTER(B:B, A:A="2021-04"), 0))), "Left", "Ativo")</f>
        <v>Ativo</v>
      </c>
    </row>
    <row r="88" spans="1:6" x14ac:dyDescent="0.25">
      <c r="A88" t="s">
        <v>1528</v>
      </c>
      <c r="B88" t="s">
        <v>87</v>
      </c>
      <c r="C88" s="10" t="str" cm="1">
        <f t="array" ref="C88">IF(AND(A88="2020-12", ISNA(MATCH(B88, _xlfn._xlws.FILTER(B:B, A:A="2021-01"), 0))), "Left", "Ativo")</f>
        <v>Ativo</v>
      </c>
      <c r="D88" s="10" t="str" cm="1">
        <f t="array" ref="D88">IF(AND(A88="2021-01", ISNA(MATCH(B88, _xlfn._xlws.FILTER(B:B, A:A="2021-02"), 0))), "Left", "Ativo")</f>
        <v>Ativo</v>
      </c>
      <c r="E88" s="10" t="str" cm="1">
        <f t="array" ref="E88">IF(AND(A88="2021-02", ISNA(MATCH(B88, _xlfn._xlws.FILTER(B:B, A:A="2021-03"), 0))), "Left", "Ativo")</f>
        <v>Ativo</v>
      </c>
      <c r="F88" s="12" t="str" cm="1">
        <f t="array" ref="F88">IF(AND(A88="2021-03", ISNA(MATCH(B88, _xlfn._xlws.FILTER(B:B, A:A="2021-04"), 0))), "Left", "Ativo")</f>
        <v>Ativo</v>
      </c>
    </row>
    <row r="89" spans="1:6" x14ac:dyDescent="0.25">
      <c r="A89" t="s">
        <v>1528</v>
      </c>
      <c r="B89" t="s">
        <v>88</v>
      </c>
      <c r="C89" s="10" t="str" cm="1">
        <f t="array" ref="C89">IF(AND(A89="2020-12", ISNA(MATCH(B89, _xlfn._xlws.FILTER(B:B, A:A="2021-01"), 0))), "Left", "Ativo")</f>
        <v>Ativo</v>
      </c>
      <c r="D89" s="10" t="str" cm="1">
        <f t="array" ref="D89">IF(AND(A89="2021-01", ISNA(MATCH(B89, _xlfn._xlws.FILTER(B:B, A:A="2021-02"), 0))), "Left", "Ativo")</f>
        <v>Ativo</v>
      </c>
      <c r="E89" s="10" t="str" cm="1">
        <f t="array" ref="E89">IF(AND(A89="2021-02", ISNA(MATCH(B89, _xlfn._xlws.FILTER(B:B, A:A="2021-03"), 0))), "Left", "Ativo")</f>
        <v>Ativo</v>
      </c>
      <c r="F89" s="12" t="str" cm="1">
        <f t="array" ref="F89">IF(AND(A89="2021-03", ISNA(MATCH(B89, _xlfn._xlws.FILTER(B:B, A:A="2021-04"), 0))), "Left", "Ativo")</f>
        <v>Ativo</v>
      </c>
    </row>
    <row r="90" spans="1:6" x14ac:dyDescent="0.25">
      <c r="A90" t="s">
        <v>1528</v>
      </c>
      <c r="B90" t="s">
        <v>89</v>
      </c>
      <c r="C90" s="10" t="str" cm="1">
        <f t="array" ref="C90">IF(AND(A90="2020-12", ISNA(MATCH(B90, _xlfn._xlws.FILTER(B:B, A:A="2021-01"), 0))), "Left", "Ativo")</f>
        <v>Ativo</v>
      </c>
      <c r="D90" s="10" t="str" cm="1">
        <f t="array" ref="D90">IF(AND(A90="2021-01", ISNA(MATCH(B90, _xlfn._xlws.FILTER(B:B, A:A="2021-02"), 0))), "Left", "Ativo")</f>
        <v>Ativo</v>
      </c>
      <c r="E90" s="10" t="str" cm="1">
        <f t="array" ref="E90">IF(AND(A90="2021-02", ISNA(MATCH(B90, _xlfn._xlws.FILTER(B:B, A:A="2021-03"), 0))), "Left", "Ativo")</f>
        <v>Ativo</v>
      </c>
      <c r="F90" s="12" t="str" cm="1">
        <f t="array" ref="F90">IF(AND(A90="2021-03", ISNA(MATCH(B90, _xlfn._xlws.FILTER(B:B, A:A="2021-04"), 0))), "Left", "Ativo")</f>
        <v>Ativo</v>
      </c>
    </row>
    <row r="91" spans="1:6" x14ac:dyDescent="0.25">
      <c r="A91" t="s">
        <v>1528</v>
      </c>
      <c r="B91" t="s">
        <v>90</v>
      </c>
      <c r="C91" s="10" t="str" cm="1">
        <f t="array" ref="C91">IF(AND(A91="2020-12", ISNA(MATCH(B91, _xlfn._xlws.FILTER(B:B, A:A="2021-01"), 0))), "Left", "Ativo")</f>
        <v>Ativo</v>
      </c>
      <c r="D91" s="10" t="str" cm="1">
        <f t="array" ref="D91">IF(AND(A91="2021-01", ISNA(MATCH(B91, _xlfn._xlws.FILTER(B:B, A:A="2021-02"), 0))), "Left", "Ativo")</f>
        <v>Ativo</v>
      </c>
      <c r="E91" s="10" t="str" cm="1">
        <f t="array" ref="E91">IF(AND(A91="2021-02", ISNA(MATCH(B91, _xlfn._xlws.FILTER(B:B, A:A="2021-03"), 0))), "Left", "Ativo")</f>
        <v>Ativo</v>
      </c>
      <c r="F91" s="12" t="str" cm="1">
        <f t="array" ref="F91">IF(AND(A91="2021-03", ISNA(MATCH(B91, _xlfn._xlws.FILTER(B:B, A:A="2021-04"), 0))), "Left", "Ativo")</f>
        <v>Ativo</v>
      </c>
    </row>
    <row r="92" spans="1:6" x14ac:dyDescent="0.25">
      <c r="A92" t="s">
        <v>1528</v>
      </c>
      <c r="B92" t="s">
        <v>91</v>
      </c>
      <c r="C92" s="10" t="str" cm="1">
        <f t="array" ref="C92">IF(AND(A92="2020-12", ISNA(MATCH(B92, _xlfn._xlws.FILTER(B:B, A:A="2021-01"), 0))), "Left", "Ativo")</f>
        <v>Ativo</v>
      </c>
      <c r="D92" s="10" t="str" cm="1">
        <f t="array" ref="D92">IF(AND(A92="2021-01", ISNA(MATCH(B92, _xlfn._xlws.FILTER(B:B, A:A="2021-02"), 0))), "Left", "Ativo")</f>
        <v>Ativo</v>
      </c>
      <c r="E92" s="10" t="str" cm="1">
        <f t="array" ref="E92">IF(AND(A92="2021-02", ISNA(MATCH(B92, _xlfn._xlws.FILTER(B:B, A:A="2021-03"), 0))), "Left", "Ativo")</f>
        <v>Ativo</v>
      </c>
      <c r="F92" s="12" t="str" cm="1">
        <f t="array" ref="F92">IF(AND(A92="2021-03", ISNA(MATCH(B92, _xlfn._xlws.FILTER(B:B, A:A="2021-04"), 0))), "Left", "Ativo")</f>
        <v>Ativo</v>
      </c>
    </row>
    <row r="93" spans="1:6" x14ac:dyDescent="0.25">
      <c r="A93" t="s">
        <v>1528</v>
      </c>
      <c r="B93" t="s">
        <v>92</v>
      </c>
      <c r="C93" s="10" t="str" cm="1">
        <f t="array" ref="C93">IF(AND(A93="2020-12", ISNA(MATCH(B93, _xlfn._xlws.FILTER(B:B, A:A="2021-01"), 0))), "Left", "Ativo")</f>
        <v>Ativo</v>
      </c>
      <c r="D93" s="10" t="str" cm="1">
        <f t="array" ref="D93">IF(AND(A93="2021-01", ISNA(MATCH(B93, _xlfn._xlws.FILTER(B:B, A:A="2021-02"), 0))), "Left", "Ativo")</f>
        <v>Ativo</v>
      </c>
      <c r="E93" s="10" t="str" cm="1">
        <f t="array" ref="E93">IF(AND(A93="2021-02", ISNA(MATCH(B93, _xlfn._xlws.FILTER(B:B, A:A="2021-03"), 0))), "Left", "Ativo")</f>
        <v>Ativo</v>
      </c>
      <c r="F93" s="12" t="str" cm="1">
        <f t="array" ref="F93">IF(AND(A93="2021-03", ISNA(MATCH(B93, _xlfn._xlws.FILTER(B:B, A:A="2021-04"), 0))), "Left", "Ativo")</f>
        <v>Ativo</v>
      </c>
    </row>
    <row r="94" spans="1:6" x14ac:dyDescent="0.25">
      <c r="A94" t="s">
        <v>1528</v>
      </c>
      <c r="B94" t="s">
        <v>93</v>
      </c>
      <c r="C94" s="10" t="str" cm="1">
        <f t="array" ref="C94">IF(AND(A94="2020-12", ISNA(MATCH(B94, _xlfn._xlws.FILTER(B:B, A:A="2021-01"), 0))), "Left", "Ativo")</f>
        <v>Ativo</v>
      </c>
      <c r="D94" s="10" t="str" cm="1">
        <f t="array" ref="D94">IF(AND(A94="2021-01", ISNA(MATCH(B94, _xlfn._xlws.FILTER(B:B, A:A="2021-02"), 0))), "Left", "Ativo")</f>
        <v>Ativo</v>
      </c>
      <c r="E94" s="10" t="str" cm="1">
        <f t="array" ref="E94">IF(AND(A94="2021-02", ISNA(MATCH(B94, _xlfn._xlws.FILTER(B:B, A:A="2021-03"), 0))), "Left", "Ativo")</f>
        <v>Ativo</v>
      </c>
      <c r="F94" s="12" t="str" cm="1">
        <f t="array" ref="F94">IF(AND(A94="2021-03", ISNA(MATCH(B94, _xlfn._xlws.FILTER(B:B, A:A="2021-04"), 0))), "Left", "Ativo")</f>
        <v>Ativo</v>
      </c>
    </row>
    <row r="95" spans="1:6" x14ac:dyDescent="0.25">
      <c r="A95" t="s">
        <v>1528</v>
      </c>
      <c r="B95" t="s">
        <v>94</v>
      </c>
      <c r="C95" s="10" t="str" cm="1">
        <f t="array" ref="C95">IF(AND(A95="2020-12", ISNA(MATCH(B95, _xlfn._xlws.FILTER(B:B, A:A="2021-01"), 0))), "Left", "Ativo")</f>
        <v>Ativo</v>
      </c>
      <c r="D95" s="10" t="str" cm="1">
        <f t="array" ref="D95">IF(AND(A95="2021-01", ISNA(MATCH(B95, _xlfn._xlws.FILTER(B:B, A:A="2021-02"), 0))), "Left", "Ativo")</f>
        <v>Ativo</v>
      </c>
      <c r="E95" s="10" t="str" cm="1">
        <f t="array" ref="E95">IF(AND(A95="2021-02", ISNA(MATCH(B95, _xlfn._xlws.FILTER(B:B, A:A="2021-03"), 0))), "Left", "Ativo")</f>
        <v>Ativo</v>
      </c>
      <c r="F95" s="12" t="str" cm="1">
        <f t="array" ref="F95">IF(AND(A95="2021-03", ISNA(MATCH(B95, _xlfn._xlws.FILTER(B:B, A:A="2021-04"), 0))), "Left", "Ativo")</f>
        <v>Ativo</v>
      </c>
    </row>
    <row r="96" spans="1:6" x14ac:dyDescent="0.25">
      <c r="A96" t="s">
        <v>1528</v>
      </c>
      <c r="B96" t="s">
        <v>95</v>
      </c>
      <c r="C96" s="10" t="str" cm="1">
        <f t="array" ref="C96">IF(AND(A96="2020-12", ISNA(MATCH(B96, _xlfn._xlws.FILTER(B:B, A:A="2021-01"), 0))), "Left", "Ativo")</f>
        <v>Ativo</v>
      </c>
      <c r="D96" s="10" t="str" cm="1">
        <f t="array" ref="D96">IF(AND(A96="2021-01", ISNA(MATCH(B96, _xlfn._xlws.FILTER(B:B, A:A="2021-02"), 0))), "Left", "Ativo")</f>
        <v>Ativo</v>
      </c>
      <c r="E96" s="10" t="str" cm="1">
        <f t="array" ref="E96">IF(AND(A96="2021-02", ISNA(MATCH(B96, _xlfn._xlws.FILTER(B:B, A:A="2021-03"), 0))), "Left", "Ativo")</f>
        <v>Ativo</v>
      </c>
      <c r="F96" s="12" t="str" cm="1">
        <f t="array" ref="F96">IF(AND(A96="2021-03", ISNA(MATCH(B96, _xlfn._xlws.FILTER(B:B, A:A="2021-04"), 0))), "Left", "Ativo")</f>
        <v>Ativo</v>
      </c>
    </row>
    <row r="97" spans="1:6" x14ac:dyDescent="0.25">
      <c r="A97" t="s">
        <v>1528</v>
      </c>
      <c r="B97" t="s">
        <v>96</v>
      </c>
      <c r="C97" s="10" t="str" cm="1">
        <f t="array" ref="C97">IF(AND(A97="2020-12", ISNA(MATCH(B97, _xlfn._xlws.FILTER(B:B, A:A="2021-01"), 0))), "Left", "Ativo")</f>
        <v>Ativo</v>
      </c>
      <c r="D97" s="10" t="str" cm="1">
        <f t="array" ref="D97">IF(AND(A97="2021-01", ISNA(MATCH(B97, _xlfn._xlws.FILTER(B:B, A:A="2021-02"), 0))), "Left", "Ativo")</f>
        <v>Ativo</v>
      </c>
      <c r="E97" s="10" t="str" cm="1">
        <f t="array" ref="E97">IF(AND(A97="2021-02", ISNA(MATCH(B97, _xlfn._xlws.FILTER(B:B, A:A="2021-03"), 0))), "Left", "Ativo")</f>
        <v>Ativo</v>
      </c>
      <c r="F97" s="12" t="str" cm="1">
        <f t="array" ref="F97">IF(AND(A97="2021-03", ISNA(MATCH(B97, _xlfn._xlws.FILTER(B:B, A:A="2021-04"), 0))), "Left", "Ativo")</f>
        <v>Ativo</v>
      </c>
    </row>
    <row r="98" spans="1:6" x14ac:dyDescent="0.25">
      <c r="A98" t="s">
        <v>1528</v>
      </c>
      <c r="B98" t="s">
        <v>97</v>
      </c>
      <c r="C98" s="10" t="str" cm="1">
        <f t="array" ref="C98">IF(AND(A98="2020-12", ISNA(MATCH(B98, _xlfn._xlws.FILTER(B:B, A:A="2021-01"), 0))), "Left", "Ativo")</f>
        <v>Ativo</v>
      </c>
      <c r="D98" s="10" t="str" cm="1">
        <f t="array" ref="D98">IF(AND(A98="2021-01", ISNA(MATCH(B98, _xlfn._xlws.FILTER(B:B, A:A="2021-02"), 0))), "Left", "Ativo")</f>
        <v>Ativo</v>
      </c>
      <c r="E98" s="10" t="str" cm="1">
        <f t="array" ref="E98">IF(AND(A98="2021-02", ISNA(MATCH(B98, _xlfn._xlws.FILTER(B:B, A:A="2021-03"), 0))), "Left", "Ativo")</f>
        <v>Ativo</v>
      </c>
      <c r="F98" s="12" t="str" cm="1">
        <f t="array" ref="F98">IF(AND(A98="2021-03", ISNA(MATCH(B98, _xlfn._xlws.FILTER(B:B, A:A="2021-04"), 0))), "Left", "Ativo")</f>
        <v>Ativo</v>
      </c>
    </row>
    <row r="99" spans="1:6" x14ac:dyDescent="0.25">
      <c r="A99" t="s">
        <v>1528</v>
      </c>
      <c r="B99" t="s">
        <v>98</v>
      </c>
      <c r="C99" s="10" t="str" cm="1">
        <f t="array" ref="C99">IF(AND(A99="2020-12", ISNA(MATCH(B99, _xlfn._xlws.FILTER(B:B, A:A="2021-01"), 0))), "Left", "Ativo")</f>
        <v>Ativo</v>
      </c>
      <c r="D99" s="10" t="str" cm="1">
        <f t="array" ref="D99">IF(AND(A99="2021-01", ISNA(MATCH(B99, _xlfn._xlws.FILTER(B:B, A:A="2021-02"), 0))), "Left", "Ativo")</f>
        <v>Ativo</v>
      </c>
      <c r="E99" s="10" t="str" cm="1">
        <f t="array" ref="E99">IF(AND(A99="2021-02", ISNA(MATCH(B99, _xlfn._xlws.FILTER(B:B, A:A="2021-03"), 0))), "Left", "Ativo")</f>
        <v>Ativo</v>
      </c>
      <c r="F99" s="12" t="str" cm="1">
        <f t="array" ref="F99">IF(AND(A99="2021-03", ISNA(MATCH(B99, _xlfn._xlws.FILTER(B:B, A:A="2021-04"), 0))), "Left", "Ativo")</f>
        <v>Ativo</v>
      </c>
    </row>
    <row r="100" spans="1:6" x14ac:dyDescent="0.25">
      <c r="A100" t="s">
        <v>1528</v>
      </c>
      <c r="B100" t="s">
        <v>99</v>
      </c>
      <c r="C100" s="10" t="str" cm="1">
        <f t="array" ref="C100">IF(AND(A100="2020-12", ISNA(MATCH(B100, _xlfn._xlws.FILTER(B:B, A:A="2021-01"), 0))), "Left", "Ativo")</f>
        <v>Ativo</v>
      </c>
      <c r="D100" s="10" t="str" cm="1">
        <f t="array" ref="D100">IF(AND(A100="2021-01", ISNA(MATCH(B100, _xlfn._xlws.FILTER(B:B, A:A="2021-02"), 0))), "Left", "Ativo")</f>
        <v>Ativo</v>
      </c>
      <c r="E100" s="10" t="str" cm="1">
        <f t="array" ref="E100">IF(AND(A100="2021-02", ISNA(MATCH(B100, _xlfn._xlws.FILTER(B:B, A:A="2021-03"), 0))), "Left", "Ativo")</f>
        <v>Ativo</v>
      </c>
      <c r="F100" s="12" t="str" cm="1">
        <f t="array" ref="F100">IF(AND(A100="2021-03", ISNA(MATCH(B100, _xlfn._xlws.FILTER(B:B, A:A="2021-04"), 0))), "Left", "Ativo")</f>
        <v>Ativo</v>
      </c>
    </row>
    <row r="101" spans="1:6" x14ac:dyDescent="0.25">
      <c r="A101" t="s">
        <v>1528</v>
      </c>
      <c r="B101" t="s">
        <v>100</v>
      </c>
      <c r="C101" s="10" t="str" cm="1">
        <f t="array" ref="C101">IF(AND(A101="2020-12", ISNA(MATCH(B101, _xlfn._xlws.FILTER(B:B, A:A="2021-01"), 0))), "Left", "Ativo")</f>
        <v>Ativo</v>
      </c>
      <c r="D101" s="10" t="str" cm="1">
        <f t="array" ref="D101">IF(AND(A101="2021-01", ISNA(MATCH(B101, _xlfn._xlws.FILTER(B:B, A:A="2021-02"), 0))), "Left", "Ativo")</f>
        <v>Ativo</v>
      </c>
      <c r="E101" s="10" t="str" cm="1">
        <f t="array" ref="E101">IF(AND(A101="2021-02", ISNA(MATCH(B101, _xlfn._xlws.FILTER(B:B, A:A="2021-03"), 0))), "Left", "Ativo")</f>
        <v>Ativo</v>
      </c>
      <c r="F101" s="12" t="str" cm="1">
        <f t="array" ref="F101">IF(AND(A101="2021-03", ISNA(MATCH(B101, _xlfn._xlws.FILTER(B:B, A:A="2021-04"), 0))), "Left", "Ativo")</f>
        <v>Ativo</v>
      </c>
    </row>
    <row r="102" spans="1:6" x14ac:dyDescent="0.25">
      <c r="A102" t="s">
        <v>1528</v>
      </c>
      <c r="B102" t="s">
        <v>101</v>
      </c>
      <c r="C102" s="10" t="str" cm="1">
        <f t="array" ref="C102">IF(AND(A102="2020-12", ISNA(MATCH(B102, _xlfn._xlws.FILTER(B:B, A:A="2021-01"), 0))), "Left", "Ativo")</f>
        <v>Ativo</v>
      </c>
      <c r="D102" s="10" t="str" cm="1">
        <f t="array" ref="D102">IF(AND(A102="2021-01", ISNA(MATCH(B102, _xlfn._xlws.FILTER(B:B, A:A="2021-02"), 0))), "Left", "Ativo")</f>
        <v>Ativo</v>
      </c>
      <c r="E102" s="10" t="str" cm="1">
        <f t="array" ref="E102">IF(AND(A102="2021-02", ISNA(MATCH(B102, _xlfn._xlws.FILTER(B:B, A:A="2021-03"), 0))), "Left", "Ativo")</f>
        <v>Ativo</v>
      </c>
      <c r="F102" s="12" t="str" cm="1">
        <f t="array" ref="F102">IF(AND(A102="2021-03", ISNA(MATCH(B102, _xlfn._xlws.FILTER(B:B, A:A="2021-04"), 0))), "Left", "Ativo")</f>
        <v>Ativo</v>
      </c>
    </row>
    <row r="103" spans="1:6" x14ac:dyDescent="0.25">
      <c r="A103" t="s">
        <v>1528</v>
      </c>
      <c r="B103" t="s">
        <v>102</v>
      </c>
      <c r="C103" s="10" t="str" cm="1">
        <f t="array" ref="C103">IF(AND(A103="2020-12", ISNA(MATCH(B103, _xlfn._xlws.FILTER(B:B, A:A="2021-01"), 0))), "Left", "Ativo")</f>
        <v>Ativo</v>
      </c>
      <c r="D103" s="10" t="str" cm="1">
        <f t="array" ref="D103">IF(AND(A103="2021-01", ISNA(MATCH(B103, _xlfn._xlws.FILTER(B:B, A:A="2021-02"), 0))), "Left", "Ativo")</f>
        <v>Ativo</v>
      </c>
      <c r="E103" s="10" t="str" cm="1">
        <f t="array" ref="E103">IF(AND(A103="2021-02", ISNA(MATCH(B103, _xlfn._xlws.FILTER(B:B, A:A="2021-03"), 0))), "Left", "Ativo")</f>
        <v>Ativo</v>
      </c>
      <c r="F103" s="12" t="str" cm="1">
        <f t="array" ref="F103">IF(AND(A103="2021-03", ISNA(MATCH(B103, _xlfn._xlws.FILTER(B:B, A:A="2021-04"), 0))), "Left", "Ativo")</f>
        <v>Ativo</v>
      </c>
    </row>
    <row r="104" spans="1:6" x14ac:dyDescent="0.25">
      <c r="A104" t="s">
        <v>1528</v>
      </c>
      <c r="B104" t="s">
        <v>103</v>
      </c>
      <c r="C104" s="10" t="str" cm="1">
        <f t="array" ref="C104">IF(AND(A104="2020-12", ISNA(MATCH(B104, _xlfn._xlws.FILTER(B:B, A:A="2021-01"), 0))), "Left", "Ativo")</f>
        <v>Ativo</v>
      </c>
      <c r="D104" s="10" t="str" cm="1">
        <f t="array" ref="D104">IF(AND(A104="2021-01", ISNA(MATCH(B104, _xlfn._xlws.FILTER(B:B, A:A="2021-02"), 0))), "Left", "Ativo")</f>
        <v>Ativo</v>
      </c>
      <c r="E104" s="10" t="str" cm="1">
        <f t="array" ref="E104">IF(AND(A104="2021-02", ISNA(MATCH(B104, _xlfn._xlws.FILTER(B:B, A:A="2021-03"), 0))), "Left", "Ativo")</f>
        <v>Ativo</v>
      </c>
      <c r="F104" s="12" t="str" cm="1">
        <f t="array" ref="F104">IF(AND(A104="2021-03", ISNA(MATCH(B104, _xlfn._xlws.FILTER(B:B, A:A="2021-04"), 0))), "Left", "Ativo")</f>
        <v>Ativo</v>
      </c>
    </row>
    <row r="105" spans="1:6" x14ac:dyDescent="0.25">
      <c r="A105" t="s">
        <v>1528</v>
      </c>
      <c r="B105" t="s">
        <v>104</v>
      </c>
      <c r="C105" s="10" t="str" cm="1">
        <f t="array" ref="C105">IF(AND(A105="2020-12", ISNA(MATCH(B105, _xlfn._xlws.FILTER(B:B, A:A="2021-01"), 0))), "Left", "Ativo")</f>
        <v>Ativo</v>
      </c>
      <c r="D105" s="10" t="str" cm="1">
        <f t="array" ref="D105">IF(AND(A105="2021-01", ISNA(MATCH(B105, _xlfn._xlws.FILTER(B:B, A:A="2021-02"), 0))), "Left", "Ativo")</f>
        <v>Ativo</v>
      </c>
      <c r="E105" s="10" t="str" cm="1">
        <f t="array" ref="E105">IF(AND(A105="2021-02", ISNA(MATCH(B105, _xlfn._xlws.FILTER(B:B, A:A="2021-03"), 0))), "Left", "Ativo")</f>
        <v>Ativo</v>
      </c>
      <c r="F105" s="12" t="str" cm="1">
        <f t="array" ref="F105">IF(AND(A105="2021-03", ISNA(MATCH(B105, _xlfn._xlws.FILTER(B:B, A:A="2021-04"), 0))), "Left", "Ativo")</f>
        <v>Ativo</v>
      </c>
    </row>
    <row r="106" spans="1:6" x14ac:dyDescent="0.25">
      <c r="A106" t="s">
        <v>1528</v>
      </c>
      <c r="B106" t="s">
        <v>105</v>
      </c>
      <c r="C106" s="10" t="str" cm="1">
        <f t="array" ref="C106">IF(AND(A106="2020-12", ISNA(MATCH(B106, _xlfn._xlws.FILTER(B:B, A:A="2021-01"), 0))), "Left", "Ativo")</f>
        <v>Ativo</v>
      </c>
      <c r="D106" s="10" t="str" cm="1">
        <f t="array" ref="D106">IF(AND(A106="2021-01", ISNA(MATCH(B106, _xlfn._xlws.FILTER(B:B, A:A="2021-02"), 0))), "Left", "Ativo")</f>
        <v>Ativo</v>
      </c>
      <c r="E106" s="10" t="str" cm="1">
        <f t="array" ref="E106">IF(AND(A106="2021-02", ISNA(MATCH(B106, _xlfn._xlws.FILTER(B:B, A:A="2021-03"), 0))), "Left", "Ativo")</f>
        <v>Ativo</v>
      </c>
      <c r="F106" s="12" t="str" cm="1">
        <f t="array" ref="F106">IF(AND(A106="2021-03", ISNA(MATCH(B106, _xlfn._xlws.FILTER(B:B, A:A="2021-04"), 0))), "Left", "Ativo")</f>
        <v>Ativo</v>
      </c>
    </row>
    <row r="107" spans="1:6" x14ac:dyDescent="0.25">
      <c r="A107" t="s">
        <v>1528</v>
      </c>
      <c r="B107" t="s">
        <v>106</v>
      </c>
      <c r="C107" s="10" t="str" cm="1">
        <f t="array" ref="C107">IF(AND(A107="2020-12", ISNA(MATCH(B107, _xlfn._xlws.FILTER(B:B, A:A="2021-01"), 0))), "Left", "Ativo")</f>
        <v>Ativo</v>
      </c>
      <c r="D107" s="10" t="str" cm="1">
        <f t="array" ref="D107">IF(AND(A107="2021-01", ISNA(MATCH(B107, _xlfn._xlws.FILTER(B:B, A:A="2021-02"), 0))), "Left", "Ativo")</f>
        <v>Ativo</v>
      </c>
      <c r="E107" s="10" t="str" cm="1">
        <f t="array" ref="E107">IF(AND(A107="2021-02", ISNA(MATCH(B107, _xlfn._xlws.FILTER(B:B, A:A="2021-03"), 0))), "Left", "Ativo")</f>
        <v>Ativo</v>
      </c>
      <c r="F107" s="12" t="str" cm="1">
        <f t="array" ref="F107">IF(AND(A107="2021-03", ISNA(MATCH(B107, _xlfn._xlws.FILTER(B:B, A:A="2021-04"), 0))), "Left", "Ativo")</f>
        <v>Ativo</v>
      </c>
    </row>
    <row r="108" spans="1:6" x14ac:dyDescent="0.25">
      <c r="A108" t="s">
        <v>1528</v>
      </c>
      <c r="B108" t="s">
        <v>107</v>
      </c>
      <c r="C108" s="10" t="str" cm="1">
        <f t="array" ref="C108">IF(AND(A108="2020-12", ISNA(MATCH(B108, _xlfn._xlws.FILTER(B:B, A:A="2021-01"), 0))), "Left", "Ativo")</f>
        <v>Ativo</v>
      </c>
      <c r="D108" s="10" t="str" cm="1">
        <f t="array" ref="D108">IF(AND(A108="2021-01", ISNA(MATCH(B108, _xlfn._xlws.FILTER(B:B, A:A="2021-02"), 0))), "Left", "Ativo")</f>
        <v>Ativo</v>
      </c>
      <c r="E108" s="10" t="str" cm="1">
        <f t="array" ref="E108">IF(AND(A108="2021-02", ISNA(MATCH(B108, _xlfn._xlws.FILTER(B:B, A:A="2021-03"), 0))), "Left", "Ativo")</f>
        <v>Ativo</v>
      </c>
      <c r="F108" s="12" t="str" cm="1">
        <f t="array" ref="F108">IF(AND(A108="2021-03", ISNA(MATCH(B108, _xlfn._xlws.FILTER(B:B, A:A="2021-04"), 0))), "Left", "Ativo")</f>
        <v>Ativo</v>
      </c>
    </row>
    <row r="109" spans="1:6" x14ac:dyDescent="0.25">
      <c r="A109" t="s">
        <v>1528</v>
      </c>
      <c r="B109" t="s">
        <v>108</v>
      </c>
      <c r="C109" s="10" t="str" cm="1">
        <f t="array" ref="C109">IF(AND(A109="2020-12", ISNA(MATCH(B109, _xlfn._xlws.FILTER(B:B, A:A="2021-01"), 0))), "Left", "Ativo")</f>
        <v>Ativo</v>
      </c>
      <c r="D109" s="10" t="str" cm="1">
        <f t="array" ref="D109">IF(AND(A109="2021-01", ISNA(MATCH(B109, _xlfn._xlws.FILTER(B:B, A:A="2021-02"), 0))), "Left", "Ativo")</f>
        <v>Ativo</v>
      </c>
      <c r="E109" s="10" t="str" cm="1">
        <f t="array" ref="E109">IF(AND(A109="2021-02", ISNA(MATCH(B109, _xlfn._xlws.FILTER(B:B, A:A="2021-03"), 0))), "Left", "Ativo")</f>
        <v>Ativo</v>
      </c>
      <c r="F109" s="12" t="str" cm="1">
        <f t="array" ref="F109">IF(AND(A109="2021-03", ISNA(MATCH(B109, _xlfn._xlws.FILTER(B:B, A:A="2021-04"), 0))), "Left", "Ativo")</f>
        <v>Ativo</v>
      </c>
    </row>
    <row r="110" spans="1:6" x14ac:dyDescent="0.25">
      <c r="A110" t="s">
        <v>1528</v>
      </c>
      <c r="B110" t="s">
        <v>109</v>
      </c>
      <c r="C110" s="10" t="str" cm="1">
        <f t="array" ref="C110">IF(AND(A110="2020-12", ISNA(MATCH(B110, _xlfn._xlws.FILTER(B:B, A:A="2021-01"), 0))), "Left", "Ativo")</f>
        <v>Ativo</v>
      </c>
      <c r="D110" s="10" t="str" cm="1">
        <f t="array" ref="D110">IF(AND(A110="2021-01", ISNA(MATCH(B110, _xlfn._xlws.FILTER(B:B, A:A="2021-02"), 0))), "Left", "Ativo")</f>
        <v>Ativo</v>
      </c>
      <c r="E110" s="10" t="str" cm="1">
        <f t="array" ref="E110">IF(AND(A110="2021-02", ISNA(MATCH(B110, _xlfn._xlws.FILTER(B:B, A:A="2021-03"), 0))), "Left", "Ativo")</f>
        <v>Ativo</v>
      </c>
      <c r="F110" s="12" t="str" cm="1">
        <f t="array" ref="F110">IF(AND(A110="2021-03", ISNA(MATCH(B110, _xlfn._xlws.FILTER(B:B, A:A="2021-04"), 0))), "Left", "Ativo")</f>
        <v>Ativo</v>
      </c>
    </row>
    <row r="111" spans="1:6" x14ac:dyDescent="0.25">
      <c r="A111" t="s">
        <v>1528</v>
      </c>
      <c r="B111" t="s">
        <v>110</v>
      </c>
      <c r="C111" s="10" t="str" cm="1">
        <f t="array" ref="C111">IF(AND(A111="2020-12", ISNA(MATCH(B111, _xlfn._xlws.FILTER(B:B, A:A="2021-01"), 0))), "Left", "Ativo")</f>
        <v>Ativo</v>
      </c>
      <c r="D111" s="10" t="str" cm="1">
        <f t="array" ref="D111">IF(AND(A111="2021-01", ISNA(MATCH(B111, _xlfn._xlws.FILTER(B:B, A:A="2021-02"), 0))), "Left", "Ativo")</f>
        <v>Ativo</v>
      </c>
      <c r="E111" s="10" t="str" cm="1">
        <f t="array" ref="E111">IF(AND(A111="2021-02", ISNA(MATCH(B111, _xlfn._xlws.FILTER(B:B, A:A="2021-03"), 0))), "Left", "Ativo")</f>
        <v>Ativo</v>
      </c>
      <c r="F111" s="12" t="str" cm="1">
        <f t="array" ref="F111">IF(AND(A111="2021-03", ISNA(MATCH(B111, _xlfn._xlws.FILTER(B:B, A:A="2021-04"), 0))), "Left", "Ativo")</f>
        <v>Ativo</v>
      </c>
    </row>
    <row r="112" spans="1:6" x14ac:dyDescent="0.25">
      <c r="A112" t="s">
        <v>1528</v>
      </c>
      <c r="B112" t="s">
        <v>111</v>
      </c>
      <c r="C112" s="10" t="str" cm="1">
        <f t="array" ref="C112">IF(AND(A112="2020-12", ISNA(MATCH(B112, _xlfn._xlws.FILTER(B:B, A:A="2021-01"), 0))), "Left", "Ativo")</f>
        <v>Ativo</v>
      </c>
      <c r="D112" s="10" t="str" cm="1">
        <f t="array" ref="D112">IF(AND(A112="2021-01", ISNA(MATCH(B112, _xlfn._xlws.FILTER(B:B, A:A="2021-02"), 0))), "Left", "Ativo")</f>
        <v>Ativo</v>
      </c>
      <c r="E112" s="10" t="str" cm="1">
        <f t="array" ref="E112">IF(AND(A112="2021-02", ISNA(MATCH(B112, _xlfn._xlws.FILTER(B:B, A:A="2021-03"), 0))), "Left", "Ativo")</f>
        <v>Ativo</v>
      </c>
      <c r="F112" s="12" t="str" cm="1">
        <f t="array" ref="F112">IF(AND(A112="2021-03", ISNA(MATCH(B112, _xlfn._xlws.FILTER(B:B, A:A="2021-04"), 0))), "Left", "Ativo")</f>
        <v>Ativo</v>
      </c>
    </row>
    <row r="113" spans="1:6" x14ac:dyDescent="0.25">
      <c r="A113" t="s">
        <v>1528</v>
      </c>
      <c r="B113" t="s">
        <v>112</v>
      </c>
      <c r="C113" s="10" t="str" cm="1">
        <f t="array" ref="C113">IF(AND(A113="2020-12", ISNA(MATCH(B113, _xlfn._xlws.FILTER(B:B, A:A="2021-01"), 0))), "Left", "Ativo")</f>
        <v>Ativo</v>
      </c>
      <c r="D113" s="10" t="str" cm="1">
        <f t="array" ref="D113">IF(AND(A113="2021-01", ISNA(MATCH(B113, _xlfn._xlws.FILTER(B:B, A:A="2021-02"), 0))), "Left", "Ativo")</f>
        <v>Ativo</v>
      </c>
      <c r="E113" s="10" t="str" cm="1">
        <f t="array" ref="E113">IF(AND(A113="2021-02", ISNA(MATCH(B113, _xlfn._xlws.FILTER(B:B, A:A="2021-03"), 0))), "Left", "Ativo")</f>
        <v>Ativo</v>
      </c>
      <c r="F113" s="12" t="str" cm="1">
        <f t="array" ref="F113">IF(AND(A113="2021-03", ISNA(MATCH(B113, _xlfn._xlws.FILTER(B:B, A:A="2021-04"), 0))), "Left", "Ativo")</f>
        <v>Ativo</v>
      </c>
    </row>
    <row r="114" spans="1:6" x14ac:dyDescent="0.25">
      <c r="A114" t="s">
        <v>1528</v>
      </c>
      <c r="B114" t="s">
        <v>113</v>
      </c>
      <c r="C114" s="10" t="str" cm="1">
        <f t="array" ref="C114">IF(AND(A114="2020-12", ISNA(MATCH(B114, _xlfn._xlws.FILTER(B:B, A:A="2021-01"), 0))), "Left", "Ativo")</f>
        <v>Ativo</v>
      </c>
      <c r="D114" s="10" t="str" cm="1">
        <f t="array" ref="D114">IF(AND(A114="2021-01", ISNA(MATCH(B114, _xlfn._xlws.FILTER(B:B, A:A="2021-02"), 0))), "Left", "Ativo")</f>
        <v>Ativo</v>
      </c>
      <c r="E114" s="10" t="str" cm="1">
        <f t="array" ref="E114">IF(AND(A114="2021-02", ISNA(MATCH(B114, _xlfn._xlws.FILTER(B:B, A:A="2021-03"), 0))), "Left", "Ativo")</f>
        <v>Ativo</v>
      </c>
      <c r="F114" s="12" t="str" cm="1">
        <f t="array" ref="F114">IF(AND(A114="2021-03", ISNA(MATCH(B114, _xlfn._xlws.FILTER(B:B, A:A="2021-04"), 0))), "Left", "Ativo")</f>
        <v>Ativo</v>
      </c>
    </row>
    <row r="115" spans="1:6" x14ac:dyDescent="0.25">
      <c r="A115" t="s">
        <v>1528</v>
      </c>
      <c r="B115" t="s">
        <v>114</v>
      </c>
      <c r="C115" s="10" t="str" cm="1">
        <f t="array" ref="C115">IF(AND(A115="2020-12", ISNA(MATCH(B115, _xlfn._xlws.FILTER(B:B, A:A="2021-01"), 0))), "Left", "Ativo")</f>
        <v>Ativo</v>
      </c>
      <c r="D115" s="10" t="str" cm="1">
        <f t="array" ref="D115">IF(AND(A115="2021-01", ISNA(MATCH(B115, _xlfn._xlws.FILTER(B:B, A:A="2021-02"), 0))), "Left", "Ativo")</f>
        <v>Ativo</v>
      </c>
      <c r="E115" s="10" t="str" cm="1">
        <f t="array" ref="E115">IF(AND(A115="2021-02", ISNA(MATCH(B115, _xlfn._xlws.FILTER(B:B, A:A="2021-03"), 0))), "Left", "Ativo")</f>
        <v>Ativo</v>
      </c>
      <c r="F115" s="12" t="str" cm="1">
        <f t="array" ref="F115">IF(AND(A115="2021-03", ISNA(MATCH(B115, _xlfn._xlws.FILTER(B:B, A:A="2021-04"), 0))), "Left", "Ativo")</f>
        <v>Ativo</v>
      </c>
    </row>
    <row r="116" spans="1:6" x14ac:dyDescent="0.25">
      <c r="A116" t="s">
        <v>1528</v>
      </c>
      <c r="B116" t="s">
        <v>115</v>
      </c>
      <c r="C116" s="10" t="str" cm="1">
        <f t="array" ref="C116">IF(AND(A116="2020-12", ISNA(MATCH(B116, _xlfn._xlws.FILTER(B:B, A:A="2021-01"), 0))), "Left", "Ativo")</f>
        <v>Ativo</v>
      </c>
      <c r="D116" s="10" t="str" cm="1">
        <f t="array" ref="D116">IF(AND(A116="2021-01", ISNA(MATCH(B116, _xlfn._xlws.FILTER(B:B, A:A="2021-02"), 0))), "Left", "Ativo")</f>
        <v>Ativo</v>
      </c>
      <c r="E116" s="10" t="str" cm="1">
        <f t="array" ref="E116">IF(AND(A116="2021-02", ISNA(MATCH(B116, _xlfn._xlws.FILTER(B:B, A:A="2021-03"), 0))), "Left", "Ativo")</f>
        <v>Ativo</v>
      </c>
      <c r="F116" s="12" t="str" cm="1">
        <f t="array" ref="F116">IF(AND(A116="2021-03", ISNA(MATCH(B116, _xlfn._xlws.FILTER(B:B, A:A="2021-04"), 0))), "Left", "Ativo")</f>
        <v>Ativo</v>
      </c>
    </row>
    <row r="117" spans="1:6" x14ac:dyDescent="0.25">
      <c r="A117" t="s">
        <v>1528</v>
      </c>
      <c r="B117" t="s">
        <v>116</v>
      </c>
      <c r="C117" s="10" t="str" cm="1">
        <f t="array" ref="C117">IF(AND(A117="2020-12", ISNA(MATCH(B117, _xlfn._xlws.FILTER(B:B, A:A="2021-01"), 0))), "Left", "Ativo")</f>
        <v>Ativo</v>
      </c>
      <c r="D117" s="10" t="str" cm="1">
        <f t="array" ref="D117">IF(AND(A117="2021-01", ISNA(MATCH(B117, _xlfn._xlws.FILTER(B:B, A:A="2021-02"), 0))), "Left", "Ativo")</f>
        <v>Ativo</v>
      </c>
      <c r="E117" s="10" t="str" cm="1">
        <f t="array" ref="E117">IF(AND(A117="2021-02", ISNA(MATCH(B117, _xlfn._xlws.FILTER(B:B, A:A="2021-03"), 0))), "Left", "Ativo")</f>
        <v>Ativo</v>
      </c>
      <c r="F117" s="12" t="str" cm="1">
        <f t="array" ref="F117">IF(AND(A117="2021-03", ISNA(MATCH(B117, _xlfn._xlws.FILTER(B:B, A:A="2021-04"), 0))), "Left", "Ativo")</f>
        <v>Ativo</v>
      </c>
    </row>
    <row r="118" spans="1:6" x14ac:dyDescent="0.25">
      <c r="A118" t="s">
        <v>1528</v>
      </c>
      <c r="B118" t="s">
        <v>117</v>
      </c>
      <c r="C118" s="10" t="str" cm="1">
        <f t="array" ref="C118">IF(AND(A118="2020-12", ISNA(MATCH(B118, _xlfn._xlws.FILTER(B:B, A:A="2021-01"), 0))), "Left", "Ativo")</f>
        <v>Ativo</v>
      </c>
      <c r="D118" s="10" t="str" cm="1">
        <f t="array" ref="D118">IF(AND(A118="2021-01", ISNA(MATCH(B118, _xlfn._xlws.FILTER(B:B, A:A="2021-02"), 0))), "Left", "Ativo")</f>
        <v>Ativo</v>
      </c>
      <c r="E118" s="10" t="str" cm="1">
        <f t="array" ref="E118">IF(AND(A118="2021-02", ISNA(MATCH(B118, _xlfn._xlws.FILTER(B:B, A:A="2021-03"), 0))), "Left", "Ativo")</f>
        <v>Ativo</v>
      </c>
      <c r="F118" s="12" t="str" cm="1">
        <f t="array" ref="F118">IF(AND(A118="2021-03", ISNA(MATCH(B118, _xlfn._xlws.FILTER(B:B, A:A="2021-04"), 0))), "Left", "Ativo")</f>
        <v>Ativo</v>
      </c>
    </row>
    <row r="119" spans="1:6" x14ac:dyDescent="0.25">
      <c r="A119" t="s">
        <v>1528</v>
      </c>
      <c r="B119" t="s">
        <v>118</v>
      </c>
      <c r="C119" s="10" t="str" cm="1">
        <f t="array" ref="C119">IF(AND(A119="2020-12", ISNA(MATCH(B119, _xlfn._xlws.FILTER(B:B, A:A="2021-01"), 0))), "Left", "Ativo")</f>
        <v>Ativo</v>
      </c>
      <c r="D119" s="10" t="str" cm="1">
        <f t="array" ref="D119">IF(AND(A119="2021-01", ISNA(MATCH(B119, _xlfn._xlws.FILTER(B:B, A:A="2021-02"), 0))), "Left", "Ativo")</f>
        <v>Ativo</v>
      </c>
      <c r="E119" s="10" t="str" cm="1">
        <f t="array" ref="E119">IF(AND(A119="2021-02", ISNA(MATCH(B119, _xlfn._xlws.FILTER(B:B, A:A="2021-03"), 0))), "Left", "Ativo")</f>
        <v>Ativo</v>
      </c>
      <c r="F119" s="12" t="str" cm="1">
        <f t="array" ref="F119">IF(AND(A119="2021-03", ISNA(MATCH(B119, _xlfn._xlws.FILTER(B:B, A:A="2021-04"), 0))), "Left", "Ativo")</f>
        <v>Ativo</v>
      </c>
    </row>
    <row r="120" spans="1:6" x14ac:dyDescent="0.25">
      <c r="A120" t="s">
        <v>1528</v>
      </c>
      <c r="B120" t="s">
        <v>119</v>
      </c>
      <c r="C120" s="10" t="str" cm="1">
        <f t="array" ref="C120">IF(AND(A120="2020-12", ISNA(MATCH(B120, _xlfn._xlws.FILTER(B:B, A:A="2021-01"), 0))), "Left", "Ativo")</f>
        <v>Ativo</v>
      </c>
      <c r="D120" s="10" t="str" cm="1">
        <f t="array" ref="D120">IF(AND(A120="2021-01", ISNA(MATCH(B120, _xlfn._xlws.FILTER(B:B, A:A="2021-02"), 0))), "Left", "Ativo")</f>
        <v>Ativo</v>
      </c>
      <c r="E120" s="10" t="str" cm="1">
        <f t="array" ref="E120">IF(AND(A120="2021-02", ISNA(MATCH(B120, _xlfn._xlws.FILTER(B:B, A:A="2021-03"), 0))), "Left", "Ativo")</f>
        <v>Ativo</v>
      </c>
      <c r="F120" s="12" t="str" cm="1">
        <f t="array" ref="F120">IF(AND(A120="2021-03", ISNA(MATCH(B120, _xlfn._xlws.FILTER(B:B, A:A="2021-04"), 0))), "Left", "Ativo")</f>
        <v>Ativo</v>
      </c>
    </row>
    <row r="121" spans="1:6" x14ac:dyDescent="0.25">
      <c r="A121" t="s">
        <v>1528</v>
      </c>
      <c r="B121" t="s">
        <v>120</v>
      </c>
      <c r="C121" s="10" t="str" cm="1">
        <f t="array" ref="C121">IF(AND(A121="2020-12", ISNA(MATCH(B121, _xlfn._xlws.FILTER(B:B, A:A="2021-01"), 0))), "Left", "Ativo")</f>
        <v>Ativo</v>
      </c>
      <c r="D121" s="10" t="str" cm="1">
        <f t="array" ref="D121">IF(AND(A121="2021-01", ISNA(MATCH(B121, _xlfn._xlws.FILTER(B:B, A:A="2021-02"), 0))), "Left", "Ativo")</f>
        <v>Ativo</v>
      </c>
      <c r="E121" s="10" t="str" cm="1">
        <f t="array" ref="E121">IF(AND(A121="2021-02", ISNA(MATCH(B121, _xlfn._xlws.FILTER(B:B, A:A="2021-03"), 0))), "Left", "Ativo")</f>
        <v>Ativo</v>
      </c>
      <c r="F121" s="12" t="str" cm="1">
        <f t="array" ref="F121">IF(AND(A121="2021-03", ISNA(MATCH(B121, _xlfn._xlws.FILTER(B:B, A:A="2021-04"), 0))), "Left", "Ativo")</f>
        <v>Ativo</v>
      </c>
    </row>
    <row r="122" spans="1:6" x14ac:dyDescent="0.25">
      <c r="A122" t="s">
        <v>1528</v>
      </c>
      <c r="B122" t="s">
        <v>121</v>
      </c>
      <c r="C122" s="10" t="str" cm="1">
        <f t="array" ref="C122">IF(AND(A122="2020-12", ISNA(MATCH(B122, _xlfn._xlws.FILTER(B:B, A:A="2021-01"), 0))), "Left", "Ativo")</f>
        <v>Ativo</v>
      </c>
      <c r="D122" s="10" t="str" cm="1">
        <f t="array" ref="D122">IF(AND(A122="2021-01", ISNA(MATCH(B122, _xlfn._xlws.FILTER(B:B, A:A="2021-02"), 0))), "Left", "Ativo")</f>
        <v>Ativo</v>
      </c>
      <c r="E122" s="10" t="str" cm="1">
        <f t="array" ref="E122">IF(AND(A122="2021-02", ISNA(MATCH(B122, _xlfn._xlws.FILTER(B:B, A:A="2021-03"), 0))), "Left", "Ativo")</f>
        <v>Ativo</v>
      </c>
      <c r="F122" s="12" t="str" cm="1">
        <f t="array" ref="F122">IF(AND(A122="2021-03", ISNA(MATCH(B122, _xlfn._xlws.FILTER(B:B, A:A="2021-04"), 0))), "Left", "Ativo")</f>
        <v>Ativo</v>
      </c>
    </row>
    <row r="123" spans="1:6" x14ac:dyDescent="0.25">
      <c r="A123" t="s">
        <v>1528</v>
      </c>
      <c r="B123" t="s">
        <v>122</v>
      </c>
      <c r="C123" s="10" t="str" cm="1">
        <f t="array" ref="C123">IF(AND(A123="2020-12", ISNA(MATCH(B123, _xlfn._xlws.FILTER(B:B, A:A="2021-01"), 0))), "Left", "Ativo")</f>
        <v>Ativo</v>
      </c>
      <c r="D123" s="10" t="str" cm="1">
        <f t="array" ref="D123">IF(AND(A123="2021-01", ISNA(MATCH(B123, _xlfn._xlws.FILTER(B:B, A:A="2021-02"), 0))), "Left", "Ativo")</f>
        <v>Ativo</v>
      </c>
      <c r="E123" s="10" t="str" cm="1">
        <f t="array" ref="E123">IF(AND(A123="2021-02", ISNA(MATCH(B123, _xlfn._xlws.FILTER(B:B, A:A="2021-03"), 0))), "Left", "Ativo")</f>
        <v>Ativo</v>
      </c>
      <c r="F123" s="12" t="str" cm="1">
        <f t="array" ref="F123">IF(AND(A123="2021-03", ISNA(MATCH(B123, _xlfn._xlws.FILTER(B:B, A:A="2021-04"), 0))), "Left", "Ativo")</f>
        <v>Ativo</v>
      </c>
    </row>
    <row r="124" spans="1:6" x14ac:dyDescent="0.25">
      <c r="A124" t="s">
        <v>1528</v>
      </c>
      <c r="B124" t="s">
        <v>123</v>
      </c>
      <c r="C124" s="10" t="str" cm="1">
        <f t="array" ref="C124">IF(AND(A124="2020-12", ISNA(MATCH(B124, _xlfn._xlws.FILTER(B:B, A:A="2021-01"), 0))), "Left", "Ativo")</f>
        <v>Ativo</v>
      </c>
      <c r="D124" s="10" t="str" cm="1">
        <f t="array" ref="D124">IF(AND(A124="2021-01", ISNA(MATCH(B124, _xlfn._xlws.FILTER(B:B, A:A="2021-02"), 0))), "Left", "Ativo")</f>
        <v>Ativo</v>
      </c>
      <c r="E124" s="10" t="str" cm="1">
        <f t="array" ref="E124">IF(AND(A124="2021-02", ISNA(MATCH(B124, _xlfn._xlws.FILTER(B:B, A:A="2021-03"), 0))), "Left", "Ativo")</f>
        <v>Ativo</v>
      </c>
      <c r="F124" s="12" t="str" cm="1">
        <f t="array" ref="F124">IF(AND(A124="2021-03", ISNA(MATCH(B124, _xlfn._xlws.FILTER(B:B, A:A="2021-04"), 0))), "Left", "Ativo")</f>
        <v>Ativo</v>
      </c>
    </row>
    <row r="125" spans="1:6" x14ac:dyDescent="0.25">
      <c r="A125" t="s">
        <v>1528</v>
      </c>
      <c r="B125" t="s">
        <v>124</v>
      </c>
      <c r="C125" s="10" t="str" cm="1">
        <f t="array" ref="C125">IF(AND(A125="2020-12", ISNA(MATCH(B125, _xlfn._xlws.FILTER(B:B, A:A="2021-01"), 0))), "Left", "Ativo")</f>
        <v>Ativo</v>
      </c>
      <c r="D125" s="10" t="str" cm="1">
        <f t="array" ref="D125">IF(AND(A125="2021-01", ISNA(MATCH(B125, _xlfn._xlws.FILTER(B:B, A:A="2021-02"), 0))), "Left", "Ativo")</f>
        <v>Ativo</v>
      </c>
      <c r="E125" s="10" t="str" cm="1">
        <f t="array" ref="E125">IF(AND(A125="2021-02", ISNA(MATCH(B125, _xlfn._xlws.FILTER(B:B, A:A="2021-03"), 0))), "Left", "Ativo")</f>
        <v>Ativo</v>
      </c>
      <c r="F125" s="12" t="str" cm="1">
        <f t="array" ref="F125">IF(AND(A125="2021-03", ISNA(MATCH(B125, _xlfn._xlws.FILTER(B:B, A:A="2021-04"), 0))), "Left", "Ativo")</f>
        <v>Ativo</v>
      </c>
    </row>
    <row r="126" spans="1:6" x14ac:dyDescent="0.25">
      <c r="A126" t="s">
        <v>1528</v>
      </c>
      <c r="B126" t="s">
        <v>125</v>
      </c>
      <c r="C126" s="10" t="str" cm="1">
        <f t="array" ref="C126">IF(AND(A126="2020-12", ISNA(MATCH(B126, _xlfn._xlws.FILTER(B:B, A:A="2021-01"), 0))), "Left", "Ativo")</f>
        <v>Ativo</v>
      </c>
      <c r="D126" s="10" t="str" cm="1">
        <f t="array" ref="D126">IF(AND(A126="2021-01", ISNA(MATCH(B126, _xlfn._xlws.FILTER(B:B, A:A="2021-02"), 0))), "Left", "Ativo")</f>
        <v>Ativo</v>
      </c>
      <c r="E126" s="10" t="str" cm="1">
        <f t="array" ref="E126">IF(AND(A126="2021-02", ISNA(MATCH(B126, _xlfn._xlws.FILTER(B:B, A:A="2021-03"), 0))), "Left", "Ativo")</f>
        <v>Ativo</v>
      </c>
      <c r="F126" s="12" t="str" cm="1">
        <f t="array" ref="F126">IF(AND(A126="2021-03", ISNA(MATCH(B126, _xlfn._xlws.FILTER(B:B, A:A="2021-04"), 0))), "Left", "Ativo")</f>
        <v>Ativo</v>
      </c>
    </row>
    <row r="127" spans="1:6" x14ac:dyDescent="0.25">
      <c r="A127" t="s">
        <v>1528</v>
      </c>
      <c r="B127" t="s">
        <v>126</v>
      </c>
      <c r="C127" s="10" t="str" cm="1">
        <f t="array" ref="C127">IF(AND(A127="2020-12", ISNA(MATCH(B127, _xlfn._xlws.FILTER(B:B, A:A="2021-01"), 0))), "Left", "Ativo")</f>
        <v>Ativo</v>
      </c>
      <c r="D127" s="10" t="str" cm="1">
        <f t="array" ref="D127">IF(AND(A127="2021-01", ISNA(MATCH(B127, _xlfn._xlws.FILTER(B:B, A:A="2021-02"), 0))), "Left", "Ativo")</f>
        <v>Ativo</v>
      </c>
      <c r="E127" s="10" t="str" cm="1">
        <f t="array" ref="E127">IF(AND(A127="2021-02", ISNA(MATCH(B127, _xlfn._xlws.FILTER(B:B, A:A="2021-03"), 0))), "Left", "Ativo")</f>
        <v>Ativo</v>
      </c>
      <c r="F127" s="12" t="str" cm="1">
        <f t="array" ref="F127">IF(AND(A127="2021-03", ISNA(MATCH(B127, _xlfn._xlws.FILTER(B:B, A:A="2021-04"), 0))), "Left", "Ativo")</f>
        <v>Ativo</v>
      </c>
    </row>
    <row r="128" spans="1:6" x14ac:dyDescent="0.25">
      <c r="A128" t="s">
        <v>1528</v>
      </c>
      <c r="B128" t="s">
        <v>127</v>
      </c>
      <c r="C128" s="10" t="str" cm="1">
        <f t="array" ref="C128">IF(AND(A128="2020-12", ISNA(MATCH(B128, _xlfn._xlws.FILTER(B:B, A:A="2021-01"), 0))), "Left", "Ativo")</f>
        <v>Ativo</v>
      </c>
      <c r="D128" s="10" t="str" cm="1">
        <f t="array" ref="D128">IF(AND(A128="2021-01", ISNA(MATCH(B128, _xlfn._xlws.FILTER(B:B, A:A="2021-02"), 0))), "Left", "Ativo")</f>
        <v>Ativo</v>
      </c>
      <c r="E128" s="10" t="str" cm="1">
        <f t="array" ref="E128">IF(AND(A128="2021-02", ISNA(MATCH(B128, _xlfn._xlws.FILTER(B:B, A:A="2021-03"), 0))), "Left", "Ativo")</f>
        <v>Ativo</v>
      </c>
      <c r="F128" s="12" t="str" cm="1">
        <f t="array" ref="F128">IF(AND(A128="2021-03", ISNA(MATCH(B128, _xlfn._xlws.FILTER(B:B, A:A="2021-04"), 0))), "Left", "Ativo")</f>
        <v>Ativo</v>
      </c>
    </row>
    <row r="129" spans="1:6" x14ac:dyDescent="0.25">
      <c r="A129" t="s">
        <v>1528</v>
      </c>
      <c r="B129" t="s">
        <v>128</v>
      </c>
      <c r="C129" s="10" t="str" cm="1">
        <f t="array" ref="C129">IF(AND(A129="2020-12", ISNA(MATCH(B129, _xlfn._xlws.FILTER(B:B, A:A="2021-01"), 0))), "Left", "Ativo")</f>
        <v>Ativo</v>
      </c>
      <c r="D129" s="10" t="str" cm="1">
        <f t="array" ref="D129">IF(AND(A129="2021-01", ISNA(MATCH(B129, _xlfn._xlws.FILTER(B:B, A:A="2021-02"), 0))), "Left", "Ativo")</f>
        <v>Ativo</v>
      </c>
      <c r="E129" s="10" t="str" cm="1">
        <f t="array" ref="E129">IF(AND(A129="2021-02", ISNA(MATCH(B129, _xlfn._xlws.FILTER(B:B, A:A="2021-03"), 0))), "Left", "Ativo")</f>
        <v>Ativo</v>
      </c>
      <c r="F129" s="12" t="str" cm="1">
        <f t="array" ref="F129">IF(AND(A129="2021-03", ISNA(MATCH(B129, _xlfn._xlws.FILTER(B:B, A:A="2021-04"), 0))), "Left", "Ativo")</f>
        <v>Ativo</v>
      </c>
    </row>
    <row r="130" spans="1:6" x14ac:dyDescent="0.25">
      <c r="A130" t="s">
        <v>1528</v>
      </c>
      <c r="B130" t="s">
        <v>129</v>
      </c>
      <c r="C130" s="10" t="str" cm="1">
        <f t="array" ref="C130">IF(AND(A130="2020-12", ISNA(MATCH(B130, _xlfn._xlws.FILTER(B:B, A:A="2021-01"), 0))), "Left", "Ativo")</f>
        <v>Ativo</v>
      </c>
      <c r="D130" s="10" t="str" cm="1">
        <f t="array" ref="D130">IF(AND(A130="2021-01", ISNA(MATCH(B130, _xlfn._xlws.FILTER(B:B, A:A="2021-02"), 0))), "Left", "Ativo")</f>
        <v>Ativo</v>
      </c>
      <c r="E130" s="10" t="str" cm="1">
        <f t="array" ref="E130">IF(AND(A130="2021-02", ISNA(MATCH(B130, _xlfn._xlws.FILTER(B:B, A:A="2021-03"), 0))), "Left", "Ativo")</f>
        <v>Ativo</v>
      </c>
      <c r="F130" s="12" t="str" cm="1">
        <f t="array" ref="F130">IF(AND(A130="2021-03", ISNA(MATCH(B130, _xlfn._xlws.FILTER(B:B, A:A="2021-04"), 0))), "Left", "Ativo")</f>
        <v>Ativo</v>
      </c>
    </row>
    <row r="131" spans="1:6" x14ac:dyDescent="0.25">
      <c r="A131" t="s">
        <v>1528</v>
      </c>
      <c r="B131" t="s">
        <v>130</v>
      </c>
      <c r="C131" s="10" t="str" cm="1">
        <f t="array" ref="C131">IF(AND(A131="2020-12", ISNA(MATCH(B131, _xlfn._xlws.FILTER(B:B, A:A="2021-01"), 0))), "Left", "Ativo")</f>
        <v>Ativo</v>
      </c>
      <c r="D131" s="10" t="str" cm="1">
        <f t="array" ref="D131">IF(AND(A131="2021-01", ISNA(MATCH(B131, _xlfn._xlws.FILTER(B:B, A:A="2021-02"), 0))), "Left", "Ativo")</f>
        <v>Ativo</v>
      </c>
      <c r="E131" s="10" t="str" cm="1">
        <f t="array" ref="E131">IF(AND(A131="2021-02", ISNA(MATCH(B131, _xlfn._xlws.FILTER(B:B, A:A="2021-03"), 0))), "Left", "Ativo")</f>
        <v>Ativo</v>
      </c>
      <c r="F131" s="12" t="str" cm="1">
        <f t="array" ref="F131">IF(AND(A131="2021-03", ISNA(MATCH(B131, _xlfn._xlws.FILTER(B:B, A:A="2021-04"), 0))), "Left", "Ativo")</f>
        <v>Ativo</v>
      </c>
    </row>
    <row r="132" spans="1:6" x14ac:dyDescent="0.25">
      <c r="A132" t="s">
        <v>1528</v>
      </c>
      <c r="B132" t="s">
        <v>131</v>
      </c>
      <c r="C132" s="10" t="str" cm="1">
        <f t="array" ref="C132">IF(AND(A132="2020-12", ISNA(MATCH(B132, _xlfn._xlws.FILTER(B:B, A:A="2021-01"), 0))), "Left", "Ativo")</f>
        <v>Ativo</v>
      </c>
      <c r="D132" s="10" t="str" cm="1">
        <f t="array" ref="D132">IF(AND(A132="2021-01", ISNA(MATCH(B132, _xlfn._xlws.FILTER(B:B, A:A="2021-02"), 0))), "Left", "Ativo")</f>
        <v>Ativo</v>
      </c>
      <c r="E132" s="10" t="str" cm="1">
        <f t="array" ref="E132">IF(AND(A132="2021-02", ISNA(MATCH(B132, _xlfn._xlws.FILTER(B:B, A:A="2021-03"), 0))), "Left", "Ativo")</f>
        <v>Ativo</v>
      </c>
      <c r="F132" s="12" t="str" cm="1">
        <f t="array" ref="F132">IF(AND(A132="2021-03", ISNA(MATCH(B132, _xlfn._xlws.FILTER(B:B, A:A="2021-04"), 0))), "Left", "Ativo")</f>
        <v>Ativo</v>
      </c>
    </row>
    <row r="133" spans="1:6" x14ac:dyDescent="0.25">
      <c r="A133" t="s">
        <v>1528</v>
      </c>
      <c r="B133" t="s">
        <v>132</v>
      </c>
      <c r="C133" s="10" t="str" cm="1">
        <f t="array" ref="C133">IF(AND(A133="2020-12", ISNA(MATCH(B133, _xlfn._xlws.FILTER(B:B, A:A="2021-01"), 0))), "Left", "Ativo")</f>
        <v>Ativo</v>
      </c>
      <c r="D133" s="10" t="str" cm="1">
        <f t="array" ref="D133">IF(AND(A133="2021-01", ISNA(MATCH(B133, _xlfn._xlws.FILTER(B:B, A:A="2021-02"), 0))), "Left", "Ativo")</f>
        <v>Ativo</v>
      </c>
      <c r="E133" s="10" t="str" cm="1">
        <f t="array" ref="E133">IF(AND(A133="2021-02", ISNA(MATCH(B133, _xlfn._xlws.FILTER(B:B, A:A="2021-03"), 0))), "Left", "Ativo")</f>
        <v>Ativo</v>
      </c>
      <c r="F133" s="12" t="str" cm="1">
        <f t="array" ref="F133">IF(AND(A133="2021-03", ISNA(MATCH(B133, _xlfn._xlws.FILTER(B:B, A:A="2021-04"), 0))), "Left", "Ativo")</f>
        <v>Ativo</v>
      </c>
    </row>
    <row r="134" spans="1:6" x14ac:dyDescent="0.25">
      <c r="A134" t="s">
        <v>1528</v>
      </c>
      <c r="B134" t="s">
        <v>133</v>
      </c>
      <c r="C134" s="10" t="str" cm="1">
        <f t="array" ref="C134">IF(AND(A134="2020-12", ISNA(MATCH(B134, _xlfn._xlws.FILTER(B:B, A:A="2021-01"), 0))), "Left", "Ativo")</f>
        <v>Ativo</v>
      </c>
      <c r="D134" s="10" t="str" cm="1">
        <f t="array" ref="D134">IF(AND(A134="2021-01", ISNA(MATCH(B134, _xlfn._xlws.FILTER(B:B, A:A="2021-02"), 0))), "Left", "Ativo")</f>
        <v>Ativo</v>
      </c>
      <c r="E134" s="10" t="str" cm="1">
        <f t="array" ref="E134">IF(AND(A134="2021-02", ISNA(MATCH(B134, _xlfn._xlws.FILTER(B:B, A:A="2021-03"), 0))), "Left", "Ativo")</f>
        <v>Ativo</v>
      </c>
      <c r="F134" s="12" t="str" cm="1">
        <f t="array" ref="F134">IF(AND(A134="2021-03", ISNA(MATCH(B134, _xlfn._xlws.FILTER(B:B, A:A="2021-04"), 0))), "Left", "Ativo")</f>
        <v>Ativo</v>
      </c>
    </row>
    <row r="135" spans="1:6" x14ac:dyDescent="0.25">
      <c r="A135" t="s">
        <v>1528</v>
      </c>
      <c r="B135" t="s">
        <v>134</v>
      </c>
      <c r="C135" s="10" t="str" cm="1">
        <f t="array" ref="C135">IF(AND(A135="2020-12", ISNA(MATCH(B135, _xlfn._xlws.FILTER(B:B, A:A="2021-01"), 0))), "Left", "Ativo")</f>
        <v>Ativo</v>
      </c>
      <c r="D135" s="10" t="str" cm="1">
        <f t="array" ref="D135">IF(AND(A135="2021-01", ISNA(MATCH(B135, _xlfn._xlws.FILTER(B:B, A:A="2021-02"), 0))), "Left", "Ativo")</f>
        <v>Ativo</v>
      </c>
      <c r="E135" s="10" t="str" cm="1">
        <f t="array" ref="E135">IF(AND(A135="2021-02", ISNA(MATCH(B135, _xlfn._xlws.FILTER(B:B, A:A="2021-03"), 0))), "Left", "Ativo")</f>
        <v>Ativo</v>
      </c>
      <c r="F135" s="12" t="str" cm="1">
        <f t="array" ref="F135">IF(AND(A135="2021-03", ISNA(MATCH(B135, _xlfn._xlws.FILTER(B:B, A:A="2021-04"), 0))), "Left", "Ativo")</f>
        <v>Ativo</v>
      </c>
    </row>
    <row r="136" spans="1:6" x14ac:dyDescent="0.25">
      <c r="A136" t="s">
        <v>1528</v>
      </c>
      <c r="B136" t="s">
        <v>135</v>
      </c>
      <c r="C136" s="10" t="str" cm="1">
        <f t="array" ref="C136">IF(AND(A136="2020-12", ISNA(MATCH(B136, _xlfn._xlws.FILTER(B:B, A:A="2021-01"), 0))), "Left", "Ativo")</f>
        <v>Ativo</v>
      </c>
      <c r="D136" s="10" t="str" cm="1">
        <f t="array" ref="D136">IF(AND(A136="2021-01", ISNA(MATCH(B136, _xlfn._xlws.FILTER(B:B, A:A="2021-02"), 0))), "Left", "Ativo")</f>
        <v>Ativo</v>
      </c>
      <c r="E136" s="10" t="str" cm="1">
        <f t="array" ref="E136">IF(AND(A136="2021-02", ISNA(MATCH(B136, _xlfn._xlws.FILTER(B:B, A:A="2021-03"), 0))), "Left", "Ativo")</f>
        <v>Ativo</v>
      </c>
      <c r="F136" s="12" t="str" cm="1">
        <f t="array" ref="F136">IF(AND(A136="2021-03", ISNA(MATCH(B136, _xlfn._xlws.FILTER(B:B, A:A="2021-04"), 0))), "Left", "Ativo")</f>
        <v>Ativo</v>
      </c>
    </row>
    <row r="137" spans="1:6" x14ac:dyDescent="0.25">
      <c r="A137" t="s">
        <v>1528</v>
      </c>
      <c r="B137" t="s">
        <v>136</v>
      </c>
      <c r="C137" s="10" t="str" cm="1">
        <f t="array" ref="C137">IF(AND(A137="2020-12", ISNA(MATCH(B137, _xlfn._xlws.FILTER(B:B, A:A="2021-01"), 0))), "Left", "Ativo")</f>
        <v>Ativo</v>
      </c>
      <c r="D137" s="10" t="str" cm="1">
        <f t="array" ref="D137">IF(AND(A137="2021-01", ISNA(MATCH(B137, _xlfn._xlws.FILTER(B:B, A:A="2021-02"), 0))), "Left", "Ativo")</f>
        <v>Ativo</v>
      </c>
      <c r="E137" s="10" t="str" cm="1">
        <f t="array" ref="E137">IF(AND(A137="2021-02", ISNA(MATCH(B137, _xlfn._xlws.FILTER(B:B, A:A="2021-03"), 0))), "Left", "Ativo")</f>
        <v>Ativo</v>
      </c>
      <c r="F137" s="12" t="str" cm="1">
        <f t="array" ref="F137">IF(AND(A137="2021-03", ISNA(MATCH(B137, _xlfn._xlws.FILTER(B:B, A:A="2021-04"), 0))), "Left", "Ativo")</f>
        <v>Ativo</v>
      </c>
    </row>
    <row r="138" spans="1:6" x14ac:dyDescent="0.25">
      <c r="A138" t="s">
        <v>1528</v>
      </c>
      <c r="B138" t="s">
        <v>137</v>
      </c>
      <c r="C138" s="10" t="str" cm="1">
        <f t="array" ref="C138">IF(AND(A138="2020-12", ISNA(MATCH(B138, _xlfn._xlws.FILTER(B:B, A:A="2021-01"), 0))), "Left", "Ativo")</f>
        <v>Ativo</v>
      </c>
      <c r="D138" s="10" t="str" cm="1">
        <f t="array" ref="D138">IF(AND(A138="2021-01", ISNA(MATCH(B138, _xlfn._xlws.FILTER(B:B, A:A="2021-02"), 0))), "Left", "Ativo")</f>
        <v>Ativo</v>
      </c>
      <c r="E138" s="10" t="str" cm="1">
        <f t="array" ref="E138">IF(AND(A138="2021-02", ISNA(MATCH(B138, _xlfn._xlws.FILTER(B:B, A:A="2021-03"), 0))), "Left", "Ativo")</f>
        <v>Ativo</v>
      </c>
      <c r="F138" s="12" t="str" cm="1">
        <f t="array" ref="F138">IF(AND(A138="2021-03", ISNA(MATCH(B138, _xlfn._xlws.FILTER(B:B, A:A="2021-04"), 0))), "Left", "Ativo")</f>
        <v>Ativo</v>
      </c>
    </row>
    <row r="139" spans="1:6" x14ac:dyDescent="0.25">
      <c r="A139" t="s">
        <v>1528</v>
      </c>
      <c r="B139" t="s">
        <v>138</v>
      </c>
      <c r="C139" s="10" t="str" cm="1">
        <f t="array" ref="C139">IF(AND(A139="2020-12", ISNA(MATCH(B139, _xlfn._xlws.FILTER(B:B, A:A="2021-01"), 0))), "Left", "Ativo")</f>
        <v>Ativo</v>
      </c>
      <c r="D139" s="10" t="str" cm="1">
        <f t="array" ref="D139">IF(AND(A139="2021-01", ISNA(MATCH(B139, _xlfn._xlws.FILTER(B:B, A:A="2021-02"), 0))), "Left", "Ativo")</f>
        <v>Ativo</v>
      </c>
      <c r="E139" s="10" t="str" cm="1">
        <f t="array" ref="E139">IF(AND(A139="2021-02", ISNA(MATCH(B139, _xlfn._xlws.FILTER(B:B, A:A="2021-03"), 0))), "Left", "Ativo")</f>
        <v>Ativo</v>
      </c>
      <c r="F139" s="12" t="str" cm="1">
        <f t="array" ref="F139">IF(AND(A139="2021-03", ISNA(MATCH(B139, _xlfn._xlws.FILTER(B:B, A:A="2021-04"), 0))), "Left", "Ativo")</f>
        <v>Ativo</v>
      </c>
    </row>
    <row r="140" spans="1:6" x14ac:dyDescent="0.25">
      <c r="A140" t="s">
        <v>1528</v>
      </c>
      <c r="B140" t="s">
        <v>139</v>
      </c>
      <c r="C140" s="10" t="str" cm="1">
        <f t="array" ref="C140">IF(AND(A140="2020-12", ISNA(MATCH(B140, _xlfn._xlws.FILTER(B:B, A:A="2021-01"), 0))), "Left", "Ativo")</f>
        <v>Ativo</v>
      </c>
      <c r="D140" s="10" t="str" cm="1">
        <f t="array" ref="D140">IF(AND(A140="2021-01", ISNA(MATCH(B140, _xlfn._xlws.FILTER(B:B, A:A="2021-02"), 0))), "Left", "Ativo")</f>
        <v>Ativo</v>
      </c>
      <c r="E140" s="10" t="str" cm="1">
        <f t="array" ref="E140">IF(AND(A140="2021-02", ISNA(MATCH(B140, _xlfn._xlws.FILTER(B:B, A:A="2021-03"), 0))), "Left", "Ativo")</f>
        <v>Ativo</v>
      </c>
      <c r="F140" s="12" t="str" cm="1">
        <f t="array" ref="F140">IF(AND(A140="2021-03", ISNA(MATCH(B140, _xlfn._xlws.FILTER(B:B, A:A="2021-04"), 0))), "Left", "Ativo")</f>
        <v>Ativo</v>
      </c>
    </row>
    <row r="141" spans="1:6" x14ac:dyDescent="0.25">
      <c r="A141" t="s">
        <v>1528</v>
      </c>
      <c r="B141" t="s">
        <v>140</v>
      </c>
      <c r="C141" s="10" t="str" cm="1">
        <f t="array" ref="C141">IF(AND(A141="2020-12", ISNA(MATCH(B141, _xlfn._xlws.FILTER(B:B, A:A="2021-01"), 0))), "Left", "Ativo")</f>
        <v>Ativo</v>
      </c>
      <c r="D141" s="10" t="str" cm="1">
        <f t="array" ref="D141">IF(AND(A141="2021-01", ISNA(MATCH(B141, _xlfn._xlws.FILTER(B:B, A:A="2021-02"), 0))), "Left", "Ativo")</f>
        <v>Ativo</v>
      </c>
      <c r="E141" s="10" t="str" cm="1">
        <f t="array" ref="E141">IF(AND(A141="2021-02", ISNA(MATCH(B141, _xlfn._xlws.FILTER(B:B, A:A="2021-03"), 0))), "Left", "Ativo")</f>
        <v>Ativo</v>
      </c>
      <c r="F141" s="12" t="str" cm="1">
        <f t="array" ref="F141">IF(AND(A141="2021-03", ISNA(MATCH(B141, _xlfn._xlws.FILTER(B:B, A:A="2021-04"), 0))), "Left", "Ativo")</f>
        <v>Ativo</v>
      </c>
    </row>
    <row r="142" spans="1:6" x14ac:dyDescent="0.25">
      <c r="A142" t="s">
        <v>1528</v>
      </c>
      <c r="B142" t="s">
        <v>141</v>
      </c>
      <c r="C142" s="10" t="str" cm="1">
        <f t="array" ref="C142">IF(AND(A142="2020-12", ISNA(MATCH(B142, _xlfn._xlws.FILTER(B:B, A:A="2021-01"), 0))), "Left", "Ativo")</f>
        <v>Ativo</v>
      </c>
      <c r="D142" s="10" t="str" cm="1">
        <f t="array" ref="D142">IF(AND(A142="2021-01", ISNA(MATCH(B142, _xlfn._xlws.FILTER(B:B, A:A="2021-02"), 0))), "Left", "Ativo")</f>
        <v>Ativo</v>
      </c>
      <c r="E142" s="10" t="str" cm="1">
        <f t="array" ref="E142">IF(AND(A142="2021-02", ISNA(MATCH(B142, _xlfn._xlws.FILTER(B:B, A:A="2021-03"), 0))), "Left", "Ativo")</f>
        <v>Ativo</v>
      </c>
      <c r="F142" s="12" t="str" cm="1">
        <f t="array" ref="F142">IF(AND(A142="2021-03", ISNA(MATCH(B142, _xlfn._xlws.FILTER(B:B, A:A="2021-04"), 0))), "Left", "Ativo")</f>
        <v>Ativo</v>
      </c>
    </row>
    <row r="143" spans="1:6" x14ac:dyDescent="0.25">
      <c r="A143" t="s">
        <v>1528</v>
      </c>
      <c r="B143" t="s">
        <v>142</v>
      </c>
      <c r="C143" s="10" t="str" cm="1">
        <f t="array" ref="C143">IF(AND(A143="2020-12", ISNA(MATCH(B143, _xlfn._xlws.FILTER(B:B, A:A="2021-01"), 0))), "Left", "Ativo")</f>
        <v>Ativo</v>
      </c>
      <c r="D143" s="10" t="str" cm="1">
        <f t="array" ref="D143">IF(AND(A143="2021-01", ISNA(MATCH(B143, _xlfn._xlws.FILTER(B:B, A:A="2021-02"), 0))), "Left", "Ativo")</f>
        <v>Ativo</v>
      </c>
      <c r="E143" s="10" t="str" cm="1">
        <f t="array" ref="E143">IF(AND(A143="2021-02", ISNA(MATCH(B143, _xlfn._xlws.FILTER(B:B, A:A="2021-03"), 0))), "Left", "Ativo")</f>
        <v>Ativo</v>
      </c>
      <c r="F143" s="12" t="str" cm="1">
        <f t="array" ref="F143">IF(AND(A143="2021-03", ISNA(MATCH(B143, _xlfn._xlws.FILTER(B:B, A:A="2021-04"), 0))), "Left", "Ativo")</f>
        <v>Ativo</v>
      </c>
    </row>
    <row r="144" spans="1:6" x14ac:dyDescent="0.25">
      <c r="A144" t="s">
        <v>1528</v>
      </c>
      <c r="B144" t="s">
        <v>143</v>
      </c>
      <c r="C144" s="10" t="str" cm="1">
        <f t="array" ref="C144">IF(AND(A144="2020-12", ISNA(MATCH(B144, _xlfn._xlws.FILTER(B:B, A:A="2021-01"), 0))), "Left", "Ativo")</f>
        <v>Ativo</v>
      </c>
      <c r="D144" s="10" t="str" cm="1">
        <f t="array" ref="D144">IF(AND(A144="2021-01", ISNA(MATCH(B144, _xlfn._xlws.FILTER(B:B, A:A="2021-02"), 0))), "Left", "Ativo")</f>
        <v>Ativo</v>
      </c>
      <c r="E144" s="10" t="str" cm="1">
        <f t="array" ref="E144">IF(AND(A144="2021-02", ISNA(MATCH(B144, _xlfn._xlws.FILTER(B:B, A:A="2021-03"), 0))), "Left", "Ativo")</f>
        <v>Ativo</v>
      </c>
      <c r="F144" s="12" t="str" cm="1">
        <f t="array" ref="F144">IF(AND(A144="2021-03", ISNA(MATCH(B144, _xlfn._xlws.FILTER(B:B, A:A="2021-04"), 0))), "Left", "Ativo")</f>
        <v>Ativo</v>
      </c>
    </row>
    <row r="145" spans="1:6" x14ac:dyDescent="0.25">
      <c r="A145" t="s">
        <v>1528</v>
      </c>
      <c r="B145" t="s">
        <v>144</v>
      </c>
      <c r="C145" s="10" t="str" cm="1">
        <f t="array" ref="C145">IF(AND(A145="2020-12", ISNA(MATCH(B145, _xlfn._xlws.FILTER(B:B, A:A="2021-01"), 0))), "Left", "Ativo")</f>
        <v>Ativo</v>
      </c>
      <c r="D145" s="10" t="str" cm="1">
        <f t="array" ref="D145">IF(AND(A145="2021-01", ISNA(MATCH(B145, _xlfn._xlws.FILTER(B:B, A:A="2021-02"), 0))), "Left", "Ativo")</f>
        <v>Ativo</v>
      </c>
      <c r="E145" s="10" t="str" cm="1">
        <f t="array" ref="E145">IF(AND(A145="2021-02", ISNA(MATCH(B145, _xlfn._xlws.FILTER(B:B, A:A="2021-03"), 0))), "Left", "Ativo")</f>
        <v>Ativo</v>
      </c>
      <c r="F145" s="12" t="str" cm="1">
        <f t="array" ref="F145">IF(AND(A145="2021-03", ISNA(MATCH(B145, _xlfn._xlws.FILTER(B:B, A:A="2021-04"), 0))), "Left", "Ativo")</f>
        <v>Ativo</v>
      </c>
    </row>
    <row r="146" spans="1:6" x14ac:dyDescent="0.25">
      <c r="A146" t="s">
        <v>1528</v>
      </c>
      <c r="B146" t="s">
        <v>145</v>
      </c>
      <c r="C146" s="10" t="str" cm="1">
        <f t="array" ref="C146">IF(AND(A146="2020-12", ISNA(MATCH(B146, _xlfn._xlws.FILTER(B:B, A:A="2021-01"), 0))), "Left", "Ativo")</f>
        <v>Ativo</v>
      </c>
      <c r="D146" s="10" t="str" cm="1">
        <f t="array" ref="D146">IF(AND(A146="2021-01", ISNA(MATCH(B146, _xlfn._xlws.FILTER(B:B, A:A="2021-02"), 0))), "Left", "Ativo")</f>
        <v>Ativo</v>
      </c>
      <c r="E146" s="10" t="str" cm="1">
        <f t="array" ref="E146">IF(AND(A146="2021-02", ISNA(MATCH(B146, _xlfn._xlws.FILTER(B:B, A:A="2021-03"), 0))), "Left", "Ativo")</f>
        <v>Ativo</v>
      </c>
      <c r="F146" s="12" t="str" cm="1">
        <f t="array" ref="F146">IF(AND(A146="2021-03", ISNA(MATCH(B146, _xlfn._xlws.FILTER(B:B, A:A="2021-04"), 0))), "Left", "Ativo")</f>
        <v>Ativo</v>
      </c>
    </row>
    <row r="147" spans="1:6" x14ac:dyDescent="0.25">
      <c r="A147" t="s">
        <v>1528</v>
      </c>
      <c r="B147" t="s">
        <v>146</v>
      </c>
      <c r="C147" s="10" t="str" cm="1">
        <f t="array" ref="C147">IF(AND(A147="2020-12", ISNA(MATCH(B147, _xlfn._xlws.FILTER(B:B, A:A="2021-01"), 0))), "Left", "Ativo")</f>
        <v>Ativo</v>
      </c>
      <c r="D147" s="10" t="str" cm="1">
        <f t="array" ref="D147">IF(AND(A147="2021-01", ISNA(MATCH(B147, _xlfn._xlws.FILTER(B:B, A:A="2021-02"), 0))), "Left", "Ativo")</f>
        <v>Ativo</v>
      </c>
      <c r="E147" s="10" t="str" cm="1">
        <f t="array" ref="E147">IF(AND(A147="2021-02", ISNA(MATCH(B147, _xlfn._xlws.FILTER(B:B, A:A="2021-03"), 0))), "Left", "Ativo")</f>
        <v>Ativo</v>
      </c>
      <c r="F147" s="12" t="str" cm="1">
        <f t="array" ref="F147">IF(AND(A147="2021-03", ISNA(MATCH(B147, _xlfn._xlws.FILTER(B:B, A:A="2021-04"), 0))), "Left", "Ativo")</f>
        <v>Ativo</v>
      </c>
    </row>
    <row r="148" spans="1:6" x14ac:dyDescent="0.25">
      <c r="A148" t="s">
        <v>1528</v>
      </c>
      <c r="B148" t="s">
        <v>147</v>
      </c>
      <c r="C148" s="10" t="str" cm="1">
        <f t="array" ref="C148">IF(AND(A148="2020-12", ISNA(MATCH(B148, _xlfn._xlws.FILTER(B:B, A:A="2021-01"), 0))), "Left", "Ativo")</f>
        <v>Ativo</v>
      </c>
      <c r="D148" s="10" t="str" cm="1">
        <f t="array" ref="D148">IF(AND(A148="2021-01", ISNA(MATCH(B148, _xlfn._xlws.FILTER(B:B, A:A="2021-02"), 0))), "Left", "Ativo")</f>
        <v>Ativo</v>
      </c>
      <c r="E148" s="10" t="str" cm="1">
        <f t="array" ref="E148">IF(AND(A148="2021-02", ISNA(MATCH(B148, _xlfn._xlws.FILTER(B:B, A:A="2021-03"), 0))), "Left", "Ativo")</f>
        <v>Ativo</v>
      </c>
      <c r="F148" s="12" t="str" cm="1">
        <f t="array" ref="F148">IF(AND(A148="2021-03", ISNA(MATCH(B148, _xlfn._xlws.FILTER(B:B, A:A="2021-04"), 0))), "Left", "Ativo")</f>
        <v>Ativo</v>
      </c>
    </row>
    <row r="149" spans="1:6" x14ac:dyDescent="0.25">
      <c r="A149" t="s">
        <v>1528</v>
      </c>
      <c r="B149" t="s">
        <v>148</v>
      </c>
      <c r="C149" s="10" t="str" cm="1">
        <f t="array" ref="C149">IF(AND(A149="2020-12", ISNA(MATCH(B149, _xlfn._xlws.FILTER(B:B, A:A="2021-01"), 0))), "Left", "Ativo")</f>
        <v>Ativo</v>
      </c>
      <c r="D149" s="10" t="str" cm="1">
        <f t="array" ref="D149">IF(AND(A149="2021-01", ISNA(MATCH(B149, _xlfn._xlws.FILTER(B:B, A:A="2021-02"), 0))), "Left", "Ativo")</f>
        <v>Ativo</v>
      </c>
      <c r="E149" s="10" t="str" cm="1">
        <f t="array" ref="E149">IF(AND(A149="2021-02", ISNA(MATCH(B149, _xlfn._xlws.FILTER(B:B, A:A="2021-03"), 0))), "Left", "Ativo")</f>
        <v>Ativo</v>
      </c>
      <c r="F149" s="12" t="str" cm="1">
        <f t="array" ref="F149">IF(AND(A149="2021-03", ISNA(MATCH(B149, _xlfn._xlws.FILTER(B:B, A:A="2021-04"), 0))), "Left", "Ativo")</f>
        <v>Ativo</v>
      </c>
    </row>
    <row r="150" spans="1:6" x14ac:dyDescent="0.25">
      <c r="A150" t="s">
        <v>1528</v>
      </c>
      <c r="B150" t="s">
        <v>149</v>
      </c>
      <c r="C150" s="10" t="str" cm="1">
        <f t="array" ref="C150">IF(AND(A150="2020-12", ISNA(MATCH(B150, _xlfn._xlws.FILTER(B:B, A:A="2021-01"), 0))), "Left", "Ativo")</f>
        <v>Ativo</v>
      </c>
      <c r="D150" s="10" t="str" cm="1">
        <f t="array" ref="D150">IF(AND(A150="2021-01", ISNA(MATCH(B150, _xlfn._xlws.FILTER(B:B, A:A="2021-02"), 0))), "Left", "Ativo")</f>
        <v>Ativo</v>
      </c>
      <c r="E150" s="10" t="str" cm="1">
        <f t="array" ref="E150">IF(AND(A150="2021-02", ISNA(MATCH(B150, _xlfn._xlws.FILTER(B:B, A:A="2021-03"), 0))), "Left", "Ativo")</f>
        <v>Ativo</v>
      </c>
      <c r="F150" s="12" t="str" cm="1">
        <f t="array" ref="F150">IF(AND(A150="2021-03", ISNA(MATCH(B150, _xlfn._xlws.FILTER(B:B, A:A="2021-04"), 0))), "Left", "Ativo")</f>
        <v>Ativo</v>
      </c>
    </row>
    <row r="151" spans="1:6" x14ac:dyDescent="0.25">
      <c r="A151" t="s">
        <v>1528</v>
      </c>
      <c r="B151" t="s">
        <v>150</v>
      </c>
      <c r="C151" s="10" t="str" cm="1">
        <f t="array" ref="C151">IF(AND(A151="2020-12", ISNA(MATCH(B151, _xlfn._xlws.FILTER(B:B, A:A="2021-01"), 0))), "Left", "Ativo")</f>
        <v>Ativo</v>
      </c>
      <c r="D151" s="10" t="str" cm="1">
        <f t="array" ref="D151">IF(AND(A151="2021-01", ISNA(MATCH(B151, _xlfn._xlws.FILTER(B:B, A:A="2021-02"), 0))), "Left", "Ativo")</f>
        <v>Ativo</v>
      </c>
      <c r="E151" s="10" t="str" cm="1">
        <f t="array" ref="E151">IF(AND(A151="2021-02", ISNA(MATCH(B151, _xlfn._xlws.FILTER(B:B, A:A="2021-03"), 0))), "Left", "Ativo")</f>
        <v>Ativo</v>
      </c>
      <c r="F151" s="12" t="str" cm="1">
        <f t="array" ref="F151">IF(AND(A151="2021-03", ISNA(MATCH(B151, _xlfn._xlws.FILTER(B:B, A:A="2021-04"), 0))), "Left", "Ativo")</f>
        <v>Ativo</v>
      </c>
    </row>
    <row r="152" spans="1:6" x14ac:dyDescent="0.25">
      <c r="A152" t="s">
        <v>1528</v>
      </c>
      <c r="B152" t="s">
        <v>151</v>
      </c>
      <c r="C152" s="10" t="str" cm="1">
        <f t="array" ref="C152">IF(AND(A152="2020-12", ISNA(MATCH(B152, _xlfn._xlws.FILTER(B:B, A:A="2021-01"), 0))), "Left", "Ativo")</f>
        <v>Ativo</v>
      </c>
      <c r="D152" s="10" t="str" cm="1">
        <f t="array" ref="D152">IF(AND(A152="2021-01", ISNA(MATCH(B152, _xlfn._xlws.FILTER(B:B, A:A="2021-02"), 0))), "Left", "Ativo")</f>
        <v>Ativo</v>
      </c>
      <c r="E152" s="10" t="str" cm="1">
        <f t="array" ref="E152">IF(AND(A152="2021-02", ISNA(MATCH(B152, _xlfn._xlws.FILTER(B:B, A:A="2021-03"), 0))), "Left", "Ativo")</f>
        <v>Ativo</v>
      </c>
      <c r="F152" s="12" t="str" cm="1">
        <f t="array" ref="F152">IF(AND(A152="2021-03", ISNA(MATCH(B152, _xlfn._xlws.FILTER(B:B, A:A="2021-04"), 0))), "Left", "Ativo")</f>
        <v>Ativo</v>
      </c>
    </row>
    <row r="153" spans="1:6" x14ac:dyDescent="0.25">
      <c r="A153" t="s">
        <v>1528</v>
      </c>
      <c r="B153" t="s">
        <v>152</v>
      </c>
      <c r="C153" s="10" t="str" cm="1">
        <f t="array" ref="C153">IF(AND(A153="2020-12", ISNA(MATCH(B153, _xlfn._xlws.FILTER(B:B, A:A="2021-01"), 0))), "Left", "Ativo")</f>
        <v>Ativo</v>
      </c>
      <c r="D153" s="10" t="str" cm="1">
        <f t="array" ref="D153">IF(AND(A153="2021-01", ISNA(MATCH(B153, _xlfn._xlws.FILTER(B:B, A:A="2021-02"), 0))), "Left", "Ativo")</f>
        <v>Ativo</v>
      </c>
      <c r="E153" s="10" t="str" cm="1">
        <f t="array" ref="E153">IF(AND(A153="2021-02", ISNA(MATCH(B153, _xlfn._xlws.FILTER(B:B, A:A="2021-03"), 0))), "Left", "Ativo")</f>
        <v>Ativo</v>
      </c>
      <c r="F153" s="12" t="str" cm="1">
        <f t="array" ref="F153">IF(AND(A153="2021-03", ISNA(MATCH(B153, _xlfn._xlws.FILTER(B:B, A:A="2021-04"), 0))), "Left", "Ativo")</f>
        <v>Ativo</v>
      </c>
    </row>
    <row r="154" spans="1:6" x14ac:dyDescent="0.25">
      <c r="A154" t="s">
        <v>1528</v>
      </c>
      <c r="B154" t="s">
        <v>153</v>
      </c>
      <c r="C154" s="10" t="str" cm="1">
        <f t="array" ref="C154">IF(AND(A154="2020-12", ISNA(MATCH(B154, _xlfn._xlws.FILTER(B:B, A:A="2021-01"), 0))), "Left", "Ativo")</f>
        <v>Ativo</v>
      </c>
      <c r="D154" s="10" t="str" cm="1">
        <f t="array" ref="D154">IF(AND(A154="2021-01", ISNA(MATCH(B154, _xlfn._xlws.FILTER(B:B, A:A="2021-02"), 0))), "Left", "Ativo")</f>
        <v>Ativo</v>
      </c>
      <c r="E154" s="10" t="str" cm="1">
        <f t="array" ref="E154">IF(AND(A154="2021-02", ISNA(MATCH(B154, _xlfn._xlws.FILTER(B:B, A:A="2021-03"), 0))), "Left", "Ativo")</f>
        <v>Ativo</v>
      </c>
      <c r="F154" s="12" t="str" cm="1">
        <f t="array" ref="F154">IF(AND(A154="2021-03", ISNA(MATCH(B154, _xlfn._xlws.FILTER(B:B, A:A="2021-04"), 0))), "Left", "Ativo")</f>
        <v>Ativo</v>
      </c>
    </row>
    <row r="155" spans="1:6" x14ac:dyDescent="0.25">
      <c r="A155" t="s">
        <v>1528</v>
      </c>
      <c r="B155" t="s">
        <v>154</v>
      </c>
      <c r="C155" s="10" t="str" cm="1">
        <f t="array" ref="C155">IF(AND(A155="2020-12", ISNA(MATCH(B155, _xlfn._xlws.FILTER(B:B, A:A="2021-01"), 0))), "Left", "Ativo")</f>
        <v>Ativo</v>
      </c>
      <c r="D155" s="10" t="str" cm="1">
        <f t="array" ref="D155">IF(AND(A155="2021-01", ISNA(MATCH(B155, _xlfn._xlws.FILTER(B:B, A:A="2021-02"), 0))), "Left", "Ativo")</f>
        <v>Ativo</v>
      </c>
      <c r="E155" s="10" t="str" cm="1">
        <f t="array" ref="E155">IF(AND(A155="2021-02", ISNA(MATCH(B155, _xlfn._xlws.FILTER(B:B, A:A="2021-03"), 0))), "Left", "Ativo")</f>
        <v>Ativo</v>
      </c>
      <c r="F155" s="12" t="str" cm="1">
        <f t="array" ref="F155">IF(AND(A155="2021-03", ISNA(MATCH(B155, _xlfn._xlws.FILTER(B:B, A:A="2021-04"), 0))), "Left", "Ativo")</f>
        <v>Ativo</v>
      </c>
    </row>
    <row r="156" spans="1:6" x14ac:dyDescent="0.25">
      <c r="A156" t="s">
        <v>1528</v>
      </c>
      <c r="B156" t="s">
        <v>155</v>
      </c>
      <c r="C156" s="10" t="str" cm="1">
        <f t="array" ref="C156">IF(AND(A156="2020-12", ISNA(MATCH(B156, _xlfn._xlws.FILTER(B:B, A:A="2021-01"), 0))), "Left", "Ativo")</f>
        <v>Ativo</v>
      </c>
      <c r="D156" s="10" t="str" cm="1">
        <f t="array" ref="D156">IF(AND(A156="2021-01", ISNA(MATCH(B156, _xlfn._xlws.FILTER(B:B, A:A="2021-02"), 0))), "Left", "Ativo")</f>
        <v>Ativo</v>
      </c>
      <c r="E156" s="10" t="str" cm="1">
        <f t="array" ref="E156">IF(AND(A156="2021-02", ISNA(MATCH(B156, _xlfn._xlws.FILTER(B:B, A:A="2021-03"), 0))), "Left", "Ativo")</f>
        <v>Ativo</v>
      </c>
      <c r="F156" s="12" t="str" cm="1">
        <f t="array" ref="F156">IF(AND(A156="2021-03", ISNA(MATCH(B156, _xlfn._xlws.FILTER(B:B, A:A="2021-04"), 0))), "Left", "Ativo")</f>
        <v>Ativo</v>
      </c>
    </row>
    <row r="157" spans="1:6" x14ac:dyDescent="0.25">
      <c r="A157" t="s">
        <v>1528</v>
      </c>
      <c r="B157" t="s">
        <v>156</v>
      </c>
      <c r="C157" s="10" t="str" cm="1">
        <f t="array" ref="C157">IF(AND(A157="2020-12", ISNA(MATCH(B157, _xlfn._xlws.FILTER(B:B, A:A="2021-01"), 0))), "Left", "Ativo")</f>
        <v>Ativo</v>
      </c>
      <c r="D157" s="10" t="str" cm="1">
        <f t="array" ref="D157">IF(AND(A157="2021-01", ISNA(MATCH(B157, _xlfn._xlws.FILTER(B:B, A:A="2021-02"), 0))), "Left", "Ativo")</f>
        <v>Ativo</v>
      </c>
      <c r="E157" s="10" t="str" cm="1">
        <f t="array" ref="E157">IF(AND(A157="2021-02", ISNA(MATCH(B157, _xlfn._xlws.FILTER(B:B, A:A="2021-03"), 0))), "Left", "Ativo")</f>
        <v>Ativo</v>
      </c>
      <c r="F157" s="12" t="str" cm="1">
        <f t="array" ref="F157">IF(AND(A157="2021-03", ISNA(MATCH(B157, _xlfn._xlws.FILTER(B:B, A:A="2021-04"), 0))), "Left", "Ativo")</f>
        <v>Ativo</v>
      </c>
    </row>
    <row r="158" spans="1:6" x14ac:dyDescent="0.25">
      <c r="A158" t="s">
        <v>1528</v>
      </c>
      <c r="B158" t="s">
        <v>157</v>
      </c>
      <c r="C158" s="10" t="str" cm="1">
        <f t="array" ref="C158">IF(AND(A158="2020-12", ISNA(MATCH(B158, _xlfn._xlws.FILTER(B:B, A:A="2021-01"), 0))), "Left", "Ativo")</f>
        <v>Ativo</v>
      </c>
      <c r="D158" s="10" t="str" cm="1">
        <f t="array" ref="D158">IF(AND(A158="2021-01", ISNA(MATCH(B158, _xlfn._xlws.FILTER(B:B, A:A="2021-02"), 0))), "Left", "Ativo")</f>
        <v>Ativo</v>
      </c>
      <c r="E158" s="10" t="str" cm="1">
        <f t="array" ref="E158">IF(AND(A158="2021-02", ISNA(MATCH(B158, _xlfn._xlws.FILTER(B:B, A:A="2021-03"), 0))), "Left", "Ativo")</f>
        <v>Ativo</v>
      </c>
      <c r="F158" s="12" t="str" cm="1">
        <f t="array" ref="F158">IF(AND(A158="2021-03", ISNA(MATCH(B158, _xlfn._xlws.FILTER(B:B, A:A="2021-04"), 0))), "Left", "Ativo")</f>
        <v>Ativo</v>
      </c>
    </row>
    <row r="159" spans="1:6" x14ac:dyDescent="0.25">
      <c r="A159" t="s">
        <v>1528</v>
      </c>
      <c r="B159" t="s">
        <v>158</v>
      </c>
      <c r="C159" s="10" t="str" cm="1">
        <f t="array" ref="C159">IF(AND(A159="2020-12", ISNA(MATCH(B159, _xlfn._xlws.FILTER(B:B, A:A="2021-01"), 0))), "Left", "Ativo")</f>
        <v>Ativo</v>
      </c>
      <c r="D159" s="10" t="str" cm="1">
        <f t="array" ref="D159">IF(AND(A159="2021-01", ISNA(MATCH(B159, _xlfn._xlws.FILTER(B:B, A:A="2021-02"), 0))), "Left", "Ativo")</f>
        <v>Ativo</v>
      </c>
      <c r="E159" s="10" t="str" cm="1">
        <f t="array" ref="E159">IF(AND(A159="2021-02", ISNA(MATCH(B159, _xlfn._xlws.FILTER(B:B, A:A="2021-03"), 0))), "Left", "Ativo")</f>
        <v>Ativo</v>
      </c>
      <c r="F159" s="12" t="str" cm="1">
        <f t="array" ref="F159">IF(AND(A159="2021-03", ISNA(MATCH(B159, _xlfn._xlws.FILTER(B:B, A:A="2021-04"), 0))), "Left", "Ativo")</f>
        <v>Ativo</v>
      </c>
    </row>
    <row r="160" spans="1:6" x14ac:dyDescent="0.25">
      <c r="A160" t="s">
        <v>1528</v>
      </c>
      <c r="B160" t="s">
        <v>159</v>
      </c>
      <c r="C160" s="10" t="str" cm="1">
        <f t="array" ref="C160">IF(AND(A160="2020-12", ISNA(MATCH(B160, _xlfn._xlws.FILTER(B:B, A:A="2021-01"), 0))), "Left", "Ativo")</f>
        <v>Ativo</v>
      </c>
      <c r="D160" s="10" t="str" cm="1">
        <f t="array" ref="D160">IF(AND(A160="2021-01", ISNA(MATCH(B160, _xlfn._xlws.FILTER(B:B, A:A="2021-02"), 0))), "Left", "Ativo")</f>
        <v>Ativo</v>
      </c>
      <c r="E160" s="10" t="str" cm="1">
        <f t="array" ref="E160">IF(AND(A160="2021-02", ISNA(MATCH(B160, _xlfn._xlws.FILTER(B:B, A:A="2021-03"), 0))), "Left", "Ativo")</f>
        <v>Ativo</v>
      </c>
      <c r="F160" s="12" t="str" cm="1">
        <f t="array" ref="F160">IF(AND(A160="2021-03", ISNA(MATCH(B160, _xlfn._xlws.FILTER(B:B, A:A="2021-04"), 0))), "Left", "Ativo")</f>
        <v>Ativo</v>
      </c>
    </row>
    <row r="161" spans="1:6" x14ac:dyDescent="0.25">
      <c r="A161" t="s">
        <v>1528</v>
      </c>
      <c r="B161" t="s">
        <v>160</v>
      </c>
      <c r="C161" s="10" t="str" cm="1">
        <f t="array" ref="C161">IF(AND(A161="2020-12", ISNA(MATCH(B161, _xlfn._xlws.FILTER(B:B, A:A="2021-01"), 0))), "Left", "Ativo")</f>
        <v>Ativo</v>
      </c>
      <c r="D161" s="10" t="str" cm="1">
        <f t="array" ref="D161">IF(AND(A161="2021-01", ISNA(MATCH(B161, _xlfn._xlws.FILTER(B:B, A:A="2021-02"), 0))), "Left", "Ativo")</f>
        <v>Ativo</v>
      </c>
      <c r="E161" s="10" t="str" cm="1">
        <f t="array" ref="E161">IF(AND(A161="2021-02", ISNA(MATCH(B161, _xlfn._xlws.FILTER(B:B, A:A="2021-03"), 0))), "Left", "Ativo")</f>
        <v>Ativo</v>
      </c>
      <c r="F161" s="12" t="str" cm="1">
        <f t="array" ref="F161">IF(AND(A161="2021-03", ISNA(MATCH(B161, _xlfn._xlws.FILTER(B:B, A:A="2021-04"), 0))), "Left", "Ativo")</f>
        <v>Ativo</v>
      </c>
    </row>
    <row r="162" spans="1:6" x14ac:dyDescent="0.25">
      <c r="A162" t="s">
        <v>1528</v>
      </c>
      <c r="B162" t="s">
        <v>161</v>
      </c>
      <c r="C162" s="10" t="str" cm="1">
        <f t="array" ref="C162">IF(AND(A162="2020-12", ISNA(MATCH(B162, _xlfn._xlws.FILTER(B:B, A:A="2021-01"), 0))), "Left", "Ativo")</f>
        <v>Ativo</v>
      </c>
      <c r="D162" s="10" t="str" cm="1">
        <f t="array" ref="D162">IF(AND(A162="2021-01", ISNA(MATCH(B162, _xlfn._xlws.FILTER(B:B, A:A="2021-02"), 0))), "Left", "Ativo")</f>
        <v>Ativo</v>
      </c>
      <c r="E162" s="10" t="str" cm="1">
        <f t="array" ref="E162">IF(AND(A162="2021-02", ISNA(MATCH(B162, _xlfn._xlws.FILTER(B:B, A:A="2021-03"), 0))), "Left", "Ativo")</f>
        <v>Ativo</v>
      </c>
      <c r="F162" s="12" t="str" cm="1">
        <f t="array" ref="F162">IF(AND(A162="2021-03", ISNA(MATCH(B162, _xlfn._xlws.FILTER(B:B, A:A="2021-04"), 0))), "Left", "Ativo")</f>
        <v>Ativo</v>
      </c>
    </row>
    <row r="163" spans="1:6" x14ac:dyDescent="0.25">
      <c r="A163" t="s">
        <v>1528</v>
      </c>
      <c r="B163" t="s">
        <v>162</v>
      </c>
      <c r="C163" s="10" t="str" cm="1">
        <f t="array" ref="C163">IF(AND(A163="2020-12", ISNA(MATCH(B163, _xlfn._xlws.FILTER(B:B, A:A="2021-01"), 0))), "Left", "Ativo")</f>
        <v>Ativo</v>
      </c>
      <c r="D163" s="10" t="str" cm="1">
        <f t="array" ref="D163">IF(AND(A163="2021-01", ISNA(MATCH(B163, _xlfn._xlws.FILTER(B:B, A:A="2021-02"), 0))), "Left", "Ativo")</f>
        <v>Ativo</v>
      </c>
      <c r="E163" s="10" t="str" cm="1">
        <f t="array" ref="E163">IF(AND(A163="2021-02", ISNA(MATCH(B163, _xlfn._xlws.FILTER(B:B, A:A="2021-03"), 0))), "Left", "Ativo")</f>
        <v>Ativo</v>
      </c>
      <c r="F163" s="12" t="str" cm="1">
        <f t="array" ref="F163">IF(AND(A163="2021-03", ISNA(MATCH(B163, _xlfn._xlws.FILTER(B:B, A:A="2021-04"), 0))), "Left", "Ativo")</f>
        <v>Ativo</v>
      </c>
    </row>
    <row r="164" spans="1:6" x14ac:dyDescent="0.25">
      <c r="A164" t="s">
        <v>1528</v>
      </c>
      <c r="B164" t="s">
        <v>163</v>
      </c>
      <c r="C164" s="10" t="str" cm="1">
        <f t="array" ref="C164">IF(AND(A164="2020-12", ISNA(MATCH(B164, _xlfn._xlws.FILTER(B:B, A:A="2021-01"), 0))), "Left", "Ativo")</f>
        <v>Ativo</v>
      </c>
      <c r="D164" s="10" t="str" cm="1">
        <f t="array" ref="D164">IF(AND(A164="2021-01", ISNA(MATCH(B164, _xlfn._xlws.FILTER(B:B, A:A="2021-02"), 0))), "Left", "Ativo")</f>
        <v>Ativo</v>
      </c>
      <c r="E164" s="10" t="str" cm="1">
        <f t="array" ref="E164">IF(AND(A164="2021-02", ISNA(MATCH(B164, _xlfn._xlws.FILTER(B:B, A:A="2021-03"), 0))), "Left", "Ativo")</f>
        <v>Ativo</v>
      </c>
      <c r="F164" s="12" t="str" cm="1">
        <f t="array" ref="F164">IF(AND(A164="2021-03", ISNA(MATCH(B164, _xlfn._xlws.FILTER(B:B, A:A="2021-04"), 0))), "Left", "Ativo")</f>
        <v>Ativo</v>
      </c>
    </row>
    <row r="165" spans="1:6" x14ac:dyDescent="0.25">
      <c r="A165" t="s">
        <v>1528</v>
      </c>
      <c r="B165" t="s">
        <v>164</v>
      </c>
      <c r="C165" s="10" t="str" cm="1">
        <f t="array" ref="C165">IF(AND(A165="2020-12", ISNA(MATCH(B165, _xlfn._xlws.FILTER(B:B, A:A="2021-01"), 0))), "Left", "Ativo")</f>
        <v>Ativo</v>
      </c>
      <c r="D165" s="10" t="str" cm="1">
        <f t="array" ref="D165">IF(AND(A165="2021-01", ISNA(MATCH(B165, _xlfn._xlws.FILTER(B:B, A:A="2021-02"), 0))), "Left", "Ativo")</f>
        <v>Ativo</v>
      </c>
      <c r="E165" s="10" t="str" cm="1">
        <f t="array" ref="E165">IF(AND(A165="2021-02", ISNA(MATCH(B165, _xlfn._xlws.FILTER(B:B, A:A="2021-03"), 0))), "Left", "Ativo")</f>
        <v>Ativo</v>
      </c>
      <c r="F165" s="12" t="str" cm="1">
        <f t="array" ref="F165">IF(AND(A165="2021-03", ISNA(MATCH(B165, _xlfn._xlws.FILTER(B:B, A:A="2021-04"), 0))), "Left", "Ativo")</f>
        <v>Ativo</v>
      </c>
    </row>
    <row r="166" spans="1:6" x14ac:dyDescent="0.25">
      <c r="A166" t="s">
        <v>1528</v>
      </c>
      <c r="B166" t="s">
        <v>165</v>
      </c>
      <c r="C166" s="10" t="str" cm="1">
        <f t="array" ref="C166">IF(AND(A166="2020-12", ISNA(MATCH(B166, _xlfn._xlws.FILTER(B:B, A:A="2021-01"), 0))), "Left", "Ativo")</f>
        <v>Ativo</v>
      </c>
      <c r="D166" s="10" t="str" cm="1">
        <f t="array" ref="D166">IF(AND(A166="2021-01", ISNA(MATCH(B166, _xlfn._xlws.FILTER(B:B, A:A="2021-02"), 0))), "Left", "Ativo")</f>
        <v>Ativo</v>
      </c>
      <c r="E166" s="10" t="str" cm="1">
        <f t="array" ref="E166">IF(AND(A166="2021-02", ISNA(MATCH(B166, _xlfn._xlws.FILTER(B:B, A:A="2021-03"), 0))), "Left", "Ativo")</f>
        <v>Ativo</v>
      </c>
      <c r="F166" s="12" t="str" cm="1">
        <f t="array" ref="F166">IF(AND(A166="2021-03", ISNA(MATCH(B166, _xlfn._xlws.FILTER(B:B, A:A="2021-04"), 0))), "Left", "Ativo")</f>
        <v>Ativo</v>
      </c>
    </row>
    <row r="167" spans="1:6" x14ac:dyDescent="0.25">
      <c r="A167" t="s">
        <v>1528</v>
      </c>
      <c r="B167" t="s">
        <v>166</v>
      </c>
      <c r="C167" s="10" t="str" cm="1">
        <f t="array" ref="C167">IF(AND(A167="2020-12", ISNA(MATCH(B167, _xlfn._xlws.FILTER(B:B, A:A="2021-01"), 0))), "Left", "Ativo")</f>
        <v>Ativo</v>
      </c>
      <c r="D167" s="10" t="str" cm="1">
        <f t="array" ref="D167">IF(AND(A167="2021-01", ISNA(MATCH(B167, _xlfn._xlws.FILTER(B:B, A:A="2021-02"), 0))), "Left", "Ativo")</f>
        <v>Ativo</v>
      </c>
      <c r="E167" s="10" t="str" cm="1">
        <f t="array" ref="E167">IF(AND(A167="2021-02", ISNA(MATCH(B167, _xlfn._xlws.FILTER(B:B, A:A="2021-03"), 0))), "Left", "Ativo")</f>
        <v>Ativo</v>
      </c>
      <c r="F167" s="12" t="str" cm="1">
        <f t="array" ref="F167">IF(AND(A167="2021-03", ISNA(MATCH(B167, _xlfn._xlws.FILTER(B:B, A:A="2021-04"), 0))), "Left", "Ativo")</f>
        <v>Ativo</v>
      </c>
    </row>
    <row r="168" spans="1:6" x14ac:dyDescent="0.25">
      <c r="A168" t="s">
        <v>1528</v>
      </c>
      <c r="B168" t="s">
        <v>167</v>
      </c>
      <c r="C168" s="10" t="str" cm="1">
        <f t="array" ref="C168">IF(AND(A168="2020-12", ISNA(MATCH(B168, _xlfn._xlws.FILTER(B:B, A:A="2021-01"), 0))), "Left", "Ativo")</f>
        <v>Ativo</v>
      </c>
      <c r="D168" s="10" t="str" cm="1">
        <f t="array" ref="D168">IF(AND(A168="2021-01", ISNA(MATCH(B168, _xlfn._xlws.FILTER(B:B, A:A="2021-02"), 0))), "Left", "Ativo")</f>
        <v>Ativo</v>
      </c>
      <c r="E168" s="10" t="str" cm="1">
        <f t="array" ref="E168">IF(AND(A168="2021-02", ISNA(MATCH(B168, _xlfn._xlws.FILTER(B:B, A:A="2021-03"), 0))), "Left", "Ativo")</f>
        <v>Ativo</v>
      </c>
      <c r="F168" s="12" t="str" cm="1">
        <f t="array" ref="F168">IF(AND(A168="2021-03", ISNA(MATCH(B168, _xlfn._xlws.FILTER(B:B, A:A="2021-04"), 0))), "Left", "Ativo")</f>
        <v>Ativo</v>
      </c>
    </row>
    <row r="169" spans="1:6" x14ac:dyDescent="0.25">
      <c r="A169" t="s">
        <v>1528</v>
      </c>
      <c r="B169" t="s">
        <v>168</v>
      </c>
      <c r="C169" s="10" t="str" cm="1">
        <f t="array" ref="C169">IF(AND(A169="2020-12", ISNA(MATCH(B169, _xlfn._xlws.FILTER(B:B, A:A="2021-01"), 0))), "Left", "Ativo")</f>
        <v>Ativo</v>
      </c>
      <c r="D169" s="10" t="str" cm="1">
        <f t="array" ref="D169">IF(AND(A169="2021-01", ISNA(MATCH(B169, _xlfn._xlws.FILTER(B:B, A:A="2021-02"), 0))), "Left", "Ativo")</f>
        <v>Ativo</v>
      </c>
      <c r="E169" s="10" t="str" cm="1">
        <f t="array" ref="E169">IF(AND(A169="2021-02", ISNA(MATCH(B169, _xlfn._xlws.FILTER(B:B, A:A="2021-03"), 0))), "Left", "Ativo")</f>
        <v>Ativo</v>
      </c>
      <c r="F169" s="12" t="str" cm="1">
        <f t="array" ref="F169">IF(AND(A169="2021-03", ISNA(MATCH(B169, _xlfn._xlws.FILTER(B:B, A:A="2021-04"), 0))), "Left", "Ativo")</f>
        <v>Ativo</v>
      </c>
    </row>
    <row r="170" spans="1:6" x14ac:dyDescent="0.25">
      <c r="A170" t="s">
        <v>1528</v>
      </c>
      <c r="B170" t="s">
        <v>169</v>
      </c>
      <c r="C170" s="10" t="str" cm="1">
        <f t="array" ref="C170">IF(AND(A170="2020-12", ISNA(MATCH(B170, _xlfn._xlws.FILTER(B:B, A:A="2021-01"), 0))), "Left", "Ativo")</f>
        <v>Ativo</v>
      </c>
      <c r="D170" s="10" t="str" cm="1">
        <f t="array" ref="D170">IF(AND(A170="2021-01", ISNA(MATCH(B170, _xlfn._xlws.FILTER(B:B, A:A="2021-02"), 0))), "Left", "Ativo")</f>
        <v>Ativo</v>
      </c>
      <c r="E170" s="10" t="str" cm="1">
        <f t="array" ref="E170">IF(AND(A170="2021-02", ISNA(MATCH(B170, _xlfn._xlws.FILTER(B:B, A:A="2021-03"), 0))), "Left", "Ativo")</f>
        <v>Ativo</v>
      </c>
      <c r="F170" s="12" t="str" cm="1">
        <f t="array" ref="F170">IF(AND(A170="2021-03", ISNA(MATCH(B170, _xlfn._xlws.FILTER(B:B, A:A="2021-04"), 0))), "Left", "Ativo")</f>
        <v>Ativo</v>
      </c>
    </row>
    <row r="171" spans="1:6" x14ac:dyDescent="0.25">
      <c r="A171" t="s">
        <v>1528</v>
      </c>
      <c r="B171" t="s">
        <v>170</v>
      </c>
      <c r="C171" s="10" t="str" cm="1">
        <f t="array" ref="C171">IF(AND(A171="2020-12", ISNA(MATCH(B171, _xlfn._xlws.FILTER(B:B, A:A="2021-01"), 0))), "Left", "Ativo")</f>
        <v>Ativo</v>
      </c>
      <c r="D171" s="10" t="str" cm="1">
        <f t="array" ref="D171">IF(AND(A171="2021-01", ISNA(MATCH(B171, _xlfn._xlws.FILTER(B:B, A:A="2021-02"), 0))), "Left", "Ativo")</f>
        <v>Ativo</v>
      </c>
      <c r="E171" s="10" t="str" cm="1">
        <f t="array" ref="E171">IF(AND(A171="2021-02", ISNA(MATCH(B171, _xlfn._xlws.FILTER(B:B, A:A="2021-03"), 0))), "Left", "Ativo")</f>
        <v>Ativo</v>
      </c>
      <c r="F171" s="12" t="str" cm="1">
        <f t="array" ref="F171">IF(AND(A171="2021-03", ISNA(MATCH(B171, _xlfn._xlws.FILTER(B:B, A:A="2021-04"), 0))), "Left", "Ativo")</f>
        <v>Ativo</v>
      </c>
    </row>
    <row r="172" spans="1:6" x14ac:dyDescent="0.25">
      <c r="A172" t="s">
        <v>1528</v>
      </c>
      <c r="B172" t="s">
        <v>171</v>
      </c>
      <c r="C172" s="10" t="str" cm="1">
        <f t="array" ref="C172">IF(AND(A172="2020-12", ISNA(MATCH(B172, _xlfn._xlws.FILTER(B:B, A:A="2021-01"), 0))), "Left", "Ativo")</f>
        <v>Ativo</v>
      </c>
      <c r="D172" s="10" t="str" cm="1">
        <f t="array" ref="D172">IF(AND(A172="2021-01", ISNA(MATCH(B172, _xlfn._xlws.FILTER(B:B, A:A="2021-02"), 0))), "Left", "Ativo")</f>
        <v>Ativo</v>
      </c>
      <c r="E172" s="10" t="str" cm="1">
        <f t="array" ref="E172">IF(AND(A172="2021-02", ISNA(MATCH(B172, _xlfn._xlws.FILTER(B:B, A:A="2021-03"), 0))), "Left", "Ativo")</f>
        <v>Ativo</v>
      </c>
      <c r="F172" s="12" t="str" cm="1">
        <f t="array" ref="F172">IF(AND(A172="2021-03", ISNA(MATCH(B172, _xlfn._xlws.FILTER(B:B, A:A="2021-04"), 0))), "Left", "Ativo")</f>
        <v>Ativo</v>
      </c>
    </row>
    <row r="173" spans="1:6" x14ac:dyDescent="0.25">
      <c r="A173" t="s">
        <v>1528</v>
      </c>
      <c r="B173" t="s">
        <v>172</v>
      </c>
      <c r="C173" s="10" t="str" cm="1">
        <f t="array" ref="C173">IF(AND(A173="2020-12", ISNA(MATCH(B173, _xlfn._xlws.FILTER(B:B, A:A="2021-01"), 0))), "Left", "Ativo")</f>
        <v>Ativo</v>
      </c>
      <c r="D173" s="10" t="str" cm="1">
        <f t="array" ref="D173">IF(AND(A173="2021-01", ISNA(MATCH(B173, _xlfn._xlws.FILTER(B:B, A:A="2021-02"), 0))), "Left", "Ativo")</f>
        <v>Ativo</v>
      </c>
      <c r="E173" s="10" t="str" cm="1">
        <f t="array" ref="E173">IF(AND(A173="2021-02", ISNA(MATCH(B173, _xlfn._xlws.FILTER(B:B, A:A="2021-03"), 0))), "Left", "Ativo")</f>
        <v>Ativo</v>
      </c>
      <c r="F173" s="12" t="str" cm="1">
        <f t="array" ref="F173">IF(AND(A173="2021-03", ISNA(MATCH(B173, _xlfn._xlws.FILTER(B:B, A:A="2021-04"), 0))), "Left", "Ativo")</f>
        <v>Ativo</v>
      </c>
    </row>
    <row r="174" spans="1:6" x14ac:dyDescent="0.25">
      <c r="A174" t="s">
        <v>1528</v>
      </c>
      <c r="B174" t="s">
        <v>173</v>
      </c>
      <c r="C174" s="10" t="str" cm="1">
        <f t="array" ref="C174">IF(AND(A174="2020-12", ISNA(MATCH(B174, _xlfn._xlws.FILTER(B:B, A:A="2021-01"), 0))), "Left", "Ativo")</f>
        <v>Ativo</v>
      </c>
      <c r="D174" s="10" t="str" cm="1">
        <f t="array" ref="D174">IF(AND(A174="2021-01", ISNA(MATCH(B174, _xlfn._xlws.FILTER(B:B, A:A="2021-02"), 0))), "Left", "Ativo")</f>
        <v>Ativo</v>
      </c>
      <c r="E174" s="10" t="str" cm="1">
        <f t="array" ref="E174">IF(AND(A174="2021-02", ISNA(MATCH(B174, _xlfn._xlws.FILTER(B:B, A:A="2021-03"), 0))), "Left", "Ativo")</f>
        <v>Ativo</v>
      </c>
      <c r="F174" s="12" t="str" cm="1">
        <f t="array" ref="F174">IF(AND(A174="2021-03", ISNA(MATCH(B174, _xlfn._xlws.FILTER(B:B, A:A="2021-04"), 0))), "Left", "Ativo")</f>
        <v>Ativo</v>
      </c>
    </row>
    <row r="175" spans="1:6" x14ac:dyDescent="0.25">
      <c r="A175" t="s">
        <v>1528</v>
      </c>
      <c r="B175" t="s">
        <v>174</v>
      </c>
      <c r="C175" s="10" t="str" cm="1">
        <f t="array" ref="C175">IF(AND(A175="2020-12", ISNA(MATCH(B175, _xlfn._xlws.FILTER(B:B, A:A="2021-01"), 0))), "Left", "Ativo")</f>
        <v>Ativo</v>
      </c>
      <c r="D175" s="10" t="str" cm="1">
        <f t="array" ref="D175">IF(AND(A175="2021-01", ISNA(MATCH(B175, _xlfn._xlws.FILTER(B:B, A:A="2021-02"), 0))), "Left", "Ativo")</f>
        <v>Ativo</v>
      </c>
      <c r="E175" s="10" t="str" cm="1">
        <f t="array" ref="E175">IF(AND(A175="2021-02", ISNA(MATCH(B175, _xlfn._xlws.FILTER(B:B, A:A="2021-03"), 0))), "Left", "Ativo")</f>
        <v>Ativo</v>
      </c>
      <c r="F175" s="12" t="str" cm="1">
        <f t="array" ref="F175">IF(AND(A175="2021-03", ISNA(MATCH(B175, _xlfn._xlws.FILTER(B:B, A:A="2021-04"), 0))), "Left", "Ativo")</f>
        <v>Ativo</v>
      </c>
    </row>
    <row r="176" spans="1:6" x14ac:dyDescent="0.25">
      <c r="A176" t="s">
        <v>1528</v>
      </c>
      <c r="B176" t="s">
        <v>175</v>
      </c>
      <c r="C176" s="10" t="str" cm="1">
        <f t="array" ref="C176">IF(AND(A176="2020-12", ISNA(MATCH(B176, _xlfn._xlws.FILTER(B:B, A:A="2021-01"), 0))), "Left", "Ativo")</f>
        <v>Ativo</v>
      </c>
      <c r="D176" s="10" t="str" cm="1">
        <f t="array" ref="D176">IF(AND(A176="2021-01", ISNA(MATCH(B176, _xlfn._xlws.FILTER(B:B, A:A="2021-02"), 0))), "Left", "Ativo")</f>
        <v>Ativo</v>
      </c>
      <c r="E176" s="10" t="str" cm="1">
        <f t="array" ref="E176">IF(AND(A176="2021-02", ISNA(MATCH(B176, _xlfn._xlws.FILTER(B:B, A:A="2021-03"), 0))), "Left", "Ativo")</f>
        <v>Ativo</v>
      </c>
      <c r="F176" s="12" t="str" cm="1">
        <f t="array" ref="F176">IF(AND(A176="2021-03", ISNA(MATCH(B176, _xlfn._xlws.FILTER(B:B, A:A="2021-04"), 0))), "Left", "Ativo")</f>
        <v>Ativo</v>
      </c>
    </row>
    <row r="177" spans="1:6" x14ac:dyDescent="0.25">
      <c r="A177" t="s">
        <v>1528</v>
      </c>
      <c r="B177" t="s">
        <v>176</v>
      </c>
      <c r="C177" s="10" t="str" cm="1">
        <f t="array" ref="C177">IF(AND(A177="2020-12", ISNA(MATCH(B177, _xlfn._xlws.FILTER(B:B, A:A="2021-01"), 0))), "Left", "Ativo")</f>
        <v>Ativo</v>
      </c>
      <c r="D177" s="10" t="str" cm="1">
        <f t="array" ref="D177">IF(AND(A177="2021-01", ISNA(MATCH(B177, _xlfn._xlws.FILTER(B:B, A:A="2021-02"), 0))), "Left", "Ativo")</f>
        <v>Ativo</v>
      </c>
      <c r="E177" s="10" t="str" cm="1">
        <f t="array" ref="E177">IF(AND(A177="2021-02", ISNA(MATCH(B177, _xlfn._xlws.FILTER(B:B, A:A="2021-03"), 0))), "Left", "Ativo")</f>
        <v>Ativo</v>
      </c>
      <c r="F177" s="12" t="str" cm="1">
        <f t="array" ref="F177">IF(AND(A177="2021-03", ISNA(MATCH(B177, _xlfn._xlws.FILTER(B:B, A:A="2021-04"), 0))), "Left", "Ativo")</f>
        <v>Ativo</v>
      </c>
    </row>
    <row r="178" spans="1:6" x14ac:dyDescent="0.25">
      <c r="A178" t="s">
        <v>1528</v>
      </c>
      <c r="B178" t="s">
        <v>177</v>
      </c>
      <c r="C178" s="10" t="str" cm="1">
        <f t="array" ref="C178">IF(AND(A178="2020-12", ISNA(MATCH(B178, _xlfn._xlws.FILTER(B:B, A:A="2021-01"), 0))), "Left", "Ativo")</f>
        <v>Ativo</v>
      </c>
      <c r="D178" s="10" t="str" cm="1">
        <f t="array" ref="D178">IF(AND(A178="2021-01", ISNA(MATCH(B178, _xlfn._xlws.FILTER(B:B, A:A="2021-02"), 0))), "Left", "Ativo")</f>
        <v>Ativo</v>
      </c>
      <c r="E178" s="10" t="str" cm="1">
        <f t="array" ref="E178">IF(AND(A178="2021-02", ISNA(MATCH(B178, _xlfn._xlws.FILTER(B:B, A:A="2021-03"), 0))), "Left", "Ativo")</f>
        <v>Ativo</v>
      </c>
      <c r="F178" s="12" t="str" cm="1">
        <f t="array" ref="F178">IF(AND(A178="2021-03", ISNA(MATCH(B178, _xlfn._xlws.FILTER(B:B, A:A="2021-04"), 0))), "Left", "Ativo")</f>
        <v>Ativo</v>
      </c>
    </row>
    <row r="179" spans="1:6" x14ac:dyDescent="0.25">
      <c r="A179" t="s">
        <v>1528</v>
      </c>
      <c r="B179" t="s">
        <v>178</v>
      </c>
      <c r="C179" s="10" t="str" cm="1">
        <f t="array" ref="C179">IF(AND(A179="2020-12", ISNA(MATCH(B179, _xlfn._xlws.FILTER(B:B, A:A="2021-01"), 0))), "Left", "Ativo")</f>
        <v>Ativo</v>
      </c>
      <c r="D179" s="10" t="str" cm="1">
        <f t="array" ref="D179">IF(AND(A179="2021-01", ISNA(MATCH(B179, _xlfn._xlws.FILTER(B:B, A:A="2021-02"), 0))), "Left", "Ativo")</f>
        <v>Ativo</v>
      </c>
      <c r="E179" s="10" t="str" cm="1">
        <f t="array" ref="E179">IF(AND(A179="2021-02", ISNA(MATCH(B179, _xlfn._xlws.FILTER(B:B, A:A="2021-03"), 0))), "Left", "Ativo")</f>
        <v>Ativo</v>
      </c>
      <c r="F179" s="12" t="str" cm="1">
        <f t="array" ref="F179">IF(AND(A179="2021-03", ISNA(MATCH(B179, _xlfn._xlws.FILTER(B:B, A:A="2021-04"), 0))), "Left", "Ativo")</f>
        <v>Ativo</v>
      </c>
    </row>
    <row r="180" spans="1:6" x14ac:dyDescent="0.25">
      <c r="A180" t="s">
        <v>1528</v>
      </c>
      <c r="B180" t="s">
        <v>179</v>
      </c>
      <c r="C180" s="10" t="str" cm="1">
        <f t="array" ref="C180">IF(AND(A180="2020-12", ISNA(MATCH(B180, _xlfn._xlws.FILTER(B:B, A:A="2021-01"), 0))), "Left", "Ativo")</f>
        <v>Ativo</v>
      </c>
      <c r="D180" s="10" t="str" cm="1">
        <f t="array" ref="D180">IF(AND(A180="2021-01", ISNA(MATCH(B180, _xlfn._xlws.FILTER(B:B, A:A="2021-02"), 0))), "Left", "Ativo")</f>
        <v>Ativo</v>
      </c>
      <c r="E180" s="10" t="str" cm="1">
        <f t="array" ref="E180">IF(AND(A180="2021-02", ISNA(MATCH(B180, _xlfn._xlws.FILTER(B:B, A:A="2021-03"), 0))), "Left", "Ativo")</f>
        <v>Ativo</v>
      </c>
      <c r="F180" s="12" t="str" cm="1">
        <f t="array" ref="F180">IF(AND(A180="2021-03", ISNA(MATCH(B180, _xlfn._xlws.FILTER(B:B, A:A="2021-04"), 0))), "Left", "Ativo")</f>
        <v>Ativo</v>
      </c>
    </row>
    <row r="181" spans="1:6" x14ac:dyDescent="0.25">
      <c r="A181" t="s">
        <v>1528</v>
      </c>
      <c r="B181" t="s">
        <v>180</v>
      </c>
      <c r="C181" s="10" t="str" cm="1">
        <f t="array" ref="C181">IF(AND(A181="2020-12", ISNA(MATCH(B181, _xlfn._xlws.FILTER(B:B, A:A="2021-01"), 0))), "Left", "Ativo")</f>
        <v>Ativo</v>
      </c>
      <c r="D181" s="10" t="str" cm="1">
        <f t="array" ref="D181">IF(AND(A181="2021-01", ISNA(MATCH(B181, _xlfn._xlws.FILTER(B:B, A:A="2021-02"), 0))), "Left", "Ativo")</f>
        <v>Ativo</v>
      </c>
      <c r="E181" s="10" t="str" cm="1">
        <f t="array" ref="E181">IF(AND(A181="2021-02", ISNA(MATCH(B181, _xlfn._xlws.FILTER(B:B, A:A="2021-03"), 0))), "Left", "Ativo")</f>
        <v>Ativo</v>
      </c>
      <c r="F181" s="12" t="str" cm="1">
        <f t="array" ref="F181">IF(AND(A181="2021-03", ISNA(MATCH(B181, _xlfn._xlws.FILTER(B:B, A:A="2021-04"), 0))), "Left", "Ativo")</f>
        <v>Ativo</v>
      </c>
    </row>
    <row r="182" spans="1:6" x14ac:dyDescent="0.25">
      <c r="A182" t="s">
        <v>1528</v>
      </c>
      <c r="B182" t="s">
        <v>181</v>
      </c>
      <c r="C182" s="10" t="str" cm="1">
        <f t="array" ref="C182">IF(AND(A182="2020-12", ISNA(MATCH(B182, _xlfn._xlws.FILTER(B:B, A:A="2021-01"), 0))), "Left", "Ativo")</f>
        <v>Ativo</v>
      </c>
      <c r="D182" s="10" t="str" cm="1">
        <f t="array" ref="D182">IF(AND(A182="2021-01", ISNA(MATCH(B182, _xlfn._xlws.FILTER(B:B, A:A="2021-02"), 0))), "Left", "Ativo")</f>
        <v>Ativo</v>
      </c>
      <c r="E182" s="10" t="str" cm="1">
        <f t="array" ref="E182">IF(AND(A182="2021-02", ISNA(MATCH(B182, _xlfn._xlws.FILTER(B:B, A:A="2021-03"), 0))), "Left", "Ativo")</f>
        <v>Ativo</v>
      </c>
      <c r="F182" s="12" t="str" cm="1">
        <f t="array" ref="F182">IF(AND(A182="2021-03", ISNA(MATCH(B182, _xlfn._xlws.FILTER(B:B, A:A="2021-04"), 0))), "Left", "Ativo")</f>
        <v>Ativo</v>
      </c>
    </row>
    <row r="183" spans="1:6" x14ac:dyDescent="0.25">
      <c r="A183" t="s">
        <v>1528</v>
      </c>
      <c r="B183" t="s">
        <v>182</v>
      </c>
      <c r="C183" s="10" t="str" cm="1">
        <f t="array" ref="C183">IF(AND(A183="2020-12", ISNA(MATCH(B183, _xlfn._xlws.FILTER(B:B, A:A="2021-01"), 0))), "Left", "Ativo")</f>
        <v>Ativo</v>
      </c>
      <c r="D183" s="10" t="str" cm="1">
        <f t="array" ref="D183">IF(AND(A183="2021-01", ISNA(MATCH(B183, _xlfn._xlws.FILTER(B:B, A:A="2021-02"), 0))), "Left", "Ativo")</f>
        <v>Ativo</v>
      </c>
      <c r="E183" s="10" t="str" cm="1">
        <f t="array" ref="E183">IF(AND(A183="2021-02", ISNA(MATCH(B183, _xlfn._xlws.FILTER(B:B, A:A="2021-03"), 0))), "Left", "Ativo")</f>
        <v>Ativo</v>
      </c>
      <c r="F183" s="12" t="str" cm="1">
        <f t="array" ref="F183">IF(AND(A183="2021-03", ISNA(MATCH(B183, _xlfn._xlws.FILTER(B:B, A:A="2021-04"), 0))), "Left", "Ativo")</f>
        <v>Ativo</v>
      </c>
    </row>
    <row r="184" spans="1:6" x14ac:dyDescent="0.25">
      <c r="A184" t="s">
        <v>1528</v>
      </c>
      <c r="B184" t="s">
        <v>183</v>
      </c>
      <c r="C184" s="10" t="str" cm="1">
        <f t="array" ref="C184">IF(AND(A184="2020-12", ISNA(MATCH(B184, _xlfn._xlws.FILTER(B:B, A:A="2021-01"), 0))), "Left", "Ativo")</f>
        <v>Ativo</v>
      </c>
      <c r="D184" s="10" t="str" cm="1">
        <f t="array" ref="D184">IF(AND(A184="2021-01", ISNA(MATCH(B184, _xlfn._xlws.FILTER(B:B, A:A="2021-02"), 0))), "Left", "Ativo")</f>
        <v>Ativo</v>
      </c>
      <c r="E184" s="10" t="str" cm="1">
        <f t="array" ref="E184">IF(AND(A184="2021-02", ISNA(MATCH(B184, _xlfn._xlws.FILTER(B:B, A:A="2021-03"), 0))), "Left", "Ativo")</f>
        <v>Ativo</v>
      </c>
      <c r="F184" s="12" t="str" cm="1">
        <f t="array" ref="F184">IF(AND(A184="2021-03", ISNA(MATCH(B184, _xlfn._xlws.FILTER(B:B, A:A="2021-04"), 0))), "Left", "Ativo")</f>
        <v>Ativo</v>
      </c>
    </row>
    <row r="185" spans="1:6" x14ac:dyDescent="0.25">
      <c r="A185" t="s">
        <v>1528</v>
      </c>
      <c r="B185" t="s">
        <v>184</v>
      </c>
      <c r="C185" s="10" t="str" cm="1">
        <f t="array" ref="C185">IF(AND(A185="2020-12", ISNA(MATCH(B185, _xlfn._xlws.FILTER(B:B, A:A="2021-01"), 0))), "Left", "Ativo")</f>
        <v>Ativo</v>
      </c>
      <c r="D185" s="10" t="str" cm="1">
        <f t="array" ref="D185">IF(AND(A185="2021-01", ISNA(MATCH(B185, _xlfn._xlws.FILTER(B:B, A:A="2021-02"), 0))), "Left", "Ativo")</f>
        <v>Ativo</v>
      </c>
      <c r="E185" s="10" t="str" cm="1">
        <f t="array" ref="E185">IF(AND(A185="2021-02", ISNA(MATCH(B185, _xlfn._xlws.FILTER(B:B, A:A="2021-03"), 0))), "Left", "Ativo")</f>
        <v>Ativo</v>
      </c>
      <c r="F185" s="12" t="str" cm="1">
        <f t="array" ref="F185">IF(AND(A185="2021-03", ISNA(MATCH(B185, _xlfn._xlws.FILTER(B:B, A:A="2021-04"), 0))), "Left", "Ativo")</f>
        <v>Ativo</v>
      </c>
    </row>
    <row r="186" spans="1:6" x14ac:dyDescent="0.25">
      <c r="A186" t="s">
        <v>1528</v>
      </c>
      <c r="B186" t="s">
        <v>185</v>
      </c>
      <c r="C186" s="10" t="str" cm="1">
        <f t="array" ref="C186">IF(AND(A186="2020-12", ISNA(MATCH(B186, _xlfn._xlws.FILTER(B:B, A:A="2021-01"), 0))), "Left", "Ativo")</f>
        <v>Ativo</v>
      </c>
      <c r="D186" s="10" t="str" cm="1">
        <f t="array" ref="D186">IF(AND(A186="2021-01", ISNA(MATCH(B186, _xlfn._xlws.FILTER(B:B, A:A="2021-02"), 0))), "Left", "Ativo")</f>
        <v>Ativo</v>
      </c>
      <c r="E186" s="10" t="str" cm="1">
        <f t="array" ref="E186">IF(AND(A186="2021-02", ISNA(MATCH(B186, _xlfn._xlws.FILTER(B:B, A:A="2021-03"), 0))), "Left", "Ativo")</f>
        <v>Ativo</v>
      </c>
      <c r="F186" s="12" t="str" cm="1">
        <f t="array" ref="F186">IF(AND(A186="2021-03", ISNA(MATCH(B186, _xlfn._xlws.FILTER(B:B, A:A="2021-04"), 0))), "Left", "Ativo")</f>
        <v>Ativo</v>
      </c>
    </row>
    <row r="187" spans="1:6" x14ac:dyDescent="0.25">
      <c r="A187" t="s">
        <v>1528</v>
      </c>
      <c r="B187" t="s">
        <v>186</v>
      </c>
      <c r="C187" s="10" t="str" cm="1">
        <f t="array" ref="C187">IF(AND(A187="2020-12", ISNA(MATCH(B187, _xlfn._xlws.FILTER(B:B, A:A="2021-01"), 0))), "Left", "Ativo")</f>
        <v>Ativo</v>
      </c>
      <c r="D187" s="10" t="str" cm="1">
        <f t="array" ref="D187">IF(AND(A187="2021-01", ISNA(MATCH(B187, _xlfn._xlws.FILTER(B:B, A:A="2021-02"), 0))), "Left", "Ativo")</f>
        <v>Ativo</v>
      </c>
      <c r="E187" s="10" t="str" cm="1">
        <f t="array" ref="E187">IF(AND(A187="2021-02", ISNA(MATCH(B187, _xlfn._xlws.FILTER(B:B, A:A="2021-03"), 0))), "Left", "Ativo")</f>
        <v>Ativo</v>
      </c>
      <c r="F187" s="12" t="str" cm="1">
        <f t="array" ref="F187">IF(AND(A187="2021-03", ISNA(MATCH(B187, _xlfn._xlws.FILTER(B:B, A:A="2021-04"), 0))), "Left", "Ativo")</f>
        <v>Ativo</v>
      </c>
    </row>
    <row r="188" spans="1:6" x14ac:dyDescent="0.25">
      <c r="A188" t="s">
        <v>1528</v>
      </c>
      <c r="B188" t="s">
        <v>187</v>
      </c>
      <c r="C188" s="10" t="str" cm="1">
        <f t="array" ref="C188">IF(AND(A188="2020-12", ISNA(MATCH(B188, _xlfn._xlws.FILTER(B:B, A:A="2021-01"), 0))), "Left", "Ativo")</f>
        <v>Ativo</v>
      </c>
      <c r="D188" s="10" t="str" cm="1">
        <f t="array" ref="D188">IF(AND(A188="2021-01", ISNA(MATCH(B188, _xlfn._xlws.FILTER(B:B, A:A="2021-02"), 0))), "Left", "Ativo")</f>
        <v>Ativo</v>
      </c>
      <c r="E188" s="10" t="str" cm="1">
        <f t="array" ref="E188">IF(AND(A188="2021-02", ISNA(MATCH(B188, _xlfn._xlws.FILTER(B:B, A:A="2021-03"), 0))), "Left", "Ativo")</f>
        <v>Ativo</v>
      </c>
      <c r="F188" s="12" t="str" cm="1">
        <f t="array" ref="F188">IF(AND(A188="2021-03", ISNA(MATCH(B188, _xlfn._xlws.FILTER(B:B, A:A="2021-04"), 0))), "Left", "Ativo")</f>
        <v>Ativo</v>
      </c>
    </row>
    <row r="189" spans="1:6" x14ac:dyDescent="0.25">
      <c r="A189" t="s">
        <v>1528</v>
      </c>
      <c r="B189" t="s">
        <v>188</v>
      </c>
      <c r="C189" s="10" t="str" cm="1">
        <f t="array" ref="C189">IF(AND(A189="2020-12", ISNA(MATCH(B189, _xlfn._xlws.FILTER(B:B, A:A="2021-01"), 0))), "Left", "Ativo")</f>
        <v>Ativo</v>
      </c>
      <c r="D189" s="10" t="str" cm="1">
        <f t="array" ref="D189">IF(AND(A189="2021-01", ISNA(MATCH(B189, _xlfn._xlws.FILTER(B:B, A:A="2021-02"), 0))), "Left", "Ativo")</f>
        <v>Ativo</v>
      </c>
      <c r="E189" s="10" t="str" cm="1">
        <f t="array" ref="E189">IF(AND(A189="2021-02", ISNA(MATCH(B189, _xlfn._xlws.FILTER(B:B, A:A="2021-03"), 0))), "Left", "Ativo")</f>
        <v>Ativo</v>
      </c>
      <c r="F189" s="12" t="str" cm="1">
        <f t="array" ref="F189">IF(AND(A189="2021-03", ISNA(MATCH(B189, _xlfn._xlws.FILTER(B:B, A:A="2021-04"), 0))), "Left", "Ativo")</f>
        <v>Ativo</v>
      </c>
    </row>
    <row r="190" spans="1:6" x14ac:dyDescent="0.25">
      <c r="A190" t="s">
        <v>1528</v>
      </c>
      <c r="B190" t="s">
        <v>189</v>
      </c>
      <c r="C190" s="10" t="str" cm="1">
        <f t="array" ref="C190">IF(AND(A190="2020-12", ISNA(MATCH(B190, _xlfn._xlws.FILTER(B:B, A:A="2021-01"), 0))), "Left", "Ativo")</f>
        <v>Ativo</v>
      </c>
      <c r="D190" s="10" t="str" cm="1">
        <f t="array" ref="D190">IF(AND(A190="2021-01", ISNA(MATCH(B190, _xlfn._xlws.FILTER(B:B, A:A="2021-02"), 0))), "Left", "Ativo")</f>
        <v>Ativo</v>
      </c>
      <c r="E190" s="10" t="str" cm="1">
        <f t="array" ref="E190">IF(AND(A190="2021-02", ISNA(MATCH(B190, _xlfn._xlws.FILTER(B:B, A:A="2021-03"), 0))), "Left", "Ativo")</f>
        <v>Ativo</v>
      </c>
      <c r="F190" s="12" t="str" cm="1">
        <f t="array" ref="F190">IF(AND(A190="2021-03", ISNA(MATCH(B190, _xlfn._xlws.FILTER(B:B, A:A="2021-04"), 0))), "Left", "Ativo")</f>
        <v>Ativo</v>
      </c>
    </row>
    <row r="191" spans="1:6" x14ac:dyDescent="0.25">
      <c r="A191" t="s">
        <v>1528</v>
      </c>
      <c r="B191" t="s">
        <v>190</v>
      </c>
      <c r="C191" s="10" t="str" cm="1">
        <f t="array" ref="C191">IF(AND(A191="2020-12", ISNA(MATCH(B191, _xlfn._xlws.FILTER(B:B, A:A="2021-01"), 0))), "Left", "Ativo")</f>
        <v>Ativo</v>
      </c>
      <c r="D191" s="10" t="str" cm="1">
        <f t="array" ref="D191">IF(AND(A191="2021-01", ISNA(MATCH(B191, _xlfn._xlws.FILTER(B:B, A:A="2021-02"), 0))), "Left", "Ativo")</f>
        <v>Ativo</v>
      </c>
      <c r="E191" s="10" t="str" cm="1">
        <f t="array" ref="E191">IF(AND(A191="2021-02", ISNA(MATCH(B191, _xlfn._xlws.FILTER(B:B, A:A="2021-03"), 0))), "Left", "Ativo")</f>
        <v>Ativo</v>
      </c>
      <c r="F191" s="12" t="str" cm="1">
        <f t="array" ref="F191">IF(AND(A191="2021-03", ISNA(MATCH(B191, _xlfn._xlws.FILTER(B:B, A:A="2021-04"), 0))), "Left", "Ativo")</f>
        <v>Ativo</v>
      </c>
    </row>
    <row r="192" spans="1:6" x14ac:dyDescent="0.25">
      <c r="A192" t="s">
        <v>1528</v>
      </c>
      <c r="B192" t="s">
        <v>191</v>
      </c>
      <c r="C192" s="10" t="str" cm="1">
        <f t="array" ref="C192">IF(AND(A192="2020-12", ISNA(MATCH(B192, _xlfn._xlws.FILTER(B:B, A:A="2021-01"), 0))), "Left", "Ativo")</f>
        <v>Left</v>
      </c>
      <c r="D192" s="10" t="str" cm="1">
        <f t="array" ref="D192">IF(AND(A192="2021-01", ISNA(MATCH(B192, _xlfn._xlws.FILTER(B:B, A:A="2021-02"), 0))), "Left", "Ativo")</f>
        <v>Ativo</v>
      </c>
      <c r="E192" s="10" t="str" cm="1">
        <f t="array" ref="E192">IF(AND(A192="2021-02", ISNA(MATCH(B192, _xlfn._xlws.FILTER(B:B, A:A="2021-03"), 0))), "Left", "Ativo")</f>
        <v>Ativo</v>
      </c>
      <c r="F192" s="12" t="str" cm="1">
        <f t="array" ref="F192">IF(AND(A192="2021-03", ISNA(MATCH(B192, _xlfn._xlws.FILTER(B:B, A:A="2021-04"), 0))), "Left", "Ativo")</f>
        <v>Ativo</v>
      </c>
    </row>
    <row r="193" spans="1:6" x14ac:dyDescent="0.25">
      <c r="A193" t="s">
        <v>1528</v>
      </c>
      <c r="B193" t="s">
        <v>192</v>
      </c>
      <c r="C193" s="10" t="str" cm="1">
        <f t="array" ref="C193">IF(AND(A193="2020-12", ISNA(MATCH(B193, _xlfn._xlws.FILTER(B:B, A:A="2021-01"), 0))), "Left", "Ativo")</f>
        <v>Ativo</v>
      </c>
      <c r="D193" s="10" t="str" cm="1">
        <f t="array" ref="D193">IF(AND(A193="2021-01", ISNA(MATCH(B193, _xlfn._xlws.FILTER(B:B, A:A="2021-02"), 0))), "Left", "Ativo")</f>
        <v>Ativo</v>
      </c>
      <c r="E193" s="10" t="str" cm="1">
        <f t="array" ref="E193">IF(AND(A193="2021-02", ISNA(MATCH(B193, _xlfn._xlws.FILTER(B:B, A:A="2021-03"), 0))), "Left", "Ativo")</f>
        <v>Ativo</v>
      </c>
      <c r="F193" s="12" t="str" cm="1">
        <f t="array" ref="F193">IF(AND(A193="2021-03", ISNA(MATCH(B193, _xlfn._xlws.FILTER(B:B, A:A="2021-04"), 0))), "Left", "Ativo")</f>
        <v>Ativo</v>
      </c>
    </row>
    <row r="194" spans="1:6" x14ac:dyDescent="0.25">
      <c r="A194" t="s">
        <v>1528</v>
      </c>
      <c r="B194" t="s">
        <v>193</v>
      </c>
      <c r="C194" s="10" t="str" cm="1">
        <f t="array" ref="C194">IF(AND(A194="2020-12", ISNA(MATCH(B194, _xlfn._xlws.FILTER(B:B, A:A="2021-01"), 0))), "Left", "Ativo")</f>
        <v>Ativo</v>
      </c>
      <c r="D194" s="10" t="str" cm="1">
        <f t="array" ref="D194">IF(AND(A194="2021-01", ISNA(MATCH(B194, _xlfn._xlws.FILTER(B:B, A:A="2021-02"), 0))), "Left", "Ativo")</f>
        <v>Ativo</v>
      </c>
      <c r="E194" s="10" t="str" cm="1">
        <f t="array" ref="E194">IF(AND(A194="2021-02", ISNA(MATCH(B194, _xlfn._xlws.FILTER(B:B, A:A="2021-03"), 0))), "Left", "Ativo")</f>
        <v>Ativo</v>
      </c>
      <c r="F194" s="12" t="str" cm="1">
        <f t="array" ref="F194">IF(AND(A194="2021-03", ISNA(MATCH(B194, _xlfn._xlws.FILTER(B:B, A:A="2021-04"), 0))), "Left", "Ativo")</f>
        <v>Ativo</v>
      </c>
    </row>
    <row r="195" spans="1:6" x14ac:dyDescent="0.25">
      <c r="A195" t="s">
        <v>1528</v>
      </c>
      <c r="B195" t="s">
        <v>194</v>
      </c>
      <c r="C195" s="10" t="str" cm="1">
        <f t="array" ref="C195">IF(AND(A195="2020-12", ISNA(MATCH(B195, _xlfn._xlws.FILTER(B:B, A:A="2021-01"), 0))), "Left", "Ativo")</f>
        <v>Left</v>
      </c>
      <c r="D195" s="10" t="str" cm="1">
        <f t="array" ref="D195">IF(AND(A195="2021-01", ISNA(MATCH(B195, _xlfn._xlws.FILTER(B:B, A:A="2021-02"), 0))), "Left", "Ativo")</f>
        <v>Ativo</v>
      </c>
      <c r="E195" s="10" t="str" cm="1">
        <f t="array" ref="E195">IF(AND(A195="2021-02", ISNA(MATCH(B195, _xlfn._xlws.FILTER(B:B, A:A="2021-03"), 0))), "Left", "Ativo")</f>
        <v>Ativo</v>
      </c>
      <c r="F195" s="12" t="str" cm="1">
        <f t="array" ref="F195">IF(AND(A195="2021-03", ISNA(MATCH(B195, _xlfn._xlws.FILTER(B:B, A:A="2021-04"), 0))), "Left", "Ativo")</f>
        <v>Ativo</v>
      </c>
    </row>
    <row r="196" spans="1:6" x14ac:dyDescent="0.25">
      <c r="A196" t="s">
        <v>1528</v>
      </c>
      <c r="B196" t="s">
        <v>195</v>
      </c>
      <c r="C196" s="10" t="str" cm="1">
        <f t="array" ref="C196">IF(AND(A196="2020-12", ISNA(MATCH(B196, _xlfn._xlws.FILTER(B:B, A:A="2021-01"), 0))), "Left", "Ativo")</f>
        <v>Ativo</v>
      </c>
      <c r="D196" s="10" t="str" cm="1">
        <f t="array" ref="D196">IF(AND(A196="2021-01", ISNA(MATCH(B196, _xlfn._xlws.FILTER(B:B, A:A="2021-02"), 0))), "Left", "Ativo")</f>
        <v>Ativo</v>
      </c>
      <c r="E196" s="10" t="str" cm="1">
        <f t="array" ref="E196">IF(AND(A196="2021-02", ISNA(MATCH(B196, _xlfn._xlws.FILTER(B:B, A:A="2021-03"), 0))), "Left", "Ativo")</f>
        <v>Ativo</v>
      </c>
      <c r="F196" s="12" t="str" cm="1">
        <f t="array" ref="F196">IF(AND(A196="2021-03", ISNA(MATCH(B196, _xlfn._xlws.FILTER(B:B, A:A="2021-04"), 0))), "Left", "Ativo")</f>
        <v>Ativo</v>
      </c>
    </row>
    <row r="197" spans="1:6" x14ac:dyDescent="0.25">
      <c r="A197" t="s">
        <v>1528</v>
      </c>
      <c r="B197" t="s">
        <v>196</v>
      </c>
      <c r="C197" s="10" t="str" cm="1">
        <f t="array" ref="C197">IF(AND(A197="2020-12", ISNA(MATCH(B197, _xlfn._xlws.FILTER(B:B, A:A="2021-01"), 0))), "Left", "Ativo")</f>
        <v>Left</v>
      </c>
      <c r="D197" s="10" t="str" cm="1">
        <f t="array" ref="D197">IF(AND(A197="2021-01", ISNA(MATCH(B197, _xlfn._xlws.FILTER(B:B, A:A="2021-02"), 0))), "Left", "Ativo")</f>
        <v>Ativo</v>
      </c>
      <c r="E197" s="10" t="str" cm="1">
        <f t="array" ref="E197">IF(AND(A197="2021-02", ISNA(MATCH(B197, _xlfn._xlws.FILTER(B:B, A:A="2021-03"), 0))), "Left", "Ativo")</f>
        <v>Ativo</v>
      </c>
      <c r="F197" s="12" t="str" cm="1">
        <f t="array" ref="F197">IF(AND(A197="2021-03", ISNA(MATCH(B197, _xlfn._xlws.FILTER(B:B, A:A="2021-04"), 0))), "Left", "Ativo")</f>
        <v>Ativo</v>
      </c>
    </row>
    <row r="198" spans="1:6" x14ac:dyDescent="0.25">
      <c r="A198" t="s">
        <v>1528</v>
      </c>
      <c r="B198" t="s">
        <v>197</v>
      </c>
      <c r="C198" s="10" t="str" cm="1">
        <f t="array" ref="C198">IF(AND(A198="2020-12", ISNA(MATCH(B198, _xlfn._xlws.FILTER(B:B, A:A="2021-01"), 0))), "Left", "Ativo")</f>
        <v>Left</v>
      </c>
      <c r="D198" s="10" t="str" cm="1">
        <f t="array" ref="D198">IF(AND(A198="2021-01", ISNA(MATCH(B198, _xlfn._xlws.FILTER(B:B, A:A="2021-02"), 0))), "Left", "Ativo")</f>
        <v>Ativo</v>
      </c>
      <c r="E198" s="10" t="str" cm="1">
        <f t="array" ref="E198">IF(AND(A198="2021-02", ISNA(MATCH(B198, _xlfn._xlws.FILTER(B:B, A:A="2021-03"), 0))), "Left", "Ativo")</f>
        <v>Ativo</v>
      </c>
      <c r="F198" s="12" t="str" cm="1">
        <f t="array" ref="F198">IF(AND(A198="2021-03", ISNA(MATCH(B198, _xlfn._xlws.FILTER(B:B, A:A="2021-04"), 0))), "Left", "Ativo")</f>
        <v>Ativo</v>
      </c>
    </row>
    <row r="199" spans="1:6" x14ac:dyDescent="0.25">
      <c r="A199" t="s">
        <v>1528</v>
      </c>
      <c r="B199" t="s">
        <v>198</v>
      </c>
      <c r="C199" s="10" t="str" cm="1">
        <f t="array" ref="C199">IF(AND(A199="2020-12", ISNA(MATCH(B199, _xlfn._xlws.FILTER(B:B, A:A="2021-01"), 0))), "Left", "Ativo")</f>
        <v>Ativo</v>
      </c>
      <c r="D199" s="10" t="str" cm="1">
        <f t="array" ref="D199">IF(AND(A199="2021-01", ISNA(MATCH(B199, _xlfn._xlws.FILTER(B:B, A:A="2021-02"), 0))), "Left", "Ativo")</f>
        <v>Ativo</v>
      </c>
      <c r="E199" s="10" t="str" cm="1">
        <f t="array" ref="E199">IF(AND(A199="2021-02", ISNA(MATCH(B199, _xlfn._xlws.FILTER(B:B, A:A="2021-03"), 0))), "Left", "Ativo")</f>
        <v>Ativo</v>
      </c>
      <c r="F199" s="12" t="str" cm="1">
        <f t="array" ref="F199">IF(AND(A199="2021-03", ISNA(MATCH(B199, _xlfn._xlws.FILTER(B:B, A:A="2021-04"), 0))), "Left", "Ativo")</f>
        <v>Ativo</v>
      </c>
    </row>
    <row r="200" spans="1:6" x14ac:dyDescent="0.25">
      <c r="A200" t="s">
        <v>1528</v>
      </c>
      <c r="B200" t="s">
        <v>199</v>
      </c>
      <c r="C200" s="10" t="str" cm="1">
        <f t="array" ref="C200">IF(AND(A200="2020-12", ISNA(MATCH(B200, _xlfn._xlws.FILTER(B:B, A:A="2021-01"), 0))), "Left", "Ativo")</f>
        <v>Ativo</v>
      </c>
      <c r="D200" s="10" t="str" cm="1">
        <f t="array" ref="D200">IF(AND(A200="2021-01", ISNA(MATCH(B200, _xlfn._xlws.FILTER(B:B, A:A="2021-02"), 0))), "Left", "Ativo")</f>
        <v>Ativo</v>
      </c>
      <c r="E200" s="10" t="str" cm="1">
        <f t="array" ref="E200">IF(AND(A200="2021-02", ISNA(MATCH(B200, _xlfn._xlws.FILTER(B:B, A:A="2021-03"), 0))), "Left", "Ativo")</f>
        <v>Ativo</v>
      </c>
      <c r="F200" s="12" t="str" cm="1">
        <f t="array" ref="F200">IF(AND(A200="2021-03", ISNA(MATCH(B200, _xlfn._xlws.FILTER(B:B, A:A="2021-04"), 0))), "Left", "Ativo")</f>
        <v>Ativo</v>
      </c>
    </row>
    <row r="201" spans="1:6" x14ac:dyDescent="0.25">
      <c r="A201" t="s">
        <v>1528</v>
      </c>
      <c r="B201" t="s">
        <v>200</v>
      </c>
      <c r="C201" s="10" t="str" cm="1">
        <f t="array" ref="C201">IF(AND(A201="2020-12", ISNA(MATCH(B201, _xlfn._xlws.FILTER(B:B, A:A="2021-01"), 0))), "Left", "Ativo")</f>
        <v>Ativo</v>
      </c>
      <c r="D201" s="10" t="str" cm="1">
        <f t="array" ref="D201">IF(AND(A201="2021-01", ISNA(MATCH(B201, _xlfn._xlws.FILTER(B:B, A:A="2021-02"), 0))), "Left", "Ativo")</f>
        <v>Ativo</v>
      </c>
      <c r="E201" s="10" t="str" cm="1">
        <f t="array" ref="E201">IF(AND(A201="2021-02", ISNA(MATCH(B201, _xlfn._xlws.FILTER(B:B, A:A="2021-03"), 0))), "Left", "Ativo")</f>
        <v>Ativo</v>
      </c>
      <c r="F201" s="12" t="str" cm="1">
        <f t="array" ref="F201">IF(AND(A201="2021-03", ISNA(MATCH(B201, _xlfn._xlws.FILTER(B:B, A:A="2021-04"), 0))), "Left", "Ativo")</f>
        <v>Ativo</v>
      </c>
    </row>
    <row r="202" spans="1:6" x14ac:dyDescent="0.25">
      <c r="A202" t="s">
        <v>1528</v>
      </c>
      <c r="B202" t="s">
        <v>201</v>
      </c>
      <c r="C202" s="10" t="str" cm="1">
        <f t="array" ref="C202">IF(AND(A202="2020-12", ISNA(MATCH(B202, _xlfn._xlws.FILTER(B:B, A:A="2021-01"), 0))), "Left", "Ativo")</f>
        <v>Ativo</v>
      </c>
      <c r="D202" s="10" t="str" cm="1">
        <f t="array" ref="D202">IF(AND(A202="2021-01", ISNA(MATCH(B202, _xlfn._xlws.FILTER(B:B, A:A="2021-02"), 0))), "Left", "Ativo")</f>
        <v>Ativo</v>
      </c>
      <c r="E202" s="10" t="str" cm="1">
        <f t="array" ref="E202">IF(AND(A202="2021-02", ISNA(MATCH(B202, _xlfn._xlws.FILTER(B:B, A:A="2021-03"), 0))), "Left", "Ativo")</f>
        <v>Ativo</v>
      </c>
      <c r="F202" s="12" t="str" cm="1">
        <f t="array" ref="F202">IF(AND(A202="2021-03", ISNA(MATCH(B202, _xlfn._xlws.FILTER(B:B, A:A="2021-04"), 0))), "Left", "Ativo")</f>
        <v>Ativo</v>
      </c>
    </row>
    <row r="203" spans="1:6" x14ac:dyDescent="0.25">
      <c r="A203" t="s">
        <v>1528</v>
      </c>
      <c r="B203" t="s">
        <v>202</v>
      </c>
      <c r="C203" s="10" t="str" cm="1">
        <f t="array" ref="C203">IF(AND(A203="2020-12", ISNA(MATCH(B203, _xlfn._xlws.FILTER(B:B, A:A="2021-01"), 0))), "Left", "Ativo")</f>
        <v>Ativo</v>
      </c>
      <c r="D203" s="10" t="str" cm="1">
        <f t="array" ref="D203">IF(AND(A203="2021-01", ISNA(MATCH(B203, _xlfn._xlws.FILTER(B:B, A:A="2021-02"), 0))), "Left", "Ativo")</f>
        <v>Ativo</v>
      </c>
      <c r="E203" s="10" t="str" cm="1">
        <f t="array" ref="E203">IF(AND(A203="2021-02", ISNA(MATCH(B203, _xlfn._xlws.FILTER(B:B, A:A="2021-03"), 0))), "Left", "Ativo")</f>
        <v>Ativo</v>
      </c>
      <c r="F203" s="12" t="str" cm="1">
        <f t="array" ref="F203">IF(AND(A203="2021-03", ISNA(MATCH(B203, _xlfn._xlws.FILTER(B:B, A:A="2021-04"), 0))), "Left", "Ativo")</f>
        <v>Ativo</v>
      </c>
    </row>
    <row r="204" spans="1:6" x14ac:dyDescent="0.25">
      <c r="A204" t="s">
        <v>1528</v>
      </c>
      <c r="B204" t="s">
        <v>203</v>
      </c>
      <c r="C204" s="10" t="str" cm="1">
        <f t="array" ref="C204">IF(AND(A204="2020-12", ISNA(MATCH(B204, _xlfn._xlws.FILTER(B:B, A:A="2021-01"), 0))), "Left", "Ativo")</f>
        <v>Ativo</v>
      </c>
      <c r="D204" s="10" t="str" cm="1">
        <f t="array" ref="D204">IF(AND(A204="2021-01", ISNA(MATCH(B204, _xlfn._xlws.FILTER(B:B, A:A="2021-02"), 0))), "Left", "Ativo")</f>
        <v>Ativo</v>
      </c>
      <c r="E204" s="10" t="str" cm="1">
        <f t="array" ref="E204">IF(AND(A204="2021-02", ISNA(MATCH(B204, _xlfn._xlws.FILTER(B:B, A:A="2021-03"), 0))), "Left", "Ativo")</f>
        <v>Ativo</v>
      </c>
      <c r="F204" s="12" t="str" cm="1">
        <f t="array" ref="F204">IF(AND(A204="2021-03", ISNA(MATCH(B204, _xlfn._xlws.FILTER(B:B, A:A="2021-04"), 0))), "Left", "Ativo")</f>
        <v>Ativo</v>
      </c>
    </row>
    <row r="205" spans="1:6" x14ac:dyDescent="0.25">
      <c r="A205" t="s">
        <v>1528</v>
      </c>
      <c r="B205" t="s">
        <v>204</v>
      </c>
      <c r="C205" s="10" t="str" cm="1">
        <f t="array" ref="C205">IF(AND(A205="2020-12", ISNA(MATCH(B205, _xlfn._xlws.FILTER(B:B, A:A="2021-01"), 0))), "Left", "Ativo")</f>
        <v>Ativo</v>
      </c>
      <c r="D205" s="10" t="str" cm="1">
        <f t="array" ref="D205">IF(AND(A205="2021-01", ISNA(MATCH(B205, _xlfn._xlws.FILTER(B:B, A:A="2021-02"), 0))), "Left", "Ativo")</f>
        <v>Ativo</v>
      </c>
      <c r="E205" s="10" t="str" cm="1">
        <f t="array" ref="E205">IF(AND(A205="2021-02", ISNA(MATCH(B205, _xlfn._xlws.FILTER(B:B, A:A="2021-03"), 0))), "Left", "Ativo")</f>
        <v>Ativo</v>
      </c>
      <c r="F205" s="12" t="str" cm="1">
        <f t="array" ref="F205">IF(AND(A205="2021-03", ISNA(MATCH(B205, _xlfn._xlws.FILTER(B:B, A:A="2021-04"), 0))), "Left", "Ativo")</f>
        <v>Ativo</v>
      </c>
    </row>
    <row r="206" spans="1:6" x14ac:dyDescent="0.25">
      <c r="A206" t="s">
        <v>1528</v>
      </c>
      <c r="B206" t="s">
        <v>205</v>
      </c>
      <c r="C206" s="10" t="str" cm="1">
        <f t="array" ref="C206">IF(AND(A206="2020-12", ISNA(MATCH(B206, _xlfn._xlws.FILTER(B:B, A:A="2021-01"), 0))), "Left", "Ativo")</f>
        <v>Ativo</v>
      </c>
      <c r="D206" s="10" t="str" cm="1">
        <f t="array" ref="D206">IF(AND(A206="2021-01", ISNA(MATCH(B206, _xlfn._xlws.FILTER(B:B, A:A="2021-02"), 0))), "Left", "Ativo")</f>
        <v>Ativo</v>
      </c>
      <c r="E206" s="10" t="str" cm="1">
        <f t="array" ref="E206">IF(AND(A206="2021-02", ISNA(MATCH(B206, _xlfn._xlws.FILTER(B:B, A:A="2021-03"), 0))), "Left", "Ativo")</f>
        <v>Ativo</v>
      </c>
      <c r="F206" s="12" t="str" cm="1">
        <f t="array" ref="F206">IF(AND(A206="2021-03", ISNA(MATCH(B206, _xlfn._xlws.FILTER(B:B, A:A="2021-04"), 0))), "Left", "Ativo")</f>
        <v>Ativo</v>
      </c>
    </row>
    <row r="207" spans="1:6" x14ac:dyDescent="0.25">
      <c r="A207" t="s">
        <v>1528</v>
      </c>
      <c r="B207" t="s">
        <v>206</v>
      </c>
      <c r="C207" s="10" t="str" cm="1">
        <f t="array" ref="C207">IF(AND(A207="2020-12", ISNA(MATCH(B207, _xlfn._xlws.FILTER(B:B, A:A="2021-01"), 0))), "Left", "Ativo")</f>
        <v>Ativo</v>
      </c>
      <c r="D207" s="10" t="str" cm="1">
        <f t="array" ref="D207">IF(AND(A207="2021-01", ISNA(MATCH(B207, _xlfn._xlws.FILTER(B:B, A:A="2021-02"), 0))), "Left", "Ativo")</f>
        <v>Ativo</v>
      </c>
      <c r="E207" s="10" t="str" cm="1">
        <f t="array" ref="E207">IF(AND(A207="2021-02", ISNA(MATCH(B207, _xlfn._xlws.FILTER(B:B, A:A="2021-03"), 0))), "Left", "Ativo")</f>
        <v>Ativo</v>
      </c>
      <c r="F207" s="12" t="str" cm="1">
        <f t="array" ref="F207">IF(AND(A207="2021-03", ISNA(MATCH(B207, _xlfn._xlws.FILTER(B:B, A:A="2021-04"), 0))), "Left", "Ativo")</f>
        <v>Ativo</v>
      </c>
    </row>
    <row r="208" spans="1:6" x14ac:dyDescent="0.25">
      <c r="A208" t="s">
        <v>1528</v>
      </c>
      <c r="B208" t="s">
        <v>207</v>
      </c>
      <c r="C208" s="10" t="str" cm="1">
        <f t="array" ref="C208">IF(AND(A208="2020-12", ISNA(MATCH(B208, _xlfn._xlws.FILTER(B:B, A:A="2021-01"), 0))), "Left", "Ativo")</f>
        <v>Ativo</v>
      </c>
      <c r="D208" s="10" t="str" cm="1">
        <f t="array" ref="D208">IF(AND(A208="2021-01", ISNA(MATCH(B208, _xlfn._xlws.FILTER(B:B, A:A="2021-02"), 0))), "Left", "Ativo")</f>
        <v>Ativo</v>
      </c>
      <c r="E208" s="10" t="str" cm="1">
        <f t="array" ref="E208">IF(AND(A208="2021-02", ISNA(MATCH(B208, _xlfn._xlws.FILTER(B:B, A:A="2021-03"), 0))), "Left", "Ativo")</f>
        <v>Ativo</v>
      </c>
      <c r="F208" s="12" t="str" cm="1">
        <f t="array" ref="F208">IF(AND(A208="2021-03", ISNA(MATCH(B208, _xlfn._xlws.FILTER(B:B, A:A="2021-04"), 0))), "Left", "Ativo")</f>
        <v>Ativo</v>
      </c>
    </row>
    <row r="209" spans="1:6" x14ac:dyDescent="0.25">
      <c r="A209" t="s">
        <v>1528</v>
      </c>
      <c r="B209" t="s">
        <v>208</v>
      </c>
      <c r="C209" s="10" t="str" cm="1">
        <f t="array" ref="C209">IF(AND(A209="2020-12", ISNA(MATCH(B209, _xlfn._xlws.FILTER(B:B, A:A="2021-01"), 0))), "Left", "Ativo")</f>
        <v>Ativo</v>
      </c>
      <c r="D209" s="10" t="str" cm="1">
        <f t="array" ref="D209">IF(AND(A209="2021-01", ISNA(MATCH(B209, _xlfn._xlws.FILTER(B:B, A:A="2021-02"), 0))), "Left", "Ativo")</f>
        <v>Ativo</v>
      </c>
      <c r="E209" s="10" t="str" cm="1">
        <f t="array" ref="E209">IF(AND(A209="2021-02", ISNA(MATCH(B209, _xlfn._xlws.FILTER(B:B, A:A="2021-03"), 0))), "Left", "Ativo")</f>
        <v>Ativo</v>
      </c>
      <c r="F209" s="12" t="str" cm="1">
        <f t="array" ref="F209">IF(AND(A209="2021-03", ISNA(MATCH(B209, _xlfn._xlws.FILTER(B:B, A:A="2021-04"), 0))), "Left", "Ativo")</f>
        <v>Ativo</v>
      </c>
    </row>
    <row r="210" spans="1:6" x14ac:dyDescent="0.25">
      <c r="A210" t="s">
        <v>1528</v>
      </c>
      <c r="B210" t="s">
        <v>209</v>
      </c>
      <c r="C210" s="10" t="str" cm="1">
        <f t="array" ref="C210">IF(AND(A210="2020-12", ISNA(MATCH(B210, _xlfn._xlws.FILTER(B:B, A:A="2021-01"), 0))), "Left", "Ativo")</f>
        <v>Ativo</v>
      </c>
      <c r="D210" s="10" t="str" cm="1">
        <f t="array" ref="D210">IF(AND(A210="2021-01", ISNA(MATCH(B210, _xlfn._xlws.FILTER(B:B, A:A="2021-02"), 0))), "Left", "Ativo")</f>
        <v>Ativo</v>
      </c>
      <c r="E210" s="10" t="str" cm="1">
        <f t="array" ref="E210">IF(AND(A210="2021-02", ISNA(MATCH(B210, _xlfn._xlws.FILTER(B:B, A:A="2021-03"), 0))), "Left", "Ativo")</f>
        <v>Ativo</v>
      </c>
      <c r="F210" s="12" t="str" cm="1">
        <f t="array" ref="F210">IF(AND(A210="2021-03", ISNA(MATCH(B210, _xlfn._xlws.FILTER(B:B, A:A="2021-04"), 0))), "Left", "Ativo")</f>
        <v>Ativo</v>
      </c>
    </row>
    <row r="211" spans="1:6" x14ac:dyDescent="0.25">
      <c r="A211" t="s">
        <v>1528</v>
      </c>
      <c r="B211" t="s">
        <v>210</v>
      </c>
      <c r="C211" s="10" t="str" cm="1">
        <f t="array" ref="C211">IF(AND(A211="2020-12", ISNA(MATCH(B211, _xlfn._xlws.FILTER(B:B, A:A="2021-01"), 0))), "Left", "Ativo")</f>
        <v>Ativo</v>
      </c>
      <c r="D211" s="10" t="str" cm="1">
        <f t="array" ref="D211">IF(AND(A211="2021-01", ISNA(MATCH(B211, _xlfn._xlws.FILTER(B:B, A:A="2021-02"), 0))), "Left", "Ativo")</f>
        <v>Ativo</v>
      </c>
      <c r="E211" s="10" t="str" cm="1">
        <f t="array" ref="E211">IF(AND(A211="2021-02", ISNA(MATCH(B211, _xlfn._xlws.FILTER(B:B, A:A="2021-03"), 0))), "Left", "Ativo")</f>
        <v>Ativo</v>
      </c>
      <c r="F211" s="12" t="str" cm="1">
        <f t="array" ref="F211">IF(AND(A211="2021-03", ISNA(MATCH(B211, _xlfn._xlws.FILTER(B:B, A:A="2021-04"), 0))), "Left", "Ativo")</f>
        <v>Ativo</v>
      </c>
    </row>
    <row r="212" spans="1:6" x14ac:dyDescent="0.25">
      <c r="A212" t="s">
        <v>1528</v>
      </c>
      <c r="B212" t="s">
        <v>211</v>
      </c>
      <c r="C212" s="10" t="str" cm="1">
        <f t="array" ref="C212">IF(AND(A212="2020-12", ISNA(MATCH(B212, _xlfn._xlws.FILTER(B:B, A:A="2021-01"), 0))), "Left", "Ativo")</f>
        <v>Ativo</v>
      </c>
      <c r="D212" s="10" t="str" cm="1">
        <f t="array" ref="D212">IF(AND(A212="2021-01", ISNA(MATCH(B212, _xlfn._xlws.FILTER(B:B, A:A="2021-02"), 0))), "Left", "Ativo")</f>
        <v>Ativo</v>
      </c>
      <c r="E212" s="10" t="str" cm="1">
        <f t="array" ref="E212">IF(AND(A212="2021-02", ISNA(MATCH(B212, _xlfn._xlws.FILTER(B:B, A:A="2021-03"), 0))), "Left", "Ativo")</f>
        <v>Ativo</v>
      </c>
      <c r="F212" s="12" t="str" cm="1">
        <f t="array" ref="F212">IF(AND(A212="2021-03", ISNA(MATCH(B212, _xlfn._xlws.FILTER(B:B, A:A="2021-04"), 0))), "Left", "Ativo")</f>
        <v>Ativo</v>
      </c>
    </row>
    <row r="213" spans="1:6" x14ac:dyDescent="0.25">
      <c r="A213" t="s">
        <v>1528</v>
      </c>
      <c r="B213" t="s">
        <v>212</v>
      </c>
      <c r="C213" s="10" t="str" cm="1">
        <f t="array" ref="C213">IF(AND(A213="2020-12", ISNA(MATCH(B213, _xlfn._xlws.FILTER(B:B, A:A="2021-01"), 0))), "Left", "Ativo")</f>
        <v>Ativo</v>
      </c>
      <c r="D213" s="10" t="str" cm="1">
        <f t="array" ref="D213">IF(AND(A213="2021-01", ISNA(MATCH(B213, _xlfn._xlws.FILTER(B:B, A:A="2021-02"), 0))), "Left", "Ativo")</f>
        <v>Ativo</v>
      </c>
      <c r="E213" s="10" t="str" cm="1">
        <f t="array" ref="E213">IF(AND(A213="2021-02", ISNA(MATCH(B213, _xlfn._xlws.FILTER(B:B, A:A="2021-03"), 0))), "Left", "Ativo")</f>
        <v>Ativo</v>
      </c>
      <c r="F213" s="12" t="str" cm="1">
        <f t="array" ref="F213">IF(AND(A213="2021-03", ISNA(MATCH(B213, _xlfn._xlws.FILTER(B:B, A:A="2021-04"), 0))), "Left", "Ativo")</f>
        <v>Ativo</v>
      </c>
    </row>
    <row r="214" spans="1:6" x14ac:dyDescent="0.25">
      <c r="A214" t="s">
        <v>1528</v>
      </c>
      <c r="B214" t="s">
        <v>213</v>
      </c>
      <c r="C214" s="10" t="str" cm="1">
        <f t="array" ref="C214">IF(AND(A214="2020-12", ISNA(MATCH(B214, _xlfn._xlws.FILTER(B:B, A:A="2021-01"), 0))), "Left", "Ativo")</f>
        <v>Ativo</v>
      </c>
      <c r="D214" s="10" t="str" cm="1">
        <f t="array" ref="D214">IF(AND(A214="2021-01", ISNA(MATCH(B214, _xlfn._xlws.FILTER(B:B, A:A="2021-02"), 0))), "Left", "Ativo")</f>
        <v>Ativo</v>
      </c>
      <c r="E214" s="10" t="str" cm="1">
        <f t="array" ref="E214">IF(AND(A214="2021-02", ISNA(MATCH(B214, _xlfn._xlws.FILTER(B:B, A:A="2021-03"), 0))), "Left", "Ativo")</f>
        <v>Ativo</v>
      </c>
      <c r="F214" s="12" t="str" cm="1">
        <f t="array" ref="F214">IF(AND(A214="2021-03", ISNA(MATCH(B214, _xlfn._xlws.FILTER(B:B, A:A="2021-04"), 0))), "Left", "Ativo")</f>
        <v>Ativo</v>
      </c>
    </row>
    <row r="215" spans="1:6" x14ac:dyDescent="0.25">
      <c r="A215" t="s">
        <v>1528</v>
      </c>
      <c r="B215" t="s">
        <v>214</v>
      </c>
      <c r="C215" s="10" t="str" cm="1">
        <f t="array" ref="C215">IF(AND(A215="2020-12", ISNA(MATCH(B215, _xlfn._xlws.FILTER(B:B, A:A="2021-01"), 0))), "Left", "Ativo")</f>
        <v>Ativo</v>
      </c>
      <c r="D215" s="10" t="str" cm="1">
        <f t="array" ref="D215">IF(AND(A215="2021-01", ISNA(MATCH(B215, _xlfn._xlws.FILTER(B:B, A:A="2021-02"), 0))), "Left", "Ativo")</f>
        <v>Ativo</v>
      </c>
      <c r="E215" s="10" t="str" cm="1">
        <f t="array" ref="E215">IF(AND(A215="2021-02", ISNA(MATCH(B215, _xlfn._xlws.FILTER(B:B, A:A="2021-03"), 0))), "Left", "Ativo")</f>
        <v>Ativo</v>
      </c>
      <c r="F215" s="12" t="str" cm="1">
        <f t="array" ref="F215">IF(AND(A215="2021-03", ISNA(MATCH(B215, _xlfn._xlws.FILTER(B:B, A:A="2021-04"), 0))), "Left", "Ativo")</f>
        <v>Ativo</v>
      </c>
    </row>
    <row r="216" spans="1:6" x14ac:dyDescent="0.25">
      <c r="A216" t="s">
        <v>1528</v>
      </c>
      <c r="B216" t="s">
        <v>215</v>
      </c>
      <c r="C216" s="10" t="str" cm="1">
        <f t="array" ref="C216">IF(AND(A216="2020-12", ISNA(MATCH(B216, _xlfn._xlws.FILTER(B:B, A:A="2021-01"), 0))), "Left", "Ativo")</f>
        <v>Ativo</v>
      </c>
      <c r="D216" s="10" t="str" cm="1">
        <f t="array" ref="D216">IF(AND(A216="2021-01", ISNA(MATCH(B216, _xlfn._xlws.FILTER(B:B, A:A="2021-02"), 0))), "Left", "Ativo")</f>
        <v>Ativo</v>
      </c>
      <c r="E216" s="10" t="str" cm="1">
        <f t="array" ref="E216">IF(AND(A216="2021-02", ISNA(MATCH(B216, _xlfn._xlws.FILTER(B:B, A:A="2021-03"), 0))), "Left", "Ativo")</f>
        <v>Ativo</v>
      </c>
      <c r="F216" s="12" t="str" cm="1">
        <f t="array" ref="F216">IF(AND(A216="2021-03", ISNA(MATCH(B216, _xlfn._xlws.FILTER(B:B, A:A="2021-04"), 0))), "Left", "Ativo")</f>
        <v>Ativo</v>
      </c>
    </row>
    <row r="217" spans="1:6" x14ac:dyDescent="0.25">
      <c r="A217" t="s">
        <v>1528</v>
      </c>
      <c r="B217" t="s">
        <v>216</v>
      </c>
      <c r="C217" s="10" t="str" cm="1">
        <f t="array" ref="C217">IF(AND(A217="2020-12", ISNA(MATCH(B217, _xlfn._xlws.FILTER(B:B, A:A="2021-01"), 0))), "Left", "Ativo")</f>
        <v>Ativo</v>
      </c>
      <c r="D217" s="10" t="str" cm="1">
        <f t="array" ref="D217">IF(AND(A217="2021-01", ISNA(MATCH(B217, _xlfn._xlws.FILTER(B:B, A:A="2021-02"), 0))), "Left", "Ativo")</f>
        <v>Ativo</v>
      </c>
      <c r="E217" s="10" t="str" cm="1">
        <f t="array" ref="E217">IF(AND(A217="2021-02", ISNA(MATCH(B217, _xlfn._xlws.FILTER(B:B, A:A="2021-03"), 0))), "Left", "Ativo")</f>
        <v>Ativo</v>
      </c>
      <c r="F217" s="12" t="str" cm="1">
        <f t="array" ref="F217">IF(AND(A217="2021-03", ISNA(MATCH(B217, _xlfn._xlws.FILTER(B:B, A:A="2021-04"), 0))), "Left", "Ativo")</f>
        <v>Ativo</v>
      </c>
    </row>
    <row r="218" spans="1:6" x14ac:dyDescent="0.25">
      <c r="A218" t="s">
        <v>1528</v>
      </c>
      <c r="B218" t="s">
        <v>217</v>
      </c>
      <c r="C218" s="10" t="str" cm="1">
        <f t="array" ref="C218">IF(AND(A218="2020-12", ISNA(MATCH(B218, _xlfn._xlws.FILTER(B:B, A:A="2021-01"), 0))), "Left", "Ativo")</f>
        <v>Ativo</v>
      </c>
      <c r="D218" s="10" t="str" cm="1">
        <f t="array" ref="D218">IF(AND(A218="2021-01", ISNA(MATCH(B218, _xlfn._xlws.FILTER(B:B, A:A="2021-02"), 0))), "Left", "Ativo")</f>
        <v>Ativo</v>
      </c>
      <c r="E218" s="10" t="str" cm="1">
        <f t="array" ref="E218">IF(AND(A218="2021-02", ISNA(MATCH(B218, _xlfn._xlws.FILTER(B:B, A:A="2021-03"), 0))), "Left", "Ativo")</f>
        <v>Ativo</v>
      </c>
      <c r="F218" s="12" t="str" cm="1">
        <f t="array" ref="F218">IF(AND(A218="2021-03", ISNA(MATCH(B218, _xlfn._xlws.FILTER(B:B, A:A="2021-04"), 0))), "Left", "Ativo")</f>
        <v>Ativo</v>
      </c>
    </row>
    <row r="219" spans="1:6" x14ac:dyDescent="0.25">
      <c r="A219" t="s">
        <v>1528</v>
      </c>
      <c r="B219" t="s">
        <v>218</v>
      </c>
      <c r="C219" s="10" t="str" cm="1">
        <f t="array" ref="C219">IF(AND(A219="2020-12", ISNA(MATCH(B219, _xlfn._xlws.FILTER(B:B, A:A="2021-01"), 0))), "Left", "Ativo")</f>
        <v>Ativo</v>
      </c>
      <c r="D219" s="10" t="str" cm="1">
        <f t="array" ref="D219">IF(AND(A219="2021-01", ISNA(MATCH(B219, _xlfn._xlws.FILTER(B:B, A:A="2021-02"), 0))), "Left", "Ativo")</f>
        <v>Ativo</v>
      </c>
      <c r="E219" s="10" t="str" cm="1">
        <f t="array" ref="E219">IF(AND(A219="2021-02", ISNA(MATCH(B219, _xlfn._xlws.FILTER(B:B, A:A="2021-03"), 0))), "Left", "Ativo")</f>
        <v>Ativo</v>
      </c>
      <c r="F219" s="12" t="str" cm="1">
        <f t="array" ref="F219">IF(AND(A219="2021-03", ISNA(MATCH(B219, _xlfn._xlws.FILTER(B:B, A:A="2021-04"), 0))), "Left", "Ativo")</f>
        <v>Ativo</v>
      </c>
    </row>
    <row r="220" spans="1:6" x14ac:dyDescent="0.25">
      <c r="A220" t="s">
        <v>1528</v>
      </c>
      <c r="B220" t="s">
        <v>219</v>
      </c>
      <c r="C220" s="10" t="str" cm="1">
        <f t="array" ref="C220">IF(AND(A220="2020-12", ISNA(MATCH(B220, _xlfn._xlws.FILTER(B:B, A:A="2021-01"), 0))), "Left", "Ativo")</f>
        <v>Ativo</v>
      </c>
      <c r="D220" s="10" t="str" cm="1">
        <f t="array" ref="D220">IF(AND(A220="2021-01", ISNA(MATCH(B220, _xlfn._xlws.FILTER(B:B, A:A="2021-02"), 0))), "Left", "Ativo")</f>
        <v>Ativo</v>
      </c>
      <c r="E220" s="10" t="str" cm="1">
        <f t="array" ref="E220">IF(AND(A220="2021-02", ISNA(MATCH(B220, _xlfn._xlws.FILTER(B:B, A:A="2021-03"), 0))), "Left", "Ativo")</f>
        <v>Ativo</v>
      </c>
      <c r="F220" s="12" t="str" cm="1">
        <f t="array" ref="F220">IF(AND(A220="2021-03", ISNA(MATCH(B220, _xlfn._xlws.FILTER(B:B, A:A="2021-04"), 0))), "Left", "Ativo")</f>
        <v>Ativo</v>
      </c>
    </row>
    <row r="221" spans="1:6" x14ac:dyDescent="0.25">
      <c r="A221" t="s">
        <v>1528</v>
      </c>
      <c r="B221" t="s">
        <v>220</v>
      </c>
      <c r="C221" s="10" t="str" cm="1">
        <f t="array" ref="C221">IF(AND(A221="2020-12", ISNA(MATCH(B221, _xlfn._xlws.FILTER(B:B, A:A="2021-01"), 0))), "Left", "Ativo")</f>
        <v>Ativo</v>
      </c>
      <c r="D221" s="10" t="str" cm="1">
        <f t="array" ref="D221">IF(AND(A221="2021-01", ISNA(MATCH(B221, _xlfn._xlws.FILTER(B:B, A:A="2021-02"), 0))), "Left", "Ativo")</f>
        <v>Ativo</v>
      </c>
      <c r="E221" s="10" t="str" cm="1">
        <f t="array" ref="E221">IF(AND(A221="2021-02", ISNA(MATCH(B221, _xlfn._xlws.FILTER(B:B, A:A="2021-03"), 0))), "Left", "Ativo")</f>
        <v>Ativo</v>
      </c>
      <c r="F221" s="12" t="str" cm="1">
        <f t="array" ref="F221">IF(AND(A221="2021-03", ISNA(MATCH(B221, _xlfn._xlws.FILTER(B:B, A:A="2021-04"), 0))), "Left", "Ativo")</f>
        <v>Ativo</v>
      </c>
    </row>
    <row r="222" spans="1:6" x14ac:dyDescent="0.25">
      <c r="A222" t="s">
        <v>1528</v>
      </c>
      <c r="B222" t="s">
        <v>221</v>
      </c>
      <c r="C222" s="10" t="str" cm="1">
        <f t="array" ref="C222">IF(AND(A222="2020-12", ISNA(MATCH(B222, _xlfn._xlws.FILTER(B:B, A:A="2021-01"), 0))), "Left", "Ativo")</f>
        <v>Ativo</v>
      </c>
      <c r="D222" s="10" t="str" cm="1">
        <f t="array" ref="D222">IF(AND(A222="2021-01", ISNA(MATCH(B222, _xlfn._xlws.FILTER(B:B, A:A="2021-02"), 0))), "Left", "Ativo")</f>
        <v>Ativo</v>
      </c>
      <c r="E222" s="10" t="str" cm="1">
        <f t="array" ref="E222">IF(AND(A222="2021-02", ISNA(MATCH(B222, _xlfn._xlws.FILTER(B:B, A:A="2021-03"), 0))), "Left", "Ativo")</f>
        <v>Ativo</v>
      </c>
      <c r="F222" s="12" t="str" cm="1">
        <f t="array" ref="F222">IF(AND(A222="2021-03", ISNA(MATCH(B222, _xlfn._xlws.FILTER(B:B, A:A="2021-04"), 0))), "Left", "Ativo")</f>
        <v>Ativo</v>
      </c>
    </row>
    <row r="223" spans="1:6" x14ac:dyDescent="0.25">
      <c r="A223" t="s">
        <v>1528</v>
      </c>
      <c r="B223" t="s">
        <v>222</v>
      </c>
      <c r="C223" s="10" t="str" cm="1">
        <f t="array" ref="C223">IF(AND(A223="2020-12", ISNA(MATCH(B223, _xlfn._xlws.FILTER(B:B, A:A="2021-01"), 0))), "Left", "Ativo")</f>
        <v>Ativo</v>
      </c>
      <c r="D223" s="10" t="str" cm="1">
        <f t="array" ref="D223">IF(AND(A223="2021-01", ISNA(MATCH(B223, _xlfn._xlws.FILTER(B:B, A:A="2021-02"), 0))), "Left", "Ativo")</f>
        <v>Ativo</v>
      </c>
      <c r="E223" s="10" t="str" cm="1">
        <f t="array" ref="E223">IF(AND(A223="2021-02", ISNA(MATCH(B223, _xlfn._xlws.FILTER(B:B, A:A="2021-03"), 0))), "Left", "Ativo")</f>
        <v>Ativo</v>
      </c>
      <c r="F223" s="12" t="str" cm="1">
        <f t="array" ref="F223">IF(AND(A223="2021-03", ISNA(MATCH(B223, _xlfn._xlws.FILTER(B:B, A:A="2021-04"), 0))), "Left", "Ativo")</f>
        <v>Ativo</v>
      </c>
    </row>
    <row r="224" spans="1:6" x14ac:dyDescent="0.25">
      <c r="A224" t="s">
        <v>1528</v>
      </c>
      <c r="B224" t="s">
        <v>223</v>
      </c>
      <c r="C224" s="10" t="str" cm="1">
        <f t="array" ref="C224">IF(AND(A224="2020-12", ISNA(MATCH(B224, _xlfn._xlws.FILTER(B:B, A:A="2021-01"), 0))), "Left", "Ativo")</f>
        <v>Ativo</v>
      </c>
      <c r="D224" s="10" t="str" cm="1">
        <f t="array" ref="D224">IF(AND(A224="2021-01", ISNA(MATCH(B224, _xlfn._xlws.FILTER(B:B, A:A="2021-02"), 0))), "Left", "Ativo")</f>
        <v>Ativo</v>
      </c>
      <c r="E224" s="10" t="str" cm="1">
        <f t="array" ref="E224">IF(AND(A224="2021-02", ISNA(MATCH(B224, _xlfn._xlws.FILTER(B:B, A:A="2021-03"), 0))), "Left", "Ativo")</f>
        <v>Ativo</v>
      </c>
      <c r="F224" s="12" t="str" cm="1">
        <f t="array" ref="F224">IF(AND(A224="2021-03", ISNA(MATCH(B224, _xlfn._xlws.FILTER(B:B, A:A="2021-04"), 0))), "Left", "Ativo")</f>
        <v>Ativo</v>
      </c>
    </row>
    <row r="225" spans="1:6" x14ac:dyDescent="0.25">
      <c r="A225" t="s">
        <v>1528</v>
      </c>
      <c r="B225" t="s">
        <v>224</v>
      </c>
      <c r="C225" s="10" t="str" cm="1">
        <f t="array" ref="C225">IF(AND(A225="2020-12", ISNA(MATCH(B225, _xlfn._xlws.FILTER(B:B, A:A="2021-01"), 0))), "Left", "Ativo")</f>
        <v>Ativo</v>
      </c>
      <c r="D225" s="10" t="str" cm="1">
        <f t="array" ref="D225">IF(AND(A225="2021-01", ISNA(MATCH(B225, _xlfn._xlws.FILTER(B:B, A:A="2021-02"), 0))), "Left", "Ativo")</f>
        <v>Ativo</v>
      </c>
      <c r="E225" s="10" t="str" cm="1">
        <f t="array" ref="E225">IF(AND(A225="2021-02", ISNA(MATCH(B225, _xlfn._xlws.FILTER(B:B, A:A="2021-03"), 0))), "Left", "Ativo")</f>
        <v>Ativo</v>
      </c>
      <c r="F225" s="12" t="str" cm="1">
        <f t="array" ref="F225">IF(AND(A225="2021-03", ISNA(MATCH(B225, _xlfn._xlws.FILTER(B:B, A:A="2021-04"), 0))), "Left", "Ativo")</f>
        <v>Ativo</v>
      </c>
    </row>
    <row r="226" spans="1:6" x14ac:dyDescent="0.25">
      <c r="A226" t="s">
        <v>1528</v>
      </c>
      <c r="B226" t="s">
        <v>225</v>
      </c>
      <c r="C226" s="10" t="str" cm="1">
        <f t="array" ref="C226">IF(AND(A226="2020-12", ISNA(MATCH(B226, _xlfn._xlws.FILTER(B:B, A:A="2021-01"), 0))), "Left", "Ativo")</f>
        <v>Ativo</v>
      </c>
      <c r="D226" s="10" t="str" cm="1">
        <f t="array" ref="D226">IF(AND(A226="2021-01", ISNA(MATCH(B226, _xlfn._xlws.FILTER(B:B, A:A="2021-02"), 0))), "Left", "Ativo")</f>
        <v>Ativo</v>
      </c>
      <c r="E226" s="10" t="str" cm="1">
        <f t="array" ref="E226">IF(AND(A226="2021-02", ISNA(MATCH(B226, _xlfn._xlws.FILTER(B:B, A:A="2021-03"), 0))), "Left", "Ativo")</f>
        <v>Ativo</v>
      </c>
      <c r="F226" s="12" t="str" cm="1">
        <f t="array" ref="F226">IF(AND(A226="2021-03", ISNA(MATCH(B226, _xlfn._xlws.FILTER(B:B, A:A="2021-04"), 0))), "Left", "Ativo")</f>
        <v>Ativo</v>
      </c>
    </row>
    <row r="227" spans="1:6" x14ac:dyDescent="0.25">
      <c r="A227" t="s">
        <v>1528</v>
      </c>
      <c r="B227" t="s">
        <v>226</v>
      </c>
      <c r="C227" s="10" t="str" cm="1">
        <f t="array" ref="C227">IF(AND(A227="2020-12", ISNA(MATCH(B227, _xlfn._xlws.FILTER(B:B, A:A="2021-01"), 0))), "Left", "Ativo")</f>
        <v>Ativo</v>
      </c>
      <c r="D227" s="10" t="str" cm="1">
        <f t="array" ref="D227">IF(AND(A227="2021-01", ISNA(MATCH(B227, _xlfn._xlws.FILTER(B:B, A:A="2021-02"), 0))), "Left", "Ativo")</f>
        <v>Ativo</v>
      </c>
      <c r="E227" s="10" t="str" cm="1">
        <f t="array" ref="E227">IF(AND(A227="2021-02", ISNA(MATCH(B227, _xlfn._xlws.FILTER(B:B, A:A="2021-03"), 0))), "Left", "Ativo")</f>
        <v>Ativo</v>
      </c>
      <c r="F227" s="12" t="str" cm="1">
        <f t="array" ref="F227">IF(AND(A227="2021-03", ISNA(MATCH(B227, _xlfn._xlws.FILTER(B:B, A:A="2021-04"), 0))), "Left", "Ativo")</f>
        <v>Ativo</v>
      </c>
    </row>
    <row r="228" spans="1:6" x14ac:dyDescent="0.25">
      <c r="A228" t="s">
        <v>1528</v>
      </c>
      <c r="B228" t="s">
        <v>227</v>
      </c>
      <c r="C228" s="10" t="str" cm="1">
        <f t="array" ref="C228">IF(AND(A228="2020-12", ISNA(MATCH(B228, _xlfn._xlws.FILTER(B:B, A:A="2021-01"), 0))), "Left", "Ativo")</f>
        <v>Ativo</v>
      </c>
      <c r="D228" s="10" t="str" cm="1">
        <f t="array" ref="D228">IF(AND(A228="2021-01", ISNA(MATCH(B228, _xlfn._xlws.FILTER(B:B, A:A="2021-02"), 0))), "Left", "Ativo")</f>
        <v>Ativo</v>
      </c>
      <c r="E228" s="10" t="str" cm="1">
        <f t="array" ref="E228">IF(AND(A228="2021-02", ISNA(MATCH(B228, _xlfn._xlws.FILTER(B:B, A:A="2021-03"), 0))), "Left", "Ativo")</f>
        <v>Ativo</v>
      </c>
      <c r="F228" s="12" t="str" cm="1">
        <f t="array" ref="F228">IF(AND(A228="2021-03", ISNA(MATCH(B228, _xlfn._xlws.FILTER(B:B, A:A="2021-04"), 0))), "Left", "Ativo")</f>
        <v>Ativo</v>
      </c>
    </row>
    <row r="229" spans="1:6" x14ac:dyDescent="0.25">
      <c r="A229" t="s">
        <v>1528</v>
      </c>
      <c r="B229" t="s">
        <v>228</v>
      </c>
      <c r="C229" s="10" t="str" cm="1">
        <f t="array" ref="C229">IF(AND(A229="2020-12", ISNA(MATCH(B229, _xlfn._xlws.FILTER(B:B, A:A="2021-01"), 0))), "Left", "Ativo")</f>
        <v>Ativo</v>
      </c>
      <c r="D229" s="10" t="str" cm="1">
        <f t="array" ref="D229">IF(AND(A229="2021-01", ISNA(MATCH(B229, _xlfn._xlws.FILTER(B:B, A:A="2021-02"), 0))), "Left", "Ativo")</f>
        <v>Ativo</v>
      </c>
      <c r="E229" s="10" t="str" cm="1">
        <f t="array" ref="E229">IF(AND(A229="2021-02", ISNA(MATCH(B229, _xlfn._xlws.FILTER(B:B, A:A="2021-03"), 0))), "Left", "Ativo")</f>
        <v>Ativo</v>
      </c>
      <c r="F229" s="12" t="str" cm="1">
        <f t="array" ref="F229">IF(AND(A229="2021-03", ISNA(MATCH(B229, _xlfn._xlws.FILTER(B:B, A:A="2021-04"), 0))), "Left", "Ativo")</f>
        <v>Ativo</v>
      </c>
    </row>
    <row r="230" spans="1:6" x14ac:dyDescent="0.25">
      <c r="A230" t="s">
        <v>1528</v>
      </c>
      <c r="B230" t="s">
        <v>229</v>
      </c>
      <c r="C230" s="10" t="str" cm="1">
        <f t="array" ref="C230">IF(AND(A230="2020-12", ISNA(MATCH(B230, _xlfn._xlws.FILTER(B:B, A:A="2021-01"), 0))), "Left", "Ativo")</f>
        <v>Ativo</v>
      </c>
      <c r="D230" s="10" t="str" cm="1">
        <f t="array" ref="D230">IF(AND(A230="2021-01", ISNA(MATCH(B230, _xlfn._xlws.FILTER(B:B, A:A="2021-02"), 0))), "Left", "Ativo")</f>
        <v>Ativo</v>
      </c>
      <c r="E230" s="10" t="str" cm="1">
        <f t="array" ref="E230">IF(AND(A230="2021-02", ISNA(MATCH(B230, _xlfn._xlws.FILTER(B:B, A:A="2021-03"), 0))), "Left", "Ativo")</f>
        <v>Ativo</v>
      </c>
      <c r="F230" s="12" t="str" cm="1">
        <f t="array" ref="F230">IF(AND(A230="2021-03", ISNA(MATCH(B230, _xlfn._xlws.FILTER(B:B, A:A="2021-04"), 0))), "Left", "Ativo")</f>
        <v>Ativo</v>
      </c>
    </row>
    <row r="231" spans="1:6" x14ac:dyDescent="0.25">
      <c r="A231" t="s">
        <v>1528</v>
      </c>
      <c r="B231" t="s">
        <v>230</v>
      </c>
      <c r="C231" s="10" t="str" cm="1">
        <f t="array" ref="C231">IF(AND(A231="2020-12", ISNA(MATCH(B231, _xlfn._xlws.FILTER(B:B, A:A="2021-01"), 0))), "Left", "Ativo")</f>
        <v>Ativo</v>
      </c>
      <c r="D231" s="10" t="str" cm="1">
        <f t="array" ref="D231">IF(AND(A231="2021-01", ISNA(MATCH(B231, _xlfn._xlws.FILTER(B:B, A:A="2021-02"), 0))), "Left", "Ativo")</f>
        <v>Ativo</v>
      </c>
      <c r="E231" s="10" t="str" cm="1">
        <f t="array" ref="E231">IF(AND(A231="2021-02", ISNA(MATCH(B231, _xlfn._xlws.FILTER(B:B, A:A="2021-03"), 0))), "Left", "Ativo")</f>
        <v>Ativo</v>
      </c>
      <c r="F231" s="12" t="str" cm="1">
        <f t="array" ref="F231">IF(AND(A231="2021-03", ISNA(MATCH(B231, _xlfn._xlws.FILTER(B:B, A:A="2021-04"), 0))), "Left", "Ativo")</f>
        <v>Ativo</v>
      </c>
    </row>
    <row r="232" spans="1:6" x14ac:dyDescent="0.25">
      <c r="A232" t="s">
        <v>1528</v>
      </c>
      <c r="B232" t="s">
        <v>231</v>
      </c>
      <c r="C232" s="10" t="str" cm="1">
        <f t="array" ref="C232">IF(AND(A232="2020-12", ISNA(MATCH(B232, _xlfn._xlws.FILTER(B:B, A:A="2021-01"), 0))), "Left", "Ativo")</f>
        <v>Ativo</v>
      </c>
      <c r="D232" s="10" t="str" cm="1">
        <f t="array" ref="D232">IF(AND(A232="2021-01", ISNA(MATCH(B232, _xlfn._xlws.FILTER(B:B, A:A="2021-02"), 0))), "Left", "Ativo")</f>
        <v>Ativo</v>
      </c>
      <c r="E232" s="10" t="str" cm="1">
        <f t="array" ref="E232">IF(AND(A232="2021-02", ISNA(MATCH(B232, _xlfn._xlws.FILTER(B:B, A:A="2021-03"), 0))), "Left", "Ativo")</f>
        <v>Ativo</v>
      </c>
      <c r="F232" s="12" t="str" cm="1">
        <f t="array" ref="F232">IF(AND(A232="2021-03", ISNA(MATCH(B232, _xlfn._xlws.FILTER(B:B, A:A="2021-04"), 0))), "Left", "Ativo")</f>
        <v>Ativo</v>
      </c>
    </row>
    <row r="233" spans="1:6" x14ac:dyDescent="0.25">
      <c r="A233" t="s">
        <v>1528</v>
      </c>
      <c r="B233" t="s">
        <v>232</v>
      </c>
      <c r="C233" s="10" t="str" cm="1">
        <f t="array" ref="C233">IF(AND(A233="2020-12", ISNA(MATCH(B233, _xlfn._xlws.FILTER(B:B, A:A="2021-01"), 0))), "Left", "Ativo")</f>
        <v>Ativo</v>
      </c>
      <c r="D233" s="10" t="str" cm="1">
        <f t="array" ref="D233">IF(AND(A233="2021-01", ISNA(MATCH(B233, _xlfn._xlws.FILTER(B:B, A:A="2021-02"), 0))), "Left", "Ativo")</f>
        <v>Ativo</v>
      </c>
      <c r="E233" s="10" t="str" cm="1">
        <f t="array" ref="E233">IF(AND(A233="2021-02", ISNA(MATCH(B233, _xlfn._xlws.FILTER(B:B, A:A="2021-03"), 0))), "Left", "Ativo")</f>
        <v>Ativo</v>
      </c>
      <c r="F233" s="12" t="str" cm="1">
        <f t="array" ref="F233">IF(AND(A233="2021-03", ISNA(MATCH(B233, _xlfn._xlws.FILTER(B:B, A:A="2021-04"), 0))), "Left", "Ativo")</f>
        <v>Ativo</v>
      </c>
    </row>
    <row r="234" spans="1:6" x14ac:dyDescent="0.25">
      <c r="A234" t="s">
        <v>1528</v>
      </c>
      <c r="B234" t="s">
        <v>233</v>
      </c>
      <c r="C234" s="10" t="str" cm="1">
        <f t="array" ref="C234">IF(AND(A234="2020-12", ISNA(MATCH(B234, _xlfn._xlws.FILTER(B:B, A:A="2021-01"), 0))), "Left", "Ativo")</f>
        <v>Ativo</v>
      </c>
      <c r="D234" s="10" t="str" cm="1">
        <f t="array" ref="D234">IF(AND(A234="2021-01", ISNA(MATCH(B234, _xlfn._xlws.FILTER(B:B, A:A="2021-02"), 0))), "Left", "Ativo")</f>
        <v>Ativo</v>
      </c>
      <c r="E234" s="10" t="str" cm="1">
        <f t="array" ref="E234">IF(AND(A234="2021-02", ISNA(MATCH(B234, _xlfn._xlws.FILTER(B:B, A:A="2021-03"), 0))), "Left", "Ativo")</f>
        <v>Ativo</v>
      </c>
      <c r="F234" s="12" t="str" cm="1">
        <f t="array" ref="F234">IF(AND(A234="2021-03", ISNA(MATCH(B234, _xlfn._xlws.FILTER(B:B, A:A="2021-04"), 0))), "Left", "Ativo")</f>
        <v>Ativo</v>
      </c>
    </row>
    <row r="235" spans="1:6" x14ac:dyDescent="0.25">
      <c r="A235" t="s">
        <v>1528</v>
      </c>
      <c r="B235" t="s">
        <v>234</v>
      </c>
      <c r="C235" s="10" t="str" cm="1">
        <f t="array" ref="C235">IF(AND(A235="2020-12", ISNA(MATCH(B235, _xlfn._xlws.FILTER(B:B, A:A="2021-01"), 0))), "Left", "Ativo")</f>
        <v>Ativo</v>
      </c>
      <c r="D235" s="10" t="str" cm="1">
        <f t="array" ref="D235">IF(AND(A235="2021-01", ISNA(MATCH(B235, _xlfn._xlws.FILTER(B:B, A:A="2021-02"), 0))), "Left", "Ativo")</f>
        <v>Ativo</v>
      </c>
      <c r="E235" s="10" t="str" cm="1">
        <f t="array" ref="E235">IF(AND(A235="2021-02", ISNA(MATCH(B235, _xlfn._xlws.FILTER(B:B, A:A="2021-03"), 0))), "Left", "Ativo")</f>
        <v>Ativo</v>
      </c>
      <c r="F235" s="12" t="str" cm="1">
        <f t="array" ref="F235">IF(AND(A235="2021-03", ISNA(MATCH(B235, _xlfn._xlws.FILTER(B:B, A:A="2021-04"), 0))), "Left", "Ativo")</f>
        <v>Ativo</v>
      </c>
    </row>
    <row r="236" spans="1:6" x14ac:dyDescent="0.25">
      <c r="A236" t="s">
        <v>1528</v>
      </c>
      <c r="B236" t="s">
        <v>235</v>
      </c>
      <c r="C236" s="10" t="str" cm="1">
        <f t="array" ref="C236">IF(AND(A236="2020-12", ISNA(MATCH(B236, _xlfn._xlws.FILTER(B:B, A:A="2021-01"), 0))), "Left", "Ativo")</f>
        <v>Ativo</v>
      </c>
      <c r="D236" s="10" t="str" cm="1">
        <f t="array" ref="D236">IF(AND(A236="2021-01", ISNA(MATCH(B236, _xlfn._xlws.FILTER(B:B, A:A="2021-02"), 0))), "Left", "Ativo")</f>
        <v>Ativo</v>
      </c>
      <c r="E236" s="10" t="str" cm="1">
        <f t="array" ref="E236">IF(AND(A236="2021-02", ISNA(MATCH(B236, _xlfn._xlws.FILTER(B:B, A:A="2021-03"), 0))), "Left", "Ativo")</f>
        <v>Ativo</v>
      </c>
      <c r="F236" s="12" t="str" cm="1">
        <f t="array" ref="F236">IF(AND(A236="2021-03", ISNA(MATCH(B236, _xlfn._xlws.FILTER(B:B, A:A="2021-04"), 0))), "Left", "Ativo")</f>
        <v>Ativo</v>
      </c>
    </row>
    <row r="237" spans="1:6" x14ac:dyDescent="0.25">
      <c r="A237" t="s">
        <v>1528</v>
      </c>
      <c r="B237" t="s">
        <v>236</v>
      </c>
      <c r="C237" s="10" t="str" cm="1">
        <f t="array" ref="C237">IF(AND(A237="2020-12", ISNA(MATCH(B237, _xlfn._xlws.FILTER(B:B, A:A="2021-01"), 0))), "Left", "Ativo")</f>
        <v>Ativo</v>
      </c>
      <c r="D237" s="10" t="str" cm="1">
        <f t="array" ref="D237">IF(AND(A237="2021-01", ISNA(MATCH(B237, _xlfn._xlws.FILTER(B:B, A:A="2021-02"), 0))), "Left", "Ativo")</f>
        <v>Ativo</v>
      </c>
      <c r="E237" s="10" t="str" cm="1">
        <f t="array" ref="E237">IF(AND(A237="2021-02", ISNA(MATCH(B237, _xlfn._xlws.FILTER(B:B, A:A="2021-03"), 0))), "Left", "Ativo")</f>
        <v>Ativo</v>
      </c>
      <c r="F237" s="12" t="str" cm="1">
        <f t="array" ref="F237">IF(AND(A237="2021-03", ISNA(MATCH(B237, _xlfn._xlws.FILTER(B:B, A:A="2021-04"), 0))), "Left", "Ativo")</f>
        <v>Ativo</v>
      </c>
    </row>
    <row r="238" spans="1:6" x14ac:dyDescent="0.25">
      <c r="A238" t="s">
        <v>1528</v>
      </c>
      <c r="B238" t="s">
        <v>237</v>
      </c>
      <c r="C238" s="10" t="str" cm="1">
        <f t="array" ref="C238">IF(AND(A238="2020-12", ISNA(MATCH(B238, _xlfn._xlws.FILTER(B:B, A:A="2021-01"), 0))), "Left", "Ativo")</f>
        <v>Ativo</v>
      </c>
      <c r="D238" s="10" t="str" cm="1">
        <f t="array" ref="D238">IF(AND(A238="2021-01", ISNA(MATCH(B238, _xlfn._xlws.FILTER(B:B, A:A="2021-02"), 0))), "Left", "Ativo")</f>
        <v>Ativo</v>
      </c>
      <c r="E238" s="10" t="str" cm="1">
        <f t="array" ref="E238">IF(AND(A238="2021-02", ISNA(MATCH(B238, _xlfn._xlws.FILTER(B:B, A:A="2021-03"), 0))), "Left", "Ativo")</f>
        <v>Ativo</v>
      </c>
      <c r="F238" s="12" t="str" cm="1">
        <f t="array" ref="F238">IF(AND(A238="2021-03", ISNA(MATCH(B238, _xlfn._xlws.FILTER(B:B, A:A="2021-04"), 0))), "Left", "Ativo")</f>
        <v>Ativo</v>
      </c>
    </row>
    <row r="239" spans="1:6" x14ac:dyDescent="0.25">
      <c r="A239" t="s">
        <v>1528</v>
      </c>
      <c r="B239" t="s">
        <v>238</v>
      </c>
      <c r="C239" s="10" t="str" cm="1">
        <f t="array" ref="C239">IF(AND(A239="2020-12", ISNA(MATCH(B239, _xlfn._xlws.FILTER(B:B, A:A="2021-01"), 0))), "Left", "Ativo")</f>
        <v>Ativo</v>
      </c>
      <c r="D239" s="10" t="str" cm="1">
        <f t="array" ref="D239">IF(AND(A239="2021-01", ISNA(MATCH(B239, _xlfn._xlws.FILTER(B:B, A:A="2021-02"), 0))), "Left", "Ativo")</f>
        <v>Ativo</v>
      </c>
      <c r="E239" s="10" t="str" cm="1">
        <f t="array" ref="E239">IF(AND(A239="2021-02", ISNA(MATCH(B239, _xlfn._xlws.FILTER(B:B, A:A="2021-03"), 0))), "Left", "Ativo")</f>
        <v>Ativo</v>
      </c>
      <c r="F239" s="12" t="str" cm="1">
        <f t="array" ref="F239">IF(AND(A239="2021-03", ISNA(MATCH(B239, _xlfn._xlws.FILTER(B:B, A:A="2021-04"), 0))), "Left", "Ativo")</f>
        <v>Ativo</v>
      </c>
    </row>
    <row r="240" spans="1:6" x14ac:dyDescent="0.25">
      <c r="A240" t="s">
        <v>1528</v>
      </c>
      <c r="B240" t="s">
        <v>239</v>
      </c>
      <c r="C240" s="10" t="str" cm="1">
        <f t="array" ref="C240">IF(AND(A240="2020-12", ISNA(MATCH(B240, _xlfn._xlws.FILTER(B:B, A:A="2021-01"), 0))), "Left", "Ativo")</f>
        <v>Ativo</v>
      </c>
      <c r="D240" s="10" t="str" cm="1">
        <f t="array" ref="D240">IF(AND(A240="2021-01", ISNA(MATCH(B240, _xlfn._xlws.FILTER(B:B, A:A="2021-02"), 0))), "Left", "Ativo")</f>
        <v>Ativo</v>
      </c>
      <c r="E240" s="10" t="str" cm="1">
        <f t="array" ref="E240">IF(AND(A240="2021-02", ISNA(MATCH(B240, _xlfn._xlws.FILTER(B:B, A:A="2021-03"), 0))), "Left", "Ativo")</f>
        <v>Ativo</v>
      </c>
      <c r="F240" s="12" t="str" cm="1">
        <f t="array" ref="F240">IF(AND(A240="2021-03", ISNA(MATCH(B240, _xlfn._xlws.FILTER(B:B, A:A="2021-04"), 0))), "Left", "Ativo")</f>
        <v>Ativo</v>
      </c>
    </row>
    <row r="241" spans="1:6" x14ac:dyDescent="0.25">
      <c r="A241" t="s">
        <v>1528</v>
      </c>
      <c r="B241" t="s">
        <v>240</v>
      </c>
      <c r="C241" s="10" t="str" cm="1">
        <f t="array" ref="C241">IF(AND(A241="2020-12", ISNA(MATCH(B241, _xlfn._xlws.FILTER(B:B, A:A="2021-01"), 0))), "Left", "Ativo")</f>
        <v>Ativo</v>
      </c>
      <c r="D241" s="10" t="str" cm="1">
        <f t="array" ref="D241">IF(AND(A241="2021-01", ISNA(MATCH(B241, _xlfn._xlws.FILTER(B:B, A:A="2021-02"), 0))), "Left", "Ativo")</f>
        <v>Ativo</v>
      </c>
      <c r="E241" s="10" t="str" cm="1">
        <f t="array" ref="E241">IF(AND(A241="2021-02", ISNA(MATCH(B241, _xlfn._xlws.FILTER(B:B, A:A="2021-03"), 0))), "Left", "Ativo")</f>
        <v>Ativo</v>
      </c>
      <c r="F241" s="12" t="str" cm="1">
        <f t="array" ref="F241">IF(AND(A241="2021-03", ISNA(MATCH(B241, _xlfn._xlws.FILTER(B:B, A:A="2021-04"), 0))), "Left", "Ativo")</f>
        <v>Ativo</v>
      </c>
    </row>
    <row r="242" spans="1:6" x14ac:dyDescent="0.25">
      <c r="A242" t="s">
        <v>1528</v>
      </c>
      <c r="B242" t="s">
        <v>241</v>
      </c>
      <c r="C242" s="10" t="str" cm="1">
        <f t="array" ref="C242">IF(AND(A242="2020-12", ISNA(MATCH(B242, _xlfn._xlws.FILTER(B:B, A:A="2021-01"), 0))), "Left", "Ativo")</f>
        <v>Ativo</v>
      </c>
      <c r="D242" s="10" t="str" cm="1">
        <f t="array" ref="D242">IF(AND(A242="2021-01", ISNA(MATCH(B242, _xlfn._xlws.FILTER(B:B, A:A="2021-02"), 0))), "Left", "Ativo")</f>
        <v>Ativo</v>
      </c>
      <c r="E242" s="10" t="str" cm="1">
        <f t="array" ref="E242">IF(AND(A242="2021-02", ISNA(MATCH(B242, _xlfn._xlws.FILTER(B:B, A:A="2021-03"), 0))), "Left", "Ativo")</f>
        <v>Ativo</v>
      </c>
      <c r="F242" s="12" t="str" cm="1">
        <f t="array" ref="F242">IF(AND(A242="2021-03", ISNA(MATCH(B242, _xlfn._xlws.FILTER(B:B, A:A="2021-04"), 0))), "Left", "Ativo")</f>
        <v>Ativo</v>
      </c>
    </row>
    <row r="243" spans="1:6" x14ac:dyDescent="0.25">
      <c r="A243" t="s">
        <v>1528</v>
      </c>
      <c r="B243" t="s">
        <v>242</v>
      </c>
      <c r="C243" s="10" t="str" cm="1">
        <f t="array" ref="C243">IF(AND(A243="2020-12", ISNA(MATCH(B243, _xlfn._xlws.FILTER(B:B, A:A="2021-01"), 0))), "Left", "Ativo")</f>
        <v>Ativo</v>
      </c>
      <c r="D243" s="10" t="str" cm="1">
        <f t="array" ref="D243">IF(AND(A243="2021-01", ISNA(MATCH(B243, _xlfn._xlws.FILTER(B:B, A:A="2021-02"), 0))), "Left", "Ativo")</f>
        <v>Ativo</v>
      </c>
      <c r="E243" s="10" t="str" cm="1">
        <f t="array" ref="E243">IF(AND(A243="2021-02", ISNA(MATCH(B243, _xlfn._xlws.FILTER(B:B, A:A="2021-03"), 0))), "Left", "Ativo")</f>
        <v>Ativo</v>
      </c>
      <c r="F243" s="12" t="str" cm="1">
        <f t="array" ref="F243">IF(AND(A243="2021-03", ISNA(MATCH(B243, _xlfn._xlws.FILTER(B:B, A:A="2021-04"), 0))), "Left", "Ativo")</f>
        <v>Ativo</v>
      </c>
    </row>
    <row r="244" spans="1:6" x14ac:dyDescent="0.25">
      <c r="A244" t="s">
        <v>1528</v>
      </c>
      <c r="B244" t="s">
        <v>243</v>
      </c>
      <c r="C244" s="10" t="str" cm="1">
        <f t="array" ref="C244">IF(AND(A244="2020-12", ISNA(MATCH(B244, _xlfn._xlws.FILTER(B:B, A:A="2021-01"), 0))), "Left", "Ativo")</f>
        <v>Ativo</v>
      </c>
      <c r="D244" s="10" t="str" cm="1">
        <f t="array" ref="D244">IF(AND(A244="2021-01", ISNA(MATCH(B244, _xlfn._xlws.FILTER(B:B, A:A="2021-02"), 0))), "Left", "Ativo")</f>
        <v>Ativo</v>
      </c>
      <c r="E244" s="10" t="str" cm="1">
        <f t="array" ref="E244">IF(AND(A244="2021-02", ISNA(MATCH(B244, _xlfn._xlws.FILTER(B:B, A:A="2021-03"), 0))), "Left", "Ativo")</f>
        <v>Ativo</v>
      </c>
      <c r="F244" s="12" t="str" cm="1">
        <f t="array" ref="F244">IF(AND(A244="2021-03", ISNA(MATCH(B244, _xlfn._xlws.FILTER(B:B, A:A="2021-04"), 0))), "Left", "Ativo")</f>
        <v>Ativo</v>
      </c>
    </row>
    <row r="245" spans="1:6" x14ac:dyDescent="0.25">
      <c r="A245" t="s">
        <v>1528</v>
      </c>
      <c r="B245" t="s">
        <v>244</v>
      </c>
      <c r="C245" s="10" t="str" cm="1">
        <f t="array" ref="C245">IF(AND(A245="2020-12", ISNA(MATCH(B245, _xlfn._xlws.FILTER(B:B, A:A="2021-01"), 0))), "Left", "Ativo")</f>
        <v>Ativo</v>
      </c>
      <c r="D245" s="10" t="str" cm="1">
        <f t="array" ref="D245">IF(AND(A245="2021-01", ISNA(MATCH(B245, _xlfn._xlws.FILTER(B:B, A:A="2021-02"), 0))), "Left", "Ativo")</f>
        <v>Ativo</v>
      </c>
      <c r="E245" s="10" t="str" cm="1">
        <f t="array" ref="E245">IF(AND(A245="2021-02", ISNA(MATCH(B245, _xlfn._xlws.FILTER(B:B, A:A="2021-03"), 0))), "Left", "Ativo")</f>
        <v>Ativo</v>
      </c>
      <c r="F245" s="12" t="str" cm="1">
        <f t="array" ref="F245">IF(AND(A245="2021-03", ISNA(MATCH(B245, _xlfn._xlws.FILTER(B:B, A:A="2021-04"), 0))), "Left", "Ativo")</f>
        <v>Ativo</v>
      </c>
    </row>
    <row r="246" spans="1:6" x14ac:dyDescent="0.25">
      <c r="A246" t="s">
        <v>1528</v>
      </c>
      <c r="B246" t="s">
        <v>245</v>
      </c>
      <c r="C246" s="10" t="str" cm="1">
        <f t="array" ref="C246">IF(AND(A246="2020-12", ISNA(MATCH(B246, _xlfn._xlws.FILTER(B:B, A:A="2021-01"), 0))), "Left", "Ativo")</f>
        <v>Ativo</v>
      </c>
      <c r="D246" s="10" t="str" cm="1">
        <f t="array" ref="D246">IF(AND(A246="2021-01", ISNA(MATCH(B246, _xlfn._xlws.FILTER(B:B, A:A="2021-02"), 0))), "Left", "Ativo")</f>
        <v>Ativo</v>
      </c>
      <c r="E246" s="10" t="str" cm="1">
        <f t="array" ref="E246">IF(AND(A246="2021-02", ISNA(MATCH(B246, _xlfn._xlws.FILTER(B:B, A:A="2021-03"), 0))), "Left", "Ativo")</f>
        <v>Ativo</v>
      </c>
      <c r="F246" s="12" t="str" cm="1">
        <f t="array" ref="F246">IF(AND(A246="2021-03", ISNA(MATCH(B246, _xlfn._xlws.FILTER(B:B, A:A="2021-04"), 0))), "Left", "Ativo")</f>
        <v>Ativo</v>
      </c>
    </row>
    <row r="247" spans="1:6" x14ac:dyDescent="0.25">
      <c r="A247" t="s">
        <v>1528</v>
      </c>
      <c r="B247" t="s">
        <v>246</v>
      </c>
      <c r="C247" s="10" t="str" cm="1">
        <f t="array" ref="C247">IF(AND(A247="2020-12", ISNA(MATCH(B247, _xlfn._xlws.FILTER(B:B, A:A="2021-01"), 0))), "Left", "Ativo")</f>
        <v>Ativo</v>
      </c>
      <c r="D247" s="10" t="str" cm="1">
        <f t="array" ref="D247">IF(AND(A247="2021-01", ISNA(MATCH(B247, _xlfn._xlws.FILTER(B:B, A:A="2021-02"), 0))), "Left", "Ativo")</f>
        <v>Ativo</v>
      </c>
      <c r="E247" s="10" t="str" cm="1">
        <f t="array" ref="E247">IF(AND(A247="2021-02", ISNA(MATCH(B247, _xlfn._xlws.FILTER(B:B, A:A="2021-03"), 0))), "Left", "Ativo")</f>
        <v>Ativo</v>
      </c>
      <c r="F247" s="12" t="str" cm="1">
        <f t="array" ref="F247">IF(AND(A247="2021-03", ISNA(MATCH(B247, _xlfn._xlws.FILTER(B:B, A:A="2021-04"), 0))), "Left", "Ativo")</f>
        <v>Ativo</v>
      </c>
    </row>
    <row r="248" spans="1:6" x14ac:dyDescent="0.25">
      <c r="A248" t="s">
        <v>1528</v>
      </c>
      <c r="B248" t="s">
        <v>247</v>
      </c>
      <c r="C248" s="10" t="str" cm="1">
        <f t="array" ref="C248">IF(AND(A248="2020-12", ISNA(MATCH(B248, _xlfn._xlws.FILTER(B:B, A:A="2021-01"), 0))), "Left", "Ativo")</f>
        <v>Ativo</v>
      </c>
      <c r="D248" s="10" t="str" cm="1">
        <f t="array" ref="D248">IF(AND(A248="2021-01", ISNA(MATCH(B248, _xlfn._xlws.FILTER(B:B, A:A="2021-02"), 0))), "Left", "Ativo")</f>
        <v>Ativo</v>
      </c>
      <c r="E248" s="10" t="str" cm="1">
        <f t="array" ref="E248">IF(AND(A248="2021-02", ISNA(MATCH(B248, _xlfn._xlws.FILTER(B:B, A:A="2021-03"), 0))), "Left", "Ativo")</f>
        <v>Ativo</v>
      </c>
      <c r="F248" s="12" t="str" cm="1">
        <f t="array" ref="F248">IF(AND(A248="2021-03", ISNA(MATCH(B248, _xlfn._xlws.FILTER(B:B, A:A="2021-04"), 0))), "Left", "Ativo")</f>
        <v>Ativo</v>
      </c>
    </row>
    <row r="249" spans="1:6" x14ac:dyDescent="0.25">
      <c r="A249" t="s">
        <v>1528</v>
      </c>
      <c r="B249" t="s">
        <v>248</v>
      </c>
      <c r="C249" s="10" t="str" cm="1">
        <f t="array" ref="C249">IF(AND(A249="2020-12", ISNA(MATCH(B249, _xlfn._xlws.FILTER(B:B, A:A="2021-01"), 0))), "Left", "Ativo")</f>
        <v>Ativo</v>
      </c>
      <c r="D249" s="10" t="str" cm="1">
        <f t="array" ref="D249">IF(AND(A249="2021-01", ISNA(MATCH(B249, _xlfn._xlws.FILTER(B:B, A:A="2021-02"), 0))), "Left", "Ativo")</f>
        <v>Ativo</v>
      </c>
      <c r="E249" s="10" t="str" cm="1">
        <f t="array" ref="E249">IF(AND(A249="2021-02", ISNA(MATCH(B249, _xlfn._xlws.FILTER(B:B, A:A="2021-03"), 0))), "Left", "Ativo")</f>
        <v>Ativo</v>
      </c>
      <c r="F249" s="12" t="str" cm="1">
        <f t="array" ref="F249">IF(AND(A249="2021-03", ISNA(MATCH(B249, _xlfn._xlws.FILTER(B:B, A:A="2021-04"), 0))), "Left", "Ativo")</f>
        <v>Ativo</v>
      </c>
    </row>
    <row r="250" spans="1:6" x14ac:dyDescent="0.25">
      <c r="A250" t="s">
        <v>1528</v>
      </c>
      <c r="B250" t="s">
        <v>249</v>
      </c>
      <c r="C250" s="10" t="str" cm="1">
        <f t="array" ref="C250">IF(AND(A250="2020-12", ISNA(MATCH(B250, _xlfn._xlws.FILTER(B:B, A:A="2021-01"), 0))), "Left", "Ativo")</f>
        <v>Ativo</v>
      </c>
      <c r="D250" s="10" t="str" cm="1">
        <f t="array" ref="D250">IF(AND(A250="2021-01", ISNA(MATCH(B250, _xlfn._xlws.FILTER(B:B, A:A="2021-02"), 0))), "Left", "Ativo")</f>
        <v>Ativo</v>
      </c>
      <c r="E250" s="10" t="str" cm="1">
        <f t="array" ref="E250">IF(AND(A250="2021-02", ISNA(MATCH(B250, _xlfn._xlws.FILTER(B:B, A:A="2021-03"), 0))), "Left", "Ativo")</f>
        <v>Ativo</v>
      </c>
      <c r="F250" s="12" t="str" cm="1">
        <f t="array" ref="F250">IF(AND(A250="2021-03", ISNA(MATCH(B250, _xlfn._xlws.FILTER(B:B, A:A="2021-04"), 0))), "Left", "Ativo")</f>
        <v>Ativo</v>
      </c>
    </row>
    <row r="251" spans="1:6" x14ac:dyDescent="0.25">
      <c r="A251" t="s">
        <v>1528</v>
      </c>
      <c r="B251" t="s">
        <v>250</v>
      </c>
      <c r="C251" s="10" t="str" cm="1">
        <f t="array" ref="C251">IF(AND(A251="2020-12", ISNA(MATCH(B251, _xlfn._xlws.FILTER(B:B, A:A="2021-01"), 0))), "Left", "Ativo")</f>
        <v>Ativo</v>
      </c>
      <c r="D251" s="10" t="str" cm="1">
        <f t="array" ref="D251">IF(AND(A251="2021-01", ISNA(MATCH(B251, _xlfn._xlws.FILTER(B:B, A:A="2021-02"), 0))), "Left", "Ativo")</f>
        <v>Ativo</v>
      </c>
      <c r="E251" s="10" t="str" cm="1">
        <f t="array" ref="E251">IF(AND(A251="2021-02", ISNA(MATCH(B251, _xlfn._xlws.FILTER(B:B, A:A="2021-03"), 0))), "Left", "Ativo")</f>
        <v>Ativo</v>
      </c>
      <c r="F251" s="12" t="str" cm="1">
        <f t="array" ref="F251">IF(AND(A251="2021-03", ISNA(MATCH(B251, _xlfn._xlws.FILTER(B:B, A:A="2021-04"), 0))), "Left", "Ativo")</f>
        <v>Ativo</v>
      </c>
    </row>
    <row r="252" spans="1:6" x14ac:dyDescent="0.25">
      <c r="A252" t="s">
        <v>1528</v>
      </c>
      <c r="B252" t="s">
        <v>251</v>
      </c>
      <c r="C252" s="10" t="str" cm="1">
        <f t="array" ref="C252">IF(AND(A252="2020-12", ISNA(MATCH(B252, _xlfn._xlws.FILTER(B:B, A:A="2021-01"), 0))), "Left", "Ativo")</f>
        <v>Ativo</v>
      </c>
      <c r="D252" s="10" t="str" cm="1">
        <f t="array" ref="D252">IF(AND(A252="2021-01", ISNA(MATCH(B252, _xlfn._xlws.FILTER(B:B, A:A="2021-02"), 0))), "Left", "Ativo")</f>
        <v>Ativo</v>
      </c>
      <c r="E252" s="10" t="str" cm="1">
        <f t="array" ref="E252">IF(AND(A252="2021-02", ISNA(MATCH(B252, _xlfn._xlws.FILTER(B:B, A:A="2021-03"), 0))), "Left", "Ativo")</f>
        <v>Ativo</v>
      </c>
      <c r="F252" s="12" t="str" cm="1">
        <f t="array" ref="F252">IF(AND(A252="2021-03", ISNA(MATCH(B252, _xlfn._xlws.FILTER(B:B, A:A="2021-04"), 0))), "Left", "Ativo")</f>
        <v>Ativo</v>
      </c>
    </row>
    <row r="253" spans="1:6" x14ac:dyDescent="0.25">
      <c r="A253" t="s">
        <v>1528</v>
      </c>
      <c r="B253" t="s">
        <v>252</v>
      </c>
      <c r="C253" s="10" t="str" cm="1">
        <f t="array" ref="C253">IF(AND(A253="2020-12", ISNA(MATCH(B253, _xlfn._xlws.FILTER(B:B, A:A="2021-01"), 0))), "Left", "Ativo")</f>
        <v>Ativo</v>
      </c>
      <c r="D253" s="10" t="str" cm="1">
        <f t="array" ref="D253">IF(AND(A253="2021-01", ISNA(MATCH(B253, _xlfn._xlws.FILTER(B:B, A:A="2021-02"), 0))), "Left", "Ativo")</f>
        <v>Ativo</v>
      </c>
      <c r="E253" s="10" t="str" cm="1">
        <f t="array" ref="E253">IF(AND(A253="2021-02", ISNA(MATCH(B253, _xlfn._xlws.FILTER(B:B, A:A="2021-03"), 0))), "Left", "Ativo")</f>
        <v>Ativo</v>
      </c>
      <c r="F253" s="12" t="str" cm="1">
        <f t="array" ref="F253">IF(AND(A253="2021-03", ISNA(MATCH(B253, _xlfn._xlws.FILTER(B:B, A:A="2021-04"), 0))), "Left", "Ativo")</f>
        <v>Ativo</v>
      </c>
    </row>
    <row r="254" spans="1:6" x14ac:dyDescent="0.25">
      <c r="A254" t="s">
        <v>1528</v>
      </c>
      <c r="B254" t="s">
        <v>253</v>
      </c>
      <c r="C254" s="10" t="str" cm="1">
        <f t="array" ref="C254">IF(AND(A254="2020-12", ISNA(MATCH(B254, _xlfn._xlws.FILTER(B:B, A:A="2021-01"), 0))), "Left", "Ativo")</f>
        <v>Ativo</v>
      </c>
      <c r="D254" s="10" t="str" cm="1">
        <f t="array" ref="D254">IF(AND(A254="2021-01", ISNA(MATCH(B254, _xlfn._xlws.FILTER(B:B, A:A="2021-02"), 0))), "Left", "Ativo")</f>
        <v>Ativo</v>
      </c>
      <c r="E254" s="10" t="str" cm="1">
        <f t="array" ref="E254">IF(AND(A254="2021-02", ISNA(MATCH(B254, _xlfn._xlws.FILTER(B:B, A:A="2021-03"), 0))), "Left", "Ativo")</f>
        <v>Ativo</v>
      </c>
      <c r="F254" s="12" t="str" cm="1">
        <f t="array" ref="F254">IF(AND(A254="2021-03", ISNA(MATCH(B254, _xlfn._xlws.FILTER(B:B, A:A="2021-04"), 0))), "Left", "Ativo")</f>
        <v>Ativo</v>
      </c>
    </row>
    <row r="255" spans="1:6" x14ac:dyDescent="0.25">
      <c r="A255" t="s">
        <v>1528</v>
      </c>
      <c r="B255" t="s">
        <v>254</v>
      </c>
      <c r="C255" s="10" t="str" cm="1">
        <f t="array" ref="C255">IF(AND(A255="2020-12", ISNA(MATCH(B255, _xlfn._xlws.FILTER(B:B, A:A="2021-01"), 0))), "Left", "Ativo")</f>
        <v>Ativo</v>
      </c>
      <c r="D255" s="10" t="str" cm="1">
        <f t="array" ref="D255">IF(AND(A255="2021-01", ISNA(MATCH(B255, _xlfn._xlws.FILTER(B:B, A:A="2021-02"), 0))), "Left", "Ativo")</f>
        <v>Ativo</v>
      </c>
      <c r="E255" s="10" t="str" cm="1">
        <f t="array" ref="E255">IF(AND(A255="2021-02", ISNA(MATCH(B255, _xlfn._xlws.FILTER(B:B, A:A="2021-03"), 0))), "Left", "Ativo")</f>
        <v>Ativo</v>
      </c>
      <c r="F255" s="12" t="str" cm="1">
        <f t="array" ref="F255">IF(AND(A255="2021-03", ISNA(MATCH(B255, _xlfn._xlws.FILTER(B:B, A:A="2021-04"), 0))), "Left", "Ativo")</f>
        <v>Ativo</v>
      </c>
    </row>
    <row r="256" spans="1:6" x14ac:dyDescent="0.25">
      <c r="A256" t="s">
        <v>1528</v>
      </c>
      <c r="B256" t="s">
        <v>255</v>
      </c>
      <c r="C256" s="10" t="str" cm="1">
        <f t="array" ref="C256">IF(AND(A256="2020-12", ISNA(MATCH(B256, _xlfn._xlws.FILTER(B:B, A:A="2021-01"), 0))), "Left", "Ativo")</f>
        <v>Ativo</v>
      </c>
      <c r="D256" s="10" t="str" cm="1">
        <f t="array" ref="D256">IF(AND(A256="2021-01", ISNA(MATCH(B256, _xlfn._xlws.FILTER(B:B, A:A="2021-02"), 0))), "Left", "Ativo")</f>
        <v>Ativo</v>
      </c>
      <c r="E256" s="10" t="str" cm="1">
        <f t="array" ref="E256">IF(AND(A256="2021-02", ISNA(MATCH(B256, _xlfn._xlws.FILTER(B:B, A:A="2021-03"), 0))), "Left", "Ativo")</f>
        <v>Ativo</v>
      </c>
      <c r="F256" s="12" t="str" cm="1">
        <f t="array" ref="F256">IF(AND(A256="2021-03", ISNA(MATCH(B256, _xlfn._xlws.FILTER(B:B, A:A="2021-04"), 0))), "Left", "Ativo")</f>
        <v>Ativo</v>
      </c>
    </row>
    <row r="257" spans="1:6" x14ac:dyDescent="0.25">
      <c r="A257" t="s">
        <v>1528</v>
      </c>
      <c r="B257" t="s">
        <v>256</v>
      </c>
      <c r="C257" s="10" t="str" cm="1">
        <f t="array" ref="C257">IF(AND(A257="2020-12", ISNA(MATCH(B257, _xlfn._xlws.FILTER(B:B, A:A="2021-01"), 0))), "Left", "Ativo")</f>
        <v>Ativo</v>
      </c>
      <c r="D257" s="10" t="str" cm="1">
        <f t="array" ref="D257">IF(AND(A257="2021-01", ISNA(MATCH(B257, _xlfn._xlws.FILTER(B:B, A:A="2021-02"), 0))), "Left", "Ativo")</f>
        <v>Ativo</v>
      </c>
      <c r="E257" s="10" t="str" cm="1">
        <f t="array" ref="E257">IF(AND(A257="2021-02", ISNA(MATCH(B257, _xlfn._xlws.FILTER(B:B, A:A="2021-03"), 0))), "Left", "Ativo")</f>
        <v>Ativo</v>
      </c>
      <c r="F257" s="12" t="str" cm="1">
        <f t="array" ref="F257">IF(AND(A257="2021-03", ISNA(MATCH(B257, _xlfn._xlws.FILTER(B:B, A:A="2021-04"), 0))), "Left", "Ativo")</f>
        <v>Ativo</v>
      </c>
    </row>
    <row r="258" spans="1:6" x14ac:dyDescent="0.25">
      <c r="A258" t="s">
        <v>1528</v>
      </c>
      <c r="B258" t="s">
        <v>257</v>
      </c>
      <c r="C258" s="10" t="str" cm="1">
        <f t="array" ref="C258">IF(AND(A258="2020-12", ISNA(MATCH(B258, _xlfn._xlws.FILTER(B:B, A:A="2021-01"), 0))), "Left", "Ativo")</f>
        <v>Ativo</v>
      </c>
      <c r="D258" s="10" t="str" cm="1">
        <f t="array" ref="D258">IF(AND(A258="2021-01", ISNA(MATCH(B258, _xlfn._xlws.FILTER(B:B, A:A="2021-02"), 0))), "Left", "Ativo")</f>
        <v>Ativo</v>
      </c>
      <c r="E258" s="10" t="str" cm="1">
        <f t="array" ref="E258">IF(AND(A258="2021-02", ISNA(MATCH(B258, _xlfn._xlws.FILTER(B:B, A:A="2021-03"), 0))), "Left", "Ativo")</f>
        <v>Ativo</v>
      </c>
      <c r="F258" s="12" t="str" cm="1">
        <f t="array" ref="F258">IF(AND(A258="2021-03", ISNA(MATCH(B258, _xlfn._xlws.FILTER(B:B, A:A="2021-04"), 0))), "Left", "Ativo")</f>
        <v>Ativo</v>
      </c>
    </row>
    <row r="259" spans="1:6" x14ac:dyDescent="0.25">
      <c r="A259" t="s">
        <v>1528</v>
      </c>
      <c r="B259" t="s">
        <v>258</v>
      </c>
      <c r="C259" s="10" t="str" cm="1">
        <f t="array" ref="C259">IF(AND(A259="2020-12", ISNA(MATCH(B259, _xlfn._xlws.FILTER(B:B, A:A="2021-01"), 0))), "Left", "Ativo")</f>
        <v>Ativo</v>
      </c>
      <c r="D259" s="10" t="str" cm="1">
        <f t="array" ref="D259">IF(AND(A259="2021-01", ISNA(MATCH(B259, _xlfn._xlws.FILTER(B:B, A:A="2021-02"), 0))), "Left", "Ativo")</f>
        <v>Ativo</v>
      </c>
      <c r="E259" s="10" t="str" cm="1">
        <f t="array" ref="E259">IF(AND(A259="2021-02", ISNA(MATCH(B259, _xlfn._xlws.FILTER(B:B, A:A="2021-03"), 0))), "Left", "Ativo")</f>
        <v>Ativo</v>
      </c>
      <c r="F259" s="12" t="str" cm="1">
        <f t="array" ref="F259">IF(AND(A259="2021-03", ISNA(MATCH(B259, _xlfn._xlws.FILTER(B:B, A:A="2021-04"), 0))), "Left", "Ativo")</f>
        <v>Ativo</v>
      </c>
    </row>
    <row r="260" spans="1:6" x14ac:dyDescent="0.25">
      <c r="A260" t="s">
        <v>1528</v>
      </c>
      <c r="B260" t="s">
        <v>259</v>
      </c>
      <c r="C260" s="10" t="str" cm="1">
        <f t="array" ref="C260">IF(AND(A260="2020-12", ISNA(MATCH(B260, _xlfn._xlws.FILTER(B:B, A:A="2021-01"), 0))), "Left", "Ativo")</f>
        <v>Ativo</v>
      </c>
      <c r="D260" s="10" t="str" cm="1">
        <f t="array" ref="D260">IF(AND(A260="2021-01", ISNA(MATCH(B260, _xlfn._xlws.FILTER(B:B, A:A="2021-02"), 0))), "Left", "Ativo")</f>
        <v>Ativo</v>
      </c>
      <c r="E260" s="10" t="str" cm="1">
        <f t="array" ref="E260">IF(AND(A260="2021-02", ISNA(MATCH(B260, _xlfn._xlws.FILTER(B:B, A:A="2021-03"), 0))), "Left", "Ativo")</f>
        <v>Ativo</v>
      </c>
      <c r="F260" s="12" t="str" cm="1">
        <f t="array" ref="F260">IF(AND(A260="2021-03", ISNA(MATCH(B260, _xlfn._xlws.FILTER(B:B, A:A="2021-04"), 0))), "Left", "Ativo")</f>
        <v>Ativo</v>
      </c>
    </row>
    <row r="261" spans="1:6" x14ac:dyDescent="0.25">
      <c r="A261" t="s">
        <v>1528</v>
      </c>
      <c r="B261" t="s">
        <v>260</v>
      </c>
      <c r="C261" s="10" t="str" cm="1">
        <f t="array" ref="C261">IF(AND(A261="2020-12", ISNA(MATCH(B261, _xlfn._xlws.FILTER(B:B, A:A="2021-01"), 0))), "Left", "Ativo")</f>
        <v>Ativo</v>
      </c>
      <c r="D261" s="10" t="str" cm="1">
        <f t="array" ref="D261">IF(AND(A261="2021-01", ISNA(MATCH(B261, _xlfn._xlws.FILTER(B:B, A:A="2021-02"), 0))), "Left", "Ativo")</f>
        <v>Ativo</v>
      </c>
      <c r="E261" s="10" t="str" cm="1">
        <f t="array" ref="E261">IF(AND(A261="2021-02", ISNA(MATCH(B261, _xlfn._xlws.FILTER(B:B, A:A="2021-03"), 0))), "Left", "Ativo")</f>
        <v>Ativo</v>
      </c>
      <c r="F261" s="12" t="str" cm="1">
        <f t="array" ref="F261">IF(AND(A261="2021-03", ISNA(MATCH(B261, _xlfn._xlws.FILTER(B:B, A:A="2021-04"), 0))), "Left", "Ativo")</f>
        <v>Ativo</v>
      </c>
    </row>
    <row r="262" spans="1:6" x14ac:dyDescent="0.25">
      <c r="A262" t="s">
        <v>1528</v>
      </c>
      <c r="B262" t="s">
        <v>261</v>
      </c>
      <c r="C262" s="10" t="str" cm="1">
        <f t="array" ref="C262">IF(AND(A262="2020-12", ISNA(MATCH(B262, _xlfn._xlws.FILTER(B:B, A:A="2021-01"), 0))), "Left", "Ativo")</f>
        <v>Ativo</v>
      </c>
      <c r="D262" s="10" t="str" cm="1">
        <f t="array" ref="D262">IF(AND(A262="2021-01", ISNA(MATCH(B262, _xlfn._xlws.FILTER(B:B, A:A="2021-02"), 0))), "Left", "Ativo")</f>
        <v>Ativo</v>
      </c>
      <c r="E262" s="10" t="str" cm="1">
        <f t="array" ref="E262">IF(AND(A262="2021-02", ISNA(MATCH(B262, _xlfn._xlws.FILTER(B:B, A:A="2021-03"), 0))), "Left", "Ativo")</f>
        <v>Ativo</v>
      </c>
      <c r="F262" s="12" t="str" cm="1">
        <f t="array" ref="F262">IF(AND(A262="2021-03", ISNA(MATCH(B262, _xlfn._xlws.FILTER(B:B, A:A="2021-04"), 0))), "Left", "Ativo")</f>
        <v>Ativo</v>
      </c>
    </row>
    <row r="263" spans="1:6" x14ac:dyDescent="0.25">
      <c r="A263" t="s">
        <v>1528</v>
      </c>
      <c r="B263" t="s">
        <v>262</v>
      </c>
      <c r="C263" s="10" t="str" cm="1">
        <f t="array" ref="C263">IF(AND(A263="2020-12", ISNA(MATCH(B263, _xlfn._xlws.FILTER(B:B, A:A="2021-01"), 0))), "Left", "Ativo")</f>
        <v>Ativo</v>
      </c>
      <c r="D263" s="10" t="str" cm="1">
        <f t="array" ref="D263">IF(AND(A263="2021-01", ISNA(MATCH(B263, _xlfn._xlws.FILTER(B:B, A:A="2021-02"), 0))), "Left", "Ativo")</f>
        <v>Ativo</v>
      </c>
      <c r="E263" s="10" t="str" cm="1">
        <f t="array" ref="E263">IF(AND(A263="2021-02", ISNA(MATCH(B263, _xlfn._xlws.FILTER(B:B, A:A="2021-03"), 0))), "Left", "Ativo")</f>
        <v>Ativo</v>
      </c>
      <c r="F263" s="12" t="str" cm="1">
        <f t="array" ref="F263">IF(AND(A263="2021-03", ISNA(MATCH(B263, _xlfn._xlws.FILTER(B:B, A:A="2021-04"), 0))), "Left", "Ativo")</f>
        <v>Ativo</v>
      </c>
    </row>
    <row r="264" spans="1:6" x14ac:dyDescent="0.25">
      <c r="A264" t="s">
        <v>1528</v>
      </c>
      <c r="B264" t="s">
        <v>263</v>
      </c>
      <c r="C264" s="10" t="str" cm="1">
        <f t="array" ref="C264">IF(AND(A264="2020-12", ISNA(MATCH(B264, _xlfn._xlws.FILTER(B:B, A:A="2021-01"), 0))), "Left", "Ativo")</f>
        <v>Ativo</v>
      </c>
      <c r="D264" s="10" t="str" cm="1">
        <f t="array" ref="D264">IF(AND(A264="2021-01", ISNA(MATCH(B264, _xlfn._xlws.FILTER(B:B, A:A="2021-02"), 0))), "Left", "Ativo")</f>
        <v>Ativo</v>
      </c>
      <c r="E264" s="10" t="str" cm="1">
        <f t="array" ref="E264">IF(AND(A264="2021-02", ISNA(MATCH(B264, _xlfn._xlws.FILTER(B:B, A:A="2021-03"), 0))), "Left", "Ativo")</f>
        <v>Ativo</v>
      </c>
      <c r="F264" s="12" t="str" cm="1">
        <f t="array" ref="F264">IF(AND(A264="2021-03", ISNA(MATCH(B264, _xlfn._xlws.FILTER(B:B, A:A="2021-04"), 0))), "Left", "Ativo")</f>
        <v>Ativo</v>
      </c>
    </row>
    <row r="265" spans="1:6" x14ac:dyDescent="0.25">
      <c r="A265" t="s">
        <v>1528</v>
      </c>
      <c r="B265" t="s">
        <v>264</v>
      </c>
      <c r="C265" s="10" t="str" cm="1">
        <f t="array" ref="C265">IF(AND(A265="2020-12", ISNA(MATCH(B265, _xlfn._xlws.FILTER(B:B, A:A="2021-01"), 0))), "Left", "Ativo")</f>
        <v>Ativo</v>
      </c>
      <c r="D265" s="10" t="str" cm="1">
        <f t="array" ref="D265">IF(AND(A265="2021-01", ISNA(MATCH(B265, _xlfn._xlws.FILTER(B:B, A:A="2021-02"), 0))), "Left", "Ativo")</f>
        <v>Ativo</v>
      </c>
      <c r="E265" s="10" t="str" cm="1">
        <f t="array" ref="E265">IF(AND(A265="2021-02", ISNA(MATCH(B265, _xlfn._xlws.FILTER(B:B, A:A="2021-03"), 0))), "Left", "Ativo")</f>
        <v>Ativo</v>
      </c>
      <c r="F265" s="12" t="str" cm="1">
        <f t="array" ref="F265">IF(AND(A265="2021-03", ISNA(MATCH(B265, _xlfn._xlws.FILTER(B:B, A:A="2021-04"), 0))), "Left", "Ativo")</f>
        <v>Ativo</v>
      </c>
    </row>
    <row r="266" spans="1:6" x14ac:dyDescent="0.25">
      <c r="A266" t="s">
        <v>1528</v>
      </c>
      <c r="B266" t="s">
        <v>265</v>
      </c>
      <c r="C266" s="10" t="str" cm="1">
        <f t="array" ref="C266">IF(AND(A266="2020-12", ISNA(MATCH(B266, _xlfn._xlws.FILTER(B:B, A:A="2021-01"), 0))), "Left", "Ativo")</f>
        <v>Ativo</v>
      </c>
      <c r="D266" s="10" t="str" cm="1">
        <f t="array" ref="D266">IF(AND(A266="2021-01", ISNA(MATCH(B266, _xlfn._xlws.FILTER(B:B, A:A="2021-02"), 0))), "Left", "Ativo")</f>
        <v>Ativo</v>
      </c>
      <c r="E266" s="10" t="str" cm="1">
        <f t="array" ref="E266">IF(AND(A266="2021-02", ISNA(MATCH(B266, _xlfn._xlws.FILTER(B:B, A:A="2021-03"), 0))), "Left", "Ativo")</f>
        <v>Ativo</v>
      </c>
      <c r="F266" s="12" t="str" cm="1">
        <f t="array" ref="F266">IF(AND(A266="2021-03", ISNA(MATCH(B266, _xlfn._xlws.FILTER(B:B, A:A="2021-04"), 0))), "Left", "Ativo")</f>
        <v>Ativo</v>
      </c>
    </row>
    <row r="267" spans="1:6" x14ac:dyDescent="0.25">
      <c r="A267" t="s">
        <v>1528</v>
      </c>
      <c r="B267" t="s">
        <v>266</v>
      </c>
      <c r="C267" s="10" t="str" cm="1">
        <f t="array" ref="C267">IF(AND(A267="2020-12", ISNA(MATCH(B267, _xlfn._xlws.FILTER(B:B, A:A="2021-01"), 0))), "Left", "Ativo")</f>
        <v>Ativo</v>
      </c>
      <c r="D267" s="10" t="str" cm="1">
        <f t="array" ref="D267">IF(AND(A267="2021-01", ISNA(MATCH(B267, _xlfn._xlws.FILTER(B:B, A:A="2021-02"), 0))), "Left", "Ativo")</f>
        <v>Ativo</v>
      </c>
      <c r="E267" s="10" t="str" cm="1">
        <f t="array" ref="E267">IF(AND(A267="2021-02", ISNA(MATCH(B267, _xlfn._xlws.FILTER(B:B, A:A="2021-03"), 0))), "Left", "Ativo")</f>
        <v>Ativo</v>
      </c>
      <c r="F267" s="12" t="str" cm="1">
        <f t="array" ref="F267">IF(AND(A267="2021-03", ISNA(MATCH(B267, _xlfn._xlws.FILTER(B:B, A:A="2021-04"), 0))), "Left", "Ativo")</f>
        <v>Ativo</v>
      </c>
    </row>
    <row r="268" spans="1:6" x14ac:dyDescent="0.25">
      <c r="A268" t="s">
        <v>1528</v>
      </c>
      <c r="B268" t="s">
        <v>267</v>
      </c>
      <c r="C268" s="10" t="str" cm="1">
        <f t="array" ref="C268">IF(AND(A268="2020-12", ISNA(MATCH(B268, _xlfn._xlws.FILTER(B:B, A:A="2021-01"), 0))), "Left", "Ativo")</f>
        <v>Ativo</v>
      </c>
      <c r="D268" s="10" t="str" cm="1">
        <f t="array" ref="D268">IF(AND(A268="2021-01", ISNA(MATCH(B268, _xlfn._xlws.FILTER(B:B, A:A="2021-02"), 0))), "Left", "Ativo")</f>
        <v>Ativo</v>
      </c>
      <c r="E268" s="10" t="str" cm="1">
        <f t="array" ref="E268">IF(AND(A268="2021-02", ISNA(MATCH(B268, _xlfn._xlws.FILTER(B:B, A:A="2021-03"), 0))), "Left", "Ativo")</f>
        <v>Ativo</v>
      </c>
      <c r="F268" s="12" t="str" cm="1">
        <f t="array" ref="F268">IF(AND(A268="2021-03", ISNA(MATCH(B268, _xlfn._xlws.FILTER(B:B, A:A="2021-04"), 0))), "Left", "Ativo")</f>
        <v>Ativo</v>
      </c>
    </row>
    <row r="269" spans="1:6" x14ac:dyDescent="0.25">
      <c r="A269" t="s">
        <v>1528</v>
      </c>
      <c r="B269" t="s">
        <v>268</v>
      </c>
      <c r="C269" s="10" t="str" cm="1">
        <f t="array" ref="C269">IF(AND(A269="2020-12", ISNA(MATCH(B269, _xlfn._xlws.FILTER(B:B, A:A="2021-01"), 0))), "Left", "Ativo")</f>
        <v>Ativo</v>
      </c>
      <c r="D269" s="10" t="str" cm="1">
        <f t="array" ref="D269">IF(AND(A269="2021-01", ISNA(MATCH(B269, _xlfn._xlws.FILTER(B:B, A:A="2021-02"), 0))), "Left", "Ativo")</f>
        <v>Ativo</v>
      </c>
      <c r="E269" s="10" t="str" cm="1">
        <f t="array" ref="E269">IF(AND(A269="2021-02", ISNA(MATCH(B269, _xlfn._xlws.FILTER(B:B, A:A="2021-03"), 0))), "Left", "Ativo")</f>
        <v>Ativo</v>
      </c>
      <c r="F269" s="12" t="str" cm="1">
        <f t="array" ref="F269">IF(AND(A269="2021-03", ISNA(MATCH(B269, _xlfn._xlws.FILTER(B:B, A:A="2021-04"), 0))), "Left", "Ativo")</f>
        <v>Ativo</v>
      </c>
    </row>
    <row r="270" spans="1:6" x14ac:dyDescent="0.25">
      <c r="A270" t="s">
        <v>1528</v>
      </c>
      <c r="B270" t="s">
        <v>269</v>
      </c>
      <c r="C270" s="10" t="str" cm="1">
        <f t="array" ref="C270">IF(AND(A270="2020-12", ISNA(MATCH(B270, _xlfn._xlws.FILTER(B:B, A:A="2021-01"), 0))), "Left", "Ativo")</f>
        <v>Ativo</v>
      </c>
      <c r="D270" s="10" t="str" cm="1">
        <f t="array" ref="D270">IF(AND(A270="2021-01", ISNA(MATCH(B270, _xlfn._xlws.FILTER(B:B, A:A="2021-02"), 0))), "Left", "Ativo")</f>
        <v>Ativo</v>
      </c>
      <c r="E270" s="10" t="str" cm="1">
        <f t="array" ref="E270">IF(AND(A270="2021-02", ISNA(MATCH(B270, _xlfn._xlws.FILTER(B:B, A:A="2021-03"), 0))), "Left", "Ativo")</f>
        <v>Ativo</v>
      </c>
      <c r="F270" s="12" t="str" cm="1">
        <f t="array" ref="F270">IF(AND(A270="2021-03", ISNA(MATCH(B270, _xlfn._xlws.FILTER(B:B, A:A="2021-04"), 0))), "Left", "Ativo")</f>
        <v>Ativo</v>
      </c>
    </row>
    <row r="271" spans="1:6" x14ac:dyDescent="0.25">
      <c r="A271" t="s">
        <v>1528</v>
      </c>
      <c r="B271" t="s">
        <v>270</v>
      </c>
      <c r="C271" s="10" t="str" cm="1">
        <f t="array" ref="C271">IF(AND(A271="2020-12", ISNA(MATCH(B271, _xlfn._xlws.FILTER(B:B, A:A="2021-01"), 0))), "Left", "Ativo")</f>
        <v>Ativo</v>
      </c>
      <c r="D271" s="10" t="str" cm="1">
        <f t="array" ref="D271">IF(AND(A271="2021-01", ISNA(MATCH(B271, _xlfn._xlws.FILTER(B:B, A:A="2021-02"), 0))), "Left", "Ativo")</f>
        <v>Ativo</v>
      </c>
      <c r="E271" s="10" t="str" cm="1">
        <f t="array" ref="E271">IF(AND(A271="2021-02", ISNA(MATCH(B271, _xlfn._xlws.FILTER(B:B, A:A="2021-03"), 0))), "Left", "Ativo")</f>
        <v>Ativo</v>
      </c>
      <c r="F271" s="12" t="str" cm="1">
        <f t="array" ref="F271">IF(AND(A271="2021-03", ISNA(MATCH(B271, _xlfn._xlws.FILTER(B:B, A:A="2021-04"), 0))), "Left", "Ativo")</f>
        <v>Ativo</v>
      </c>
    </row>
    <row r="272" spans="1:6" x14ac:dyDescent="0.25">
      <c r="A272" t="s">
        <v>1528</v>
      </c>
      <c r="B272" t="s">
        <v>271</v>
      </c>
      <c r="C272" s="10" t="str" cm="1">
        <f t="array" ref="C272">IF(AND(A272="2020-12", ISNA(MATCH(B272, _xlfn._xlws.FILTER(B:B, A:A="2021-01"), 0))), "Left", "Ativo")</f>
        <v>Ativo</v>
      </c>
      <c r="D272" s="10" t="str" cm="1">
        <f t="array" ref="D272">IF(AND(A272="2021-01", ISNA(MATCH(B272, _xlfn._xlws.FILTER(B:B, A:A="2021-02"), 0))), "Left", "Ativo")</f>
        <v>Ativo</v>
      </c>
      <c r="E272" s="10" t="str" cm="1">
        <f t="array" ref="E272">IF(AND(A272="2021-02", ISNA(MATCH(B272, _xlfn._xlws.FILTER(B:B, A:A="2021-03"), 0))), "Left", "Ativo")</f>
        <v>Ativo</v>
      </c>
      <c r="F272" s="12" t="str" cm="1">
        <f t="array" ref="F272">IF(AND(A272="2021-03", ISNA(MATCH(B272, _xlfn._xlws.FILTER(B:B, A:A="2021-04"), 0))), "Left", "Ativo")</f>
        <v>Ativo</v>
      </c>
    </row>
    <row r="273" spans="1:6" x14ac:dyDescent="0.25">
      <c r="A273" t="s">
        <v>1528</v>
      </c>
      <c r="B273" t="s">
        <v>272</v>
      </c>
      <c r="C273" s="10" t="str" cm="1">
        <f t="array" ref="C273">IF(AND(A273="2020-12", ISNA(MATCH(B273, _xlfn._xlws.FILTER(B:B, A:A="2021-01"), 0))), "Left", "Ativo")</f>
        <v>Ativo</v>
      </c>
      <c r="D273" s="10" t="str" cm="1">
        <f t="array" ref="D273">IF(AND(A273="2021-01", ISNA(MATCH(B273, _xlfn._xlws.FILTER(B:B, A:A="2021-02"), 0))), "Left", "Ativo")</f>
        <v>Ativo</v>
      </c>
      <c r="E273" s="10" t="str" cm="1">
        <f t="array" ref="E273">IF(AND(A273="2021-02", ISNA(MATCH(B273, _xlfn._xlws.FILTER(B:B, A:A="2021-03"), 0))), "Left", "Ativo")</f>
        <v>Ativo</v>
      </c>
      <c r="F273" s="12" t="str" cm="1">
        <f t="array" ref="F273">IF(AND(A273="2021-03", ISNA(MATCH(B273, _xlfn._xlws.FILTER(B:B, A:A="2021-04"), 0))), "Left", "Ativo")</f>
        <v>Ativo</v>
      </c>
    </row>
    <row r="274" spans="1:6" x14ac:dyDescent="0.25">
      <c r="A274" t="s">
        <v>1528</v>
      </c>
      <c r="B274" t="s">
        <v>273</v>
      </c>
      <c r="C274" s="10" t="str" cm="1">
        <f t="array" ref="C274">IF(AND(A274="2020-12", ISNA(MATCH(B274, _xlfn._xlws.FILTER(B:B, A:A="2021-01"), 0))), "Left", "Ativo")</f>
        <v>Ativo</v>
      </c>
      <c r="D274" s="10" t="str" cm="1">
        <f t="array" ref="D274">IF(AND(A274="2021-01", ISNA(MATCH(B274, _xlfn._xlws.FILTER(B:B, A:A="2021-02"), 0))), "Left", "Ativo")</f>
        <v>Ativo</v>
      </c>
      <c r="E274" s="10" t="str" cm="1">
        <f t="array" ref="E274">IF(AND(A274="2021-02", ISNA(MATCH(B274, _xlfn._xlws.FILTER(B:B, A:A="2021-03"), 0))), "Left", "Ativo")</f>
        <v>Ativo</v>
      </c>
      <c r="F274" s="12" t="str" cm="1">
        <f t="array" ref="F274">IF(AND(A274="2021-03", ISNA(MATCH(B274, _xlfn._xlws.FILTER(B:B, A:A="2021-04"), 0))), "Left", "Ativo")</f>
        <v>Ativo</v>
      </c>
    </row>
    <row r="275" spans="1:6" x14ac:dyDescent="0.25">
      <c r="A275" t="s">
        <v>1528</v>
      </c>
      <c r="B275" t="s">
        <v>274</v>
      </c>
      <c r="C275" s="10" t="str" cm="1">
        <f t="array" ref="C275">IF(AND(A275="2020-12", ISNA(MATCH(B275, _xlfn._xlws.FILTER(B:B, A:A="2021-01"), 0))), "Left", "Ativo")</f>
        <v>Ativo</v>
      </c>
      <c r="D275" s="10" t="str" cm="1">
        <f t="array" ref="D275">IF(AND(A275="2021-01", ISNA(MATCH(B275, _xlfn._xlws.FILTER(B:B, A:A="2021-02"), 0))), "Left", "Ativo")</f>
        <v>Ativo</v>
      </c>
      <c r="E275" s="10" t="str" cm="1">
        <f t="array" ref="E275">IF(AND(A275="2021-02", ISNA(MATCH(B275, _xlfn._xlws.FILTER(B:B, A:A="2021-03"), 0))), "Left", "Ativo")</f>
        <v>Ativo</v>
      </c>
      <c r="F275" s="12" t="str" cm="1">
        <f t="array" ref="F275">IF(AND(A275="2021-03", ISNA(MATCH(B275, _xlfn._xlws.FILTER(B:B, A:A="2021-04"), 0))), "Left", "Ativo")</f>
        <v>Ativo</v>
      </c>
    </row>
    <row r="276" spans="1:6" x14ac:dyDescent="0.25">
      <c r="A276" t="s">
        <v>1528</v>
      </c>
      <c r="B276" t="s">
        <v>275</v>
      </c>
      <c r="C276" s="10" t="str" cm="1">
        <f t="array" ref="C276">IF(AND(A276="2020-12", ISNA(MATCH(B276, _xlfn._xlws.FILTER(B:B, A:A="2021-01"), 0))), "Left", "Ativo")</f>
        <v>Ativo</v>
      </c>
      <c r="D276" s="10" t="str" cm="1">
        <f t="array" ref="D276">IF(AND(A276="2021-01", ISNA(MATCH(B276, _xlfn._xlws.FILTER(B:B, A:A="2021-02"), 0))), "Left", "Ativo")</f>
        <v>Ativo</v>
      </c>
      <c r="E276" s="10" t="str" cm="1">
        <f t="array" ref="E276">IF(AND(A276="2021-02", ISNA(MATCH(B276, _xlfn._xlws.FILTER(B:B, A:A="2021-03"), 0))), "Left", "Ativo")</f>
        <v>Ativo</v>
      </c>
      <c r="F276" s="12" t="str" cm="1">
        <f t="array" ref="F276">IF(AND(A276="2021-03", ISNA(MATCH(B276, _xlfn._xlws.FILTER(B:B, A:A="2021-04"), 0))), "Left", "Ativo")</f>
        <v>Ativo</v>
      </c>
    </row>
    <row r="277" spans="1:6" x14ac:dyDescent="0.25">
      <c r="A277" t="s">
        <v>1528</v>
      </c>
      <c r="B277" t="s">
        <v>276</v>
      </c>
      <c r="C277" s="10" t="str" cm="1">
        <f t="array" ref="C277">IF(AND(A277="2020-12", ISNA(MATCH(B277, _xlfn._xlws.FILTER(B:B, A:A="2021-01"), 0))), "Left", "Ativo")</f>
        <v>Ativo</v>
      </c>
      <c r="D277" s="10" t="str" cm="1">
        <f t="array" ref="D277">IF(AND(A277="2021-01", ISNA(MATCH(B277, _xlfn._xlws.FILTER(B:B, A:A="2021-02"), 0))), "Left", "Ativo")</f>
        <v>Ativo</v>
      </c>
      <c r="E277" s="10" t="str" cm="1">
        <f t="array" ref="E277">IF(AND(A277="2021-02", ISNA(MATCH(B277, _xlfn._xlws.FILTER(B:B, A:A="2021-03"), 0))), "Left", "Ativo")</f>
        <v>Ativo</v>
      </c>
      <c r="F277" s="12" t="str" cm="1">
        <f t="array" ref="F277">IF(AND(A277="2021-03", ISNA(MATCH(B277, _xlfn._xlws.FILTER(B:B, A:A="2021-04"), 0))), "Left", "Ativo")</f>
        <v>Ativo</v>
      </c>
    </row>
    <row r="278" spans="1:6" x14ac:dyDescent="0.25">
      <c r="A278" t="s">
        <v>1528</v>
      </c>
      <c r="B278" t="s">
        <v>277</v>
      </c>
      <c r="C278" s="10" t="str" cm="1">
        <f t="array" ref="C278">IF(AND(A278="2020-12", ISNA(MATCH(B278, _xlfn._xlws.FILTER(B:B, A:A="2021-01"), 0))), "Left", "Ativo")</f>
        <v>Ativo</v>
      </c>
      <c r="D278" s="10" t="str" cm="1">
        <f t="array" ref="D278">IF(AND(A278="2021-01", ISNA(MATCH(B278, _xlfn._xlws.FILTER(B:B, A:A="2021-02"), 0))), "Left", "Ativo")</f>
        <v>Ativo</v>
      </c>
      <c r="E278" s="10" t="str" cm="1">
        <f t="array" ref="E278">IF(AND(A278="2021-02", ISNA(MATCH(B278, _xlfn._xlws.FILTER(B:B, A:A="2021-03"), 0))), "Left", "Ativo")</f>
        <v>Ativo</v>
      </c>
      <c r="F278" s="12" t="str" cm="1">
        <f t="array" ref="F278">IF(AND(A278="2021-03", ISNA(MATCH(B278, _xlfn._xlws.FILTER(B:B, A:A="2021-04"), 0))), "Left", "Ativo")</f>
        <v>Ativo</v>
      </c>
    </row>
    <row r="279" spans="1:6" x14ac:dyDescent="0.25">
      <c r="A279" t="s">
        <v>1528</v>
      </c>
      <c r="B279" t="s">
        <v>278</v>
      </c>
      <c r="C279" s="10" t="str" cm="1">
        <f t="array" ref="C279">IF(AND(A279="2020-12", ISNA(MATCH(B279, _xlfn._xlws.FILTER(B:B, A:A="2021-01"), 0))), "Left", "Ativo")</f>
        <v>Ativo</v>
      </c>
      <c r="D279" s="10" t="str" cm="1">
        <f t="array" ref="D279">IF(AND(A279="2021-01", ISNA(MATCH(B279, _xlfn._xlws.FILTER(B:B, A:A="2021-02"), 0))), "Left", "Ativo")</f>
        <v>Ativo</v>
      </c>
      <c r="E279" s="10" t="str" cm="1">
        <f t="array" ref="E279">IF(AND(A279="2021-02", ISNA(MATCH(B279, _xlfn._xlws.FILTER(B:B, A:A="2021-03"), 0))), "Left", "Ativo")</f>
        <v>Ativo</v>
      </c>
      <c r="F279" s="12" t="str" cm="1">
        <f t="array" ref="F279">IF(AND(A279="2021-03", ISNA(MATCH(B279, _xlfn._xlws.FILTER(B:B, A:A="2021-04"), 0))), "Left", "Ativo")</f>
        <v>Ativo</v>
      </c>
    </row>
    <row r="280" spans="1:6" x14ac:dyDescent="0.25">
      <c r="A280" t="s">
        <v>1528</v>
      </c>
      <c r="B280" t="s">
        <v>279</v>
      </c>
      <c r="C280" s="10" t="str" cm="1">
        <f t="array" ref="C280">IF(AND(A280="2020-12", ISNA(MATCH(B280, _xlfn._xlws.FILTER(B:B, A:A="2021-01"), 0))), "Left", "Ativo")</f>
        <v>Ativo</v>
      </c>
      <c r="D280" s="10" t="str" cm="1">
        <f t="array" ref="D280">IF(AND(A280="2021-01", ISNA(MATCH(B280, _xlfn._xlws.FILTER(B:B, A:A="2021-02"), 0))), "Left", "Ativo")</f>
        <v>Ativo</v>
      </c>
      <c r="E280" s="10" t="str" cm="1">
        <f t="array" ref="E280">IF(AND(A280="2021-02", ISNA(MATCH(B280, _xlfn._xlws.FILTER(B:B, A:A="2021-03"), 0))), "Left", "Ativo")</f>
        <v>Ativo</v>
      </c>
      <c r="F280" s="12" t="str" cm="1">
        <f t="array" ref="F280">IF(AND(A280="2021-03", ISNA(MATCH(B280, _xlfn._xlws.FILTER(B:B, A:A="2021-04"), 0))), "Left", "Ativo")</f>
        <v>Ativo</v>
      </c>
    </row>
    <row r="281" spans="1:6" x14ac:dyDescent="0.25">
      <c r="A281" t="s">
        <v>1528</v>
      </c>
      <c r="B281" t="s">
        <v>280</v>
      </c>
      <c r="C281" s="10" t="str" cm="1">
        <f t="array" ref="C281">IF(AND(A281="2020-12", ISNA(MATCH(B281, _xlfn._xlws.FILTER(B:B, A:A="2021-01"), 0))), "Left", "Ativo")</f>
        <v>Ativo</v>
      </c>
      <c r="D281" s="10" t="str" cm="1">
        <f t="array" ref="D281">IF(AND(A281="2021-01", ISNA(MATCH(B281, _xlfn._xlws.FILTER(B:B, A:A="2021-02"), 0))), "Left", "Ativo")</f>
        <v>Ativo</v>
      </c>
      <c r="E281" s="10" t="str" cm="1">
        <f t="array" ref="E281">IF(AND(A281="2021-02", ISNA(MATCH(B281, _xlfn._xlws.FILTER(B:B, A:A="2021-03"), 0))), "Left", "Ativo")</f>
        <v>Ativo</v>
      </c>
      <c r="F281" s="12" t="str" cm="1">
        <f t="array" ref="F281">IF(AND(A281="2021-03", ISNA(MATCH(B281, _xlfn._xlws.FILTER(B:B, A:A="2021-04"), 0))), "Left", "Ativo")</f>
        <v>Ativo</v>
      </c>
    </row>
    <row r="282" spans="1:6" x14ac:dyDescent="0.25">
      <c r="A282" t="s">
        <v>1528</v>
      </c>
      <c r="B282" t="s">
        <v>281</v>
      </c>
      <c r="C282" s="10" t="str" cm="1">
        <f t="array" ref="C282">IF(AND(A282="2020-12", ISNA(MATCH(B282, _xlfn._xlws.FILTER(B:B, A:A="2021-01"), 0))), "Left", "Ativo")</f>
        <v>Ativo</v>
      </c>
      <c r="D282" s="10" t="str" cm="1">
        <f t="array" ref="D282">IF(AND(A282="2021-01", ISNA(MATCH(B282, _xlfn._xlws.FILTER(B:B, A:A="2021-02"), 0))), "Left", "Ativo")</f>
        <v>Ativo</v>
      </c>
      <c r="E282" s="10" t="str" cm="1">
        <f t="array" ref="E282">IF(AND(A282="2021-02", ISNA(MATCH(B282, _xlfn._xlws.FILTER(B:B, A:A="2021-03"), 0))), "Left", "Ativo")</f>
        <v>Ativo</v>
      </c>
      <c r="F282" s="12" t="str" cm="1">
        <f t="array" ref="F282">IF(AND(A282="2021-03", ISNA(MATCH(B282, _xlfn._xlws.FILTER(B:B, A:A="2021-04"), 0))), "Left", "Ativo")</f>
        <v>Ativo</v>
      </c>
    </row>
    <row r="283" spans="1:6" x14ac:dyDescent="0.25">
      <c r="A283" t="s">
        <v>1528</v>
      </c>
      <c r="B283" t="s">
        <v>282</v>
      </c>
      <c r="C283" s="10" t="str" cm="1">
        <f t="array" ref="C283">IF(AND(A283="2020-12", ISNA(MATCH(B283, _xlfn._xlws.FILTER(B:B, A:A="2021-01"), 0))), "Left", "Ativo")</f>
        <v>Ativo</v>
      </c>
      <c r="D283" s="10" t="str" cm="1">
        <f t="array" ref="D283">IF(AND(A283="2021-01", ISNA(MATCH(B283, _xlfn._xlws.FILTER(B:B, A:A="2021-02"), 0))), "Left", "Ativo")</f>
        <v>Ativo</v>
      </c>
      <c r="E283" s="10" t="str" cm="1">
        <f t="array" ref="E283">IF(AND(A283="2021-02", ISNA(MATCH(B283, _xlfn._xlws.FILTER(B:B, A:A="2021-03"), 0))), "Left", "Ativo")</f>
        <v>Ativo</v>
      </c>
      <c r="F283" s="12" t="str" cm="1">
        <f t="array" ref="F283">IF(AND(A283="2021-03", ISNA(MATCH(B283, _xlfn._xlws.FILTER(B:B, A:A="2021-04"), 0))), "Left", "Ativo")</f>
        <v>Ativo</v>
      </c>
    </row>
    <row r="284" spans="1:6" x14ac:dyDescent="0.25">
      <c r="A284" t="s">
        <v>1528</v>
      </c>
      <c r="B284" t="s">
        <v>283</v>
      </c>
      <c r="C284" s="10" t="str" cm="1">
        <f t="array" ref="C284">IF(AND(A284="2020-12", ISNA(MATCH(B284, _xlfn._xlws.FILTER(B:B, A:A="2021-01"), 0))), "Left", "Ativo")</f>
        <v>Ativo</v>
      </c>
      <c r="D284" s="10" t="str" cm="1">
        <f t="array" ref="D284">IF(AND(A284="2021-01", ISNA(MATCH(B284, _xlfn._xlws.FILTER(B:B, A:A="2021-02"), 0))), "Left", "Ativo")</f>
        <v>Ativo</v>
      </c>
      <c r="E284" s="10" t="str" cm="1">
        <f t="array" ref="E284">IF(AND(A284="2021-02", ISNA(MATCH(B284, _xlfn._xlws.FILTER(B:B, A:A="2021-03"), 0))), "Left", "Ativo")</f>
        <v>Ativo</v>
      </c>
      <c r="F284" s="12" t="str" cm="1">
        <f t="array" ref="F284">IF(AND(A284="2021-03", ISNA(MATCH(B284, _xlfn._xlws.FILTER(B:B, A:A="2021-04"), 0))), "Left", "Ativo")</f>
        <v>Ativo</v>
      </c>
    </row>
    <row r="285" spans="1:6" x14ac:dyDescent="0.25">
      <c r="A285" t="s">
        <v>1528</v>
      </c>
      <c r="B285" t="s">
        <v>284</v>
      </c>
      <c r="C285" s="10" t="str" cm="1">
        <f t="array" ref="C285">IF(AND(A285="2020-12", ISNA(MATCH(B285, _xlfn._xlws.FILTER(B:B, A:A="2021-01"), 0))), "Left", "Ativo")</f>
        <v>Ativo</v>
      </c>
      <c r="D285" s="10" t="str" cm="1">
        <f t="array" ref="D285">IF(AND(A285="2021-01", ISNA(MATCH(B285, _xlfn._xlws.FILTER(B:B, A:A="2021-02"), 0))), "Left", "Ativo")</f>
        <v>Ativo</v>
      </c>
      <c r="E285" s="10" t="str" cm="1">
        <f t="array" ref="E285">IF(AND(A285="2021-02", ISNA(MATCH(B285, _xlfn._xlws.FILTER(B:B, A:A="2021-03"), 0))), "Left", "Ativo")</f>
        <v>Ativo</v>
      </c>
      <c r="F285" s="12" t="str" cm="1">
        <f t="array" ref="F285">IF(AND(A285="2021-03", ISNA(MATCH(B285, _xlfn._xlws.FILTER(B:B, A:A="2021-04"), 0))), "Left", "Ativo")</f>
        <v>Ativo</v>
      </c>
    </row>
    <row r="286" spans="1:6" x14ac:dyDescent="0.25">
      <c r="A286" t="s">
        <v>1528</v>
      </c>
      <c r="B286" t="s">
        <v>285</v>
      </c>
      <c r="C286" s="10" t="str" cm="1">
        <f t="array" ref="C286">IF(AND(A286="2020-12", ISNA(MATCH(B286, _xlfn._xlws.FILTER(B:B, A:A="2021-01"), 0))), "Left", "Ativo")</f>
        <v>Ativo</v>
      </c>
      <c r="D286" s="10" t="str" cm="1">
        <f t="array" ref="D286">IF(AND(A286="2021-01", ISNA(MATCH(B286, _xlfn._xlws.FILTER(B:B, A:A="2021-02"), 0))), "Left", "Ativo")</f>
        <v>Ativo</v>
      </c>
      <c r="E286" s="10" t="str" cm="1">
        <f t="array" ref="E286">IF(AND(A286="2021-02", ISNA(MATCH(B286, _xlfn._xlws.FILTER(B:B, A:A="2021-03"), 0))), "Left", "Ativo")</f>
        <v>Ativo</v>
      </c>
      <c r="F286" s="12" t="str" cm="1">
        <f t="array" ref="F286">IF(AND(A286="2021-03", ISNA(MATCH(B286, _xlfn._xlws.FILTER(B:B, A:A="2021-04"), 0))), "Left", "Ativo")</f>
        <v>Ativo</v>
      </c>
    </row>
    <row r="287" spans="1:6" x14ac:dyDescent="0.25">
      <c r="A287" t="s">
        <v>1528</v>
      </c>
      <c r="B287" t="s">
        <v>286</v>
      </c>
      <c r="C287" s="10" t="str" cm="1">
        <f t="array" ref="C287">IF(AND(A287="2020-12", ISNA(MATCH(B287, _xlfn._xlws.FILTER(B:B, A:A="2021-01"), 0))), "Left", "Ativo")</f>
        <v>Ativo</v>
      </c>
      <c r="D287" s="10" t="str" cm="1">
        <f t="array" ref="D287">IF(AND(A287="2021-01", ISNA(MATCH(B287, _xlfn._xlws.FILTER(B:B, A:A="2021-02"), 0))), "Left", "Ativo")</f>
        <v>Ativo</v>
      </c>
      <c r="E287" s="10" t="str" cm="1">
        <f t="array" ref="E287">IF(AND(A287="2021-02", ISNA(MATCH(B287, _xlfn._xlws.FILTER(B:B, A:A="2021-03"), 0))), "Left", "Ativo")</f>
        <v>Ativo</v>
      </c>
      <c r="F287" s="12" t="str" cm="1">
        <f t="array" ref="F287">IF(AND(A287="2021-03", ISNA(MATCH(B287, _xlfn._xlws.FILTER(B:B, A:A="2021-04"), 0))), "Left", "Ativo")</f>
        <v>Ativo</v>
      </c>
    </row>
    <row r="288" spans="1:6" x14ac:dyDescent="0.25">
      <c r="A288" t="s">
        <v>1528</v>
      </c>
      <c r="B288" t="s">
        <v>287</v>
      </c>
      <c r="C288" s="10" t="str" cm="1">
        <f t="array" ref="C288">IF(AND(A288="2020-12", ISNA(MATCH(B288, _xlfn._xlws.FILTER(B:B, A:A="2021-01"), 0))), "Left", "Ativo")</f>
        <v>Ativo</v>
      </c>
      <c r="D288" s="10" t="str" cm="1">
        <f t="array" ref="D288">IF(AND(A288="2021-01", ISNA(MATCH(B288, _xlfn._xlws.FILTER(B:B, A:A="2021-02"), 0))), "Left", "Ativo")</f>
        <v>Ativo</v>
      </c>
      <c r="E288" s="10" t="str" cm="1">
        <f t="array" ref="E288">IF(AND(A288="2021-02", ISNA(MATCH(B288, _xlfn._xlws.FILTER(B:B, A:A="2021-03"), 0))), "Left", "Ativo")</f>
        <v>Ativo</v>
      </c>
      <c r="F288" s="12" t="str" cm="1">
        <f t="array" ref="F288">IF(AND(A288="2021-03", ISNA(MATCH(B288, _xlfn._xlws.FILTER(B:B, A:A="2021-04"), 0))), "Left", "Ativo")</f>
        <v>Ativo</v>
      </c>
    </row>
    <row r="289" spans="1:6" x14ac:dyDescent="0.25">
      <c r="A289" t="s">
        <v>1528</v>
      </c>
      <c r="B289" t="s">
        <v>288</v>
      </c>
      <c r="C289" s="10" t="str" cm="1">
        <f t="array" ref="C289">IF(AND(A289="2020-12", ISNA(MATCH(B289, _xlfn._xlws.FILTER(B:B, A:A="2021-01"), 0))), "Left", "Ativo")</f>
        <v>Ativo</v>
      </c>
      <c r="D289" s="10" t="str" cm="1">
        <f t="array" ref="D289">IF(AND(A289="2021-01", ISNA(MATCH(B289, _xlfn._xlws.FILTER(B:B, A:A="2021-02"), 0))), "Left", "Ativo")</f>
        <v>Ativo</v>
      </c>
      <c r="E289" s="10" t="str" cm="1">
        <f t="array" ref="E289">IF(AND(A289="2021-02", ISNA(MATCH(B289, _xlfn._xlws.FILTER(B:B, A:A="2021-03"), 0))), "Left", "Ativo")</f>
        <v>Ativo</v>
      </c>
      <c r="F289" s="12" t="str" cm="1">
        <f t="array" ref="F289">IF(AND(A289="2021-03", ISNA(MATCH(B289, _xlfn._xlws.FILTER(B:B, A:A="2021-04"), 0))), "Left", "Ativo")</f>
        <v>Ativo</v>
      </c>
    </row>
    <row r="290" spans="1:6" x14ac:dyDescent="0.25">
      <c r="A290" t="s">
        <v>1528</v>
      </c>
      <c r="B290" t="s">
        <v>289</v>
      </c>
      <c r="C290" s="10" t="str" cm="1">
        <f t="array" ref="C290">IF(AND(A290="2020-12", ISNA(MATCH(B290, _xlfn._xlws.FILTER(B:B, A:A="2021-01"), 0))), "Left", "Ativo")</f>
        <v>Ativo</v>
      </c>
      <c r="D290" s="10" t="str" cm="1">
        <f t="array" ref="D290">IF(AND(A290="2021-01", ISNA(MATCH(B290, _xlfn._xlws.FILTER(B:B, A:A="2021-02"), 0))), "Left", "Ativo")</f>
        <v>Ativo</v>
      </c>
      <c r="E290" s="10" t="str" cm="1">
        <f t="array" ref="E290">IF(AND(A290="2021-02", ISNA(MATCH(B290, _xlfn._xlws.FILTER(B:B, A:A="2021-03"), 0))), "Left", "Ativo")</f>
        <v>Ativo</v>
      </c>
      <c r="F290" s="12" t="str" cm="1">
        <f t="array" ref="F290">IF(AND(A290="2021-03", ISNA(MATCH(B290, _xlfn._xlws.FILTER(B:B, A:A="2021-04"), 0))), "Left", "Ativo")</f>
        <v>Ativo</v>
      </c>
    </row>
    <row r="291" spans="1:6" x14ac:dyDescent="0.25">
      <c r="A291" t="s">
        <v>1528</v>
      </c>
      <c r="B291" t="s">
        <v>290</v>
      </c>
      <c r="C291" s="10" t="str" cm="1">
        <f t="array" ref="C291">IF(AND(A291="2020-12", ISNA(MATCH(B291, _xlfn._xlws.FILTER(B:B, A:A="2021-01"), 0))), "Left", "Ativo")</f>
        <v>Ativo</v>
      </c>
      <c r="D291" s="10" t="str" cm="1">
        <f t="array" ref="D291">IF(AND(A291="2021-01", ISNA(MATCH(B291, _xlfn._xlws.FILTER(B:B, A:A="2021-02"), 0))), "Left", "Ativo")</f>
        <v>Ativo</v>
      </c>
      <c r="E291" s="10" t="str" cm="1">
        <f t="array" ref="E291">IF(AND(A291="2021-02", ISNA(MATCH(B291, _xlfn._xlws.FILTER(B:B, A:A="2021-03"), 0))), "Left", "Ativo")</f>
        <v>Ativo</v>
      </c>
      <c r="F291" s="12" t="str" cm="1">
        <f t="array" ref="F291">IF(AND(A291="2021-03", ISNA(MATCH(B291, _xlfn._xlws.FILTER(B:B, A:A="2021-04"), 0))), "Left", "Ativo")</f>
        <v>Ativo</v>
      </c>
    </row>
    <row r="292" spans="1:6" x14ac:dyDescent="0.25">
      <c r="A292" t="s">
        <v>1528</v>
      </c>
      <c r="B292" t="s">
        <v>291</v>
      </c>
      <c r="C292" s="10" t="str" cm="1">
        <f t="array" ref="C292">IF(AND(A292="2020-12", ISNA(MATCH(B292, _xlfn._xlws.FILTER(B:B, A:A="2021-01"), 0))), "Left", "Ativo")</f>
        <v>Ativo</v>
      </c>
      <c r="D292" s="10" t="str" cm="1">
        <f t="array" ref="D292">IF(AND(A292="2021-01", ISNA(MATCH(B292, _xlfn._xlws.FILTER(B:B, A:A="2021-02"), 0))), "Left", "Ativo")</f>
        <v>Ativo</v>
      </c>
      <c r="E292" s="10" t="str" cm="1">
        <f t="array" ref="E292">IF(AND(A292="2021-02", ISNA(MATCH(B292, _xlfn._xlws.FILTER(B:B, A:A="2021-03"), 0))), "Left", "Ativo")</f>
        <v>Ativo</v>
      </c>
      <c r="F292" s="12" t="str" cm="1">
        <f t="array" ref="F292">IF(AND(A292="2021-03", ISNA(MATCH(B292, _xlfn._xlws.FILTER(B:B, A:A="2021-04"), 0))), "Left", "Ativo")</f>
        <v>Ativo</v>
      </c>
    </row>
    <row r="293" spans="1:6" x14ac:dyDescent="0.25">
      <c r="A293" t="s">
        <v>1528</v>
      </c>
      <c r="B293" t="s">
        <v>292</v>
      </c>
      <c r="C293" s="10" t="str" cm="1">
        <f t="array" ref="C293">IF(AND(A293="2020-12", ISNA(MATCH(B293, _xlfn._xlws.FILTER(B:B, A:A="2021-01"), 0))), "Left", "Ativo")</f>
        <v>Ativo</v>
      </c>
      <c r="D293" s="10" t="str" cm="1">
        <f t="array" ref="D293">IF(AND(A293="2021-01", ISNA(MATCH(B293, _xlfn._xlws.FILTER(B:B, A:A="2021-02"), 0))), "Left", "Ativo")</f>
        <v>Ativo</v>
      </c>
      <c r="E293" s="10" t="str" cm="1">
        <f t="array" ref="E293">IF(AND(A293="2021-02", ISNA(MATCH(B293, _xlfn._xlws.FILTER(B:B, A:A="2021-03"), 0))), "Left", "Ativo")</f>
        <v>Ativo</v>
      </c>
      <c r="F293" s="12" t="str" cm="1">
        <f t="array" ref="F293">IF(AND(A293="2021-03", ISNA(MATCH(B293, _xlfn._xlws.FILTER(B:B, A:A="2021-04"), 0))), "Left", "Ativo")</f>
        <v>Ativo</v>
      </c>
    </row>
    <row r="294" spans="1:6" x14ac:dyDescent="0.25">
      <c r="A294" t="s">
        <v>1528</v>
      </c>
      <c r="B294" t="s">
        <v>293</v>
      </c>
      <c r="C294" s="10" t="str" cm="1">
        <f t="array" ref="C294">IF(AND(A294="2020-12", ISNA(MATCH(B294, _xlfn._xlws.FILTER(B:B, A:A="2021-01"), 0))), "Left", "Ativo")</f>
        <v>Ativo</v>
      </c>
      <c r="D294" s="10" t="str" cm="1">
        <f t="array" ref="D294">IF(AND(A294="2021-01", ISNA(MATCH(B294, _xlfn._xlws.FILTER(B:B, A:A="2021-02"), 0))), "Left", "Ativo")</f>
        <v>Ativo</v>
      </c>
      <c r="E294" s="10" t="str" cm="1">
        <f t="array" ref="E294">IF(AND(A294="2021-02", ISNA(MATCH(B294, _xlfn._xlws.FILTER(B:B, A:A="2021-03"), 0))), "Left", "Ativo")</f>
        <v>Ativo</v>
      </c>
      <c r="F294" s="12" t="str" cm="1">
        <f t="array" ref="F294">IF(AND(A294="2021-03", ISNA(MATCH(B294, _xlfn._xlws.FILTER(B:B, A:A="2021-04"), 0))), "Left", "Ativo")</f>
        <v>Ativo</v>
      </c>
    </row>
    <row r="295" spans="1:6" x14ac:dyDescent="0.25">
      <c r="A295" t="s">
        <v>1528</v>
      </c>
      <c r="B295" t="s">
        <v>294</v>
      </c>
      <c r="C295" s="10" t="str" cm="1">
        <f t="array" ref="C295">IF(AND(A295="2020-12", ISNA(MATCH(B295, _xlfn._xlws.FILTER(B:B, A:A="2021-01"), 0))), "Left", "Ativo")</f>
        <v>Ativo</v>
      </c>
      <c r="D295" s="10" t="str" cm="1">
        <f t="array" ref="D295">IF(AND(A295="2021-01", ISNA(MATCH(B295, _xlfn._xlws.FILTER(B:B, A:A="2021-02"), 0))), "Left", "Ativo")</f>
        <v>Ativo</v>
      </c>
      <c r="E295" s="10" t="str" cm="1">
        <f t="array" ref="E295">IF(AND(A295="2021-02", ISNA(MATCH(B295, _xlfn._xlws.FILTER(B:B, A:A="2021-03"), 0))), "Left", "Ativo")</f>
        <v>Ativo</v>
      </c>
      <c r="F295" s="12" t="str" cm="1">
        <f t="array" ref="F295">IF(AND(A295="2021-03", ISNA(MATCH(B295, _xlfn._xlws.FILTER(B:B, A:A="2021-04"), 0))), "Left", "Ativo")</f>
        <v>Ativo</v>
      </c>
    </row>
    <row r="296" spans="1:6" x14ac:dyDescent="0.25">
      <c r="A296" t="s">
        <v>1528</v>
      </c>
      <c r="B296" t="s">
        <v>295</v>
      </c>
      <c r="C296" s="10" t="str" cm="1">
        <f t="array" ref="C296">IF(AND(A296="2020-12", ISNA(MATCH(B296, _xlfn._xlws.FILTER(B:B, A:A="2021-01"), 0))), "Left", "Ativo")</f>
        <v>Ativo</v>
      </c>
      <c r="D296" s="10" t="str" cm="1">
        <f t="array" ref="D296">IF(AND(A296="2021-01", ISNA(MATCH(B296, _xlfn._xlws.FILTER(B:B, A:A="2021-02"), 0))), "Left", "Ativo")</f>
        <v>Ativo</v>
      </c>
      <c r="E296" s="10" t="str" cm="1">
        <f t="array" ref="E296">IF(AND(A296="2021-02", ISNA(MATCH(B296, _xlfn._xlws.FILTER(B:B, A:A="2021-03"), 0))), "Left", "Ativo")</f>
        <v>Ativo</v>
      </c>
      <c r="F296" s="12" t="str" cm="1">
        <f t="array" ref="F296">IF(AND(A296="2021-03", ISNA(MATCH(B296, _xlfn._xlws.FILTER(B:B, A:A="2021-04"), 0))), "Left", "Ativo")</f>
        <v>Ativo</v>
      </c>
    </row>
    <row r="297" spans="1:6" x14ac:dyDescent="0.25">
      <c r="A297" t="s">
        <v>1528</v>
      </c>
      <c r="B297" t="s">
        <v>296</v>
      </c>
      <c r="C297" s="10" t="str" cm="1">
        <f t="array" ref="C297">IF(AND(A297="2020-12", ISNA(MATCH(B297, _xlfn._xlws.FILTER(B:B, A:A="2021-01"), 0))), "Left", "Ativo")</f>
        <v>Ativo</v>
      </c>
      <c r="D297" s="10" t="str" cm="1">
        <f t="array" ref="D297">IF(AND(A297="2021-01", ISNA(MATCH(B297, _xlfn._xlws.FILTER(B:B, A:A="2021-02"), 0))), "Left", "Ativo")</f>
        <v>Ativo</v>
      </c>
      <c r="E297" s="10" t="str" cm="1">
        <f t="array" ref="E297">IF(AND(A297="2021-02", ISNA(MATCH(B297, _xlfn._xlws.FILTER(B:B, A:A="2021-03"), 0))), "Left", "Ativo")</f>
        <v>Ativo</v>
      </c>
      <c r="F297" s="12" t="str" cm="1">
        <f t="array" ref="F297">IF(AND(A297="2021-03", ISNA(MATCH(B297, _xlfn._xlws.FILTER(B:B, A:A="2021-04"), 0))), "Left", "Ativo")</f>
        <v>Ativo</v>
      </c>
    </row>
    <row r="298" spans="1:6" x14ac:dyDescent="0.25">
      <c r="A298" t="s">
        <v>1528</v>
      </c>
      <c r="B298" t="s">
        <v>297</v>
      </c>
      <c r="C298" s="10" t="str" cm="1">
        <f t="array" ref="C298">IF(AND(A298="2020-12", ISNA(MATCH(B298, _xlfn._xlws.FILTER(B:B, A:A="2021-01"), 0))), "Left", "Ativo")</f>
        <v>Ativo</v>
      </c>
      <c r="D298" s="10" t="str" cm="1">
        <f t="array" ref="D298">IF(AND(A298="2021-01", ISNA(MATCH(B298, _xlfn._xlws.FILTER(B:B, A:A="2021-02"), 0))), "Left", "Ativo")</f>
        <v>Ativo</v>
      </c>
      <c r="E298" s="10" t="str" cm="1">
        <f t="array" ref="E298">IF(AND(A298="2021-02", ISNA(MATCH(B298, _xlfn._xlws.FILTER(B:B, A:A="2021-03"), 0))), "Left", "Ativo")</f>
        <v>Ativo</v>
      </c>
      <c r="F298" s="12" t="str" cm="1">
        <f t="array" ref="F298">IF(AND(A298="2021-03", ISNA(MATCH(B298, _xlfn._xlws.FILTER(B:B, A:A="2021-04"), 0))), "Left", "Ativo")</f>
        <v>Ativo</v>
      </c>
    </row>
    <row r="299" spans="1:6" x14ac:dyDescent="0.25">
      <c r="A299" t="s">
        <v>1528</v>
      </c>
      <c r="B299" t="s">
        <v>298</v>
      </c>
      <c r="C299" s="10" t="str" cm="1">
        <f t="array" ref="C299">IF(AND(A299="2020-12", ISNA(MATCH(B299, _xlfn._xlws.FILTER(B:B, A:A="2021-01"), 0))), "Left", "Ativo")</f>
        <v>Ativo</v>
      </c>
      <c r="D299" s="10" t="str" cm="1">
        <f t="array" ref="D299">IF(AND(A299="2021-01", ISNA(MATCH(B299, _xlfn._xlws.FILTER(B:B, A:A="2021-02"), 0))), "Left", "Ativo")</f>
        <v>Ativo</v>
      </c>
      <c r="E299" s="10" t="str" cm="1">
        <f t="array" ref="E299">IF(AND(A299="2021-02", ISNA(MATCH(B299, _xlfn._xlws.FILTER(B:B, A:A="2021-03"), 0))), "Left", "Ativo")</f>
        <v>Ativo</v>
      </c>
      <c r="F299" s="12" t="str" cm="1">
        <f t="array" ref="F299">IF(AND(A299="2021-03", ISNA(MATCH(B299, _xlfn._xlws.FILTER(B:B, A:A="2021-04"), 0))), "Left", "Ativo")</f>
        <v>Ativo</v>
      </c>
    </row>
    <row r="300" spans="1:6" x14ac:dyDescent="0.25">
      <c r="A300" t="s">
        <v>1528</v>
      </c>
      <c r="B300" t="s">
        <v>299</v>
      </c>
      <c r="C300" s="10" t="str" cm="1">
        <f t="array" ref="C300">IF(AND(A300="2020-12", ISNA(MATCH(B300, _xlfn._xlws.FILTER(B:B, A:A="2021-01"), 0))), "Left", "Ativo")</f>
        <v>Ativo</v>
      </c>
      <c r="D300" s="10" t="str" cm="1">
        <f t="array" ref="D300">IF(AND(A300="2021-01", ISNA(MATCH(B300, _xlfn._xlws.FILTER(B:B, A:A="2021-02"), 0))), "Left", "Ativo")</f>
        <v>Ativo</v>
      </c>
      <c r="E300" s="10" t="str" cm="1">
        <f t="array" ref="E300">IF(AND(A300="2021-02", ISNA(MATCH(B300, _xlfn._xlws.FILTER(B:B, A:A="2021-03"), 0))), "Left", "Ativo")</f>
        <v>Ativo</v>
      </c>
      <c r="F300" s="12" t="str" cm="1">
        <f t="array" ref="F300">IF(AND(A300="2021-03", ISNA(MATCH(B300, _xlfn._xlws.FILTER(B:B, A:A="2021-04"), 0))), "Left", "Ativo")</f>
        <v>Ativo</v>
      </c>
    </row>
    <row r="301" spans="1:6" x14ac:dyDescent="0.25">
      <c r="A301" t="s">
        <v>1528</v>
      </c>
      <c r="B301" t="s">
        <v>300</v>
      </c>
      <c r="C301" s="10" t="str" cm="1">
        <f t="array" ref="C301">IF(AND(A301="2020-12", ISNA(MATCH(B301, _xlfn._xlws.FILTER(B:B, A:A="2021-01"), 0))), "Left", "Ativo")</f>
        <v>Ativo</v>
      </c>
      <c r="D301" s="10" t="str" cm="1">
        <f t="array" ref="D301">IF(AND(A301="2021-01", ISNA(MATCH(B301, _xlfn._xlws.FILTER(B:B, A:A="2021-02"), 0))), "Left", "Ativo")</f>
        <v>Ativo</v>
      </c>
      <c r="E301" s="10" t="str" cm="1">
        <f t="array" ref="E301">IF(AND(A301="2021-02", ISNA(MATCH(B301, _xlfn._xlws.FILTER(B:B, A:A="2021-03"), 0))), "Left", "Ativo")</f>
        <v>Ativo</v>
      </c>
      <c r="F301" s="12" t="str" cm="1">
        <f t="array" ref="F301">IF(AND(A301="2021-03", ISNA(MATCH(B301, _xlfn._xlws.FILTER(B:B, A:A="2021-04"), 0))), "Left", "Ativo")</f>
        <v>Ativo</v>
      </c>
    </row>
    <row r="302" spans="1:6" x14ac:dyDescent="0.25">
      <c r="A302" t="s">
        <v>1528</v>
      </c>
      <c r="B302" t="s">
        <v>301</v>
      </c>
      <c r="C302" s="10" t="str" cm="1">
        <f t="array" ref="C302">IF(AND(A302="2020-12", ISNA(MATCH(B302, _xlfn._xlws.FILTER(B:B, A:A="2021-01"), 0))), "Left", "Ativo")</f>
        <v>Ativo</v>
      </c>
      <c r="D302" s="10" t="str" cm="1">
        <f t="array" ref="D302">IF(AND(A302="2021-01", ISNA(MATCH(B302, _xlfn._xlws.FILTER(B:B, A:A="2021-02"), 0))), "Left", "Ativo")</f>
        <v>Ativo</v>
      </c>
      <c r="E302" s="10" t="str" cm="1">
        <f t="array" ref="E302">IF(AND(A302="2021-02", ISNA(MATCH(B302, _xlfn._xlws.FILTER(B:B, A:A="2021-03"), 0))), "Left", "Ativo")</f>
        <v>Ativo</v>
      </c>
      <c r="F302" s="12" t="str" cm="1">
        <f t="array" ref="F302">IF(AND(A302="2021-03", ISNA(MATCH(B302, _xlfn._xlws.FILTER(B:B, A:A="2021-04"), 0))), "Left", "Ativo")</f>
        <v>Ativo</v>
      </c>
    </row>
    <row r="303" spans="1:6" x14ac:dyDescent="0.25">
      <c r="A303" t="s">
        <v>1528</v>
      </c>
      <c r="B303" t="s">
        <v>302</v>
      </c>
      <c r="C303" s="10" t="str" cm="1">
        <f t="array" ref="C303">IF(AND(A303="2020-12", ISNA(MATCH(B303, _xlfn._xlws.FILTER(B:B, A:A="2021-01"), 0))), "Left", "Ativo")</f>
        <v>Ativo</v>
      </c>
      <c r="D303" s="10" t="str" cm="1">
        <f t="array" ref="D303">IF(AND(A303="2021-01", ISNA(MATCH(B303, _xlfn._xlws.FILTER(B:B, A:A="2021-02"), 0))), "Left", "Ativo")</f>
        <v>Ativo</v>
      </c>
      <c r="E303" s="10" t="str" cm="1">
        <f t="array" ref="E303">IF(AND(A303="2021-02", ISNA(MATCH(B303, _xlfn._xlws.FILTER(B:B, A:A="2021-03"), 0))), "Left", "Ativo")</f>
        <v>Ativo</v>
      </c>
      <c r="F303" s="12" t="str" cm="1">
        <f t="array" ref="F303">IF(AND(A303="2021-03", ISNA(MATCH(B303, _xlfn._xlws.FILTER(B:B, A:A="2021-04"), 0))), "Left", "Ativo")</f>
        <v>Ativo</v>
      </c>
    </row>
    <row r="304" spans="1:6" x14ac:dyDescent="0.25">
      <c r="A304" t="s">
        <v>1528</v>
      </c>
      <c r="B304" t="s">
        <v>303</v>
      </c>
      <c r="C304" s="10" t="str" cm="1">
        <f t="array" ref="C304">IF(AND(A304="2020-12", ISNA(MATCH(B304, _xlfn._xlws.FILTER(B:B, A:A="2021-01"), 0))), "Left", "Ativo")</f>
        <v>Ativo</v>
      </c>
      <c r="D304" s="10" t="str" cm="1">
        <f t="array" ref="D304">IF(AND(A304="2021-01", ISNA(MATCH(B304, _xlfn._xlws.FILTER(B:B, A:A="2021-02"), 0))), "Left", "Ativo")</f>
        <v>Ativo</v>
      </c>
      <c r="E304" s="10" t="str" cm="1">
        <f t="array" ref="E304">IF(AND(A304="2021-02", ISNA(MATCH(B304, _xlfn._xlws.FILTER(B:B, A:A="2021-03"), 0))), "Left", "Ativo")</f>
        <v>Ativo</v>
      </c>
      <c r="F304" s="12" t="str" cm="1">
        <f t="array" ref="F304">IF(AND(A304="2021-03", ISNA(MATCH(B304, _xlfn._xlws.FILTER(B:B, A:A="2021-04"), 0))), "Left", "Ativo")</f>
        <v>Ativo</v>
      </c>
    </row>
    <row r="305" spans="1:6" x14ac:dyDescent="0.25">
      <c r="A305" t="s">
        <v>1528</v>
      </c>
      <c r="B305" t="s">
        <v>304</v>
      </c>
      <c r="C305" s="10" t="str" cm="1">
        <f t="array" ref="C305">IF(AND(A305="2020-12", ISNA(MATCH(B305, _xlfn._xlws.FILTER(B:B, A:A="2021-01"), 0))), "Left", "Ativo")</f>
        <v>Ativo</v>
      </c>
      <c r="D305" s="10" t="str" cm="1">
        <f t="array" ref="D305">IF(AND(A305="2021-01", ISNA(MATCH(B305, _xlfn._xlws.FILTER(B:B, A:A="2021-02"), 0))), "Left", "Ativo")</f>
        <v>Ativo</v>
      </c>
      <c r="E305" s="10" t="str" cm="1">
        <f t="array" ref="E305">IF(AND(A305="2021-02", ISNA(MATCH(B305, _xlfn._xlws.FILTER(B:B, A:A="2021-03"), 0))), "Left", "Ativo")</f>
        <v>Ativo</v>
      </c>
      <c r="F305" s="12" t="str" cm="1">
        <f t="array" ref="F305">IF(AND(A305="2021-03", ISNA(MATCH(B305, _xlfn._xlws.FILTER(B:B, A:A="2021-04"), 0))), "Left", "Ativo")</f>
        <v>Ativo</v>
      </c>
    </row>
    <row r="306" spans="1:6" x14ac:dyDescent="0.25">
      <c r="A306" t="s">
        <v>1528</v>
      </c>
      <c r="B306" t="s">
        <v>305</v>
      </c>
      <c r="C306" s="10" t="str" cm="1">
        <f t="array" ref="C306">IF(AND(A306="2020-12", ISNA(MATCH(B306, _xlfn._xlws.FILTER(B:B, A:A="2021-01"), 0))), "Left", "Ativo")</f>
        <v>Ativo</v>
      </c>
      <c r="D306" s="10" t="str" cm="1">
        <f t="array" ref="D306">IF(AND(A306="2021-01", ISNA(MATCH(B306, _xlfn._xlws.FILTER(B:B, A:A="2021-02"), 0))), "Left", "Ativo")</f>
        <v>Ativo</v>
      </c>
      <c r="E306" s="10" t="str" cm="1">
        <f t="array" ref="E306">IF(AND(A306="2021-02", ISNA(MATCH(B306, _xlfn._xlws.FILTER(B:B, A:A="2021-03"), 0))), "Left", "Ativo")</f>
        <v>Ativo</v>
      </c>
      <c r="F306" s="12" t="str" cm="1">
        <f t="array" ref="F306">IF(AND(A306="2021-03", ISNA(MATCH(B306, _xlfn._xlws.FILTER(B:B, A:A="2021-04"), 0))), "Left", "Ativo")</f>
        <v>Ativo</v>
      </c>
    </row>
    <row r="307" spans="1:6" x14ac:dyDescent="0.25">
      <c r="A307" t="s">
        <v>1528</v>
      </c>
      <c r="B307" t="s">
        <v>306</v>
      </c>
      <c r="C307" s="10" t="str" cm="1">
        <f t="array" ref="C307">IF(AND(A307="2020-12", ISNA(MATCH(B307, _xlfn._xlws.FILTER(B:B, A:A="2021-01"), 0))), "Left", "Ativo")</f>
        <v>Ativo</v>
      </c>
      <c r="D307" s="10" t="str" cm="1">
        <f t="array" ref="D307">IF(AND(A307="2021-01", ISNA(MATCH(B307, _xlfn._xlws.FILTER(B:B, A:A="2021-02"), 0))), "Left", "Ativo")</f>
        <v>Ativo</v>
      </c>
      <c r="E307" s="10" t="str" cm="1">
        <f t="array" ref="E307">IF(AND(A307="2021-02", ISNA(MATCH(B307, _xlfn._xlws.FILTER(B:B, A:A="2021-03"), 0))), "Left", "Ativo")</f>
        <v>Ativo</v>
      </c>
      <c r="F307" s="12" t="str" cm="1">
        <f t="array" ref="F307">IF(AND(A307="2021-03", ISNA(MATCH(B307, _xlfn._xlws.FILTER(B:B, A:A="2021-04"), 0))), "Left", "Ativo")</f>
        <v>Ativo</v>
      </c>
    </row>
    <row r="308" spans="1:6" x14ac:dyDescent="0.25">
      <c r="A308" t="s">
        <v>1528</v>
      </c>
      <c r="B308" t="s">
        <v>307</v>
      </c>
      <c r="C308" s="10" t="str" cm="1">
        <f t="array" ref="C308">IF(AND(A308="2020-12", ISNA(MATCH(B308, _xlfn._xlws.FILTER(B:B, A:A="2021-01"), 0))), "Left", "Ativo")</f>
        <v>Ativo</v>
      </c>
      <c r="D308" s="10" t="str" cm="1">
        <f t="array" ref="D308">IF(AND(A308="2021-01", ISNA(MATCH(B308, _xlfn._xlws.FILTER(B:B, A:A="2021-02"), 0))), "Left", "Ativo")</f>
        <v>Ativo</v>
      </c>
      <c r="E308" s="10" t="str" cm="1">
        <f t="array" ref="E308">IF(AND(A308="2021-02", ISNA(MATCH(B308, _xlfn._xlws.FILTER(B:B, A:A="2021-03"), 0))), "Left", "Ativo")</f>
        <v>Ativo</v>
      </c>
      <c r="F308" s="12" t="str" cm="1">
        <f t="array" ref="F308">IF(AND(A308="2021-03", ISNA(MATCH(B308, _xlfn._xlws.FILTER(B:B, A:A="2021-04"), 0))), "Left", "Ativo")</f>
        <v>Ativo</v>
      </c>
    </row>
    <row r="309" spans="1:6" x14ac:dyDescent="0.25">
      <c r="A309" t="s">
        <v>1528</v>
      </c>
      <c r="B309" t="s">
        <v>308</v>
      </c>
      <c r="C309" s="10" t="str" cm="1">
        <f t="array" ref="C309">IF(AND(A309="2020-12", ISNA(MATCH(B309, _xlfn._xlws.FILTER(B:B, A:A="2021-01"), 0))), "Left", "Ativo")</f>
        <v>Ativo</v>
      </c>
      <c r="D309" s="10" t="str" cm="1">
        <f t="array" ref="D309">IF(AND(A309="2021-01", ISNA(MATCH(B309, _xlfn._xlws.FILTER(B:B, A:A="2021-02"), 0))), "Left", "Ativo")</f>
        <v>Ativo</v>
      </c>
      <c r="E309" s="10" t="str" cm="1">
        <f t="array" ref="E309">IF(AND(A309="2021-02", ISNA(MATCH(B309, _xlfn._xlws.FILTER(B:B, A:A="2021-03"), 0))), "Left", "Ativo")</f>
        <v>Ativo</v>
      </c>
      <c r="F309" s="12" t="str" cm="1">
        <f t="array" ref="F309">IF(AND(A309="2021-03", ISNA(MATCH(B309, _xlfn._xlws.FILTER(B:B, A:A="2021-04"), 0))), "Left", "Ativo")</f>
        <v>Ativo</v>
      </c>
    </row>
    <row r="310" spans="1:6" x14ac:dyDescent="0.25">
      <c r="A310" t="s">
        <v>1528</v>
      </c>
      <c r="B310" t="s">
        <v>309</v>
      </c>
      <c r="C310" s="10" t="str" cm="1">
        <f t="array" ref="C310">IF(AND(A310="2020-12", ISNA(MATCH(B310, _xlfn._xlws.FILTER(B:B, A:A="2021-01"), 0))), "Left", "Ativo")</f>
        <v>Ativo</v>
      </c>
      <c r="D310" s="10" t="str" cm="1">
        <f t="array" ref="D310">IF(AND(A310="2021-01", ISNA(MATCH(B310, _xlfn._xlws.FILTER(B:B, A:A="2021-02"), 0))), "Left", "Ativo")</f>
        <v>Ativo</v>
      </c>
      <c r="E310" s="10" t="str" cm="1">
        <f t="array" ref="E310">IF(AND(A310="2021-02", ISNA(MATCH(B310, _xlfn._xlws.FILTER(B:B, A:A="2021-03"), 0))), "Left", "Ativo")</f>
        <v>Ativo</v>
      </c>
      <c r="F310" s="12" t="str" cm="1">
        <f t="array" ref="F310">IF(AND(A310="2021-03", ISNA(MATCH(B310, _xlfn._xlws.FILTER(B:B, A:A="2021-04"), 0))), "Left", "Ativo")</f>
        <v>Ativo</v>
      </c>
    </row>
    <row r="311" spans="1:6" x14ac:dyDescent="0.25">
      <c r="A311" t="s">
        <v>1528</v>
      </c>
      <c r="B311" t="s">
        <v>310</v>
      </c>
      <c r="C311" s="10" t="str" cm="1">
        <f t="array" ref="C311">IF(AND(A311="2020-12", ISNA(MATCH(B311, _xlfn._xlws.FILTER(B:B, A:A="2021-01"), 0))), "Left", "Ativo")</f>
        <v>Ativo</v>
      </c>
      <c r="D311" s="10" t="str" cm="1">
        <f t="array" ref="D311">IF(AND(A311="2021-01", ISNA(MATCH(B311, _xlfn._xlws.FILTER(B:B, A:A="2021-02"), 0))), "Left", "Ativo")</f>
        <v>Ativo</v>
      </c>
      <c r="E311" s="10" t="str" cm="1">
        <f t="array" ref="E311">IF(AND(A311="2021-02", ISNA(MATCH(B311, _xlfn._xlws.FILTER(B:B, A:A="2021-03"), 0))), "Left", "Ativo")</f>
        <v>Ativo</v>
      </c>
      <c r="F311" s="12" t="str" cm="1">
        <f t="array" ref="F311">IF(AND(A311="2021-03", ISNA(MATCH(B311, _xlfn._xlws.FILTER(B:B, A:A="2021-04"), 0))), "Left", "Ativo")</f>
        <v>Ativo</v>
      </c>
    </row>
    <row r="312" spans="1:6" x14ac:dyDescent="0.25">
      <c r="A312" t="s">
        <v>1528</v>
      </c>
      <c r="B312" t="s">
        <v>311</v>
      </c>
      <c r="C312" s="10" t="str" cm="1">
        <f t="array" ref="C312">IF(AND(A312="2020-12", ISNA(MATCH(B312, _xlfn._xlws.FILTER(B:B, A:A="2021-01"), 0))), "Left", "Ativo")</f>
        <v>Ativo</v>
      </c>
      <c r="D312" s="10" t="str" cm="1">
        <f t="array" ref="D312">IF(AND(A312="2021-01", ISNA(MATCH(B312, _xlfn._xlws.FILTER(B:B, A:A="2021-02"), 0))), "Left", "Ativo")</f>
        <v>Ativo</v>
      </c>
      <c r="E312" s="10" t="str" cm="1">
        <f t="array" ref="E312">IF(AND(A312="2021-02", ISNA(MATCH(B312, _xlfn._xlws.FILTER(B:B, A:A="2021-03"), 0))), "Left", "Ativo")</f>
        <v>Ativo</v>
      </c>
      <c r="F312" s="12" t="str" cm="1">
        <f t="array" ref="F312">IF(AND(A312="2021-03", ISNA(MATCH(B312, _xlfn._xlws.FILTER(B:B, A:A="2021-04"), 0))), "Left", "Ativo")</f>
        <v>Ativo</v>
      </c>
    </row>
    <row r="313" spans="1:6" x14ac:dyDescent="0.25">
      <c r="A313" t="s">
        <v>1528</v>
      </c>
      <c r="B313" t="s">
        <v>312</v>
      </c>
      <c r="C313" s="10" t="str" cm="1">
        <f t="array" ref="C313">IF(AND(A313="2020-12", ISNA(MATCH(B313, _xlfn._xlws.FILTER(B:B, A:A="2021-01"), 0))), "Left", "Ativo")</f>
        <v>Ativo</v>
      </c>
      <c r="D313" s="10" t="str" cm="1">
        <f t="array" ref="D313">IF(AND(A313="2021-01", ISNA(MATCH(B313, _xlfn._xlws.FILTER(B:B, A:A="2021-02"), 0))), "Left", "Ativo")</f>
        <v>Ativo</v>
      </c>
      <c r="E313" s="10" t="str" cm="1">
        <f t="array" ref="E313">IF(AND(A313="2021-02", ISNA(MATCH(B313, _xlfn._xlws.FILTER(B:B, A:A="2021-03"), 0))), "Left", "Ativo")</f>
        <v>Ativo</v>
      </c>
      <c r="F313" s="12" t="str" cm="1">
        <f t="array" ref="F313">IF(AND(A313="2021-03", ISNA(MATCH(B313, _xlfn._xlws.FILTER(B:B, A:A="2021-04"), 0))), "Left", "Ativo")</f>
        <v>Ativo</v>
      </c>
    </row>
    <row r="314" spans="1:6" x14ac:dyDescent="0.25">
      <c r="A314" t="s">
        <v>1528</v>
      </c>
      <c r="B314" t="s">
        <v>313</v>
      </c>
      <c r="C314" s="10" t="str" cm="1">
        <f t="array" ref="C314">IF(AND(A314="2020-12", ISNA(MATCH(B314, _xlfn._xlws.FILTER(B:B, A:A="2021-01"), 0))), "Left", "Ativo")</f>
        <v>Ativo</v>
      </c>
      <c r="D314" s="10" t="str" cm="1">
        <f t="array" ref="D314">IF(AND(A314="2021-01", ISNA(MATCH(B314, _xlfn._xlws.FILTER(B:B, A:A="2021-02"), 0))), "Left", "Ativo")</f>
        <v>Ativo</v>
      </c>
      <c r="E314" s="10" t="str" cm="1">
        <f t="array" ref="E314">IF(AND(A314="2021-02", ISNA(MATCH(B314, _xlfn._xlws.FILTER(B:B, A:A="2021-03"), 0))), "Left", "Ativo")</f>
        <v>Ativo</v>
      </c>
      <c r="F314" s="12" t="str" cm="1">
        <f t="array" ref="F314">IF(AND(A314="2021-03", ISNA(MATCH(B314, _xlfn._xlws.FILTER(B:B, A:A="2021-04"), 0))), "Left", "Ativo")</f>
        <v>Ativo</v>
      </c>
    </row>
    <row r="315" spans="1:6" x14ac:dyDescent="0.25">
      <c r="A315" t="s">
        <v>1528</v>
      </c>
      <c r="B315" t="s">
        <v>314</v>
      </c>
      <c r="C315" s="10" t="str" cm="1">
        <f t="array" ref="C315">IF(AND(A315="2020-12", ISNA(MATCH(B315, _xlfn._xlws.FILTER(B:B, A:A="2021-01"), 0))), "Left", "Ativo")</f>
        <v>Ativo</v>
      </c>
      <c r="D315" s="10" t="str" cm="1">
        <f t="array" ref="D315">IF(AND(A315="2021-01", ISNA(MATCH(B315, _xlfn._xlws.FILTER(B:B, A:A="2021-02"), 0))), "Left", "Ativo")</f>
        <v>Ativo</v>
      </c>
      <c r="E315" s="10" t="str" cm="1">
        <f t="array" ref="E315">IF(AND(A315="2021-02", ISNA(MATCH(B315, _xlfn._xlws.FILTER(B:B, A:A="2021-03"), 0))), "Left", "Ativo")</f>
        <v>Ativo</v>
      </c>
      <c r="F315" s="12" t="str" cm="1">
        <f t="array" ref="F315">IF(AND(A315="2021-03", ISNA(MATCH(B315, _xlfn._xlws.FILTER(B:B, A:A="2021-04"), 0))), "Left", "Ativo")</f>
        <v>Ativo</v>
      </c>
    </row>
    <row r="316" spans="1:6" x14ac:dyDescent="0.25">
      <c r="A316" t="s">
        <v>1528</v>
      </c>
      <c r="B316" t="s">
        <v>315</v>
      </c>
      <c r="C316" s="10" t="str" cm="1">
        <f t="array" ref="C316">IF(AND(A316="2020-12", ISNA(MATCH(B316, _xlfn._xlws.FILTER(B:B, A:A="2021-01"), 0))), "Left", "Ativo")</f>
        <v>Ativo</v>
      </c>
      <c r="D316" s="10" t="str" cm="1">
        <f t="array" ref="D316">IF(AND(A316="2021-01", ISNA(MATCH(B316, _xlfn._xlws.FILTER(B:B, A:A="2021-02"), 0))), "Left", "Ativo")</f>
        <v>Ativo</v>
      </c>
      <c r="E316" s="10" t="str" cm="1">
        <f t="array" ref="E316">IF(AND(A316="2021-02", ISNA(MATCH(B316, _xlfn._xlws.FILTER(B:B, A:A="2021-03"), 0))), "Left", "Ativo")</f>
        <v>Ativo</v>
      </c>
      <c r="F316" s="12" t="str" cm="1">
        <f t="array" ref="F316">IF(AND(A316="2021-03", ISNA(MATCH(B316, _xlfn._xlws.FILTER(B:B, A:A="2021-04"), 0))), "Left", "Ativo")</f>
        <v>Ativo</v>
      </c>
    </row>
    <row r="317" spans="1:6" x14ac:dyDescent="0.25">
      <c r="A317" t="s">
        <v>1528</v>
      </c>
      <c r="B317" t="s">
        <v>316</v>
      </c>
      <c r="C317" s="10" t="str" cm="1">
        <f t="array" ref="C317">IF(AND(A317="2020-12", ISNA(MATCH(B317, _xlfn._xlws.FILTER(B:B, A:A="2021-01"), 0))), "Left", "Ativo")</f>
        <v>Ativo</v>
      </c>
      <c r="D317" s="10" t="str" cm="1">
        <f t="array" ref="D317">IF(AND(A317="2021-01", ISNA(MATCH(B317, _xlfn._xlws.FILTER(B:B, A:A="2021-02"), 0))), "Left", "Ativo")</f>
        <v>Ativo</v>
      </c>
      <c r="E317" s="10" t="str" cm="1">
        <f t="array" ref="E317">IF(AND(A317="2021-02", ISNA(MATCH(B317, _xlfn._xlws.FILTER(B:B, A:A="2021-03"), 0))), "Left", "Ativo")</f>
        <v>Ativo</v>
      </c>
      <c r="F317" s="12" t="str" cm="1">
        <f t="array" ref="F317">IF(AND(A317="2021-03", ISNA(MATCH(B317, _xlfn._xlws.FILTER(B:B, A:A="2021-04"), 0))), "Left", "Ativo")</f>
        <v>Ativo</v>
      </c>
    </row>
    <row r="318" spans="1:6" x14ac:dyDescent="0.25">
      <c r="A318" t="s">
        <v>1528</v>
      </c>
      <c r="B318" t="s">
        <v>317</v>
      </c>
      <c r="C318" s="10" t="str" cm="1">
        <f t="array" ref="C318">IF(AND(A318="2020-12", ISNA(MATCH(B318, _xlfn._xlws.FILTER(B:B, A:A="2021-01"), 0))), "Left", "Ativo")</f>
        <v>Ativo</v>
      </c>
      <c r="D318" s="10" t="str" cm="1">
        <f t="array" ref="D318">IF(AND(A318="2021-01", ISNA(MATCH(B318, _xlfn._xlws.FILTER(B:B, A:A="2021-02"), 0))), "Left", "Ativo")</f>
        <v>Ativo</v>
      </c>
      <c r="E318" s="10" t="str" cm="1">
        <f t="array" ref="E318">IF(AND(A318="2021-02", ISNA(MATCH(B318, _xlfn._xlws.FILTER(B:B, A:A="2021-03"), 0))), "Left", "Ativo")</f>
        <v>Ativo</v>
      </c>
      <c r="F318" s="12" t="str" cm="1">
        <f t="array" ref="F318">IF(AND(A318="2021-03", ISNA(MATCH(B318, _xlfn._xlws.FILTER(B:B, A:A="2021-04"), 0))), "Left", "Ativo")</f>
        <v>Ativo</v>
      </c>
    </row>
    <row r="319" spans="1:6" x14ac:dyDescent="0.25">
      <c r="A319" t="s">
        <v>1528</v>
      </c>
      <c r="B319" t="s">
        <v>318</v>
      </c>
      <c r="C319" s="10" t="str" cm="1">
        <f t="array" ref="C319">IF(AND(A319="2020-12", ISNA(MATCH(B319, _xlfn._xlws.FILTER(B:B, A:A="2021-01"), 0))), "Left", "Ativo")</f>
        <v>Ativo</v>
      </c>
      <c r="D319" s="10" t="str" cm="1">
        <f t="array" ref="D319">IF(AND(A319="2021-01", ISNA(MATCH(B319, _xlfn._xlws.FILTER(B:B, A:A="2021-02"), 0))), "Left", "Ativo")</f>
        <v>Ativo</v>
      </c>
      <c r="E319" s="10" t="str" cm="1">
        <f t="array" ref="E319">IF(AND(A319="2021-02", ISNA(MATCH(B319, _xlfn._xlws.FILTER(B:B, A:A="2021-03"), 0))), "Left", "Ativo")</f>
        <v>Ativo</v>
      </c>
      <c r="F319" s="12" t="str" cm="1">
        <f t="array" ref="F319">IF(AND(A319="2021-03", ISNA(MATCH(B319, _xlfn._xlws.FILTER(B:B, A:A="2021-04"), 0))), "Left", "Ativo")</f>
        <v>Ativo</v>
      </c>
    </row>
    <row r="320" spans="1:6" x14ac:dyDescent="0.25">
      <c r="A320" t="s">
        <v>1528</v>
      </c>
      <c r="B320" t="s">
        <v>319</v>
      </c>
      <c r="C320" s="10" t="str" cm="1">
        <f t="array" ref="C320">IF(AND(A320="2020-12", ISNA(MATCH(B320, _xlfn._xlws.FILTER(B:B, A:A="2021-01"), 0))), "Left", "Ativo")</f>
        <v>Ativo</v>
      </c>
      <c r="D320" s="10" t="str" cm="1">
        <f t="array" ref="D320">IF(AND(A320="2021-01", ISNA(MATCH(B320, _xlfn._xlws.FILTER(B:B, A:A="2021-02"), 0))), "Left", "Ativo")</f>
        <v>Ativo</v>
      </c>
      <c r="E320" s="10" t="str" cm="1">
        <f t="array" ref="E320">IF(AND(A320="2021-02", ISNA(MATCH(B320, _xlfn._xlws.FILTER(B:B, A:A="2021-03"), 0))), "Left", "Ativo")</f>
        <v>Ativo</v>
      </c>
      <c r="F320" s="12" t="str" cm="1">
        <f t="array" ref="F320">IF(AND(A320="2021-03", ISNA(MATCH(B320, _xlfn._xlws.FILTER(B:B, A:A="2021-04"), 0))), "Left", "Ativo")</f>
        <v>Ativo</v>
      </c>
    </row>
    <row r="321" spans="1:6" x14ac:dyDescent="0.25">
      <c r="A321" t="s">
        <v>1528</v>
      </c>
      <c r="B321" t="s">
        <v>320</v>
      </c>
      <c r="C321" s="10" t="str" cm="1">
        <f t="array" ref="C321">IF(AND(A321="2020-12", ISNA(MATCH(B321, _xlfn._xlws.FILTER(B:B, A:A="2021-01"), 0))), "Left", "Ativo")</f>
        <v>Ativo</v>
      </c>
      <c r="D321" s="10" t="str" cm="1">
        <f t="array" ref="D321">IF(AND(A321="2021-01", ISNA(MATCH(B321, _xlfn._xlws.FILTER(B:B, A:A="2021-02"), 0))), "Left", "Ativo")</f>
        <v>Ativo</v>
      </c>
      <c r="E321" s="10" t="str" cm="1">
        <f t="array" ref="E321">IF(AND(A321="2021-02", ISNA(MATCH(B321, _xlfn._xlws.FILTER(B:B, A:A="2021-03"), 0))), "Left", "Ativo")</f>
        <v>Ativo</v>
      </c>
      <c r="F321" s="12" t="str" cm="1">
        <f t="array" ref="F321">IF(AND(A321="2021-03", ISNA(MATCH(B321, _xlfn._xlws.FILTER(B:B, A:A="2021-04"), 0))), "Left", "Ativo")</f>
        <v>Ativo</v>
      </c>
    </row>
    <row r="322" spans="1:6" x14ac:dyDescent="0.25">
      <c r="A322" t="s">
        <v>1528</v>
      </c>
      <c r="B322" t="s">
        <v>321</v>
      </c>
      <c r="C322" s="10" t="str" cm="1">
        <f t="array" ref="C322">IF(AND(A322="2020-12", ISNA(MATCH(B322, _xlfn._xlws.FILTER(B:B, A:A="2021-01"), 0))), "Left", "Ativo")</f>
        <v>Ativo</v>
      </c>
      <c r="D322" s="10" t="str" cm="1">
        <f t="array" ref="D322">IF(AND(A322="2021-01", ISNA(MATCH(B322, _xlfn._xlws.FILTER(B:B, A:A="2021-02"), 0))), "Left", "Ativo")</f>
        <v>Ativo</v>
      </c>
      <c r="E322" s="10" t="str" cm="1">
        <f t="array" ref="E322">IF(AND(A322="2021-02", ISNA(MATCH(B322, _xlfn._xlws.FILTER(B:B, A:A="2021-03"), 0))), "Left", "Ativo")</f>
        <v>Ativo</v>
      </c>
      <c r="F322" s="12" t="str" cm="1">
        <f t="array" ref="F322">IF(AND(A322="2021-03", ISNA(MATCH(B322, _xlfn._xlws.FILTER(B:B, A:A="2021-04"), 0))), "Left", "Ativo")</f>
        <v>Ativo</v>
      </c>
    </row>
    <row r="323" spans="1:6" x14ac:dyDescent="0.25">
      <c r="A323" t="s">
        <v>1528</v>
      </c>
      <c r="B323" t="s">
        <v>322</v>
      </c>
      <c r="C323" s="10" t="str" cm="1">
        <f t="array" ref="C323">IF(AND(A323="2020-12", ISNA(MATCH(B323, _xlfn._xlws.FILTER(B:B, A:A="2021-01"), 0))), "Left", "Ativo")</f>
        <v>Ativo</v>
      </c>
      <c r="D323" s="10" t="str" cm="1">
        <f t="array" ref="D323">IF(AND(A323="2021-01", ISNA(MATCH(B323, _xlfn._xlws.FILTER(B:B, A:A="2021-02"), 0))), "Left", "Ativo")</f>
        <v>Ativo</v>
      </c>
      <c r="E323" s="10" t="str" cm="1">
        <f t="array" ref="E323">IF(AND(A323="2021-02", ISNA(MATCH(B323, _xlfn._xlws.FILTER(B:B, A:A="2021-03"), 0))), "Left", "Ativo")</f>
        <v>Ativo</v>
      </c>
      <c r="F323" s="12" t="str" cm="1">
        <f t="array" ref="F323">IF(AND(A323="2021-03", ISNA(MATCH(B323, _xlfn._xlws.FILTER(B:B, A:A="2021-04"), 0))), "Left", "Ativo")</f>
        <v>Ativo</v>
      </c>
    </row>
    <row r="324" spans="1:6" x14ac:dyDescent="0.25">
      <c r="A324" t="s">
        <v>1528</v>
      </c>
      <c r="B324" t="s">
        <v>323</v>
      </c>
      <c r="C324" s="10" t="str" cm="1">
        <f t="array" ref="C324">IF(AND(A324="2020-12", ISNA(MATCH(B324, _xlfn._xlws.FILTER(B:B, A:A="2021-01"), 0))), "Left", "Ativo")</f>
        <v>Ativo</v>
      </c>
      <c r="D324" s="10" t="str" cm="1">
        <f t="array" ref="D324">IF(AND(A324="2021-01", ISNA(MATCH(B324, _xlfn._xlws.FILTER(B:B, A:A="2021-02"), 0))), "Left", "Ativo")</f>
        <v>Ativo</v>
      </c>
      <c r="E324" s="10" t="str" cm="1">
        <f t="array" ref="E324">IF(AND(A324="2021-02", ISNA(MATCH(B324, _xlfn._xlws.FILTER(B:B, A:A="2021-03"), 0))), "Left", "Ativo")</f>
        <v>Ativo</v>
      </c>
      <c r="F324" s="12" t="str" cm="1">
        <f t="array" ref="F324">IF(AND(A324="2021-03", ISNA(MATCH(B324, _xlfn._xlws.FILTER(B:B, A:A="2021-04"), 0))), "Left", "Ativo")</f>
        <v>Ativo</v>
      </c>
    </row>
    <row r="325" spans="1:6" x14ac:dyDescent="0.25">
      <c r="A325" t="s">
        <v>1528</v>
      </c>
      <c r="B325" t="s">
        <v>324</v>
      </c>
      <c r="C325" s="10" t="str" cm="1">
        <f t="array" ref="C325">IF(AND(A325="2020-12", ISNA(MATCH(B325, _xlfn._xlws.FILTER(B:B, A:A="2021-01"), 0))), "Left", "Ativo")</f>
        <v>Ativo</v>
      </c>
      <c r="D325" s="10" t="str" cm="1">
        <f t="array" ref="D325">IF(AND(A325="2021-01", ISNA(MATCH(B325, _xlfn._xlws.FILTER(B:B, A:A="2021-02"), 0))), "Left", "Ativo")</f>
        <v>Ativo</v>
      </c>
      <c r="E325" s="10" t="str" cm="1">
        <f t="array" ref="E325">IF(AND(A325="2021-02", ISNA(MATCH(B325, _xlfn._xlws.FILTER(B:B, A:A="2021-03"), 0))), "Left", "Ativo")</f>
        <v>Ativo</v>
      </c>
      <c r="F325" s="12" t="str" cm="1">
        <f t="array" ref="F325">IF(AND(A325="2021-03", ISNA(MATCH(B325, _xlfn._xlws.FILTER(B:B, A:A="2021-04"), 0))), "Left", "Ativo")</f>
        <v>Ativo</v>
      </c>
    </row>
    <row r="326" spans="1:6" x14ac:dyDescent="0.25">
      <c r="A326" t="s">
        <v>1528</v>
      </c>
      <c r="B326" t="s">
        <v>325</v>
      </c>
      <c r="C326" s="10" t="str" cm="1">
        <f t="array" ref="C326">IF(AND(A326="2020-12", ISNA(MATCH(B326, _xlfn._xlws.FILTER(B:B, A:A="2021-01"), 0))), "Left", "Ativo")</f>
        <v>Ativo</v>
      </c>
      <c r="D326" s="10" t="str" cm="1">
        <f t="array" ref="D326">IF(AND(A326="2021-01", ISNA(MATCH(B326, _xlfn._xlws.FILTER(B:B, A:A="2021-02"), 0))), "Left", "Ativo")</f>
        <v>Ativo</v>
      </c>
      <c r="E326" s="10" t="str" cm="1">
        <f t="array" ref="E326">IF(AND(A326="2021-02", ISNA(MATCH(B326, _xlfn._xlws.FILTER(B:B, A:A="2021-03"), 0))), "Left", "Ativo")</f>
        <v>Ativo</v>
      </c>
      <c r="F326" s="12" t="str" cm="1">
        <f t="array" ref="F326">IF(AND(A326="2021-03", ISNA(MATCH(B326, _xlfn._xlws.FILTER(B:B, A:A="2021-04"), 0))), "Left", "Ativo")</f>
        <v>Ativo</v>
      </c>
    </row>
    <row r="327" spans="1:6" x14ac:dyDescent="0.25">
      <c r="A327" t="s">
        <v>1528</v>
      </c>
      <c r="B327" t="s">
        <v>326</v>
      </c>
      <c r="C327" s="10" t="str" cm="1">
        <f t="array" ref="C327">IF(AND(A327="2020-12", ISNA(MATCH(B327, _xlfn._xlws.FILTER(B:B, A:A="2021-01"), 0))), "Left", "Ativo")</f>
        <v>Ativo</v>
      </c>
      <c r="D327" s="10" t="str" cm="1">
        <f t="array" ref="D327">IF(AND(A327="2021-01", ISNA(MATCH(B327, _xlfn._xlws.FILTER(B:B, A:A="2021-02"), 0))), "Left", "Ativo")</f>
        <v>Ativo</v>
      </c>
      <c r="E327" s="10" t="str" cm="1">
        <f t="array" ref="E327">IF(AND(A327="2021-02", ISNA(MATCH(B327, _xlfn._xlws.FILTER(B:B, A:A="2021-03"), 0))), "Left", "Ativo")</f>
        <v>Ativo</v>
      </c>
      <c r="F327" s="12" t="str" cm="1">
        <f t="array" ref="F327">IF(AND(A327="2021-03", ISNA(MATCH(B327, _xlfn._xlws.FILTER(B:B, A:A="2021-04"), 0))), "Left", "Ativo")</f>
        <v>Ativo</v>
      </c>
    </row>
    <row r="328" spans="1:6" x14ac:dyDescent="0.25">
      <c r="A328" t="s">
        <v>1528</v>
      </c>
      <c r="B328" t="s">
        <v>327</v>
      </c>
      <c r="C328" s="10" t="str" cm="1">
        <f t="array" ref="C328">IF(AND(A328="2020-12", ISNA(MATCH(B328, _xlfn._xlws.FILTER(B:B, A:A="2021-01"), 0))), "Left", "Ativo")</f>
        <v>Ativo</v>
      </c>
      <c r="D328" s="10" t="str" cm="1">
        <f t="array" ref="D328">IF(AND(A328="2021-01", ISNA(MATCH(B328, _xlfn._xlws.FILTER(B:B, A:A="2021-02"), 0))), "Left", "Ativo")</f>
        <v>Ativo</v>
      </c>
      <c r="E328" s="10" t="str" cm="1">
        <f t="array" ref="E328">IF(AND(A328="2021-02", ISNA(MATCH(B328, _xlfn._xlws.FILTER(B:B, A:A="2021-03"), 0))), "Left", "Ativo")</f>
        <v>Ativo</v>
      </c>
      <c r="F328" s="12" t="str" cm="1">
        <f t="array" ref="F328">IF(AND(A328="2021-03", ISNA(MATCH(B328, _xlfn._xlws.FILTER(B:B, A:A="2021-04"), 0))), "Left", "Ativo")</f>
        <v>Ativo</v>
      </c>
    </row>
    <row r="329" spans="1:6" x14ac:dyDescent="0.25">
      <c r="A329" t="s">
        <v>1528</v>
      </c>
      <c r="B329" t="s">
        <v>328</v>
      </c>
      <c r="C329" s="10" t="str" cm="1">
        <f t="array" ref="C329">IF(AND(A329="2020-12", ISNA(MATCH(B329, _xlfn._xlws.FILTER(B:B, A:A="2021-01"), 0))), "Left", "Ativo")</f>
        <v>Ativo</v>
      </c>
      <c r="D329" s="10" t="str" cm="1">
        <f t="array" ref="D329">IF(AND(A329="2021-01", ISNA(MATCH(B329, _xlfn._xlws.FILTER(B:B, A:A="2021-02"), 0))), "Left", "Ativo")</f>
        <v>Ativo</v>
      </c>
      <c r="E329" s="10" t="str" cm="1">
        <f t="array" ref="E329">IF(AND(A329="2021-02", ISNA(MATCH(B329, _xlfn._xlws.FILTER(B:B, A:A="2021-03"), 0))), "Left", "Ativo")</f>
        <v>Ativo</v>
      </c>
      <c r="F329" s="12" t="str" cm="1">
        <f t="array" ref="F329">IF(AND(A329="2021-03", ISNA(MATCH(B329, _xlfn._xlws.FILTER(B:B, A:A="2021-04"), 0))), "Left", "Ativo")</f>
        <v>Ativo</v>
      </c>
    </row>
    <row r="330" spans="1:6" x14ac:dyDescent="0.25">
      <c r="A330" t="s">
        <v>1528</v>
      </c>
      <c r="B330" t="s">
        <v>329</v>
      </c>
      <c r="C330" s="10" t="str" cm="1">
        <f t="array" ref="C330">IF(AND(A330="2020-12", ISNA(MATCH(B330, _xlfn._xlws.FILTER(B:B, A:A="2021-01"), 0))), "Left", "Ativo")</f>
        <v>Ativo</v>
      </c>
      <c r="D330" s="10" t="str" cm="1">
        <f t="array" ref="D330">IF(AND(A330="2021-01", ISNA(MATCH(B330, _xlfn._xlws.FILTER(B:B, A:A="2021-02"), 0))), "Left", "Ativo")</f>
        <v>Ativo</v>
      </c>
      <c r="E330" s="10" t="str" cm="1">
        <f t="array" ref="E330">IF(AND(A330="2021-02", ISNA(MATCH(B330, _xlfn._xlws.FILTER(B:B, A:A="2021-03"), 0))), "Left", "Ativo")</f>
        <v>Ativo</v>
      </c>
      <c r="F330" s="12" t="str" cm="1">
        <f t="array" ref="F330">IF(AND(A330="2021-03", ISNA(MATCH(B330, _xlfn._xlws.FILTER(B:B, A:A="2021-04"), 0))), "Left", "Ativo")</f>
        <v>Ativo</v>
      </c>
    </row>
    <row r="331" spans="1:6" x14ac:dyDescent="0.25">
      <c r="A331" t="s">
        <v>1528</v>
      </c>
      <c r="B331" t="s">
        <v>330</v>
      </c>
      <c r="C331" s="10" t="str" cm="1">
        <f t="array" ref="C331">IF(AND(A331="2020-12", ISNA(MATCH(B331, _xlfn._xlws.FILTER(B:B, A:A="2021-01"), 0))), "Left", "Ativo")</f>
        <v>Ativo</v>
      </c>
      <c r="D331" s="10" t="str" cm="1">
        <f t="array" ref="D331">IF(AND(A331="2021-01", ISNA(MATCH(B331, _xlfn._xlws.FILTER(B:B, A:A="2021-02"), 0))), "Left", "Ativo")</f>
        <v>Ativo</v>
      </c>
      <c r="E331" s="10" t="str" cm="1">
        <f t="array" ref="E331">IF(AND(A331="2021-02", ISNA(MATCH(B331, _xlfn._xlws.FILTER(B:B, A:A="2021-03"), 0))), "Left", "Ativo")</f>
        <v>Ativo</v>
      </c>
      <c r="F331" s="12" t="str" cm="1">
        <f t="array" ref="F331">IF(AND(A331="2021-03", ISNA(MATCH(B331, _xlfn._xlws.FILTER(B:B, A:A="2021-04"), 0))), "Left", "Ativo")</f>
        <v>Ativo</v>
      </c>
    </row>
    <row r="332" spans="1:6" x14ac:dyDescent="0.25">
      <c r="A332" t="s">
        <v>1528</v>
      </c>
      <c r="B332" t="s">
        <v>331</v>
      </c>
      <c r="C332" s="10" t="str" cm="1">
        <f t="array" ref="C332">IF(AND(A332="2020-12", ISNA(MATCH(B332, _xlfn._xlws.FILTER(B:B, A:A="2021-01"), 0))), "Left", "Ativo")</f>
        <v>Ativo</v>
      </c>
      <c r="D332" s="10" t="str" cm="1">
        <f t="array" ref="D332">IF(AND(A332="2021-01", ISNA(MATCH(B332, _xlfn._xlws.FILTER(B:B, A:A="2021-02"), 0))), "Left", "Ativo")</f>
        <v>Ativo</v>
      </c>
      <c r="E332" s="10" t="str" cm="1">
        <f t="array" ref="E332">IF(AND(A332="2021-02", ISNA(MATCH(B332, _xlfn._xlws.FILTER(B:B, A:A="2021-03"), 0))), "Left", "Ativo")</f>
        <v>Ativo</v>
      </c>
      <c r="F332" s="12" t="str" cm="1">
        <f t="array" ref="F332">IF(AND(A332="2021-03", ISNA(MATCH(B332, _xlfn._xlws.FILTER(B:B, A:A="2021-04"), 0))), "Left", "Ativo")</f>
        <v>Ativo</v>
      </c>
    </row>
    <row r="333" spans="1:6" x14ac:dyDescent="0.25">
      <c r="A333" t="s">
        <v>1528</v>
      </c>
      <c r="B333" t="s">
        <v>332</v>
      </c>
      <c r="C333" s="10" t="str" cm="1">
        <f t="array" ref="C333">IF(AND(A333="2020-12", ISNA(MATCH(B333, _xlfn._xlws.FILTER(B:B, A:A="2021-01"), 0))), "Left", "Ativo")</f>
        <v>Ativo</v>
      </c>
      <c r="D333" s="10" t="str" cm="1">
        <f t="array" ref="D333">IF(AND(A333="2021-01", ISNA(MATCH(B333, _xlfn._xlws.FILTER(B:B, A:A="2021-02"), 0))), "Left", "Ativo")</f>
        <v>Ativo</v>
      </c>
      <c r="E333" s="10" t="str" cm="1">
        <f t="array" ref="E333">IF(AND(A333="2021-02", ISNA(MATCH(B333, _xlfn._xlws.FILTER(B:B, A:A="2021-03"), 0))), "Left", "Ativo")</f>
        <v>Ativo</v>
      </c>
      <c r="F333" s="12" t="str" cm="1">
        <f t="array" ref="F333">IF(AND(A333="2021-03", ISNA(MATCH(B333, _xlfn._xlws.FILTER(B:B, A:A="2021-04"), 0))), "Left", "Ativo")</f>
        <v>Ativo</v>
      </c>
    </row>
    <row r="334" spans="1:6" x14ac:dyDescent="0.25">
      <c r="A334" t="s">
        <v>1528</v>
      </c>
      <c r="B334" t="s">
        <v>333</v>
      </c>
      <c r="C334" s="10" t="str" cm="1">
        <f t="array" ref="C334">IF(AND(A334="2020-12", ISNA(MATCH(B334, _xlfn._xlws.FILTER(B:B, A:A="2021-01"), 0))), "Left", "Ativo")</f>
        <v>Ativo</v>
      </c>
      <c r="D334" s="10" t="str" cm="1">
        <f t="array" ref="D334">IF(AND(A334="2021-01", ISNA(MATCH(B334, _xlfn._xlws.FILTER(B:B, A:A="2021-02"), 0))), "Left", "Ativo")</f>
        <v>Ativo</v>
      </c>
      <c r="E334" s="10" t="str" cm="1">
        <f t="array" ref="E334">IF(AND(A334="2021-02", ISNA(MATCH(B334, _xlfn._xlws.FILTER(B:B, A:A="2021-03"), 0))), "Left", "Ativo")</f>
        <v>Ativo</v>
      </c>
      <c r="F334" s="12" t="str" cm="1">
        <f t="array" ref="F334">IF(AND(A334="2021-03", ISNA(MATCH(B334, _xlfn._xlws.FILTER(B:B, A:A="2021-04"), 0))), "Left", "Ativo")</f>
        <v>Ativo</v>
      </c>
    </row>
    <row r="335" spans="1:6" x14ac:dyDescent="0.25">
      <c r="A335" t="s">
        <v>1528</v>
      </c>
      <c r="B335" t="s">
        <v>334</v>
      </c>
      <c r="C335" s="10" t="str" cm="1">
        <f t="array" ref="C335">IF(AND(A335="2020-12", ISNA(MATCH(B335, _xlfn._xlws.FILTER(B:B, A:A="2021-01"), 0))), "Left", "Ativo")</f>
        <v>Ativo</v>
      </c>
      <c r="D335" s="10" t="str" cm="1">
        <f t="array" ref="D335">IF(AND(A335="2021-01", ISNA(MATCH(B335, _xlfn._xlws.FILTER(B:B, A:A="2021-02"), 0))), "Left", "Ativo")</f>
        <v>Ativo</v>
      </c>
      <c r="E335" s="10" t="str" cm="1">
        <f t="array" ref="E335">IF(AND(A335="2021-02", ISNA(MATCH(B335, _xlfn._xlws.FILTER(B:B, A:A="2021-03"), 0))), "Left", "Ativo")</f>
        <v>Ativo</v>
      </c>
      <c r="F335" s="12" t="str" cm="1">
        <f t="array" ref="F335">IF(AND(A335="2021-03", ISNA(MATCH(B335, _xlfn._xlws.FILTER(B:B, A:A="2021-04"), 0))), "Left", "Ativo")</f>
        <v>Ativo</v>
      </c>
    </row>
    <row r="336" spans="1:6" x14ac:dyDescent="0.25">
      <c r="A336" t="s">
        <v>1528</v>
      </c>
      <c r="B336" t="s">
        <v>335</v>
      </c>
      <c r="C336" s="10" t="str" cm="1">
        <f t="array" ref="C336">IF(AND(A336="2020-12", ISNA(MATCH(B336, _xlfn._xlws.FILTER(B:B, A:A="2021-01"), 0))), "Left", "Ativo")</f>
        <v>Ativo</v>
      </c>
      <c r="D336" s="10" t="str" cm="1">
        <f t="array" ref="D336">IF(AND(A336="2021-01", ISNA(MATCH(B336, _xlfn._xlws.FILTER(B:B, A:A="2021-02"), 0))), "Left", "Ativo")</f>
        <v>Ativo</v>
      </c>
      <c r="E336" s="10" t="str" cm="1">
        <f t="array" ref="E336">IF(AND(A336="2021-02", ISNA(MATCH(B336, _xlfn._xlws.FILTER(B:B, A:A="2021-03"), 0))), "Left", "Ativo")</f>
        <v>Ativo</v>
      </c>
      <c r="F336" s="12" t="str" cm="1">
        <f t="array" ref="F336">IF(AND(A336="2021-03", ISNA(MATCH(B336, _xlfn._xlws.FILTER(B:B, A:A="2021-04"), 0))), "Left", "Ativo")</f>
        <v>Ativo</v>
      </c>
    </row>
    <row r="337" spans="1:6" x14ac:dyDescent="0.25">
      <c r="A337" t="s">
        <v>1528</v>
      </c>
      <c r="B337" t="s">
        <v>336</v>
      </c>
      <c r="C337" s="10" t="str" cm="1">
        <f t="array" ref="C337">IF(AND(A337="2020-12", ISNA(MATCH(B337, _xlfn._xlws.FILTER(B:B, A:A="2021-01"), 0))), "Left", "Ativo")</f>
        <v>Ativo</v>
      </c>
      <c r="D337" s="10" t="str" cm="1">
        <f t="array" ref="D337">IF(AND(A337="2021-01", ISNA(MATCH(B337, _xlfn._xlws.FILTER(B:B, A:A="2021-02"), 0))), "Left", "Ativo")</f>
        <v>Ativo</v>
      </c>
      <c r="E337" s="10" t="str" cm="1">
        <f t="array" ref="E337">IF(AND(A337="2021-02", ISNA(MATCH(B337, _xlfn._xlws.FILTER(B:B, A:A="2021-03"), 0))), "Left", "Ativo")</f>
        <v>Ativo</v>
      </c>
      <c r="F337" s="12" t="str" cm="1">
        <f t="array" ref="F337">IF(AND(A337="2021-03", ISNA(MATCH(B337, _xlfn._xlws.FILTER(B:B, A:A="2021-04"), 0))), "Left", "Ativo")</f>
        <v>Ativo</v>
      </c>
    </row>
    <row r="338" spans="1:6" x14ac:dyDescent="0.25">
      <c r="A338" t="s">
        <v>1528</v>
      </c>
      <c r="B338" t="s">
        <v>337</v>
      </c>
      <c r="C338" s="10" t="str" cm="1">
        <f t="array" ref="C338">IF(AND(A338="2020-12", ISNA(MATCH(B338, _xlfn._xlws.FILTER(B:B, A:A="2021-01"), 0))), "Left", "Ativo")</f>
        <v>Ativo</v>
      </c>
      <c r="D338" s="10" t="str" cm="1">
        <f t="array" ref="D338">IF(AND(A338="2021-01", ISNA(MATCH(B338, _xlfn._xlws.FILTER(B:B, A:A="2021-02"), 0))), "Left", "Ativo")</f>
        <v>Ativo</v>
      </c>
      <c r="E338" s="10" t="str" cm="1">
        <f t="array" ref="E338">IF(AND(A338="2021-02", ISNA(MATCH(B338, _xlfn._xlws.FILTER(B:B, A:A="2021-03"), 0))), "Left", "Ativo")</f>
        <v>Ativo</v>
      </c>
      <c r="F338" s="12" t="str" cm="1">
        <f t="array" ref="F338">IF(AND(A338="2021-03", ISNA(MATCH(B338, _xlfn._xlws.FILTER(B:B, A:A="2021-04"), 0))), "Left", "Ativo")</f>
        <v>Ativo</v>
      </c>
    </row>
    <row r="339" spans="1:6" x14ac:dyDescent="0.25">
      <c r="A339" t="s">
        <v>1528</v>
      </c>
      <c r="B339" t="s">
        <v>338</v>
      </c>
      <c r="C339" s="10" t="str" cm="1">
        <f t="array" ref="C339">IF(AND(A339="2020-12", ISNA(MATCH(B339, _xlfn._xlws.FILTER(B:B, A:A="2021-01"), 0))), "Left", "Ativo")</f>
        <v>Ativo</v>
      </c>
      <c r="D339" s="10" t="str" cm="1">
        <f t="array" ref="D339">IF(AND(A339="2021-01", ISNA(MATCH(B339, _xlfn._xlws.FILTER(B:B, A:A="2021-02"), 0))), "Left", "Ativo")</f>
        <v>Ativo</v>
      </c>
      <c r="E339" s="10" t="str" cm="1">
        <f t="array" ref="E339">IF(AND(A339="2021-02", ISNA(MATCH(B339, _xlfn._xlws.FILTER(B:B, A:A="2021-03"), 0))), "Left", "Ativo")</f>
        <v>Ativo</v>
      </c>
      <c r="F339" s="12" t="str" cm="1">
        <f t="array" ref="F339">IF(AND(A339="2021-03", ISNA(MATCH(B339, _xlfn._xlws.FILTER(B:B, A:A="2021-04"), 0))), "Left", "Ativo")</f>
        <v>Ativo</v>
      </c>
    </row>
    <row r="340" spans="1:6" x14ac:dyDescent="0.25">
      <c r="A340" t="s">
        <v>1528</v>
      </c>
      <c r="B340" t="s">
        <v>339</v>
      </c>
      <c r="C340" s="10" t="str" cm="1">
        <f t="array" ref="C340">IF(AND(A340="2020-12", ISNA(MATCH(B340, _xlfn._xlws.FILTER(B:B, A:A="2021-01"), 0))), "Left", "Ativo")</f>
        <v>Ativo</v>
      </c>
      <c r="D340" s="10" t="str" cm="1">
        <f t="array" ref="D340">IF(AND(A340="2021-01", ISNA(MATCH(B340, _xlfn._xlws.FILTER(B:B, A:A="2021-02"), 0))), "Left", "Ativo")</f>
        <v>Ativo</v>
      </c>
      <c r="E340" s="10" t="str" cm="1">
        <f t="array" ref="E340">IF(AND(A340="2021-02", ISNA(MATCH(B340, _xlfn._xlws.FILTER(B:B, A:A="2021-03"), 0))), "Left", "Ativo")</f>
        <v>Ativo</v>
      </c>
      <c r="F340" s="12" t="str" cm="1">
        <f t="array" ref="F340">IF(AND(A340="2021-03", ISNA(MATCH(B340, _xlfn._xlws.FILTER(B:B, A:A="2021-04"), 0))), "Left", "Ativo")</f>
        <v>Ativo</v>
      </c>
    </row>
    <row r="341" spans="1:6" x14ac:dyDescent="0.25">
      <c r="A341" t="s">
        <v>1528</v>
      </c>
      <c r="B341" t="s">
        <v>340</v>
      </c>
      <c r="C341" s="10" t="str" cm="1">
        <f t="array" ref="C341">IF(AND(A341="2020-12", ISNA(MATCH(B341, _xlfn._xlws.FILTER(B:B, A:A="2021-01"), 0))), "Left", "Ativo")</f>
        <v>Ativo</v>
      </c>
      <c r="D341" s="10" t="str" cm="1">
        <f t="array" ref="D341">IF(AND(A341="2021-01", ISNA(MATCH(B341, _xlfn._xlws.FILTER(B:B, A:A="2021-02"), 0))), "Left", "Ativo")</f>
        <v>Ativo</v>
      </c>
      <c r="E341" s="10" t="str" cm="1">
        <f t="array" ref="E341">IF(AND(A341="2021-02", ISNA(MATCH(B341, _xlfn._xlws.FILTER(B:B, A:A="2021-03"), 0))), "Left", "Ativo")</f>
        <v>Ativo</v>
      </c>
      <c r="F341" s="12" t="str" cm="1">
        <f t="array" ref="F341">IF(AND(A341="2021-03", ISNA(MATCH(B341, _xlfn._xlws.FILTER(B:B, A:A="2021-04"), 0))), "Left", "Ativo")</f>
        <v>Ativo</v>
      </c>
    </row>
    <row r="342" spans="1:6" x14ac:dyDescent="0.25">
      <c r="A342" t="s">
        <v>1528</v>
      </c>
      <c r="B342" t="s">
        <v>341</v>
      </c>
      <c r="C342" s="10" t="str" cm="1">
        <f t="array" ref="C342">IF(AND(A342="2020-12", ISNA(MATCH(B342, _xlfn._xlws.FILTER(B:B, A:A="2021-01"), 0))), "Left", "Ativo")</f>
        <v>Ativo</v>
      </c>
      <c r="D342" s="10" t="str" cm="1">
        <f t="array" ref="D342">IF(AND(A342="2021-01", ISNA(MATCH(B342, _xlfn._xlws.FILTER(B:B, A:A="2021-02"), 0))), "Left", "Ativo")</f>
        <v>Ativo</v>
      </c>
      <c r="E342" s="10" t="str" cm="1">
        <f t="array" ref="E342">IF(AND(A342="2021-02", ISNA(MATCH(B342, _xlfn._xlws.FILTER(B:B, A:A="2021-03"), 0))), "Left", "Ativo")</f>
        <v>Ativo</v>
      </c>
      <c r="F342" s="12" t="str" cm="1">
        <f t="array" ref="F342">IF(AND(A342="2021-03", ISNA(MATCH(B342, _xlfn._xlws.FILTER(B:B, A:A="2021-04"), 0))), "Left", "Ativo")</f>
        <v>Ativo</v>
      </c>
    </row>
    <row r="343" spans="1:6" x14ac:dyDescent="0.25">
      <c r="A343" t="s">
        <v>1528</v>
      </c>
      <c r="B343" t="s">
        <v>342</v>
      </c>
      <c r="C343" s="10" t="str" cm="1">
        <f t="array" ref="C343">IF(AND(A343="2020-12", ISNA(MATCH(B343, _xlfn._xlws.FILTER(B:B, A:A="2021-01"), 0))), "Left", "Ativo")</f>
        <v>Ativo</v>
      </c>
      <c r="D343" s="10" t="str" cm="1">
        <f t="array" ref="D343">IF(AND(A343="2021-01", ISNA(MATCH(B343, _xlfn._xlws.FILTER(B:B, A:A="2021-02"), 0))), "Left", "Ativo")</f>
        <v>Ativo</v>
      </c>
      <c r="E343" s="10" t="str" cm="1">
        <f t="array" ref="E343">IF(AND(A343="2021-02", ISNA(MATCH(B343, _xlfn._xlws.FILTER(B:B, A:A="2021-03"), 0))), "Left", "Ativo")</f>
        <v>Ativo</v>
      </c>
      <c r="F343" s="12" t="str" cm="1">
        <f t="array" ref="F343">IF(AND(A343="2021-03", ISNA(MATCH(B343, _xlfn._xlws.FILTER(B:B, A:A="2021-04"), 0))), "Left", "Ativo")</f>
        <v>Ativo</v>
      </c>
    </row>
    <row r="344" spans="1:6" x14ac:dyDescent="0.25">
      <c r="A344" t="s">
        <v>1528</v>
      </c>
      <c r="B344" t="s">
        <v>343</v>
      </c>
      <c r="C344" s="10" t="str" cm="1">
        <f t="array" ref="C344">IF(AND(A344="2020-12", ISNA(MATCH(B344, _xlfn._xlws.FILTER(B:B, A:A="2021-01"), 0))), "Left", "Ativo")</f>
        <v>Ativo</v>
      </c>
      <c r="D344" s="10" t="str" cm="1">
        <f t="array" ref="D344">IF(AND(A344="2021-01", ISNA(MATCH(B344, _xlfn._xlws.FILTER(B:B, A:A="2021-02"), 0))), "Left", "Ativo")</f>
        <v>Ativo</v>
      </c>
      <c r="E344" s="10" t="str" cm="1">
        <f t="array" ref="E344">IF(AND(A344="2021-02", ISNA(MATCH(B344, _xlfn._xlws.FILTER(B:B, A:A="2021-03"), 0))), "Left", "Ativo")</f>
        <v>Ativo</v>
      </c>
      <c r="F344" s="12" t="str" cm="1">
        <f t="array" ref="F344">IF(AND(A344="2021-03", ISNA(MATCH(B344, _xlfn._xlws.FILTER(B:B, A:A="2021-04"), 0))), "Left", "Ativo")</f>
        <v>Ativo</v>
      </c>
    </row>
    <row r="345" spans="1:6" x14ac:dyDescent="0.25">
      <c r="A345" t="s">
        <v>1528</v>
      </c>
      <c r="B345" t="s">
        <v>344</v>
      </c>
      <c r="C345" s="10" t="str" cm="1">
        <f t="array" ref="C345">IF(AND(A345="2020-12", ISNA(MATCH(B345, _xlfn._xlws.FILTER(B:B, A:A="2021-01"), 0))), "Left", "Ativo")</f>
        <v>Ativo</v>
      </c>
      <c r="D345" s="10" t="str" cm="1">
        <f t="array" ref="D345">IF(AND(A345="2021-01", ISNA(MATCH(B345, _xlfn._xlws.FILTER(B:B, A:A="2021-02"), 0))), "Left", "Ativo")</f>
        <v>Ativo</v>
      </c>
      <c r="E345" s="10" t="str" cm="1">
        <f t="array" ref="E345">IF(AND(A345="2021-02", ISNA(MATCH(B345, _xlfn._xlws.FILTER(B:B, A:A="2021-03"), 0))), "Left", "Ativo")</f>
        <v>Ativo</v>
      </c>
      <c r="F345" s="12" t="str" cm="1">
        <f t="array" ref="F345">IF(AND(A345="2021-03", ISNA(MATCH(B345, _xlfn._xlws.FILTER(B:B, A:A="2021-04"), 0))), "Left", "Ativo")</f>
        <v>Ativo</v>
      </c>
    </row>
    <row r="346" spans="1:6" x14ac:dyDescent="0.25">
      <c r="A346" t="s">
        <v>1528</v>
      </c>
      <c r="B346" t="s">
        <v>345</v>
      </c>
      <c r="C346" s="10" t="str" cm="1">
        <f t="array" ref="C346">IF(AND(A346="2020-12", ISNA(MATCH(B346, _xlfn._xlws.FILTER(B:B, A:A="2021-01"), 0))), "Left", "Ativo")</f>
        <v>Ativo</v>
      </c>
      <c r="D346" s="10" t="str" cm="1">
        <f t="array" ref="D346">IF(AND(A346="2021-01", ISNA(MATCH(B346, _xlfn._xlws.FILTER(B:B, A:A="2021-02"), 0))), "Left", "Ativo")</f>
        <v>Ativo</v>
      </c>
      <c r="E346" s="10" t="str" cm="1">
        <f t="array" ref="E346">IF(AND(A346="2021-02", ISNA(MATCH(B346, _xlfn._xlws.FILTER(B:B, A:A="2021-03"), 0))), "Left", "Ativo")</f>
        <v>Ativo</v>
      </c>
      <c r="F346" s="12" t="str" cm="1">
        <f t="array" ref="F346">IF(AND(A346="2021-03", ISNA(MATCH(B346, _xlfn._xlws.FILTER(B:B, A:A="2021-04"), 0))), "Left", "Ativo")</f>
        <v>Ativo</v>
      </c>
    </row>
    <row r="347" spans="1:6" x14ac:dyDescent="0.25">
      <c r="A347" t="s">
        <v>1528</v>
      </c>
      <c r="B347" t="s">
        <v>346</v>
      </c>
      <c r="C347" s="10" t="str" cm="1">
        <f t="array" ref="C347">IF(AND(A347="2020-12", ISNA(MATCH(B347, _xlfn._xlws.FILTER(B:B, A:A="2021-01"), 0))), "Left", "Ativo")</f>
        <v>Ativo</v>
      </c>
      <c r="D347" s="10" t="str" cm="1">
        <f t="array" ref="D347">IF(AND(A347="2021-01", ISNA(MATCH(B347, _xlfn._xlws.FILTER(B:B, A:A="2021-02"), 0))), "Left", "Ativo")</f>
        <v>Ativo</v>
      </c>
      <c r="E347" s="10" t="str" cm="1">
        <f t="array" ref="E347">IF(AND(A347="2021-02", ISNA(MATCH(B347, _xlfn._xlws.FILTER(B:B, A:A="2021-03"), 0))), "Left", "Ativo")</f>
        <v>Ativo</v>
      </c>
      <c r="F347" s="12" t="str" cm="1">
        <f t="array" ref="F347">IF(AND(A347="2021-03", ISNA(MATCH(B347, _xlfn._xlws.FILTER(B:B, A:A="2021-04"), 0))), "Left", "Ativo")</f>
        <v>Ativo</v>
      </c>
    </row>
    <row r="348" spans="1:6" x14ac:dyDescent="0.25">
      <c r="A348" t="s">
        <v>1528</v>
      </c>
      <c r="B348" t="s">
        <v>347</v>
      </c>
      <c r="C348" s="10" t="str" cm="1">
        <f t="array" ref="C348">IF(AND(A348="2020-12", ISNA(MATCH(B348, _xlfn._xlws.FILTER(B:B, A:A="2021-01"), 0))), "Left", "Ativo")</f>
        <v>Ativo</v>
      </c>
      <c r="D348" s="10" t="str" cm="1">
        <f t="array" ref="D348">IF(AND(A348="2021-01", ISNA(MATCH(B348, _xlfn._xlws.FILTER(B:B, A:A="2021-02"), 0))), "Left", "Ativo")</f>
        <v>Ativo</v>
      </c>
      <c r="E348" s="10" t="str" cm="1">
        <f t="array" ref="E348">IF(AND(A348="2021-02", ISNA(MATCH(B348, _xlfn._xlws.FILTER(B:B, A:A="2021-03"), 0))), "Left", "Ativo")</f>
        <v>Ativo</v>
      </c>
      <c r="F348" s="12" t="str" cm="1">
        <f t="array" ref="F348">IF(AND(A348="2021-03", ISNA(MATCH(B348, _xlfn._xlws.FILTER(B:B, A:A="2021-04"), 0))), "Left", "Ativo")</f>
        <v>Ativo</v>
      </c>
    </row>
    <row r="349" spans="1:6" x14ac:dyDescent="0.25">
      <c r="A349" t="s">
        <v>1528</v>
      </c>
      <c r="B349" t="s">
        <v>348</v>
      </c>
      <c r="C349" s="10" t="str" cm="1">
        <f t="array" ref="C349">IF(AND(A349="2020-12", ISNA(MATCH(B349, _xlfn._xlws.FILTER(B:B, A:A="2021-01"), 0))), "Left", "Ativo")</f>
        <v>Ativo</v>
      </c>
      <c r="D349" s="10" t="str" cm="1">
        <f t="array" ref="D349">IF(AND(A349="2021-01", ISNA(MATCH(B349, _xlfn._xlws.FILTER(B:B, A:A="2021-02"), 0))), "Left", "Ativo")</f>
        <v>Ativo</v>
      </c>
      <c r="E349" s="10" t="str" cm="1">
        <f t="array" ref="E349">IF(AND(A349="2021-02", ISNA(MATCH(B349, _xlfn._xlws.FILTER(B:B, A:A="2021-03"), 0))), "Left", "Ativo")</f>
        <v>Ativo</v>
      </c>
      <c r="F349" s="12" t="str" cm="1">
        <f t="array" ref="F349">IF(AND(A349="2021-03", ISNA(MATCH(B349, _xlfn._xlws.FILTER(B:B, A:A="2021-04"), 0))), "Left", "Ativo")</f>
        <v>Ativo</v>
      </c>
    </row>
    <row r="350" spans="1:6" x14ac:dyDescent="0.25">
      <c r="A350" t="s">
        <v>1528</v>
      </c>
      <c r="B350" t="s">
        <v>349</v>
      </c>
      <c r="C350" s="10" t="str" cm="1">
        <f t="array" ref="C350">IF(AND(A350="2020-12", ISNA(MATCH(B350, _xlfn._xlws.FILTER(B:B, A:A="2021-01"), 0))), "Left", "Ativo")</f>
        <v>Ativo</v>
      </c>
      <c r="D350" s="10" t="str" cm="1">
        <f t="array" ref="D350">IF(AND(A350="2021-01", ISNA(MATCH(B350, _xlfn._xlws.FILTER(B:B, A:A="2021-02"), 0))), "Left", "Ativo")</f>
        <v>Ativo</v>
      </c>
      <c r="E350" s="10" t="str" cm="1">
        <f t="array" ref="E350">IF(AND(A350="2021-02", ISNA(MATCH(B350, _xlfn._xlws.FILTER(B:B, A:A="2021-03"), 0))), "Left", "Ativo")</f>
        <v>Ativo</v>
      </c>
      <c r="F350" s="12" t="str" cm="1">
        <f t="array" ref="F350">IF(AND(A350="2021-03", ISNA(MATCH(B350, _xlfn._xlws.FILTER(B:B, A:A="2021-04"), 0))), "Left", "Ativo")</f>
        <v>Ativo</v>
      </c>
    </row>
    <row r="351" spans="1:6" x14ac:dyDescent="0.25">
      <c r="A351" t="s">
        <v>1528</v>
      </c>
      <c r="B351" t="s">
        <v>350</v>
      </c>
      <c r="C351" s="10" t="str" cm="1">
        <f t="array" ref="C351">IF(AND(A351="2020-12", ISNA(MATCH(B351, _xlfn._xlws.FILTER(B:B, A:A="2021-01"), 0))), "Left", "Ativo")</f>
        <v>Ativo</v>
      </c>
      <c r="D351" s="10" t="str" cm="1">
        <f t="array" ref="D351">IF(AND(A351="2021-01", ISNA(MATCH(B351, _xlfn._xlws.FILTER(B:B, A:A="2021-02"), 0))), "Left", "Ativo")</f>
        <v>Ativo</v>
      </c>
      <c r="E351" s="10" t="str" cm="1">
        <f t="array" ref="E351">IF(AND(A351="2021-02", ISNA(MATCH(B351, _xlfn._xlws.FILTER(B:B, A:A="2021-03"), 0))), "Left", "Ativo")</f>
        <v>Ativo</v>
      </c>
      <c r="F351" s="12" t="str" cm="1">
        <f t="array" ref="F351">IF(AND(A351="2021-03", ISNA(MATCH(B351, _xlfn._xlws.FILTER(B:B, A:A="2021-04"), 0))), "Left", "Ativo")</f>
        <v>Ativo</v>
      </c>
    </row>
    <row r="352" spans="1:6" x14ac:dyDescent="0.25">
      <c r="A352" t="s">
        <v>1528</v>
      </c>
      <c r="B352" t="s">
        <v>351</v>
      </c>
      <c r="C352" s="10" t="str" cm="1">
        <f t="array" ref="C352">IF(AND(A352="2020-12", ISNA(MATCH(B352, _xlfn._xlws.FILTER(B:B, A:A="2021-01"), 0))), "Left", "Ativo")</f>
        <v>Ativo</v>
      </c>
      <c r="D352" s="10" t="str" cm="1">
        <f t="array" ref="D352">IF(AND(A352="2021-01", ISNA(MATCH(B352, _xlfn._xlws.FILTER(B:B, A:A="2021-02"), 0))), "Left", "Ativo")</f>
        <v>Ativo</v>
      </c>
      <c r="E352" s="10" t="str" cm="1">
        <f t="array" ref="E352">IF(AND(A352="2021-02", ISNA(MATCH(B352, _xlfn._xlws.FILTER(B:B, A:A="2021-03"), 0))), "Left", "Ativo")</f>
        <v>Ativo</v>
      </c>
      <c r="F352" s="12" t="str" cm="1">
        <f t="array" ref="F352">IF(AND(A352="2021-03", ISNA(MATCH(B352, _xlfn._xlws.FILTER(B:B, A:A="2021-04"), 0))), "Left", "Ativo")</f>
        <v>Ativo</v>
      </c>
    </row>
    <row r="353" spans="1:6" x14ac:dyDescent="0.25">
      <c r="A353" t="s">
        <v>1528</v>
      </c>
      <c r="B353" t="s">
        <v>352</v>
      </c>
      <c r="C353" s="10" t="str" cm="1">
        <f t="array" ref="C353">IF(AND(A353="2020-12", ISNA(MATCH(B353, _xlfn._xlws.FILTER(B:B, A:A="2021-01"), 0))), "Left", "Ativo")</f>
        <v>Ativo</v>
      </c>
      <c r="D353" s="10" t="str" cm="1">
        <f t="array" ref="D353">IF(AND(A353="2021-01", ISNA(MATCH(B353, _xlfn._xlws.FILTER(B:B, A:A="2021-02"), 0))), "Left", "Ativo")</f>
        <v>Ativo</v>
      </c>
      <c r="E353" s="10" t="str" cm="1">
        <f t="array" ref="E353">IF(AND(A353="2021-02", ISNA(MATCH(B353, _xlfn._xlws.FILTER(B:B, A:A="2021-03"), 0))), "Left", "Ativo")</f>
        <v>Ativo</v>
      </c>
      <c r="F353" s="12" t="str" cm="1">
        <f t="array" ref="F353">IF(AND(A353="2021-03", ISNA(MATCH(B353, _xlfn._xlws.FILTER(B:B, A:A="2021-04"), 0))), "Left", "Ativo")</f>
        <v>Ativo</v>
      </c>
    </row>
    <row r="354" spans="1:6" x14ac:dyDescent="0.25">
      <c r="A354" t="s">
        <v>1528</v>
      </c>
      <c r="B354" t="s">
        <v>353</v>
      </c>
      <c r="C354" s="10" t="str" cm="1">
        <f t="array" ref="C354">IF(AND(A354="2020-12", ISNA(MATCH(B354, _xlfn._xlws.FILTER(B:B, A:A="2021-01"), 0))), "Left", "Ativo")</f>
        <v>Ativo</v>
      </c>
      <c r="D354" s="10" t="str" cm="1">
        <f t="array" ref="D354">IF(AND(A354="2021-01", ISNA(MATCH(B354, _xlfn._xlws.FILTER(B:B, A:A="2021-02"), 0))), "Left", "Ativo")</f>
        <v>Ativo</v>
      </c>
      <c r="E354" s="10" t="str" cm="1">
        <f t="array" ref="E354">IF(AND(A354="2021-02", ISNA(MATCH(B354, _xlfn._xlws.FILTER(B:B, A:A="2021-03"), 0))), "Left", "Ativo")</f>
        <v>Ativo</v>
      </c>
      <c r="F354" s="12" t="str" cm="1">
        <f t="array" ref="F354">IF(AND(A354="2021-03", ISNA(MATCH(B354, _xlfn._xlws.FILTER(B:B, A:A="2021-04"), 0))), "Left", "Ativo")</f>
        <v>Ativo</v>
      </c>
    </row>
    <row r="355" spans="1:6" x14ac:dyDescent="0.25">
      <c r="A355" t="s">
        <v>1528</v>
      </c>
      <c r="B355" t="s">
        <v>354</v>
      </c>
      <c r="C355" s="10" t="str" cm="1">
        <f t="array" ref="C355">IF(AND(A355="2020-12", ISNA(MATCH(B355, _xlfn._xlws.FILTER(B:B, A:A="2021-01"), 0))), "Left", "Ativo")</f>
        <v>Ativo</v>
      </c>
      <c r="D355" s="10" t="str" cm="1">
        <f t="array" ref="D355">IF(AND(A355="2021-01", ISNA(MATCH(B355, _xlfn._xlws.FILTER(B:B, A:A="2021-02"), 0))), "Left", "Ativo")</f>
        <v>Ativo</v>
      </c>
      <c r="E355" s="10" t="str" cm="1">
        <f t="array" ref="E355">IF(AND(A355="2021-02", ISNA(MATCH(B355, _xlfn._xlws.FILTER(B:B, A:A="2021-03"), 0))), "Left", "Ativo")</f>
        <v>Ativo</v>
      </c>
      <c r="F355" s="12" t="str" cm="1">
        <f t="array" ref="F355">IF(AND(A355="2021-03", ISNA(MATCH(B355, _xlfn._xlws.FILTER(B:B, A:A="2021-04"), 0))), "Left", "Ativo")</f>
        <v>Ativo</v>
      </c>
    </row>
    <row r="356" spans="1:6" x14ac:dyDescent="0.25">
      <c r="A356" t="s">
        <v>1528</v>
      </c>
      <c r="B356" t="s">
        <v>355</v>
      </c>
      <c r="C356" s="10" t="str" cm="1">
        <f t="array" ref="C356">IF(AND(A356="2020-12", ISNA(MATCH(B356, _xlfn._xlws.FILTER(B:B, A:A="2021-01"), 0))), "Left", "Ativo")</f>
        <v>Ativo</v>
      </c>
      <c r="D356" s="10" t="str" cm="1">
        <f t="array" ref="D356">IF(AND(A356="2021-01", ISNA(MATCH(B356, _xlfn._xlws.FILTER(B:B, A:A="2021-02"), 0))), "Left", "Ativo")</f>
        <v>Ativo</v>
      </c>
      <c r="E356" s="10" t="str" cm="1">
        <f t="array" ref="E356">IF(AND(A356="2021-02", ISNA(MATCH(B356, _xlfn._xlws.FILTER(B:B, A:A="2021-03"), 0))), "Left", "Ativo")</f>
        <v>Ativo</v>
      </c>
      <c r="F356" s="12" t="str" cm="1">
        <f t="array" ref="F356">IF(AND(A356="2021-03", ISNA(MATCH(B356, _xlfn._xlws.FILTER(B:B, A:A="2021-04"), 0))), "Left", "Ativo")</f>
        <v>Ativo</v>
      </c>
    </row>
    <row r="357" spans="1:6" x14ac:dyDescent="0.25">
      <c r="A357" t="s">
        <v>1528</v>
      </c>
      <c r="B357" t="s">
        <v>356</v>
      </c>
      <c r="C357" s="10" t="str" cm="1">
        <f t="array" ref="C357">IF(AND(A357="2020-12", ISNA(MATCH(B357, _xlfn._xlws.FILTER(B:B, A:A="2021-01"), 0))), "Left", "Ativo")</f>
        <v>Ativo</v>
      </c>
      <c r="D357" s="10" t="str" cm="1">
        <f t="array" ref="D357">IF(AND(A357="2021-01", ISNA(MATCH(B357, _xlfn._xlws.FILTER(B:B, A:A="2021-02"), 0))), "Left", "Ativo")</f>
        <v>Ativo</v>
      </c>
      <c r="E357" s="10" t="str" cm="1">
        <f t="array" ref="E357">IF(AND(A357="2021-02", ISNA(MATCH(B357, _xlfn._xlws.FILTER(B:B, A:A="2021-03"), 0))), "Left", "Ativo")</f>
        <v>Ativo</v>
      </c>
      <c r="F357" s="12" t="str" cm="1">
        <f t="array" ref="F357">IF(AND(A357="2021-03", ISNA(MATCH(B357, _xlfn._xlws.FILTER(B:B, A:A="2021-04"), 0))), "Left", "Ativo")</f>
        <v>Ativo</v>
      </c>
    </row>
    <row r="358" spans="1:6" x14ac:dyDescent="0.25">
      <c r="A358" t="s">
        <v>1528</v>
      </c>
      <c r="B358" t="s">
        <v>357</v>
      </c>
      <c r="C358" s="10" t="str" cm="1">
        <f t="array" ref="C358">IF(AND(A358="2020-12", ISNA(MATCH(B358, _xlfn._xlws.FILTER(B:B, A:A="2021-01"), 0))), "Left", "Ativo")</f>
        <v>Ativo</v>
      </c>
      <c r="D358" s="10" t="str" cm="1">
        <f t="array" ref="D358">IF(AND(A358="2021-01", ISNA(MATCH(B358, _xlfn._xlws.FILTER(B:B, A:A="2021-02"), 0))), "Left", "Ativo")</f>
        <v>Ativo</v>
      </c>
      <c r="E358" s="10" t="str" cm="1">
        <f t="array" ref="E358">IF(AND(A358="2021-02", ISNA(MATCH(B358, _xlfn._xlws.FILTER(B:B, A:A="2021-03"), 0))), "Left", "Ativo")</f>
        <v>Ativo</v>
      </c>
      <c r="F358" s="12" t="str" cm="1">
        <f t="array" ref="F358">IF(AND(A358="2021-03", ISNA(MATCH(B358, _xlfn._xlws.FILTER(B:B, A:A="2021-04"), 0))), "Left", "Ativo")</f>
        <v>Ativo</v>
      </c>
    </row>
    <row r="359" spans="1:6" x14ac:dyDescent="0.25">
      <c r="A359" t="s">
        <v>1528</v>
      </c>
      <c r="B359" t="s">
        <v>358</v>
      </c>
      <c r="C359" s="10" t="str" cm="1">
        <f t="array" ref="C359">IF(AND(A359="2020-12", ISNA(MATCH(B359, _xlfn._xlws.FILTER(B:B, A:A="2021-01"), 0))), "Left", "Ativo")</f>
        <v>Ativo</v>
      </c>
      <c r="D359" s="10" t="str" cm="1">
        <f t="array" ref="D359">IF(AND(A359="2021-01", ISNA(MATCH(B359, _xlfn._xlws.FILTER(B:B, A:A="2021-02"), 0))), "Left", "Ativo")</f>
        <v>Ativo</v>
      </c>
      <c r="E359" s="10" t="str" cm="1">
        <f t="array" ref="E359">IF(AND(A359="2021-02", ISNA(MATCH(B359, _xlfn._xlws.FILTER(B:B, A:A="2021-03"), 0))), "Left", "Ativo")</f>
        <v>Ativo</v>
      </c>
      <c r="F359" s="12" t="str" cm="1">
        <f t="array" ref="F359">IF(AND(A359="2021-03", ISNA(MATCH(B359, _xlfn._xlws.FILTER(B:B, A:A="2021-04"), 0))), "Left", "Ativo")</f>
        <v>Ativo</v>
      </c>
    </row>
    <row r="360" spans="1:6" x14ac:dyDescent="0.25">
      <c r="A360" t="s">
        <v>1528</v>
      </c>
      <c r="B360" t="s">
        <v>359</v>
      </c>
      <c r="C360" s="10" t="str" cm="1">
        <f t="array" ref="C360">IF(AND(A360="2020-12", ISNA(MATCH(B360, _xlfn._xlws.FILTER(B:B, A:A="2021-01"), 0))), "Left", "Ativo")</f>
        <v>Ativo</v>
      </c>
      <c r="D360" s="10" t="str" cm="1">
        <f t="array" ref="D360">IF(AND(A360="2021-01", ISNA(MATCH(B360, _xlfn._xlws.FILTER(B:B, A:A="2021-02"), 0))), "Left", "Ativo")</f>
        <v>Ativo</v>
      </c>
      <c r="E360" s="10" t="str" cm="1">
        <f t="array" ref="E360">IF(AND(A360="2021-02", ISNA(MATCH(B360, _xlfn._xlws.FILTER(B:B, A:A="2021-03"), 0))), "Left", "Ativo")</f>
        <v>Ativo</v>
      </c>
      <c r="F360" s="12" t="str" cm="1">
        <f t="array" ref="F360">IF(AND(A360="2021-03", ISNA(MATCH(B360, _xlfn._xlws.FILTER(B:B, A:A="2021-04"), 0))), "Left", "Ativo")</f>
        <v>Ativo</v>
      </c>
    </row>
    <row r="361" spans="1:6" x14ac:dyDescent="0.25">
      <c r="A361" t="s">
        <v>1528</v>
      </c>
      <c r="B361" t="s">
        <v>360</v>
      </c>
      <c r="C361" s="10" t="str" cm="1">
        <f t="array" ref="C361">IF(AND(A361="2020-12", ISNA(MATCH(B361, _xlfn._xlws.FILTER(B:B, A:A="2021-01"), 0))), "Left", "Ativo")</f>
        <v>Ativo</v>
      </c>
      <c r="D361" s="10" t="str" cm="1">
        <f t="array" ref="D361">IF(AND(A361="2021-01", ISNA(MATCH(B361, _xlfn._xlws.FILTER(B:B, A:A="2021-02"), 0))), "Left", "Ativo")</f>
        <v>Ativo</v>
      </c>
      <c r="E361" s="10" t="str" cm="1">
        <f t="array" ref="E361">IF(AND(A361="2021-02", ISNA(MATCH(B361, _xlfn._xlws.FILTER(B:B, A:A="2021-03"), 0))), "Left", "Ativo")</f>
        <v>Ativo</v>
      </c>
      <c r="F361" s="12" t="str" cm="1">
        <f t="array" ref="F361">IF(AND(A361="2021-03", ISNA(MATCH(B361, _xlfn._xlws.FILTER(B:B, A:A="2021-04"), 0))), "Left", "Ativo")</f>
        <v>Ativo</v>
      </c>
    </row>
    <row r="362" spans="1:6" x14ac:dyDescent="0.25">
      <c r="A362" t="s">
        <v>1528</v>
      </c>
      <c r="B362" t="s">
        <v>361</v>
      </c>
      <c r="C362" s="10" t="str" cm="1">
        <f t="array" ref="C362">IF(AND(A362="2020-12", ISNA(MATCH(B362, _xlfn._xlws.FILTER(B:B, A:A="2021-01"), 0))), "Left", "Ativo")</f>
        <v>Ativo</v>
      </c>
      <c r="D362" s="10" t="str" cm="1">
        <f t="array" ref="D362">IF(AND(A362="2021-01", ISNA(MATCH(B362, _xlfn._xlws.FILTER(B:B, A:A="2021-02"), 0))), "Left", "Ativo")</f>
        <v>Ativo</v>
      </c>
      <c r="E362" s="10" t="str" cm="1">
        <f t="array" ref="E362">IF(AND(A362="2021-02", ISNA(MATCH(B362, _xlfn._xlws.FILTER(B:B, A:A="2021-03"), 0))), "Left", "Ativo")</f>
        <v>Ativo</v>
      </c>
      <c r="F362" s="12" t="str" cm="1">
        <f t="array" ref="F362">IF(AND(A362="2021-03", ISNA(MATCH(B362, _xlfn._xlws.FILTER(B:B, A:A="2021-04"), 0))), "Left", "Ativo")</f>
        <v>Ativo</v>
      </c>
    </row>
    <row r="363" spans="1:6" x14ac:dyDescent="0.25">
      <c r="A363" t="s">
        <v>1528</v>
      </c>
      <c r="B363" t="s">
        <v>362</v>
      </c>
      <c r="C363" s="10" t="str" cm="1">
        <f t="array" ref="C363">IF(AND(A363="2020-12", ISNA(MATCH(B363, _xlfn._xlws.FILTER(B:B, A:A="2021-01"), 0))), "Left", "Ativo")</f>
        <v>Ativo</v>
      </c>
      <c r="D363" s="10" t="str" cm="1">
        <f t="array" ref="D363">IF(AND(A363="2021-01", ISNA(MATCH(B363, _xlfn._xlws.FILTER(B:B, A:A="2021-02"), 0))), "Left", "Ativo")</f>
        <v>Ativo</v>
      </c>
      <c r="E363" s="10" t="str" cm="1">
        <f t="array" ref="E363">IF(AND(A363="2021-02", ISNA(MATCH(B363, _xlfn._xlws.FILTER(B:B, A:A="2021-03"), 0))), "Left", "Ativo")</f>
        <v>Ativo</v>
      </c>
      <c r="F363" s="12" t="str" cm="1">
        <f t="array" ref="F363">IF(AND(A363="2021-03", ISNA(MATCH(B363, _xlfn._xlws.FILTER(B:B, A:A="2021-04"), 0))), "Left", "Ativo")</f>
        <v>Ativo</v>
      </c>
    </row>
    <row r="364" spans="1:6" x14ac:dyDescent="0.25">
      <c r="A364" t="s">
        <v>1528</v>
      </c>
      <c r="B364" t="s">
        <v>363</v>
      </c>
      <c r="C364" s="10" t="str" cm="1">
        <f t="array" ref="C364">IF(AND(A364="2020-12", ISNA(MATCH(B364, _xlfn._xlws.FILTER(B:B, A:A="2021-01"), 0))), "Left", "Ativo")</f>
        <v>Ativo</v>
      </c>
      <c r="D364" s="10" t="str" cm="1">
        <f t="array" ref="D364">IF(AND(A364="2021-01", ISNA(MATCH(B364, _xlfn._xlws.FILTER(B:B, A:A="2021-02"), 0))), "Left", "Ativo")</f>
        <v>Ativo</v>
      </c>
      <c r="E364" s="10" t="str" cm="1">
        <f t="array" ref="E364">IF(AND(A364="2021-02", ISNA(MATCH(B364, _xlfn._xlws.FILTER(B:B, A:A="2021-03"), 0))), "Left", "Ativo")</f>
        <v>Ativo</v>
      </c>
      <c r="F364" s="12" t="str" cm="1">
        <f t="array" ref="F364">IF(AND(A364="2021-03", ISNA(MATCH(B364, _xlfn._xlws.FILTER(B:B, A:A="2021-04"), 0))), "Left", "Ativo")</f>
        <v>Ativo</v>
      </c>
    </row>
    <row r="365" spans="1:6" x14ac:dyDescent="0.25">
      <c r="A365" t="s">
        <v>1528</v>
      </c>
      <c r="B365" t="s">
        <v>364</v>
      </c>
      <c r="C365" s="10" t="str" cm="1">
        <f t="array" ref="C365">IF(AND(A365="2020-12", ISNA(MATCH(B365, _xlfn._xlws.FILTER(B:B, A:A="2021-01"), 0))), "Left", "Ativo")</f>
        <v>Ativo</v>
      </c>
      <c r="D365" s="10" t="str" cm="1">
        <f t="array" ref="D365">IF(AND(A365="2021-01", ISNA(MATCH(B365, _xlfn._xlws.FILTER(B:B, A:A="2021-02"), 0))), "Left", "Ativo")</f>
        <v>Ativo</v>
      </c>
      <c r="E365" s="10" t="str" cm="1">
        <f t="array" ref="E365">IF(AND(A365="2021-02", ISNA(MATCH(B365, _xlfn._xlws.FILTER(B:B, A:A="2021-03"), 0))), "Left", "Ativo")</f>
        <v>Ativo</v>
      </c>
      <c r="F365" s="12" t="str" cm="1">
        <f t="array" ref="F365">IF(AND(A365="2021-03", ISNA(MATCH(B365, _xlfn._xlws.FILTER(B:B, A:A="2021-04"), 0))), "Left", "Ativo")</f>
        <v>Ativo</v>
      </c>
    </row>
    <row r="366" spans="1:6" x14ac:dyDescent="0.25">
      <c r="A366" t="s">
        <v>1528</v>
      </c>
      <c r="B366" t="s">
        <v>365</v>
      </c>
      <c r="C366" s="10" t="str" cm="1">
        <f t="array" ref="C366">IF(AND(A366="2020-12", ISNA(MATCH(B366, _xlfn._xlws.FILTER(B:B, A:A="2021-01"), 0))), "Left", "Ativo")</f>
        <v>Ativo</v>
      </c>
      <c r="D366" s="10" t="str" cm="1">
        <f t="array" ref="D366">IF(AND(A366="2021-01", ISNA(MATCH(B366, _xlfn._xlws.FILTER(B:B, A:A="2021-02"), 0))), "Left", "Ativo")</f>
        <v>Ativo</v>
      </c>
      <c r="E366" s="10" t="str" cm="1">
        <f t="array" ref="E366">IF(AND(A366="2021-02", ISNA(MATCH(B366, _xlfn._xlws.FILTER(B:B, A:A="2021-03"), 0))), "Left", "Ativo")</f>
        <v>Ativo</v>
      </c>
      <c r="F366" s="12" t="str" cm="1">
        <f t="array" ref="F366">IF(AND(A366="2021-03", ISNA(MATCH(B366, _xlfn._xlws.FILTER(B:B, A:A="2021-04"), 0))), "Left", "Ativo")</f>
        <v>Ativo</v>
      </c>
    </row>
    <row r="367" spans="1:6" x14ac:dyDescent="0.25">
      <c r="A367" t="s">
        <v>1528</v>
      </c>
      <c r="B367" t="s">
        <v>366</v>
      </c>
      <c r="C367" s="10" t="str" cm="1">
        <f t="array" ref="C367">IF(AND(A367="2020-12", ISNA(MATCH(B367, _xlfn._xlws.FILTER(B:B, A:A="2021-01"), 0))), "Left", "Ativo")</f>
        <v>Ativo</v>
      </c>
      <c r="D367" s="10" t="str" cm="1">
        <f t="array" ref="D367">IF(AND(A367="2021-01", ISNA(MATCH(B367, _xlfn._xlws.FILTER(B:B, A:A="2021-02"), 0))), "Left", "Ativo")</f>
        <v>Ativo</v>
      </c>
      <c r="E367" s="10" t="str" cm="1">
        <f t="array" ref="E367">IF(AND(A367="2021-02", ISNA(MATCH(B367, _xlfn._xlws.FILTER(B:B, A:A="2021-03"), 0))), "Left", "Ativo")</f>
        <v>Ativo</v>
      </c>
      <c r="F367" s="12" t="str" cm="1">
        <f t="array" ref="F367">IF(AND(A367="2021-03", ISNA(MATCH(B367, _xlfn._xlws.FILTER(B:B, A:A="2021-04"), 0))), "Left", "Ativo")</f>
        <v>Ativo</v>
      </c>
    </row>
    <row r="368" spans="1:6" x14ac:dyDescent="0.25">
      <c r="A368" t="s">
        <v>1528</v>
      </c>
      <c r="B368" t="s">
        <v>367</v>
      </c>
      <c r="C368" s="10" t="str" cm="1">
        <f t="array" ref="C368">IF(AND(A368="2020-12", ISNA(MATCH(B368, _xlfn._xlws.FILTER(B:B, A:A="2021-01"), 0))), "Left", "Ativo")</f>
        <v>Ativo</v>
      </c>
      <c r="D368" s="10" t="str" cm="1">
        <f t="array" ref="D368">IF(AND(A368="2021-01", ISNA(MATCH(B368, _xlfn._xlws.FILTER(B:B, A:A="2021-02"), 0))), "Left", "Ativo")</f>
        <v>Ativo</v>
      </c>
      <c r="E368" s="10" t="str" cm="1">
        <f t="array" ref="E368">IF(AND(A368="2021-02", ISNA(MATCH(B368, _xlfn._xlws.FILTER(B:B, A:A="2021-03"), 0))), "Left", "Ativo")</f>
        <v>Ativo</v>
      </c>
      <c r="F368" s="12" t="str" cm="1">
        <f t="array" ref="F368">IF(AND(A368="2021-03", ISNA(MATCH(B368, _xlfn._xlws.FILTER(B:B, A:A="2021-04"), 0))), "Left", "Ativo")</f>
        <v>Ativo</v>
      </c>
    </row>
    <row r="369" spans="1:6" x14ac:dyDescent="0.25">
      <c r="A369" t="s">
        <v>1528</v>
      </c>
      <c r="B369" t="s">
        <v>368</v>
      </c>
      <c r="C369" s="10" t="str" cm="1">
        <f t="array" ref="C369">IF(AND(A369="2020-12", ISNA(MATCH(B369, _xlfn._xlws.FILTER(B:B, A:A="2021-01"), 0))), "Left", "Ativo")</f>
        <v>Ativo</v>
      </c>
      <c r="D369" s="10" t="str" cm="1">
        <f t="array" ref="D369">IF(AND(A369="2021-01", ISNA(MATCH(B369, _xlfn._xlws.FILTER(B:B, A:A="2021-02"), 0))), "Left", "Ativo")</f>
        <v>Ativo</v>
      </c>
      <c r="E369" s="10" t="str" cm="1">
        <f t="array" ref="E369">IF(AND(A369="2021-02", ISNA(MATCH(B369, _xlfn._xlws.FILTER(B:B, A:A="2021-03"), 0))), "Left", "Ativo")</f>
        <v>Ativo</v>
      </c>
      <c r="F369" s="12" t="str" cm="1">
        <f t="array" ref="F369">IF(AND(A369="2021-03", ISNA(MATCH(B369, _xlfn._xlws.FILTER(B:B, A:A="2021-04"), 0))), "Left", "Ativo")</f>
        <v>Ativo</v>
      </c>
    </row>
    <row r="370" spans="1:6" x14ac:dyDescent="0.25">
      <c r="A370" t="s">
        <v>1528</v>
      </c>
      <c r="B370" t="s">
        <v>369</v>
      </c>
      <c r="C370" s="10" t="str" cm="1">
        <f t="array" ref="C370">IF(AND(A370="2020-12", ISNA(MATCH(B370, _xlfn._xlws.FILTER(B:B, A:A="2021-01"), 0))), "Left", "Ativo")</f>
        <v>Ativo</v>
      </c>
      <c r="D370" s="10" t="str" cm="1">
        <f t="array" ref="D370">IF(AND(A370="2021-01", ISNA(MATCH(B370, _xlfn._xlws.FILTER(B:B, A:A="2021-02"), 0))), "Left", "Ativo")</f>
        <v>Ativo</v>
      </c>
      <c r="E370" s="10" t="str" cm="1">
        <f t="array" ref="E370">IF(AND(A370="2021-02", ISNA(MATCH(B370, _xlfn._xlws.FILTER(B:B, A:A="2021-03"), 0))), "Left", "Ativo")</f>
        <v>Ativo</v>
      </c>
      <c r="F370" s="12" t="str" cm="1">
        <f t="array" ref="F370">IF(AND(A370="2021-03", ISNA(MATCH(B370, _xlfn._xlws.FILTER(B:B, A:A="2021-04"), 0))), "Left", "Ativo")</f>
        <v>Ativo</v>
      </c>
    </row>
    <row r="371" spans="1:6" x14ac:dyDescent="0.25">
      <c r="A371" t="s">
        <v>1528</v>
      </c>
      <c r="B371" t="s">
        <v>370</v>
      </c>
      <c r="C371" s="10" t="str" cm="1">
        <f t="array" ref="C371">IF(AND(A371="2020-12", ISNA(MATCH(B371, _xlfn._xlws.FILTER(B:B, A:A="2021-01"), 0))), "Left", "Ativo")</f>
        <v>Ativo</v>
      </c>
      <c r="D371" s="10" t="str" cm="1">
        <f t="array" ref="D371">IF(AND(A371="2021-01", ISNA(MATCH(B371, _xlfn._xlws.FILTER(B:B, A:A="2021-02"), 0))), "Left", "Ativo")</f>
        <v>Ativo</v>
      </c>
      <c r="E371" s="10" t="str" cm="1">
        <f t="array" ref="E371">IF(AND(A371="2021-02", ISNA(MATCH(B371, _xlfn._xlws.FILTER(B:B, A:A="2021-03"), 0))), "Left", "Ativo")</f>
        <v>Ativo</v>
      </c>
      <c r="F371" s="12" t="str" cm="1">
        <f t="array" ref="F371">IF(AND(A371="2021-03", ISNA(MATCH(B371, _xlfn._xlws.FILTER(B:B, A:A="2021-04"), 0))), "Left", "Ativo")</f>
        <v>Ativo</v>
      </c>
    </row>
    <row r="372" spans="1:6" x14ac:dyDescent="0.25">
      <c r="A372" t="s">
        <v>1528</v>
      </c>
      <c r="B372" t="s">
        <v>371</v>
      </c>
      <c r="C372" s="10" t="str" cm="1">
        <f t="array" ref="C372">IF(AND(A372="2020-12", ISNA(MATCH(B372, _xlfn._xlws.FILTER(B:B, A:A="2021-01"), 0))), "Left", "Ativo")</f>
        <v>Ativo</v>
      </c>
      <c r="D372" s="10" t="str" cm="1">
        <f t="array" ref="D372">IF(AND(A372="2021-01", ISNA(MATCH(B372, _xlfn._xlws.FILTER(B:B, A:A="2021-02"), 0))), "Left", "Ativo")</f>
        <v>Ativo</v>
      </c>
      <c r="E372" s="10" t="str" cm="1">
        <f t="array" ref="E372">IF(AND(A372="2021-02", ISNA(MATCH(B372, _xlfn._xlws.FILTER(B:B, A:A="2021-03"), 0))), "Left", "Ativo")</f>
        <v>Ativo</v>
      </c>
      <c r="F372" s="12" t="str" cm="1">
        <f t="array" ref="F372">IF(AND(A372="2021-03", ISNA(MATCH(B372, _xlfn._xlws.FILTER(B:B, A:A="2021-04"), 0))), "Left", "Ativo")</f>
        <v>Ativo</v>
      </c>
    </row>
    <row r="373" spans="1:6" x14ac:dyDescent="0.25">
      <c r="A373" t="s">
        <v>1528</v>
      </c>
      <c r="B373" t="s">
        <v>372</v>
      </c>
      <c r="C373" s="10" t="str" cm="1">
        <f t="array" ref="C373">IF(AND(A373="2020-12", ISNA(MATCH(B373, _xlfn._xlws.FILTER(B:B, A:A="2021-01"), 0))), "Left", "Ativo")</f>
        <v>Ativo</v>
      </c>
      <c r="D373" s="10" t="str" cm="1">
        <f t="array" ref="D373">IF(AND(A373="2021-01", ISNA(MATCH(B373, _xlfn._xlws.FILTER(B:B, A:A="2021-02"), 0))), "Left", "Ativo")</f>
        <v>Ativo</v>
      </c>
      <c r="E373" s="10" t="str" cm="1">
        <f t="array" ref="E373">IF(AND(A373="2021-02", ISNA(MATCH(B373, _xlfn._xlws.FILTER(B:B, A:A="2021-03"), 0))), "Left", "Ativo")</f>
        <v>Ativo</v>
      </c>
      <c r="F373" s="12" t="str" cm="1">
        <f t="array" ref="F373">IF(AND(A373="2021-03", ISNA(MATCH(B373, _xlfn._xlws.FILTER(B:B, A:A="2021-04"), 0))), "Left", "Ativo")</f>
        <v>Ativo</v>
      </c>
    </row>
    <row r="374" spans="1:6" x14ac:dyDescent="0.25">
      <c r="A374" t="s">
        <v>1528</v>
      </c>
      <c r="B374" t="s">
        <v>373</v>
      </c>
      <c r="C374" s="10" t="str" cm="1">
        <f t="array" ref="C374">IF(AND(A374="2020-12", ISNA(MATCH(B374, _xlfn._xlws.FILTER(B:B, A:A="2021-01"), 0))), "Left", "Ativo")</f>
        <v>Ativo</v>
      </c>
      <c r="D374" s="10" t="str" cm="1">
        <f t="array" ref="D374">IF(AND(A374="2021-01", ISNA(MATCH(B374, _xlfn._xlws.FILTER(B:B, A:A="2021-02"), 0))), "Left", "Ativo")</f>
        <v>Ativo</v>
      </c>
      <c r="E374" s="10" t="str" cm="1">
        <f t="array" ref="E374">IF(AND(A374="2021-02", ISNA(MATCH(B374, _xlfn._xlws.FILTER(B:B, A:A="2021-03"), 0))), "Left", "Ativo")</f>
        <v>Ativo</v>
      </c>
      <c r="F374" s="12" t="str" cm="1">
        <f t="array" ref="F374">IF(AND(A374="2021-03", ISNA(MATCH(B374, _xlfn._xlws.FILTER(B:B, A:A="2021-04"), 0))), "Left", "Ativo")</f>
        <v>Ativo</v>
      </c>
    </row>
    <row r="375" spans="1:6" x14ac:dyDescent="0.25">
      <c r="A375" t="s">
        <v>1528</v>
      </c>
      <c r="B375" t="s">
        <v>374</v>
      </c>
      <c r="C375" s="10" t="str" cm="1">
        <f t="array" ref="C375">IF(AND(A375="2020-12", ISNA(MATCH(B375, _xlfn._xlws.FILTER(B:B, A:A="2021-01"), 0))), "Left", "Ativo")</f>
        <v>Ativo</v>
      </c>
      <c r="D375" s="10" t="str" cm="1">
        <f t="array" ref="D375">IF(AND(A375="2021-01", ISNA(MATCH(B375, _xlfn._xlws.FILTER(B:B, A:A="2021-02"), 0))), "Left", "Ativo")</f>
        <v>Ativo</v>
      </c>
      <c r="E375" s="10" t="str" cm="1">
        <f t="array" ref="E375">IF(AND(A375="2021-02", ISNA(MATCH(B375, _xlfn._xlws.FILTER(B:B, A:A="2021-03"), 0))), "Left", "Ativo")</f>
        <v>Ativo</v>
      </c>
      <c r="F375" s="12" t="str" cm="1">
        <f t="array" ref="F375">IF(AND(A375="2021-03", ISNA(MATCH(B375, _xlfn._xlws.FILTER(B:B, A:A="2021-04"), 0))), "Left", "Ativo")</f>
        <v>Ativo</v>
      </c>
    </row>
    <row r="376" spans="1:6" x14ac:dyDescent="0.25">
      <c r="A376" t="s">
        <v>1528</v>
      </c>
      <c r="B376" t="s">
        <v>375</v>
      </c>
      <c r="C376" s="10" t="str" cm="1">
        <f t="array" ref="C376">IF(AND(A376="2020-12", ISNA(MATCH(B376, _xlfn._xlws.FILTER(B:B, A:A="2021-01"), 0))), "Left", "Ativo")</f>
        <v>Ativo</v>
      </c>
      <c r="D376" s="10" t="str" cm="1">
        <f t="array" ref="D376">IF(AND(A376="2021-01", ISNA(MATCH(B376, _xlfn._xlws.FILTER(B:B, A:A="2021-02"), 0))), "Left", "Ativo")</f>
        <v>Ativo</v>
      </c>
      <c r="E376" s="10" t="str" cm="1">
        <f t="array" ref="E376">IF(AND(A376="2021-02", ISNA(MATCH(B376, _xlfn._xlws.FILTER(B:B, A:A="2021-03"), 0))), "Left", "Ativo")</f>
        <v>Ativo</v>
      </c>
      <c r="F376" s="12" t="str" cm="1">
        <f t="array" ref="F376">IF(AND(A376="2021-03", ISNA(MATCH(B376, _xlfn._xlws.FILTER(B:B, A:A="2021-04"), 0))), "Left", "Ativo")</f>
        <v>Ativo</v>
      </c>
    </row>
    <row r="377" spans="1:6" x14ac:dyDescent="0.25">
      <c r="A377" t="s">
        <v>1528</v>
      </c>
      <c r="B377" t="s">
        <v>376</v>
      </c>
      <c r="C377" s="10" t="str" cm="1">
        <f t="array" ref="C377">IF(AND(A377="2020-12", ISNA(MATCH(B377, _xlfn._xlws.FILTER(B:B, A:A="2021-01"), 0))), "Left", "Ativo")</f>
        <v>Ativo</v>
      </c>
      <c r="D377" s="10" t="str" cm="1">
        <f t="array" ref="D377">IF(AND(A377="2021-01", ISNA(MATCH(B377, _xlfn._xlws.FILTER(B:B, A:A="2021-02"), 0))), "Left", "Ativo")</f>
        <v>Ativo</v>
      </c>
      <c r="E377" s="10" t="str" cm="1">
        <f t="array" ref="E377">IF(AND(A377="2021-02", ISNA(MATCH(B377, _xlfn._xlws.FILTER(B:B, A:A="2021-03"), 0))), "Left", "Ativo")</f>
        <v>Ativo</v>
      </c>
      <c r="F377" s="12" t="str" cm="1">
        <f t="array" ref="F377">IF(AND(A377="2021-03", ISNA(MATCH(B377, _xlfn._xlws.FILTER(B:B, A:A="2021-04"), 0))), "Left", "Ativo")</f>
        <v>Ativo</v>
      </c>
    </row>
    <row r="378" spans="1:6" x14ac:dyDescent="0.25">
      <c r="A378" t="s">
        <v>1528</v>
      </c>
      <c r="B378" t="s">
        <v>377</v>
      </c>
      <c r="C378" s="10" t="str" cm="1">
        <f t="array" ref="C378">IF(AND(A378="2020-12", ISNA(MATCH(B378, _xlfn._xlws.FILTER(B:B, A:A="2021-01"), 0))), "Left", "Ativo")</f>
        <v>Ativo</v>
      </c>
      <c r="D378" s="10" t="str" cm="1">
        <f t="array" ref="D378">IF(AND(A378="2021-01", ISNA(MATCH(B378, _xlfn._xlws.FILTER(B:B, A:A="2021-02"), 0))), "Left", "Ativo")</f>
        <v>Ativo</v>
      </c>
      <c r="E378" s="10" t="str" cm="1">
        <f t="array" ref="E378">IF(AND(A378="2021-02", ISNA(MATCH(B378, _xlfn._xlws.FILTER(B:B, A:A="2021-03"), 0))), "Left", "Ativo")</f>
        <v>Ativo</v>
      </c>
      <c r="F378" s="12" t="str" cm="1">
        <f t="array" ref="F378">IF(AND(A378="2021-03", ISNA(MATCH(B378, _xlfn._xlws.FILTER(B:B, A:A="2021-04"), 0))), "Left", "Ativo")</f>
        <v>Ativo</v>
      </c>
    </row>
    <row r="379" spans="1:6" x14ac:dyDescent="0.25">
      <c r="A379" t="s">
        <v>1528</v>
      </c>
      <c r="B379" t="s">
        <v>378</v>
      </c>
      <c r="C379" s="10" t="str" cm="1">
        <f t="array" ref="C379">IF(AND(A379="2020-12", ISNA(MATCH(B379, _xlfn._xlws.FILTER(B:B, A:A="2021-01"), 0))), "Left", "Ativo")</f>
        <v>Ativo</v>
      </c>
      <c r="D379" s="10" t="str" cm="1">
        <f t="array" ref="D379">IF(AND(A379="2021-01", ISNA(MATCH(B379, _xlfn._xlws.FILTER(B:B, A:A="2021-02"), 0))), "Left", "Ativo")</f>
        <v>Ativo</v>
      </c>
      <c r="E379" s="10" t="str" cm="1">
        <f t="array" ref="E379">IF(AND(A379="2021-02", ISNA(MATCH(B379, _xlfn._xlws.FILTER(B:B, A:A="2021-03"), 0))), "Left", "Ativo")</f>
        <v>Ativo</v>
      </c>
      <c r="F379" s="12" t="str" cm="1">
        <f t="array" ref="F379">IF(AND(A379="2021-03", ISNA(MATCH(B379, _xlfn._xlws.FILTER(B:B, A:A="2021-04"), 0))), "Left", "Ativo")</f>
        <v>Ativo</v>
      </c>
    </row>
    <row r="380" spans="1:6" x14ac:dyDescent="0.25">
      <c r="A380" t="s">
        <v>1528</v>
      </c>
      <c r="B380" t="s">
        <v>379</v>
      </c>
      <c r="C380" s="10" t="str" cm="1">
        <f t="array" ref="C380">IF(AND(A380="2020-12", ISNA(MATCH(B380, _xlfn._xlws.FILTER(B:B, A:A="2021-01"), 0))), "Left", "Ativo")</f>
        <v>Left</v>
      </c>
      <c r="D380" s="10" t="str" cm="1">
        <f t="array" ref="D380">IF(AND(A380="2021-01", ISNA(MATCH(B380, _xlfn._xlws.FILTER(B:B, A:A="2021-02"), 0))), "Left", "Ativo")</f>
        <v>Ativo</v>
      </c>
      <c r="E380" s="10" t="str" cm="1">
        <f t="array" ref="E380">IF(AND(A380="2021-02", ISNA(MATCH(B380, _xlfn._xlws.FILTER(B:B, A:A="2021-03"), 0))), "Left", "Ativo")</f>
        <v>Ativo</v>
      </c>
      <c r="F380" s="12" t="str" cm="1">
        <f t="array" ref="F380">IF(AND(A380="2021-03", ISNA(MATCH(B380, _xlfn._xlws.FILTER(B:B, A:A="2021-04"), 0))), "Left", "Ativo")</f>
        <v>Ativo</v>
      </c>
    </row>
    <row r="381" spans="1:6" x14ac:dyDescent="0.25">
      <c r="A381" t="s">
        <v>1528</v>
      </c>
      <c r="B381" t="s">
        <v>380</v>
      </c>
      <c r="C381" s="10" t="str" cm="1">
        <f t="array" ref="C381">IF(AND(A381="2020-12", ISNA(MATCH(B381, _xlfn._xlws.FILTER(B:B, A:A="2021-01"), 0))), "Left", "Ativo")</f>
        <v>Ativo</v>
      </c>
      <c r="D381" s="10" t="str" cm="1">
        <f t="array" ref="D381">IF(AND(A381="2021-01", ISNA(MATCH(B381, _xlfn._xlws.FILTER(B:B, A:A="2021-02"), 0))), "Left", "Ativo")</f>
        <v>Ativo</v>
      </c>
      <c r="E381" s="10" t="str" cm="1">
        <f t="array" ref="E381">IF(AND(A381="2021-02", ISNA(MATCH(B381, _xlfn._xlws.FILTER(B:B, A:A="2021-03"), 0))), "Left", "Ativo")</f>
        <v>Ativo</v>
      </c>
      <c r="F381" s="12" t="str" cm="1">
        <f t="array" ref="F381">IF(AND(A381="2021-03", ISNA(MATCH(B381, _xlfn._xlws.FILTER(B:B, A:A="2021-04"), 0))), "Left", "Ativo")</f>
        <v>Ativo</v>
      </c>
    </row>
    <row r="382" spans="1:6" x14ac:dyDescent="0.25">
      <c r="A382" t="s">
        <v>1528</v>
      </c>
      <c r="B382" t="s">
        <v>381</v>
      </c>
      <c r="C382" s="10" t="str" cm="1">
        <f t="array" ref="C382">IF(AND(A382="2020-12", ISNA(MATCH(B382, _xlfn._xlws.FILTER(B:B, A:A="2021-01"), 0))), "Left", "Ativo")</f>
        <v>Ativo</v>
      </c>
      <c r="D382" s="10" t="str" cm="1">
        <f t="array" ref="D382">IF(AND(A382="2021-01", ISNA(MATCH(B382, _xlfn._xlws.FILTER(B:B, A:A="2021-02"), 0))), "Left", "Ativo")</f>
        <v>Ativo</v>
      </c>
      <c r="E382" s="10" t="str" cm="1">
        <f t="array" ref="E382">IF(AND(A382="2021-02", ISNA(MATCH(B382, _xlfn._xlws.FILTER(B:B, A:A="2021-03"), 0))), "Left", "Ativo")</f>
        <v>Ativo</v>
      </c>
      <c r="F382" s="12" t="str" cm="1">
        <f t="array" ref="F382">IF(AND(A382="2021-03", ISNA(MATCH(B382, _xlfn._xlws.FILTER(B:B, A:A="2021-04"), 0))), "Left", "Ativo")</f>
        <v>Ativo</v>
      </c>
    </row>
    <row r="383" spans="1:6" x14ac:dyDescent="0.25">
      <c r="A383" t="s">
        <v>1528</v>
      </c>
      <c r="B383" t="s">
        <v>382</v>
      </c>
      <c r="C383" s="10" t="str" cm="1">
        <f t="array" ref="C383">IF(AND(A383="2020-12", ISNA(MATCH(B383, _xlfn._xlws.FILTER(B:B, A:A="2021-01"), 0))), "Left", "Ativo")</f>
        <v>Left</v>
      </c>
      <c r="D383" s="10" t="str" cm="1">
        <f t="array" ref="D383">IF(AND(A383="2021-01", ISNA(MATCH(B383, _xlfn._xlws.FILTER(B:B, A:A="2021-02"), 0))), "Left", "Ativo")</f>
        <v>Ativo</v>
      </c>
      <c r="E383" s="10" t="str" cm="1">
        <f t="array" ref="E383">IF(AND(A383="2021-02", ISNA(MATCH(B383, _xlfn._xlws.FILTER(B:B, A:A="2021-03"), 0))), "Left", "Ativo")</f>
        <v>Ativo</v>
      </c>
      <c r="F383" s="12" t="str" cm="1">
        <f t="array" ref="F383">IF(AND(A383="2021-03", ISNA(MATCH(B383, _xlfn._xlws.FILTER(B:B, A:A="2021-04"), 0))), "Left", "Ativo")</f>
        <v>Ativo</v>
      </c>
    </row>
    <row r="384" spans="1:6" x14ac:dyDescent="0.25">
      <c r="A384" t="s">
        <v>1528</v>
      </c>
      <c r="B384" t="s">
        <v>383</v>
      </c>
      <c r="C384" s="10" t="str" cm="1">
        <f t="array" ref="C384">IF(AND(A384="2020-12", ISNA(MATCH(B384, _xlfn._xlws.FILTER(B:B, A:A="2021-01"), 0))), "Left", "Ativo")</f>
        <v>Ativo</v>
      </c>
      <c r="D384" s="10" t="str" cm="1">
        <f t="array" ref="D384">IF(AND(A384="2021-01", ISNA(MATCH(B384, _xlfn._xlws.FILTER(B:B, A:A="2021-02"), 0))), "Left", "Ativo")</f>
        <v>Ativo</v>
      </c>
      <c r="E384" s="10" t="str" cm="1">
        <f t="array" ref="E384">IF(AND(A384="2021-02", ISNA(MATCH(B384, _xlfn._xlws.FILTER(B:B, A:A="2021-03"), 0))), "Left", "Ativo")</f>
        <v>Ativo</v>
      </c>
      <c r="F384" s="12" t="str" cm="1">
        <f t="array" ref="F384">IF(AND(A384="2021-03", ISNA(MATCH(B384, _xlfn._xlws.FILTER(B:B, A:A="2021-04"), 0))), "Left", "Ativo")</f>
        <v>Ativo</v>
      </c>
    </row>
    <row r="385" spans="1:6" x14ac:dyDescent="0.25">
      <c r="A385" t="s">
        <v>1528</v>
      </c>
      <c r="B385" t="s">
        <v>384</v>
      </c>
      <c r="C385" s="10" t="str" cm="1">
        <f t="array" ref="C385">IF(AND(A385="2020-12", ISNA(MATCH(B385, _xlfn._xlws.FILTER(B:B, A:A="2021-01"), 0))), "Left", "Ativo")</f>
        <v>Left</v>
      </c>
      <c r="D385" s="10" t="str" cm="1">
        <f t="array" ref="D385">IF(AND(A385="2021-01", ISNA(MATCH(B385, _xlfn._xlws.FILTER(B:B, A:A="2021-02"), 0))), "Left", "Ativo")</f>
        <v>Ativo</v>
      </c>
      <c r="E385" s="10" t="str" cm="1">
        <f t="array" ref="E385">IF(AND(A385="2021-02", ISNA(MATCH(B385, _xlfn._xlws.FILTER(B:B, A:A="2021-03"), 0))), "Left", "Ativo")</f>
        <v>Ativo</v>
      </c>
      <c r="F385" s="12" t="str" cm="1">
        <f t="array" ref="F385">IF(AND(A385="2021-03", ISNA(MATCH(B385, _xlfn._xlws.FILTER(B:B, A:A="2021-04"), 0))), "Left", "Ativo")</f>
        <v>Ativo</v>
      </c>
    </row>
    <row r="386" spans="1:6" x14ac:dyDescent="0.25">
      <c r="A386" t="s">
        <v>1528</v>
      </c>
      <c r="B386" t="s">
        <v>385</v>
      </c>
      <c r="C386" s="10" t="str" cm="1">
        <f t="array" ref="C386">IF(AND(A386="2020-12", ISNA(MATCH(B386, _xlfn._xlws.FILTER(B:B, A:A="2021-01"), 0))), "Left", "Ativo")</f>
        <v>Left</v>
      </c>
      <c r="D386" s="10" t="str" cm="1">
        <f t="array" ref="D386">IF(AND(A386="2021-01", ISNA(MATCH(B386, _xlfn._xlws.FILTER(B:B, A:A="2021-02"), 0))), "Left", "Ativo")</f>
        <v>Ativo</v>
      </c>
      <c r="E386" s="10" t="str" cm="1">
        <f t="array" ref="E386">IF(AND(A386="2021-02", ISNA(MATCH(B386, _xlfn._xlws.FILTER(B:B, A:A="2021-03"), 0))), "Left", "Ativo")</f>
        <v>Ativo</v>
      </c>
      <c r="F386" s="12" t="str" cm="1">
        <f t="array" ref="F386">IF(AND(A386="2021-03", ISNA(MATCH(B386, _xlfn._xlws.FILTER(B:B, A:A="2021-04"), 0))), "Left", "Ativo")</f>
        <v>Ativo</v>
      </c>
    </row>
    <row r="387" spans="1:6" x14ac:dyDescent="0.25">
      <c r="A387" t="s">
        <v>1528</v>
      </c>
      <c r="B387" t="s">
        <v>386</v>
      </c>
      <c r="C387" s="10" t="str" cm="1">
        <f t="array" ref="C387">IF(AND(A387="2020-12", ISNA(MATCH(B387, _xlfn._xlws.FILTER(B:B, A:A="2021-01"), 0))), "Left", "Ativo")</f>
        <v>Ativo</v>
      </c>
      <c r="D387" s="10" t="str" cm="1">
        <f t="array" ref="D387">IF(AND(A387="2021-01", ISNA(MATCH(B387, _xlfn._xlws.FILTER(B:B, A:A="2021-02"), 0))), "Left", "Ativo")</f>
        <v>Ativo</v>
      </c>
      <c r="E387" s="10" t="str" cm="1">
        <f t="array" ref="E387">IF(AND(A387="2021-02", ISNA(MATCH(B387, _xlfn._xlws.FILTER(B:B, A:A="2021-03"), 0))), "Left", "Ativo")</f>
        <v>Ativo</v>
      </c>
      <c r="F387" s="12" t="str" cm="1">
        <f t="array" ref="F387">IF(AND(A387="2021-03", ISNA(MATCH(B387, _xlfn._xlws.FILTER(B:B, A:A="2021-04"), 0))), "Left", "Ativo")</f>
        <v>Ativo</v>
      </c>
    </row>
    <row r="388" spans="1:6" x14ac:dyDescent="0.25">
      <c r="A388" t="s">
        <v>1528</v>
      </c>
      <c r="B388" t="s">
        <v>387</v>
      </c>
      <c r="C388" s="10" t="str" cm="1">
        <f t="array" ref="C388">IF(AND(A388="2020-12", ISNA(MATCH(B388, _xlfn._xlws.FILTER(B:B, A:A="2021-01"), 0))), "Left", "Ativo")</f>
        <v>Ativo</v>
      </c>
      <c r="D388" s="10" t="str" cm="1">
        <f t="array" ref="D388">IF(AND(A388="2021-01", ISNA(MATCH(B388, _xlfn._xlws.FILTER(B:B, A:A="2021-02"), 0))), "Left", "Ativo")</f>
        <v>Ativo</v>
      </c>
      <c r="E388" s="10" t="str" cm="1">
        <f t="array" ref="E388">IF(AND(A388="2021-02", ISNA(MATCH(B388, _xlfn._xlws.FILTER(B:B, A:A="2021-03"), 0))), "Left", "Ativo")</f>
        <v>Ativo</v>
      </c>
      <c r="F388" s="12" t="str" cm="1">
        <f t="array" ref="F388">IF(AND(A388="2021-03", ISNA(MATCH(B388, _xlfn._xlws.FILTER(B:B, A:A="2021-04"), 0))), "Left", "Ativo")</f>
        <v>Ativo</v>
      </c>
    </row>
    <row r="389" spans="1:6" x14ac:dyDescent="0.25">
      <c r="A389" t="s">
        <v>1528</v>
      </c>
      <c r="B389" t="s">
        <v>388</v>
      </c>
      <c r="C389" s="10" t="str" cm="1">
        <f t="array" ref="C389">IF(AND(A389="2020-12", ISNA(MATCH(B389, _xlfn._xlws.FILTER(B:B, A:A="2021-01"), 0))), "Left", "Ativo")</f>
        <v>Ativo</v>
      </c>
      <c r="D389" s="10" t="str" cm="1">
        <f t="array" ref="D389">IF(AND(A389="2021-01", ISNA(MATCH(B389, _xlfn._xlws.FILTER(B:B, A:A="2021-02"), 0))), "Left", "Ativo")</f>
        <v>Ativo</v>
      </c>
      <c r="E389" s="10" t="str" cm="1">
        <f t="array" ref="E389">IF(AND(A389="2021-02", ISNA(MATCH(B389, _xlfn._xlws.FILTER(B:B, A:A="2021-03"), 0))), "Left", "Ativo")</f>
        <v>Ativo</v>
      </c>
      <c r="F389" s="12" t="str" cm="1">
        <f t="array" ref="F389">IF(AND(A389="2021-03", ISNA(MATCH(B389, _xlfn._xlws.FILTER(B:B, A:A="2021-04"), 0))), "Left", "Ativo")</f>
        <v>Ativo</v>
      </c>
    </row>
    <row r="390" spans="1:6" x14ac:dyDescent="0.25">
      <c r="A390" t="s">
        <v>1528</v>
      </c>
      <c r="B390" t="s">
        <v>389</v>
      </c>
      <c r="C390" s="10" t="str" cm="1">
        <f t="array" ref="C390">IF(AND(A390="2020-12", ISNA(MATCH(B390, _xlfn._xlws.FILTER(B:B, A:A="2021-01"), 0))), "Left", "Ativo")</f>
        <v>Ativo</v>
      </c>
      <c r="D390" s="10" t="str" cm="1">
        <f t="array" ref="D390">IF(AND(A390="2021-01", ISNA(MATCH(B390, _xlfn._xlws.FILTER(B:B, A:A="2021-02"), 0))), "Left", "Ativo")</f>
        <v>Ativo</v>
      </c>
      <c r="E390" s="10" t="str" cm="1">
        <f t="array" ref="E390">IF(AND(A390="2021-02", ISNA(MATCH(B390, _xlfn._xlws.FILTER(B:B, A:A="2021-03"), 0))), "Left", "Ativo")</f>
        <v>Ativo</v>
      </c>
      <c r="F390" s="12" t="str" cm="1">
        <f t="array" ref="F390">IF(AND(A390="2021-03", ISNA(MATCH(B390, _xlfn._xlws.FILTER(B:B, A:A="2021-04"), 0))), "Left", "Ativo")</f>
        <v>Ativo</v>
      </c>
    </row>
    <row r="391" spans="1:6" x14ac:dyDescent="0.25">
      <c r="A391" t="s">
        <v>1528</v>
      </c>
      <c r="B391" t="s">
        <v>390</v>
      </c>
      <c r="C391" s="10" t="str" cm="1">
        <f t="array" ref="C391">IF(AND(A391="2020-12", ISNA(MATCH(B391, _xlfn._xlws.FILTER(B:B, A:A="2021-01"), 0))), "Left", "Ativo")</f>
        <v>Ativo</v>
      </c>
      <c r="D391" s="10" t="str" cm="1">
        <f t="array" ref="D391">IF(AND(A391="2021-01", ISNA(MATCH(B391, _xlfn._xlws.FILTER(B:B, A:A="2021-02"), 0))), "Left", "Ativo")</f>
        <v>Ativo</v>
      </c>
      <c r="E391" s="10" t="str" cm="1">
        <f t="array" ref="E391">IF(AND(A391="2021-02", ISNA(MATCH(B391, _xlfn._xlws.FILTER(B:B, A:A="2021-03"), 0))), "Left", "Ativo")</f>
        <v>Ativo</v>
      </c>
      <c r="F391" s="12" t="str" cm="1">
        <f t="array" ref="F391">IF(AND(A391="2021-03", ISNA(MATCH(B391, _xlfn._xlws.FILTER(B:B, A:A="2021-04"), 0))), "Left", "Ativo")</f>
        <v>Ativo</v>
      </c>
    </row>
    <row r="392" spans="1:6" x14ac:dyDescent="0.25">
      <c r="A392" t="s">
        <v>1528</v>
      </c>
      <c r="B392" t="s">
        <v>391</v>
      </c>
      <c r="C392" s="10" t="str" cm="1">
        <f t="array" ref="C392">IF(AND(A392="2020-12", ISNA(MATCH(B392, _xlfn._xlws.FILTER(B:B, A:A="2021-01"), 0))), "Left", "Ativo")</f>
        <v>Ativo</v>
      </c>
      <c r="D392" s="10" t="str" cm="1">
        <f t="array" ref="D392">IF(AND(A392="2021-01", ISNA(MATCH(B392, _xlfn._xlws.FILTER(B:B, A:A="2021-02"), 0))), "Left", "Ativo")</f>
        <v>Ativo</v>
      </c>
      <c r="E392" s="10" t="str" cm="1">
        <f t="array" ref="E392">IF(AND(A392="2021-02", ISNA(MATCH(B392, _xlfn._xlws.FILTER(B:B, A:A="2021-03"), 0))), "Left", "Ativo")</f>
        <v>Ativo</v>
      </c>
      <c r="F392" s="12" t="str" cm="1">
        <f t="array" ref="F392">IF(AND(A392="2021-03", ISNA(MATCH(B392, _xlfn._xlws.FILTER(B:B, A:A="2021-04"), 0))), "Left", "Ativo")</f>
        <v>Ativo</v>
      </c>
    </row>
    <row r="393" spans="1:6" x14ac:dyDescent="0.25">
      <c r="A393" t="s">
        <v>1528</v>
      </c>
      <c r="B393" t="s">
        <v>392</v>
      </c>
      <c r="C393" s="10" t="str" cm="1">
        <f t="array" ref="C393">IF(AND(A393="2020-12", ISNA(MATCH(B393, _xlfn._xlws.FILTER(B:B, A:A="2021-01"), 0))), "Left", "Ativo")</f>
        <v>Ativo</v>
      </c>
      <c r="D393" s="10" t="str" cm="1">
        <f t="array" ref="D393">IF(AND(A393="2021-01", ISNA(MATCH(B393, _xlfn._xlws.FILTER(B:B, A:A="2021-02"), 0))), "Left", "Ativo")</f>
        <v>Ativo</v>
      </c>
      <c r="E393" s="10" t="str" cm="1">
        <f t="array" ref="E393">IF(AND(A393="2021-02", ISNA(MATCH(B393, _xlfn._xlws.FILTER(B:B, A:A="2021-03"), 0))), "Left", "Ativo")</f>
        <v>Ativo</v>
      </c>
      <c r="F393" s="12" t="str" cm="1">
        <f t="array" ref="F393">IF(AND(A393="2021-03", ISNA(MATCH(B393, _xlfn._xlws.FILTER(B:B, A:A="2021-04"), 0))), "Left", "Ativo")</f>
        <v>Ativo</v>
      </c>
    </row>
    <row r="394" spans="1:6" x14ac:dyDescent="0.25">
      <c r="A394" t="s">
        <v>1528</v>
      </c>
      <c r="B394" t="s">
        <v>393</v>
      </c>
      <c r="C394" s="10" t="str" cm="1">
        <f t="array" ref="C394">IF(AND(A394="2020-12", ISNA(MATCH(B394, _xlfn._xlws.FILTER(B:B, A:A="2021-01"), 0))), "Left", "Ativo")</f>
        <v>Ativo</v>
      </c>
      <c r="D394" s="10" t="str" cm="1">
        <f t="array" ref="D394">IF(AND(A394="2021-01", ISNA(MATCH(B394, _xlfn._xlws.FILTER(B:B, A:A="2021-02"), 0))), "Left", "Ativo")</f>
        <v>Ativo</v>
      </c>
      <c r="E394" s="10" t="str" cm="1">
        <f t="array" ref="E394">IF(AND(A394="2021-02", ISNA(MATCH(B394, _xlfn._xlws.FILTER(B:B, A:A="2021-03"), 0))), "Left", "Ativo")</f>
        <v>Ativo</v>
      </c>
      <c r="F394" s="12" t="str" cm="1">
        <f t="array" ref="F394">IF(AND(A394="2021-03", ISNA(MATCH(B394, _xlfn._xlws.FILTER(B:B, A:A="2021-04"), 0))), "Left", "Ativo")</f>
        <v>Ativo</v>
      </c>
    </row>
    <row r="395" spans="1:6" x14ac:dyDescent="0.25">
      <c r="A395" t="s">
        <v>1528</v>
      </c>
      <c r="B395" t="s">
        <v>394</v>
      </c>
      <c r="C395" s="10" t="str" cm="1">
        <f t="array" ref="C395">IF(AND(A395="2020-12", ISNA(MATCH(B395, _xlfn._xlws.FILTER(B:B, A:A="2021-01"), 0))), "Left", "Ativo")</f>
        <v>Ativo</v>
      </c>
      <c r="D395" s="10" t="str" cm="1">
        <f t="array" ref="D395">IF(AND(A395="2021-01", ISNA(MATCH(B395, _xlfn._xlws.FILTER(B:B, A:A="2021-02"), 0))), "Left", "Ativo")</f>
        <v>Ativo</v>
      </c>
      <c r="E395" s="10" t="str" cm="1">
        <f t="array" ref="E395">IF(AND(A395="2021-02", ISNA(MATCH(B395, _xlfn._xlws.FILTER(B:B, A:A="2021-03"), 0))), "Left", "Ativo")</f>
        <v>Ativo</v>
      </c>
      <c r="F395" s="12" t="str" cm="1">
        <f t="array" ref="F395">IF(AND(A395="2021-03", ISNA(MATCH(B395, _xlfn._xlws.FILTER(B:B, A:A="2021-04"), 0))), "Left", "Ativo")</f>
        <v>Ativo</v>
      </c>
    </row>
    <row r="396" spans="1:6" x14ac:dyDescent="0.25">
      <c r="A396" t="s">
        <v>1528</v>
      </c>
      <c r="B396" t="s">
        <v>395</v>
      </c>
      <c r="C396" s="10" t="str" cm="1">
        <f t="array" ref="C396">IF(AND(A396="2020-12", ISNA(MATCH(B396, _xlfn._xlws.FILTER(B:B, A:A="2021-01"), 0))), "Left", "Ativo")</f>
        <v>Ativo</v>
      </c>
      <c r="D396" s="10" t="str" cm="1">
        <f t="array" ref="D396">IF(AND(A396="2021-01", ISNA(MATCH(B396, _xlfn._xlws.FILTER(B:B, A:A="2021-02"), 0))), "Left", "Ativo")</f>
        <v>Ativo</v>
      </c>
      <c r="E396" s="10" t="str" cm="1">
        <f t="array" ref="E396">IF(AND(A396="2021-02", ISNA(MATCH(B396, _xlfn._xlws.FILTER(B:B, A:A="2021-03"), 0))), "Left", "Ativo")</f>
        <v>Ativo</v>
      </c>
      <c r="F396" s="12" t="str" cm="1">
        <f t="array" ref="F396">IF(AND(A396="2021-03", ISNA(MATCH(B396, _xlfn._xlws.FILTER(B:B, A:A="2021-04"), 0))), "Left", "Ativo")</f>
        <v>Ativo</v>
      </c>
    </row>
    <row r="397" spans="1:6" x14ac:dyDescent="0.25">
      <c r="A397" t="s">
        <v>1528</v>
      </c>
      <c r="B397" t="s">
        <v>396</v>
      </c>
      <c r="C397" s="10" t="str" cm="1">
        <f t="array" ref="C397">IF(AND(A397="2020-12", ISNA(MATCH(B397, _xlfn._xlws.FILTER(B:B, A:A="2021-01"), 0))), "Left", "Ativo")</f>
        <v>Ativo</v>
      </c>
      <c r="D397" s="10" t="str" cm="1">
        <f t="array" ref="D397">IF(AND(A397="2021-01", ISNA(MATCH(B397, _xlfn._xlws.FILTER(B:B, A:A="2021-02"), 0))), "Left", "Ativo")</f>
        <v>Ativo</v>
      </c>
      <c r="E397" s="10" t="str" cm="1">
        <f t="array" ref="E397">IF(AND(A397="2021-02", ISNA(MATCH(B397, _xlfn._xlws.FILTER(B:B, A:A="2021-03"), 0))), "Left", "Ativo")</f>
        <v>Ativo</v>
      </c>
      <c r="F397" s="12" t="str" cm="1">
        <f t="array" ref="F397">IF(AND(A397="2021-03", ISNA(MATCH(B397, _xlfn._xlws.FILTER(B:B, A:A="2021-04"), 0))), "Left", "Ativo")</f>
        <v>Ativo</v>
      </c>
    </row>
    <row r="398" spans="1:6" x14ac:dyDescent="0.25">
      <c r="A398" t="s">
        <v>1528</v>
      </c>
      <c r="B398" t="s">
        <v>397</v>
      </c>
      <c r="C398" s="10" t="str" cm="1">
        <f t="array" ref="C398">IF(AND(A398="2020-12", ISNA(MATCH(B398, _xlfn._xlws.FILTER(B:B, A:A="2021-01"), 0))), "Left", "Ativo")</f>
        <v>Ativo</v>
      </c>
      <c r="D398" s="10" t="str" cm="1">
        <f t="array" ref="D398">IF(AND(A398="2021-01", ISNA(MATCH(B398, _xlfn._xlws.FILTER(B:B, A:A="2021-02"), 0))), "Left", "Ativo")</f>
        <v>Ativo</v>
      </c>
      <c r="E398" s="10" t="str" cm="1">
        <f t="array" ref="E398">IF(AND(A398="2021-02", ISNA(MATCH(B398, _xlfn._xlws.FILTER(B:B, A:A="2021-03"), 0))), "Left", "Ativo")</f>
        <v>Ativo</v>
      </c>
      <c r="F398" s="12" t="str" cm="1">
        <f t="array" ref="F398">IF(AND(A398="2021-03", ISNA(MATCH(B398, _xlfn._xlws.FILTER(B:B, A:A="2021-04"), 0))), "Left", "Ativo")</f>
        <v>Ativo</v>
      </c>
    </row>
    <row r="399" spans="1:6" x14ac:dyDescent="0.25">
      <c r="A399" t="s">
        <v>1528</v>
      </c>
      <c r="B399" t="s">
        <v>398</v>
      </c>
      <c r="C399" s="10" t="str" cm="1">
        <f t="array" ref="C399">IF(AND(A399="2020-12", ISNA(MATCH(B399, _xlfn._xlws.FILTER(B:B, A:A="2021-01"), 0))), "Left", "Ativo")</f>
        <v>Ativo</v>
      </c>
      <c r="D399" s="10" t="str" cm="1">
        <f t="array" ref="D399">IF(AND(A399="2021-01", ISNA(MATCH(B399, _xlfn._xlws.FILTER(B:B, A:A="2021-02"), 0))), "Left", "Ativo")</f>
        <v>Ativo</v>
      </c>
      <c r="E399" s="10" t="str" cm="1">
        <f t="array" ref="E399">IF(AND(A399="2021-02", ISNA(MATCH(B399, _xlfn._xlws.FILTER(B:B, A:A="2021-03"), 0))), "Left", "Ativo")</f>
        <v>Ativo</v>
      </c>
      <c r="F399" s="12" t="str" cm="1">
        <f t="array" ref="F399">IF(AND(A399="2021-03", ISNA(MATCH(B399, _xlfn._xlws.FILTER(B:B, A:A="2021-04"), 0))), "Left", "Ativo")</f>
        <v>Ativo</v>
      </c>
    </row>
    <row r="400" spans="1:6" x14ac:dyDescent="0.25">
      <c r="A400" t="s">
        <v>1528</v>
      </c>
      <c r="B400" t="s">
        <v>399</v>
      </c>
      <c r="C400" s="10" t="str" cm="1">
        <f t="array" ref="C400">IF(AND(A400="2020-12", ISNA(MATCH(B400, _xlfn._xlws.FILTER(B:B, A:A="2021-01"), 0))), "Left", "Ativo")</f>
        <v>Ativo</v>
      </c>
      <c r="D400" s="10" t="str" cm="1">
        <f t="array" ref="D400">IF(AND(A400="2021-01", ISNA(MATCH(B400, _xlfn._xlws.FILTER(B:B, A:A="2021-02"), 0))), "Left", "Ativo")</f>
        <v>Ativo</v>
      </c>
      <c r="E400" s="10" t="str" cm="1">
        <f t="array" ref="E400">IF(AND(A400="2021-02", ISNA(MATCH(B400, _xlfn._xlws.FILTER(B:B, A:A="2021-03"), 0))), "Left", "Ativo")</f>
        <v>Ativo</v>
      </c>
      <c r="F400" s="12" t="str" cm="1">
        <f t="array" ref="F400">IF(AND(A400="2021-03", ISNA(MATCH(B400, _xlfn._xlws.FILTER(B:B, A:A="2021-04"), 0))), "Left", "Ativo")</f>
        <v>Ativo</v>
      </c>
    </row>
    <row r="401" spans="1:6" x14ac:dyDescent="0.25">
      <c r="A401" t="s">
        <v>1528</v>
      </c>
      <c r="B401" t="s">
        <v>400</v>
      </c>
      <c r="C401" s="10" t="str" cm="1">
        <f t="array" ref="C401">IF(AND(A401="2020-12", ISNA(MATCH(B401, _xlfn._xlws.FILTER(B:B, A:A="2021-01"), 0))), "Left", "Ativo")</f>
        <v>Ativo</v>
      </c>
      <c r="D401" s="10" t="str" cm="1">
        <f t="array" ref="D401">IF(AND(A401="2021-01", ISNA(MATCH(B401, _xlfn._xlws.FILTER(B:B, A:A="2021-02"), 0))), "Left", "Ativo")</f>
        <v>Ativo</v>
      </c>
      <c r="E401" s="10" t="str" cm="1">
        <f t="array" ref="E401">IF(AND(A401="2021-02", ISNA(MATCH(B401, _xlfn._xlws.FILTER(B:B, A:A="2021-03"), 0))), "Left", "Ativo")</f>
        <v>Ativo</v>
      </c>
      <c r="F401" s="12" t="str" cm="1">
        <f t="array" ref="F401">IF(AND(A401="2021-03", ISNA(MATCH(B401, _xlfn._xlws.FILTER(B:B, A:A="2021-04"), 0))), "Left", "Ativo")</f>
        <v>Ativo</v>
      </c>
    </row>
    <row r="402" spans="1:6" x14ac:dyDescent="0.25">
      <c r="A402" t="s">
        <v>1528</v>
      </c>
      <c r="B402" t="s">
        <v>401</v>
      </c>
      <c r="C402" s="10" t="str" cm="1">
        <f t="array" ref="C402">IF(AND(A402="2020-12", ISNA(MATCH(B402, _xlfn._xlws.FILTER(B:B, A:A="2021-01"), 0))), "Left", "Ativo")</f>
        <v>Ativo</v>
      </c>
      <c r="D402" s="10" t="str" cm="1">
        <f t="array" ref="D402">IF(AND(A402="2021-01", ISNA(MATCH(B402, _xlfn._xlws.FILTER(B:B, A:A="2021-02"), 0))), "Left", "Ativo")</f>
        <v>Ativo</v>
      </c>
      <c r="E402" s="10" t="str" cm="1">
        <f t="array" ref="E402">IF(AND(A402="2021-02", ISNA(MATCH(B402, _xlfn._xlws.FILTER(B:B, A:A="2021-03"), 0))), "Left", "Ativo")</f>
        <v>Ativo</v>
      </c>
      <c r="F402" s="12" t="str" cm="1">
        <f t="array" ref="F402">IF(AND(A402="2021-03", ISNA(MATCH(B402, _xlfn._xlws.FILTER(B:B, A:A="2021-04"), 0))), "Left", "Ativo")</f>
        <v>Ativo</v>
      </c>
    </row>
    <row r="403" spans="1:6" x14ac:dyDescent="0.25">
      <c r="A403" t="s">
        <v>1528</v>
      </c>
      <c r="B403" t="s">
        <v>402</v>
      </c>
      <c r="C403" s="10" t="str" cm="1">
        <f t="array" ref="C403">IF(AND(A403="2020-12", ISNA(MATCH(B403, _xlfn._xlws.FILTER(B:B, A:A="2021-01"), 0))), "Left", "Ativo")</f>
        <v>Ativo</v>
      </c>
      <c r="D403" s="10" t="str" cm="1">
        <f t="array" ref="D403">IF(AND(A403="2021-01", ISNA(MATCH(B403, _xlfn._xlws.FILTER(B:B, A:A="2021-02"), 0))), "Left", "Ativo")</f>
        <v>Ativo</v>
      </c>
      <c r="E403" s="10" t="str" cm="1">
        <f t="array" ref="E403">IF(AND(A403="2021-02", ISNA(MATCH(B403, _xlfn._xlws.FILTER(B:B, A:A="2021-03"), 0))), "Left", "Ativo")</f>
        <v>Ativo</v>
      </c>
      <c r="F403" s="12" t="str" cm="1">
        <f t="array" ref="F403">IF(AND(A403="2021-03", ISNA(MATCH(B403, _xlfn._xlws.FILTER(B:B, A:A="2021-04"), 0))), "Left", "Ativo")</f>
        <v>Ativo</v>
      </c>
    </row>
    <row r="404" spans="1:6" x14ac:dyDescent="0.25">
      <c r="A404" t="s">
        <v>1528</v>
      </c>
      <c r="B404" t="s">
        <v>403</v>
      </c>
      <c r="C404" s="10" t="str" cm="1">
        <f t="array" ref="C404">IF(AND(A404="2020-12", ISNA(MATCH(B404, _xlfn._xlws.FILTER(B:B, A:A="2021-01"), 0))), "Left", "Ativo")</f>
        <v>Ativo</v>
      </c>
      <c r="D404" s="10" t="str" cm="1">
        <f t="array" ref="D404">IF(AND(A404="2021-01", ISNA(MATCH(B404, _xlfn._xlws.FILTER(B:B, A:A="2021-02"), 0))), "Left", "Ativo")</f>
        <v>Ativo</v>
      </c>
      <c r="E404" s="10" t="str" cm="1">
        <f t="array" ref="E404">IF(AND(A404="2021-02", ISNA(MATCH(B404, _xlfn._xlws.FILTER(B:B, A:A="2021-03"), 0))), "Left", "Ativo")</f>
        <v>Ativo</v>
      </c>
      <c r="F404" s="12" t="str" cm="1">
        <f t="array" ref="F404">IF(AND(A404="2021-03", ISNA(MATCH(B404, _xlfn._xlws.FILTER(B:B, A:A="2021-04"), 0))), "Left", "Ativo")</f>
        <v>Ativo</v>
      </c>
    </row>
    <row r="405" spans="1:6" x14ac:dyDescent="0.25">
      <c r="A405" t="s">
        <v>1528</v>
      </c>
      <c r="B405" t="s">
        <v>404</v>
      </c>
      <c r="C405" s="10" t="str" cm="1">
        <f t="array" ref="C405">IF(AND(A405="2020-12", ISNA(MATCH(B405, _xlfn._xlws.FILTER(B:B, A:A="2021-01"), 0))), "Left", "Ativo")</f>
        <v>Ativo</v>
      </c>
      <c r="D405" s="10" t="str" cm="1">
        <f t="array" ref="D405">IF(AND(A405="2021-01", ISNA(MATCH(B405, _xlfn._xlws.FILTER(B:B, A:A="2021-02"), 0))), "Left", "Ativo")</f>
        <v>Ativo</v>
      </c>
      <c r="E405" s="10" t="str" cm="1">
        <f t="array" ref="E405">IF(AND(A405="2021-02", ISNA(MATCH(B405, _xlfn._xlws.FILTER(B:B, A:A="2021-03"), 0))), "Left", "Ativo")</f>
        <v>Ativo</v>
      </c>
      <c r="F405" s="12" t="str" cm="1">
        <f t="array" ref="F405">IF(AND(A405="2021-03", ISNA(MATCH(B405, _xlfn._xlws.FILTER(B:B, A:A="2021-04"), 0))), "Left", "Ativo")</f>
        <v>Ativo</v>
      </c>
    </row>
    <row r="406" spans="1:6" x14ac:dyDescent="0.25">
      <c r="A406" t="s">
        <v>1528</v>
      </c>
      <c r="B406" t="s">
        <v>405</v>
      </c>
      <c r="C406" s="10" t="str" cm="1">
        <f t="array" ref="C406">IF(AND(A406="2020-12", ISNA(MATCH(B406, _xlfn._xlws.FILTER(B:B, A:A="2021-01"), 0))), "Left", "Ativo")</f>
        <v>Ativo</v>
      </c>
      <c r="D406" s="10" t="str" cm="1">
        <f t="array" ref="D406">IF(AND(A406="2021-01", ISNA(MATCH(B406, _xlfn._xlws.FILTER(B:B, A:A="2021-02"), 0))), "Left", "Ativo")</f>
        <v>Ativo</v>
      </c>
      <c r="E406" s="10" t="str" cm="1">
        <f t="array" ref="E406">IF(AND(A406="2021-02", ISNA(MATCH(B406, _xlfn._xlws.FILTER(B:B, A:A="2021-03"), 0))), "Left", "Ativo")</f>
        <v>Ativo</v>
      </c>
      <c r="F406" s="12" t="str" cm="1">
        <f t="array" ref="F406">IF(AND(A406="2021-03", ISNA(MATCH(B406, _xlfn._xlws.FILTER(B:B, A:A="2021-04"), 0))), "Left", "Ativo")</f>
        <v>Ativo</v>
      </c>
    </row>
    <row r="407" spans="1:6" x14ac:dyDescent="0.25">
      <c r="A407" t="s">
        <v>1528</v>
      </c>
      <c r="B407" t="s">
        <v>406</v>
      </c>
      <c r="C407" s="10" t="str" cm="1">
        <f t="array" ref="C407">IF(AND(A407="2020-12", ISNA(MATCH(B407, _xlfn._xlws.FILTER(B:B, A:A="2021-01"), 0))), "Left", "Ativo")</f>
        <v>Ativo</v>
      </c>
      <c r="D407" s="10" t="str" cm="1">
        <f t="array" ref="D407">IF(AND(A407="2021-01", ISNA(MATCH(B407, _xlfn._xlws.FILTER(B:B, A:A="2021-02"), 0))), "Left", "Ativo")</f>
        <v>Ativo</v>
      </c>
      <c r="E407" s="10" t="str" cm="1">
        <f t="array" ref="E407">IF(AND(A407="2021-02", ISNA(MATCH(B407, _xlfn._xlws.FILTER(B:B, A:A="2021-03"), 0))), "Left", "Ativo")</f>
        <v>Ativo</v>
      </c>
      <c r="F407" s="12" t="str" cm="1">
        <f t="array" ref="F407">IF(AND(A407="2021-03", ISNA(MATCH(B407, _xlfn._xlws.FILTER(B:B, A:A="2021-04"), 0))), "Left", "Ativo")</f>
        <v>Ativo</v>
      </c>
    </row>
    <row r="408" spans="1:6" x14ac:dyDescent="0.25">
      <c r="A408" t="s">
        <v>1528</v>
      </c>
      <c r="B408" t="s">
        <v>407</v>
      </c>
      <c r="C408" s="10" t="str" cm="1">
        <f t="array" ref="C408">IF(AND(A408="2020-12", ISNA(MATCH(B408, _xlfn._xlws.FILTER(B:B, A:A="2021-01"), 0))), "Left", "Ativo")</f>
        <v>Ativo</v>
      </c>
      <c r="D408" s="10" t="str" cm="1">
        <f t="array" ref="D408">IF(AND(A408="2021-01", ISNA(MATCH(B408, _xlfn._xlws.FILTER(B:B, A:A="2021-02"), 0))), "Left", "Ativo")</f>
        <v>Ativo</v>
      </c>
      <c r="E408" s="10" t="str" cm="1">
        <f t="array" ref="E408">IF(AND(A408="2021-02", ISNA(MATCH(B408, _xlfn._xlws.FILTER(B:B, A:A="2021-03"), 0))), "Left", "Ativo")</f>
        <v>Ativo</v>
      </c>
      <c r="F408" s="12" t="str" cm="1">
        <f t="array" ref="F408">IF(AND(A408="2021-03", ISNA(MATCH(B408, _xlfn._xlws.FILTER(B:B, A:A="2021-04"), 0))), "Left", "Ativo")</f>
        <v>Ativo</v>
      </c>
    </row>
    <row r="409" spans="1:6" x14ac:dyDescent="0.25">
      <c r="A409" t="s">
        <v>1528</v>
      </c>
      <c r="B409" t="s">
        <v>408</v>
      </c>
      <c r="C409" s="10" t="str" cm="1">
        <f t="array" ref="C409">IF(AND(A409="2020-12", ISNA(MATCH(B409, _xlfn._xlws.FILTER(B:B, A:A="2021-01"), 0))), "Left", "Ativo")</f>
        <v>Ativo</v>
      </c>
      <c r="D409" s="10" t="str" cm="1">
        <f t="array" ref="D409">IF(AND(A409="2021-01", ISNA(MATCH(B409, _xlfn._xlws.FILTER(B:B, A:A="2021-02"), 0))), "Left", "Ativo")</f>
        <v>Ativo</v>
      </c>
      <c r="E409" s="10" t="str" cm="1">
        <f t="array" ref="E409">IF(AND(A409="2021-02", ISNA(MATCH(B409, _xlfn._xlws.FILTER(B:B, A:A="2021-03"), 0))), "Left", "Ativo")</f>
        <v>Ativo</v>
      </c>
      <c r="F409" s="12" t="str" cm="1">
        <f t="array" ref="F409">IF(AND(A409="2021-03", ISNA(MATCH(B409, _xlfn._xlws.FILTER(B:B, A:A="2021-04"), 0))), "Left", "Ativo")</f>
        <v>Ativo</v>
      </c>
    </row>
    <row r="410" spans="1:6" x14ac:dyDescent="0.25">
      <c r="A410" t="s">
        <v>1528</v>
      </c>
      <c r="B410" t="s">
        <v>409</v>
      </c>
      <c r="C410" s="10" t="str" cm="1">
        <f t="array" ref="C410">IF(AND(A410="2020-12", ISNA(MATCH(B410, _xlfn._xlws.FILTER(B:B, A:A="2021-01"), 0))), "Left", "Ativo")</f>
        <v>Ativo</v>
      </c>
      <c r="D410" s="10" t="str" cm="1">
        <f t="array" ref="D410">IF(AND(A410="2021-01", ISNA(MATCH(B410, _xlfn._xlws.FILTER(B:B, A:A="2021-02"), 0))), "Left", "Ativo")</f>
        <v>Ativo</v>
      </c>
      <c r="E410" s="10" t="str" cm="1">
        <f t="array" ref="E410">IF(AND(A410="2021-02", ISNA(MATCH(B410, _xlfn._xlws.FILTER(B:B, A:A="2021-03"), 0))), "Left", "Ativo")</f>
        <v>Ativo</v>
      </c>
      <c r="F410" s="12" t="str" cm="1">
        <f t="array" ref="F410">IF(AND(A410="2021-03", ISNA(MATCH(B410, _xlfn._xlws.FILTER(B:B, A:A="2021-04"), 0))), "Left", "Ativo")</f>
        <v>Ativo</v>
      </c>
    </row>
    <row r="411" spans="1:6" x14ac:dyDescent="0.25">
      <c r="A411" t="s">
        <v>1528</v>
      </c>
      <c r="B411" t="s">
        <v>410</v>
      </c>
      <c r="C411" s="10" t="str" cm="1">
        <f t="array" ref="C411">IF(AND(A411="2020-12", ISNA(MATCH(B411, _xlfn._xlws.FILTER(B:B, A:A="2021-01"), 0))), "Left", "Ativo")</f>
        <v>Ativo</v>
      </c>
      <c r="D411" s="10" t="str" cm="1">
        <f t="array" ref="D411">IF(AND(A411="2021-01", ISNA(MATCH(B411, _xlfn._xlws.FILTER(B:B, A:A="2021-02"), 0))), "Left", "Ativo")</f>
        <v>Ativo</v>
      </c>
      <c r="E411" s="10" t="str" cm="1">
        <f t="array" ref="E411">IF(AND(A411="2021-02", ISNA(MATCH(B411, _xlfn._xlws.FILTER(B:B, A:A="2021-03"), 0))), "Left", "Ativo")</f>
        <v>Ativo</v>
      </c>
      <c r="F411" s="12" t="str" cm="1">
        <f t="array" ref="F411">IF(AND(A411="2021-03", ISNA(MATCH(B411, _xlfn._xlws.FILTER(B:B, A:A="2021-04"), 0))), "Left", "Ativo")</f>
        <v>Ativo</v>
      </c>
    </row>
    <row r="412" spans="1:6" x14ac:dyDescent="0.25">
      <c r="A412" t="s">
        <v>1528</v>
      </c>
      <c r="B412" t="s">
        <v>411</v>
      </c>
      <c r="C412" s="10" t="str" cm="1">
        <f t="array" ref="C412">IF(AND(A412="2020-12", ISNA(MATCH(B412, _xlfn._xlws.FILTER(B:B, A:A="2021-01"), 0))), "Left", "Ativo")</f>
        <v>Ativo</v>
      </c>
      <c r="D412" s="10" t="str" cm="1">
        <f t="array" ref="D412">IF(AND(A412="2021-01", ISNA(MATCH(B412, _xlfn._xlws.FILTER(B:B, A:A="2021-02"), 0))), "Left", "Ativo")</f>
        <v>Ativo</v>
      </c>
      <c r="E412" s="10" t="str" cm="1">
        <f t="array" ref="E412">IF(AND(A412="2021-02", ISNA(MATCH(B412, _xlfn._xlws.FILTER(B:B, A:A="2021-03"), 0))), "Left", "Ativo")</f>
        <v>Ativo</v>
      </c>
      <c r="F412" s="12" t="str" cm="1">
        <f t="array" ref="F412">IF(AND(A412="2021-03", ISNA(MATCH(B412, _xlfn._xlws.FILTER(B:B, A:A="2021-04"), 0))), "Left", "Ativo")</f>
        <v>Ativo</v>
      </c>
    </row>
    <row r="413" spans="1:6" x14ac:dyDescent="0.25">
      <c r="A413" t="s">
        <v>1528</v>
      </c>
      <c r="B413" t="s">
        <v>412</v>
      </c>
      <c r="C413" s="10" t="str" cm="1">
        <f t="array" ref="C413">IF(AND(A413="2020-12", ISNA(MATCH(B413, _xlfn._xlws.FILTER(B:B, A:A="2021-01"), 0))), "Left", "Ativo")</f>
        <v>Ativo</v>
      </c>
      <c r="D413" s="10" t="str" cm="1">
        <f t="array" ref="D413">IF(AND(A413="2021-01", ISNA(MATCH(B413, _xlfn._xlws.FILTER(B:B, A:A="2021-02"), 0))), "Left", "Ativo")</f>
        <v>Ativo</v>
      </c>
      <c r="E413" s="10" t="str" cm="1">
        <f t="array" ref="E413">IF(AND(A413="2021-02", ISNA(MATCH(B413, _xlfn._xlws.FILTER(B:B, A:A="2021-03"), 0))), "Left", "Ativo")</f>
        <v>Ativo</v>
      </c>
      <c r="F413" s="12" t="str" cm="1">
        <f t="array" ref="F413">IF(AND(A413="2021-03", ISNA(MATCH(B413, _xlfn._xlws.FILTER(B:B, A:A="2021-04"), 0))), "Left", "Ativo")</f>
        <v>Ativo</v>
      </c>
    </row>
    <row r="414" spans="1:6" x14ac:dyDescent="0.25">
      <c r="A414" t="s">
        <v>1528</v>
      </c>
      <c r="B414" t="s">
        <v>413</v>
      </c>
      <c r="C414" s="10" t="str" cm="1">
        <f t="array" ref="C414">IF(AND(A414="2020-12", ISNA(MATCH(B414, _xlfn._xlws.FILTER(B:B, A:A="2021-01"), 0))), "Left", "Ativo")</f>
        <v>Ativo</v>
      </c>
      <c r="D414" s="10" t="str" cm="1">
        <f t="array" ref="D414">IF(AND(A414="2021-01", ISNA(MATCH(B414, _xlfn._xlws.FILTER(B:B, A:A="2021-02"), 0))), "Left", "Ativo")</f>
        <v>Ativo</v>
      </c>
      <c r="E414" s="10" t="str" cm="1">
        <f t="array" ref="E414">IF(AND(A414="2021-02", ISNA(MATCH(B414, _xlfn._xlws.FILTER(B:B, A:A="2021-03"), 0))), "Left", "Ativo")</f>
        <v>Ativo</v>
      </c>
      <c r="F414" s="12" t="str" cm="1">
        <f t="array" ref="F414">IF(AND(A414="2021-03", ISNA(MATCH(B414, _xlfn._xlws.FILTER(B:B, A:A="2021-04"), 0))), "Left", "Ativo")</f>
        <v>Ativo</v>
      </c>
    </row>
    <row r="415" spans="1:6" x14ac:dyDescent="0.25">
      <c r="A415" t="s">
        <v>1528</v>
      </c>
      <c r="B415" t="s">
        <v>414</v>
      </c>
      <c r="C415" s="10" t="str" cm="1">
        <f t="array" ref="C415">IF(AND(A415="2020-12", ISNA(MATCH(B415, _xlfn._xlws.FILTER(B:B, A:A="2021-01"), 0))), "Left", "Ativo")</f>
        <v>Ativo</v>
      </c>
      <c r="D415" s="10" t="str" cm="1">
        <f t="array" ref="D415">IF(AND(A415="2021-01", ISNA(MATCH(B415, _xlfn._xlws.FILTER(B:B, A:A="2021-02"), 0))), "Left", "Ativo")</f>
        <v>Ativo</v>
      </c>
      <c r="E415" s="10" t="str" cm="1">
        <f t="array" ref="E415">IF(AND(A415="2021-02", ISNA(MATCH(B415, _xlfn._xlws.FILTER(B:B, A:A="2021-03"), 0))), "Left", "Ativo")</f>
        <v>Ativo</v>
      </c>
      <c r="F415" s="12" t="str" cm="1">
        <f t="array" ref="F415">IF(AND(A415="2021-03", ISNA(MATCH(B415, _xlfn._xlws.FILTER(B:B, A:A="2021-04"), 0))), "Left", "Ativo")</f>
        <v>Ativo</v>
      </c>
    </row>
    <row r="416" spans="1:6" x14ac:dyDescent="0.25">
      <c r="A416" t="s">
        <v>1528</v>
      </c>
      <c r="B416" t="s">
        <v>415</v>
      </c>
      <c r="C416" s="10" t="str" cm="1">
        <f t="array" ref="C416">IF(AND(A416="2020-12", ISNA(MATCH(B416, _xlfn._xlws.FILTER(B:B, A:A="2021-01"), 0))), "Left", "Ativo")</f>
        <v>Ativo</v>
      </c>
      <c r="D416" s="10" t="str" cm="1">
        <f t="array" ref="D416">IF(AND(A416="2021-01", ISNA(MATCH(B416, _xlfn._xlws.FILTER(B:B, A:A="2021-02"), 0))), "Left", "Ativo")</f>
        <v>Ativo</v>
      </c>
      <c r="E416" s="10" t="str" cm="1">
        <f t="array" ref="E416">IF(AND(A416="2021-02", ISNA(MATCH(B416, _xlfn._xlws.FILTER(B:B, A:A="2021-03"), 0))), "Left", "Ativo")</f>
        <v>Ativo</v>
      </c>
      <c r="F416" s="12" t="str" cm="1">
        <f t="array" ref="F416">IF(AND(A416="2021-03", ISNA(MATCH(B416, _xlfn._xlws.FILTER(B:B, A:A="2021-04"), 0))), "Left", "Ativo")</f>
        <v>Ativo</v>
      </c>
    </row>
    <row r="417" spans="1:6" x14ac:dyDescent="0.25">
      <c r="A417" t="s">
        <v>1528</v>
      </c>
      <c r="B417" t="s">
        <v>416</v>
      </c>
      <c r="C417" s="10" t="str" cm="1">
        <f t="array" ref="C417">IF(AND(A417="2020-12", ISNA(MATCH(B417, _xlfn._xlws.FILTER(B:B, A:A="2021-01"), 0))), "Left", "Ativo")</f>
        <v>Ativo</v>
      </c>
      <c r="D417" s="10" t="str" cm="1">
        <f t="array" ref="D417">IF(AND(A417="2021-01", ISNA(MATCH(B417, _xlfn._xlws.FILTER(B:B, A:A="2021-02"), 0))), "Left", "Ativo")</f>
        <v>Ativo</v>
      </c>
      <c r="E417" s="10" t="str" cm="1">
        <f t="array" ref="E417">IF(AND(A417="2021-02", ISNA(MATCH(B417, _xlfn._xlws.FILTER(B:B, A:A="2021-03"), 0))), "Left", "Ativo")</f>
        <v>Ativo</v>
      </c>
      <c r="F417" s="12" t="str" cm="1">
        <f t="array" ref="F417">IF(AND(A417="2021-03", ISNA(MATCH(B417, _xlfn._xlws.FILTER(B:B, A:A="2021-04"), 0))), "Left", "Ativo")</f>
        <v>Ativo</v>
      </c>
    </row>
    <row r="418" spans="1:6" x14ac:dyDescent="0.25">
      <c r="A418" t="s">
        <v>1528</v>
      </c>
      <c r="B418" t="s">
        <v>417</v>
      </c>
      <c r="C418" s="10" t="str" cm="1">
        <f t="array" ref="C418">IF(AND(A418="2020-12", ISNA(MATCH(B418, _xlfn._xlws.FILTER(B:B, A:A="2021-01"), 0))), "Left", "Ativo")</f>
        <v>Ativo</v>
      </c>
      <c r="D418" s="10" t="str" cm="1">
        <f t="array" ref="D418">IF(AND(A418="2021-01", ISNA(MATCH(B418, _xlfn._xlws.FILTER(B:B, A:A="2021-02"), 0))), "Left", "Ativo")</f>
        <v>Ativo</v>
      </c>
      <c r="E418" s="10" t="str" cm="1">
        <f t="array" ref="E418">IF(AND(A418="2021-02", ISNA(MATCH(B418, _xlfn._xlws.FILTER(B:B, A:A="2021-03"), 0))), "Left", "Ativo")</f>
        <v>Ativo</v>
      </c>
      <c r="F418" s="12" t="str" cm="1">
        <f t="array" ref="F418">IF(AND(A418="2021-03", ISNA(MATCH(B418, _xlfn._xlws.FILTER(B:B, A:A="2021-04"), 0))), "Left", "Ativo")</f>
        <v>Ativo</v>
      </c>
    </row>
    <row r="419" spans="1:6" x14ac:dyDescent="0.25">
      <c r="A419" t="s">
        <v>1528</v>
      </c>
      <c r="B419" t="s">
        <v>418</v>
      </c>
      <c r="C419" s="10" t="str" cm="1">
        <f t="array" ref="C419">IF(AND(A419="2020-12", ISNA(MATCH(B419, _xlfn._xlws.FILTER(B:B, A:A="2021-01"), 0))), "Left", "Ativo")</f>
        <v>Ativo</v>
      </c>
      <c r="D419" s="10" t="str" cm="1">
        <f t="array" ref="D419">IF(AND(A419="2021-01", ISNA(MATCH(B419, _xlfn._xlws.FILTER(B:B, A:A="2021-02"), 0))), "Left", "Ativo")</f>
        <v>Ativo</v>
      </c>
      <c r="E419" s="10" t="str" cm="1">
        <f t="array" ref="E419">IF(AND(A419="2021-02", ISNA(MATCH(B419, _xlfn._xlws.FILTER(B:B, A:A="2021-03"), 0))), "Left", "Ativo")</f>
        <v>Ativo</v>
      </c>
      <c r="F419" s="12" t="str" cm="1">
        <f t="array" ref="F419">IF(AND(A419="2021-03", ISNA(MATCH(B419, _xlfn._xlws.FILTER(B:B, A:A="2021-04"), 0))), "Left", "Ativo")</f>
        <v>Ativo</v>
      </c>
    </row>
    <row r="420" spans="1:6" x14ac:dyDescent="0.25">
      <c r="A420" t="s">
        <v>1528</v>
      </c>
      <c r="B420" t="s">
        <v>419</v>
      </c>
      <c r="C420" s="10" t="str" cm="1">
        <f t="array" ref="C420">IF(AND(A420="2020-12", ISNA(MATCH(B420, _xlfn._xlws.FILTER(B:B, A:A="2021-01"), 0))), "Left", "Ativo")</f>
        <v>Ativo</v>
      </c>
      <c r="D420" s="10" t="str" cm="1">
        <f t="array" ref="D420">IF(AND(A420="2021-01", ISNA(MATCH(B420, _xlfn._xlws.FILTER(B:B, A:A="2021-02"), 0))), "Left", "Ativo")</f>
        <v>Ativo</v>
      </c>
      <c r="E420" s="10" t="str" cm="1">
        <f t="array" ref="E420">IF(AND(A420="2021-02", ISNA(MATCH(B420, _xlfn._xlws.FILTER(B:B, A:A="2021-03"), 0))), "Left", "Ativo")</f>
        <v>Ativo</v>
      </c>
      <c r="F420" s="12" t="str" cm="1">
        <f t="array" ref="F420">IF(AND(A420="2021-03", ISNA(MATCH(B420, _xlfn._xlws.FILTER(B:B, A:A="2021-04"), 0))), "Left", "Ativo")</f>
        <v>Ativo</v>
      </c>
    </row>
    <row r="421" spans="1:6" x14ac:dyDescent="0.25">
      <c r="A421" t="s">
        <v>1528</v>
      </c>
      <c r="B421" t="s">
        <v>420</v>
      </c>
      <c r="C421" s="10" t="str" cm="1">
        <f t="array" ref="C421">IF(AND(A421="2020-12", ISNA(MATCH(B421, _xlfn._xlws.FILTER(B:B, A:A="2021-01"), 0))), "Left", "Ativo")</f>
        <v>Ativo</v>
      </c>
      <c r="D421" s="10" t="str" cm="1">
        <f t="array" ref="D421">IF(AND(A421="2021-01", ISNA(MATCH(B421, _xlfn._xlws.FILTER(B:B, A:A="2021-02"), 0))), "Left", "Ativo")</f>
        <v>Ativo</v>
      </c>
      <c r="E421" s="10" t="str" cm="1">
        <f t="array" ref="E421">IF(AND(A421="2021-02", ISNA(MATCH(B421, _xlfn._xlws.FILTER(B:B, A:A="2021-03"), 0))), "Left", "Ativo")</f>
        <v>Ativo</v>
      </c>
      <c r="F421" s="12" t="str" cm="1">
        <f t="array" ref="F421">IF(AND(A421="2021-03", ISNA(MATCH(B421, _xlfn._xlws.FILTER(B:B, A:A="2021-04"), 0))), "Left", "Ativo")</f>
        <v>Ativo</v>
      </c>
    </row>
    <row r="422" spans="1:6" x14ac:dyDescent="0.25">
      <c r="A422" t="s">
        <v>1528</v>
      </c>
      <c r="B422" t="s">
        <v>421</v>
      </c>
      <c r="C422" s="10" t="str" cm="1">
        <f t="array" ref="C422">IF(AND(A422="2020-12", ISNA(MATCH(B422, _xlfn._xlws.FILTER(B:B, A:A="2021-01"), 0))), "Left", "Ativo")</f>
        <v>Ativo</v>
      </c>
      <c r="D422" s="10" t="str" cm="1">
        <f t="array" ref="D422">IF(AND(A422="2021-01", ISNA(MATCH(B422, _xlfn._xlws.FILTER(B:B, A:A="2021-02"), 0))), "Left", "Ativo")</f>
        <v>Ativo</v>
      </c>
      <c r="E422" s="10" t="str" cm="1">
        <f t="array" ref="E422">IF(AND(A422="2021-02", ISNA(MATCH(B422, _xlfn._xlws.FILTER(B:B, A:A="2021-03"), 0))), "Left", "Ativo")</f>
        <v>Ativo</v>
      </c>
      <c r="F422" s="12" t="str" cm="1">
        <f t="array" ref="F422">IF(AND(A422="2021-03", ISNA(MATCH(B422, _xlfn._xlws.FILTER(B:B, A:A="2021-04"), 0))), "Left", "Ativo")</f>
        <v>Ativo</v>
      </c>
    </row>
    <row r="423" spans="1:6" x14ac:dyDescent="0.25">
      <c r="A423" t="s">
        <v>1528</v>
      </c>
      <c r="B423" t="s">
        <v>422</v>
      </c>
      <c r="C423" s="10" t="str" cm="1">
        <f t="array" ref="C423">IF(AND(A423="2020-12", ISNA(MATCH(B423, _xlfn._xlws.FILTER(B:B, A:A="2021-01"), 0))), "Left", "Ativo")</f>
        <v>Ativo</v>
      </c>
      <c r="D423" s="10" t="str" cm="1">
        <f t="array" ref="D423">IF(AND(A423="2021-01", ISNA(MATCH(B423, _xlfn._xlws.FILTER(B:B, A:A="2021-02"), 0))), "Left", "Ativo")</f>
        <v>Ativo</v>
      </c>
      <c r="E423" s="10" t="str" cm="1">
        <f t="array" ref="E423">IF(AND(A423="2021-02", ISNA(MATCH(B423, _xlfn._xlws.FILTER(B:B, A:A="2021-03"), 0))), "Left", "Ativo")</f>
        <v>Ativo</v>
      </c>
      <c r="F423" s="12" t="str" cm="1">
        <f t="array" ref="F423">IF(AND(A423="2021-03", ISNA(MATCH(B423, _xlfn._xlws.FILTER(B:B, A:A="2021-04"), 0))), "Left", "Ativo")</f>
        <v>Ativo</v>
      </c>
    </row>
    <row r="424" spans="1:6" x14ac:dyDescent="0.25">
      <c r="A424" t="s">
        <v>1528</v>
      </c>
      <c r="B424" t="s">
        <v>423</v>
      </c>
      <c r="C424" s="10" t="str" cm="1">
        <f t="array" ref="C424">IF(AND(A424="2020-12", ISNA(MATCH(B424, _xlfn._xlws.FILTER(B:B, A:A="2021-01"), 0))), "Left", "Ativo")</f>
        <v>Ativo</v>
      </c>
      <c r="D424" s="10" t="str" cm="1">
        <f t="array" ref="D424">IF(AND(A424="2021-01", ISNA(MATCH(B424, _xlfn._xlws.FILTER(B:B, A:A="2021-02"), 0))), "Left", "Ativo")</f>
        <v>Ativo</v>
      </c>
      <c r="E424" s="10" t="str" cm="1">
        <f t="array" ref="E424">IF(AND(A424="2021-02", ISNA(MATCH(B424, _xlfn._xlws.FILTER(B:B, A:A="2021-03"), 0))), "Left", "Ativo")</f>
        <v>Ativo</v>
      </c>
      <c r="F424" s="12" t="str" cm="1">
        <f t="array" ref="F424">IF(AND(A424="2021-03", ISNA(MATCH(B424, _xlfn._xlws.FILTER(B:B, A:A="2021-04"), 0))), "Left", "Ativo")</f>
        <v>Ativo</v>
      </c>
    </row>
    <row r="425" spans="1:6" x14ac:dyDescent="0.25">
      <c r="A425" t="s">
        <v>1528</v>
      </c>
      <c r="B425" t="s">
        <v>424</v>
      </c>
      <c r="C425" s="10" t="str" cm="1">
        <f t="array" ref="C425">IF(AND(A425="2020-12", ISNA(MATCH(B425, _xlfn._xlws.FILTER(B:B, A:A="2021-01"), 0))), "Left", "Ativo")</f>
        <v>Ativo</v>
      </c>
      <c r="D425" s="10" t="str" cm="1">
        <f t="array" ref="D425">IF(AND(A425="2021-01", ISNA(MATCH(B425, _xlfn._xlws.FILTER(B:B, A:A="2021-02"), 0))), "Left", "Ativo")</f>
        <v>Ativo</v>
      </c>
      <c r="E425" s="10" t="str" cm="1">
        <f t="array" ref="E425">IF(AND(A425="2021-02", ISNA(MATCH(B425, _xlfn._xlws.FILTER(B:B, A:A="2021-03"), 0))), "Left", "Ativo")</f>
        <v>Ativo</v>
      </c>
      <c r="F425" s="12" t="str" cm="1">
        <f t="array" ref="F425">IF(AND(A425="2021-03", ISNA(MATCH(B425, _xlfn._xlws.FILTER(B:B, A:A="2021-04"), 0))), "Left", "Ativo")</f>
        <v>Ativo</v>
      </c>
    </row>
    <row r="426" spans="1:6" x14ac:dyDescent="0.25">
      <c r="A426" t="s">
        <v>1528</v>
      </c>
      <c r="B426" t="s">
        <v>425</v>
      </c>
      <c r="C426" s="10" t="str" cm="1">
        <f t="array" ref="C426">IF(AND(A426="2020-12", ISNA(MATCH(B426, _xlfn._xlws.FILTER(B:B, A:A="2021-01"), 0))), "Left", "Ativo")</f>
        <v>Ativo</v>
      </c>
      <c r="D426" s="10" t="str" cm="1">
        <f t="array" ref="D426">IF(AND(A426="2021-01", ISNA(MATCH(B426, _xlfn._xlws.FILTER(B:B, A:A="2021-02"), 0))), "Left", "Ativo")</f>
        <v>Ativo</v>
      </c>
      <c r="E426" s="10" t="str" cm="1">
        <f t="array" ref="E426">IF(AND(A426="2021-02", ISNA(MATCH(B426, _xlfn._xlws.FILTER(B:B, A:A="2021-03"), 0))), "Left", "Ativo")</f>
        <v>Ativo</v>
      </c>
      <c r="F426" s="12" t="str" cm="1">
        <f t="array" ref="F426">IF(AND(A426="2021-03", ISNA(MATCH(B426, _xlfn._xlws.FILTER(B:B, A:A="2021-04"), 0))), "Left", "Ativo")</f>
        <v>Ativo</v>
      </c>
    </row>
    <row r="427" spans="1:6" x14ac:dyDescent="0.25">
      <c r="A427" t="s">
        <v>1528</v>
      </c>
      <c r="B427" t="s">
        <v>426</v>
      </c>
      <c r="C427" s="10" t="str" cm="1">
        <f t="array" ref="C427">IF(AND(A427="2020-12", ISNA(MATCH(B427, _xlfn._xlws.FILTER(B:B, A:A="2021-01"), 0))), "Left", "Ativo")</f>
        <v>Ativo</v>
      </c>
      <c r="D427" s="10" t="str" cm="1">
        <f t="array" ref="D427">IF(AND(A427="2021-01", ISNA(MATCH(B427, _xlfn._xlws.FILTER(B:B, A:A="2021-02"), 0))), "Left", "Ativo")</f>
        <v>Ativo</v>
      </c>
      <c r="E427" s="10" t="str" cm="1">
        <f t="array" ref="E427">IF(AND(A427="2021-02", ISNA(MATCH(B427, _xlfn._xlws.FILTER(B:B, A:A="2021-03"), 0))), "Left", "Ativo")</f>
        <v>Ativo</v>
      </c>
      <c r="F427" s="12" t="str" cm="1">
        <f t="array" ref="F427">IF(AND(A427="2021-03", ISNA(MATCH(B427, _xlfn._xlws.FILTER(B:B, A:A="2021-04"), 0))), "Left", "Ativo")</f>
        <v>Ativo</v>
      </c>
    </row>
    <row r="428" spans="1:6" x14ac:dyDescent="0.25">
      <c r="A428" t="s">
        <v>1528</v>
      </c>
      <c r="B428" t="s">
        <v>427</v>
      </c>
      <c r="C428" s="10" t="str" cm="1">
        <f t="array" ref="C428">IF(AND(A428="2020-12", ISNA(MATCH(B428, _xlfn._xlws.FILTER(B:B, A:A="2021-01"), 0))), "Left", "Ativo")</f>
        <v>Ativo</v>
      </c>
      <c r="D428" s="10" t="str" cm="1">
        <f t="array" ref="D428">IF(AND(A428="2021-01", ISNA(MATCH(B428, _xlfn._xlws.FILTER(B:B, A:A="2021-02"), 0))), "Left", "Ativo")</f>
        <v>Ativo</v>
      </c>
      <c r="E428" s="10" t="str" cm="1">
        <f t="array" ref="E428">IF(AND(A428="2021-02", ISNA(MATCH(B428, _xlfn._xlws.FILTER(B:B, A:A="2021-03"), 0))), "Left", "Ativo")</f>
        <v>Ativo</v>
      </c>
      <c r="F428" s="12" t="str" cm="1">
        <f t="array" ref="F428">IF(AND(A428="2021-03", ISNA(MATCH(B428, _xlfn._xlws.FILTER(B:B, A:A="2021-04"), 0))), "Left", "Ativo")</f>
        <v>Ativo</v>
      </c>
    </row>
    <row r="429" spans="1:6" x14ac:dyDescent="0.25">
      <c r="A429" t="s">
        <v>1528</v>
      </c>
      <c r="B429" t="s">
        <v>428</v>
      </c>
      <c r="C429" s="10" t="str" cm="1">
        <f t="array" ref="C429">IF(AND(A429="2020-12", ISNA(MATCH(B429, _xlfn._xlws.FILTER(B:B, A:A="2021-01"), 0))), "Left", "Ativo")</f>
        <v>Ativo</v>
      </c>
      <c r="D429" s="10" t="str" cm="1">
        <f t="array" ref="D429">IF(AND(A429="2021-01", ISNA(MATCH(B429, _xlfn._xlws.FILTER(B:B, A:A="2021-02"), 0))), "Left", "Ativo")</f>
        <v>Ativo</v>
      </c>
      <c r="E429" s="10" t="str" cm="1">
        <f t="array" ref="E429">IF(AND(A429="2021-02", ISNA(MATCH(B429, _xlfn._xlws.FILTER(B:B, A:A="2021-03"), 0))), "Left", "Ativo")</f>
        <v>Ativo</v>
      </c>
      <c r="F429" s="12" t="str" cm="1">
        <f t="array" ref="F429">IF(AND(A429="2021-03", ISNA(MATCH(B429, _xlfn._xlws.FILTER(B:B, A:A="2021-04"), 0))), "Left", "Ativo")</f>
        <v>Ativo</v>
      </c>
    </row>
    <row r="430" spans="1:6" x14ac:dyDescent="0.25">
      <c r="A430" t="s">
        <v>1528</v>
      </c>
      <c r="B430" t="s">
        <v>429</v>
      </c>
      <c r="C430" s="10" t="str" cm="1">
        <f t="array" ref="C430">IF(AND(A430="2020-12", ISNA(MATCH(B430, _xlfn._xlws.FILTER(B:B, A:A="2021-01"), 0))), "Left", "Ativo")</f>
        <v>Ativo</v>
      </c>
      <c r="D430" s="10" t="str" cm="1">
        <f t="array" ref="D430">IF(AND(A430="2021-01", ISNA(MATCH(B430, _xlfn._xlws.FILTER(B:B, A:A="2021-02"), 0))), "Left", "Ativo")</f>
        <v>Ativo</v>
      </c>
      <c r="E430" s="10" t="str" cm="1">
        <f t="array" ref="E430">IF(AND(A430="2021-02", ISNA(MATCH(B430, _xlfn._xlws.FILTER(B:B, A:A="2021-03"), 0))), "Left", "Ativo")</f>
        <v>Ativo</v>
      </c>
      <c r="F430" s="12" t="str" cm="1">
        <f t="array" ref="F430">IF(AND(A430="2021-03", ISNA(MATCH(B430, _xlfn._xlws.FILTER(B:B, A:A="2021-04"), 0))), "Left", "Ativo")</f>
        <v>Ativo</v>
      </c>
    </row>
    <row r="431" spans="1:6" x14ac:dyDescent="0.25">
      <c r="A431" t="s">
        <v>1528</v>
      </c>
      <c r="B431" t="s">
        <v>430</v>
      </c>
      <c r="C431" s="10" t="str" cm="1">
        <f t="array" ref="C431">IF(AND(A431="2020-12", ISNA(MATCH(B431, _xlfn._xlws.FILTER(B:B, A:A="2021-01"), 0))), "Left", "Ativo")</f>
        <v>Ativo</v>
      </c>
      <c r="D431" s="10" t="str" cm="1">
        <f t="array" ref="D431">IF(AND(A431="2021-01", ISNA(MATCH(B431, _xlfn._xlws.FILTER(B:B, A:A="2021-02"), 0))), "Left", "Ativo")</f>
        <v>Ativo</v>
      </c>
      <c r="E431" s="10" t="str" cm="1">
        <f t="array" ref="E431">IF(AND(A431="2021-02", ISNA(MATCH(B431, _xlfn._xlws.FILTER(B:B, A:A="2021-03"), 0))), "Left", "Ativo")</f>
        <v>Ativo</v>
      </c>
      <c r="F431" s="12" t="str" cm="1">
        <f t="array" ref="F431">IF(AND(A431="2021-03", ISNA(MATCH(B431, _xlfn._xlws.FILTER(B:B, A:A="2021-04"), 0))), "Left", "Ativo")</f>
        <v>Ativo</v>
      </c>
    </row>
    <row r="432" spans="1:6" x14ac:dyDescent="0.25">
      <c r="A432" t="s">
        <v>1528</v>
      </c>
      <c r="B432" t="s">
        <v>431</v>
      </c>
      <c r="C432" s="10" t="str" cm="1">
        <f t="array" ref="C432">IF(AND(A432="2020-12", ISNA(MATCH(B432, _xlfn._xlws.FILTER(B:B, A:A="2021-01"), 0))), "Left", "Ativo")</f>
        <v>Ativo</v>
      </c>
      <c r="D432" s="10" t="str" cm="1">
        <f t="array" ref="D432">IF(AND(A432="2021-01", ISNA(MATCH(B432, _xlfn._xlws.FILTER(B:B, A:A="2021-02"), 0))), "Left", "Ativo")</f>
        <v>Ativo</v>
      </c>
      <c r="E432" s="10" t="str" cm="1">
        <f t="array" ref="E432">IF(AND(A432="2021-02", ISNA(MATCH(B432, _xlfn._xlws.FILTER(B:B, A:A="2021-03"), 0))), "Left", "Ativo")</f>
        <v>Ativo</v>
      </c>
      <c r="F432" s="12" t="str" cm="1">
        <f t="array" ref="F432">IF(AND(A432="2021-03", ISNA(MATCH(B432, _xlfn._xlws.FILTER(B:B, A:A="2021-04"), 0))), "Left", "Ativo")</f>
        <v>Ativo</v>
      </c>
    </row>
    <row r="433" spans="1:6" x14ac:dyDescent="0.25">
      <c r="A433" t="s">
        <v>1528</v>
      </c>
      <c r="B433" t="s">
        <v>432</v>
      </c>
      <c r="C433" s="10" t="str" cm="1">
        <f t="array" ref="C433">IF(AND(A433="2020-12", ISNA(MATCH(B433, _xlfn._xlws.FILTER(B:B, A:A="2021-01"), 0))), "Left", "Ativo")</f>
        <v>Ativo</v>
      </c>
      <c r="D433" s="10" t="str" cm="1">
        <f t="array" ref="D433">IF(AND(A433="2021-01", ISNA(MATCH(B433, _xlfn._xlws.FILTER(B:B, A:A="2021-02"), 0))), "Left", "Ativo")</f>
        <v>Ativo</v>
      </c>
      <c r="E433" s="10" t="str" cm="1">
        <f t="array" ref="E433">IF(AND(A433="2021-02", ISNA(MATCH(B433, _xlfn._xlws.FILTER(B:B, A:A="2021-03"), 0))), "Left", "Ativo")</f>
        <v>Ativo</v>
      </c>
      <c r="F433" s="12" t="str" cm="1">
        <f t="array" ref="F433">IF(AND(A433="2021-03", ISNA(MATCH(B433, _xlfn._xlws.FILTER(B:B, A:A="2021-04"), 0))), "Left", "Ativo")</f>
        <v>Ativo</v>
      </c>
    </row>
    <row r="434" spans="1:6" x14ac:dyDescent="0.25">
      <c r="A434" t="s">
        <v>1528</v>
      </c>
      <c r="B434" t="s">
        <v>433</v>
      </c>
      <c r="C434" s="10" t="str" cm="1">
        <f t="array" ref="C434">IF(AND(A434="2020-12", ISNA(MATCH(B434, _xlfn._xlws.FILTER(B:B, A:A="2021-01"), 0))), "Left", "Ativo")</f>
        <v>Ativo</v>
      </c>
      <c r="D434" s="10" t="str" cm="1">
        <f t="array" ref="D434">IF(AND(A434="2021-01", ISNA(MATCH(B434, _xlfn._xlws.FILTER(B:B, A:A="2021-02"), 0))), "Left", "Ativo")</f>
        <v>Ativo</v>
      </c>
      <c r="E434" s="10" t="str" cm="1">
        <f t="array" ref="E434">IF(AND(A434="2021-02", ISNA(MATCH(B434, _xlfn._xlws.FILTER(B:B, A:A="2021-03"), 0))), "Left", "Ativo")</f>
        <v>Ativo</v>
      </c>
      <c r="F434" s="12" t="str" cm="1">
        <f t="array" ref="F434">IF(AND(A434="2021-03", ISNA(MATCH(B434, _xlfn._xlws.FILTER(B:B, A:A="2021-04"), 0))), "Left", "Ativo")</f>
        <v>Ativo</v>
      </c>
    </row>
    <row r="435" spans="1:6" x14ac:dyDescent="0.25">
      <c r="A435" t="s">
        <v>1528</v>
      </c>
      <c r="B435" t="s">
        <v>434</v>
      </c>
      <c r="C435" s="10" t="str" cm="1">
        <f t="array" ref="C435">IF(AND(A435="2020-12", ISNA(MATCH(B435, _xlfn._xlws.FILTER(B:B, A:A="2021-01"), 0))), "Left", "Ativo")</f>
        <v>Ativo</v>
      </c>
      <c r="D435" s="10" t="str" cm="1">
        <f t="array" ref="D435">IF(AND(A435="2021-01", ISNA(MATCH(B435, _xlfn._xlws.FILTER(B:B, A:A="2021-02"), 0))), "Left", "Ativo")</f>
        <v>Ativo</v>
      </c>
      <c r="E435" s="10" t="str" cm="1">
        <f t="array" ref="E435">IF(AND(A435="2021-02", ISNA(MATCH(B435, _xlfn._xlws.FILTER(B:B, A:A="2021-03"), 0))), "Left", "Ativo")</f>
        <v>Ativo</v>
      </c>
      <c r="F435" s="12" t="str" cm="1">
        <f t="array" ref="F435">IF(AND(A435="2021-03", ISNA(MATCH(B435, _xlfn._xlws.FILTER(B:B, A:A="2021-04"), 0))), "Left", "Ativo")</f>
        <v>Ativo</v>
      </c>
    </row>
    <row r="436" spans="1:6" x14ac:dyDescent="0.25">
      <c r="A436" t="s">
        <v>1528</v>
      </c>
      <c r="B436" t="s">
        <v>435</v>
      </c>
      <c r="C436" s="10" t="str" cm="1">
        <f t="array" ref="C436">IF(AND(A436="2020-12", ISNA(MATCH(B436, _xlfn._xlws.FILTER(B:B, A:A="2021-01"), 0))), "Left", "Ativo")</f>
        <v>Ativo</v>
      </c>
      <c r="D436" s="10" t="str" cm="1">
        <f t="array" ref="D436">IF(AND(A436="2021-01", ISNA(MATCH(B436, _xlfn._xlws.FILTER(B:B, A:A="2021-02"), 0))), "Left", "Ativo")</f>
        <v>Ativo</v>
      </c>
      <c r="E436" s="10" t="str" cm="1">
        <f t="array" ref="E436">IF(AND(A436="2021-02", ISNA(MATCH(B436, _xlfn._xlws.FILTER(B:B, A:A="2021-03"), 0))), "Left", "Ativo")</f>
        <v>Ativo</v>
      </c>
      <c r="F436" s="12" t="str" cm="1">
        <f t="array" ref="F436">IF(AND(A436="2021-03", ISNA(MATCH(B436, _xlfn._xlws.FILTER(B:B, A:A="2021-04"), 0))), "Left", "Ativo")</f>
        <v>Ativo</v>
      </c>
    </row>
    <row r="437" spans="1:6" x14ac:dyDescent="0.25">
      <c r="A437" t="s">
        <v>1528</v>
      </c>
      <c r="B437" t="s">
        <v>436</v>
      </c>
      <c r="C437" s="10" t="str" cm="1">
        <f t="array" ref="C437">IF(AND(A437="2020-12", ISNA(MATCH(B437, _xlfn._xlws.FILTER(B:B, A:A="2021-01"), 0))), "Left", "Ativo")</f>
        <v>Ativo</v>
      </c>
      <c r="D437" s="10" t="str" cm="1">
        <f t="array" ref="D437">IF(AND(A437="2021-01", ISNA(MATCH(B437, _xlfn._xlws.FILTER(B:B, A:A="2021-02"), 0))), "Left", "Ativo")</f>
        <v>Ativo</v>
      </c>
      <c r="E437" s="10" t="str" cm="1">
        <f t="array" ref="E437">IF(AND(A437="2021-02", ISNA(MATCH(B437, _xlfn._xlws.FILTER(B:B, A:A="2021-03"), 0))), "Left", "Ativo")</f>
        <v>Ativo</v>
      </c>
      <c r="F437" s="12" t="str" cm="1">
        <f t="array" ref="F437">IF(AND(A437="2021-03", ISNA(MATCH(B437, _xlfn._xlws.FILTER(B:B, A:A="2021-04"), 0))), "Left", "Ativo")</f>
        <v>Ativo</v>
      </c>
    </row>
    <row r="438" spans="1:6" x14ac:dyDescent="0.25">
      <c r="A438" t="s">
        <v>1528</v>
      </c>
      <c r="B438" t="s">
        <v>437</v>
      </c>
      <c r="C438" s="10" t="str" cm="1">
        <f t="array" ref="C438">IF(AND(A438="2020-12", ISNA(MATCH(B438, _xlfn._xlws.FILTER(B:B, A:A="2021-01"), 0))), "Left", "Ativo")</f>
        <v>Ativo</v>
      </c>
      <c r="D438" s="10" t="str" cm="1">
        <f t="array" ref="D438">IF(AND(A438="2021-01", ISNA(MATCH(B438, _xlfn._xlws.FILTER(B:B, A:A="2021-02"), 0))), "Left", "Ativo")</f>
        <v>Ativo</v>
      </c>
      <c r="E438" s="10" t="str" cm="1">
        <f t="array" ref="E438">IF(AND(A438="2021-02", ISNA(MATCH(B438, _xlfn._xlws.FILTER(B:B, A:A="2021-03"), 0))), "Left", "Ativo")</f>
        <v>Ativo</v>
      </c>
      <c r="F438" s="12" t="str" cm="1">
        <f t="array" ref="F438">IF(AND(A438="2021-03", ISNA(MATCH(B438, _xlfn._xlws.FILTER(B:B, A:A="2021-04"), 0))), "Left", "Ativo")</f>
        <v>Ativo</v>
      </c>
    </row>
    <row r="439" spans="1:6" x14ac:dyDescent="0.25">
      <c r="A439" t="s">
        <v>1528</v>
      </c>
      <c r="B439" t="s">
        <v>438</v>
      </c>
      <c r="C439" s="10" t="str" cm="1">
        <f t="array" ref="C439">IF(AND(A439="2020-12", ISNA(MATCH(B439, _xlfn._xlws.FILTER(B:B, A:A="2021-01"), 0))), "Left", "Ativo")</f>
        <v>Ativo</v>
      </c>
      <c r="D439" s="10" t="str" cm="1">
        <f t="array" ref="D439">IF(AND(A439="2021-01", ISNA(MATCH(B439, _xlfn._xlws.FILTER(B:B, A:A="2021-02"), 0))), "Left", "Ativo")</f>
        <v>Ativo</v>
      </c>
      <c r="E439" s="10" t="str" cm="1">
        <f t="array" ref="E439">IF(AND(A439="2021-02", ISNA(MATCH(B439, _xlfn._xlws.FILTER(B:B, A:A="2021-03"), 0))), "Left", "Ativo")</f>
        <v>Ativo</v>
      </c>
      <c r="F439" s="12" t="str" cm="1">
        <f t="array" ref="F439">IF(AND(A439="2021-03", ISNA(MATCH(B439, _xlfn._xlws.FILTER(B:B, A:A="2021-04"), 0))), "Left", "Ativo")</f>
        <v>Ativo</v>
      </c>
    </row>
    <row r="440" spans="1:6" x14ac:dyDescent="0.25">
      <c r="A440" t="s">
        <v>1528</v>
      </c>
      <c r="B440" t="s">
        <v>439</v>
      </c>
      <c r="C440" s="10" t="str" cm="1">
        <f t="array" ref="C440">IF(AND(A440="2020-12", ISNA(MATCH(B440, _xlfn._xlws.FILTER(B:B, A:A="2021-01"), 0))), "Left", "Ativo")</f>
        <v>Ativo</v>
      </c>
      <c r="D440" s="10" t="str" cm="1">
        <f t="array" ref="D440">IF(AND(A440="2021-01", ISNA(MATCH(B440, _xlfn._xlws.FILTER(B:B, A:A="2021-02"), 0))), "Left", "Ativo")</f>
        <v>Ativo</v>
      </c>
      <c r="E440" s="10" t="str" cm="1">
        <f t="array" ref="E440">IF(AND(A440="2021-02", ISNA(MATCH(B440, _xlfn._xlws.FILTER(B:B, A:A="2021-03"), 0))), "Left", "Ativo")</f>
        <v>Ativo</v>
      </c>
      <c r="F440" s="12" t="str" cm="1">
        <f t="array" ref="F440">IF(AND(A440="2021-03", ISNA(MATCH(B440, _xlfn._xlws.FILTER(B:B, A:A="2021-04"), 0))), "Left", "Ativo")</f>
        <v>Ativo</v>
      </c>
    </row>
    <row r="441" spans="1:6" x14ac:dyDescent="0.25">
      <c r="A441" t="s">
        <v>1528</v>
      </c>
      <c r="B441" t="s">
        <v>440</v>
      </c>
      <c r="C441" s="10" t="str" cm="1">
        <f t="array" ref="C441">IF(AND(A441="2020-12", ISNA(MATCH(B441, _xlfn._xlws.FILTER(B:B, A:A="2021-01"), 0))), "Left", "Ativo")</f>
        <v>Ativo</v>
      </c>
      <c r="D441" s="10" t="str" cm="1">
        <f t="array" ref="D441">IF(AND(A441="2021-01", ISNA(MATCH(B441, _xlfn._xlws.FILTER(B:B, A:A="2021-02"), 0))), "Left", "Ativo")</f>
        <v>Ativo</v>
      </c>
      <c r="E441" s="10" t="str" cm="1">
        <f t="array" ref="E441">IF(AND(A441="2021-02", ISNA(MATCH(B441, _xlfn._xlws.FILTER(B:B, A:A="2021-03"), 0))), "Left", "Ativo")</f>
        <v>Ativo</v>
      </c>
      <c r="F441" s="12" t="str" cm="1">
        <f t="array" ref="F441">IF(AND(A441="2021-03", ISNA(MATCH(B441, _xlfn._xlws.FILTER(B:B, A:A="2021-04"), 0))), "Left", "Ativo")</f>
        <v>Ativo</v>
      </c>
    </row>
    <row r="442" spans="1:6" x14ac:dyDescent="0.25">
      <c r="A442" t="s">
        <v>1528</v>
      </c>
      <c r="B442" t="s">
        <v>441</v>
      </c>
      <c r="C442" s="10" t="str" cm="1">
        <f t="array" ref="C442">IF(AND(A442="2020-12", ISNA(MATCH(B442, _xlfn._xlws.FILTER(B:B, A:A="2021-01"), 0))), "Left", "Ativo")</f>
        <v>Ativo</v>
      </c>
      <c r="D442" s="10" t="str" cm="1">
        <f t="array" ref="D442">IF(AND(A442="2021-01", ISNA(MATCH(B442, _xlfn._xlws.FILTER(B:B, A:A="2021-02"), 0))), "Left", "Ativo")</f>
        <v>Ativo</v>
      </c>
      <c r="E442" s="10" t="str" cm="1">
        <f t="array" ref="E442">IF(AND(A442="2021-02", ISNA(MATCH(B442, _xlfn._xlws.FILTER(B:B, A:A="2021-03"), 0))), "Left", "Ativo")</f>
        <v>Ativo</v>
      </c>
      <c r="F442" s="12" t="str" cm="1">
        <f t="array" ref="F442">IF(AND(A442="2021-03", ISNA(MATCH(B442, _xlfn._xlws.FILTER(B:B, A:A="2021-04"), 0))), "Left", "Ativo")</f>
        <v>Ativo</v>
      </c>
    </row>
    <row r="443" spans="1:6" x14ac:dyDescent="0.25">
      <c r="A443" t="s">
        <v>1528</v>
      </c>
      <c r="B443" t="s">
        <v>442</v>
      </c>
      <c r="C443" s="10" t="str" cm="1">
        <f t="array" ref="C443">IF(AND(A443="2020-12", ISNA(MATCH(B443, _xlfn._xlws.FILTER(B:B, A:A="2021-01"), 0))), "Left", "Ativo")</f>
        <v>Ativo</v>
      </c>
      <c r="D443" s="10" t="str" cm="1">
        <f t="array" ref="D443">IF(AND(A443="2021-01", ISNA(MATCH(B443, _xlfn._xlws.FILTER(B:B, A:A="2021-02"), 0))), "Left", "Ativo")</f>
        <v>Ativo</v>
      </c>
      <c r="E443" s="10" t="str" cm="1">
        <f t="array" ref="E443">IF(AND(A443="2021-02", ISNA(MATCH(B443, _xlfn._xlws.FILTER(B:B, A:A="2021-03"), 0))), "Left", "Ativo")</f>
        <v>Ativo</v>
      </c>
      <c r="F443" s="12" t="str" cm="1">
        <f t="array" ref="F443">IF(AND(A443="2021-03", ISNA(MATCH(B443, _xlfn._xlws.FILTER(B:B, A:A="2021-04"), 0))), "Left", "Ativo")</f>
        <v>Ativo</v>
      </c>
    </row>
    <row r="444" spans="1:6" x14ac:dyDescent="0.25">
      <c r="A444" t="s">
        <v>1528</v>
      </c>
      <c r="B444" t="s">
        <v>443</v>
      </c>
      <c r="C444" s="10" t="str" cm="1">
        <f t="array" ref="C444">IF(AND(A444="2020-12", ISNA(MATCH(B444, _xlfn._xlws.FILTER(B:B, A:A="2021-01"), 0))), "Left", "Ativo")</f>
        <v>Ativo</v>
      </c>
      <c r="D444" s="10" t="str" cm="1">
        <f t="array" ref="D444">IF(AND(A444="2021-01", ISNA(MATCH(B444, _xlfn._xlws.FILTER(B:B, A:A="2021-02"), 0))), "Left", "Ativo")</f>
        <v>Ativo</v>
      </c>
      <c r="E444" s="10" t="str" cm="1">
        <f t="array" ref="E444">IF(AND(A444="2021-02", ISNA(MATCH(B444, _xlfn._xlws.FILTER(B:B, A:A="2021-03"), 0))), "Left", "Ativo")</f>
        <v>Ativo</v>
      </c>
      <c r="F444" s="12" t="str" cm="1">
        <f t="array" ref="F444">IF(AND(A444="2021-03", ISNA(MATCH(B444, _xlfn._xlws.FILTER(B:B, A:A="2021-04"), 0))), "Left", "Ativo")</f>
        <v>Ativo</v>
      </c>
    </row>
    <row r="445" spans="1:6" x14ac:dyDescent="0.25">
      <c r="A445" t="s">
        <v>1528</v>
      </c>
      <c r="B445" t="s">
        <v>444</v>
      </c>
      <c r="C445" s="10" t="str" cm="1">
        <f t="array" ref="C445">IF(AND(A445="2020-12", ISNA(MATCH(B445, _xlfn._xlws.FILTER(B:B, A:A="2021-01"), 0))), "Left", "Ativo")</f>
        <v>Ativo</v>
      </c>
      <c r="D445" s="10" t="str" cm="1">
        <f t="array" ref="D445">IF(AND(A445="2021-01", ISNA(MATCH(B445, _xlfn._xlws.FILTER(B:B, A:A="2021-02"), 0))), "Left", "Ativo")</f>
        <v>Ativo</v>
      </c>
      <c r="E445" s="10" t="str" cm="1">
        <f t="array" ref="E445">IF(AND(A445="2021-02", ISNA(MATCH(B445, _xlfn._xlws.FILTER(B:B, A:A="2021-03"), 0))), "Left", "Ativo")</f>
        <v>Ativo</v>
      </c>
      <c r="F445" s="12" t="str" cm="1">
        <f t="array" ref="F445">IF(AND(A445="2021-03", ISNA(MATCH(B445, _xlfn._xlws.FILTER(B:B, A:A="2021-04"), 0))), "Left", "Ativo")</f>
        <v>Ativo</v>
      </c>
    </row>
    <row r="446" spans="1:6" x14ac:dyDescent="0.25">
      <c r="A446" t="s">
        <v>1528</v>
      </c>
      <c r="B446" t="s">
        <v>445</v>
      </c>
      <c r="C446" s="10" t="str" cm="1">
        <f t="array" ref="C446">IF(AND(A446="2020-12", ISNA(MATCH(B446, _xlfn._xlws.FILTER(B:B, A:A="2021-01"), 0))), "Left", "Ativo")</f>
        <v>Ativo</v>
      </c>
      <c r="D446" s="10" t="str" cm="1">
        <f t="array" ref="D446">IF(AND(A446="2021-01", ISNA(MATCH(B446, _xlfn._xlws.FILTER(B:B, A:A="2021-02"), 0))), "Left", "Ativo")</f>
        <v>Ativo</v>
      </c>
      <c r="E446" s="10" t="str" cm="1">
        <f t="array" ref="E446">IF(AND(A446="2021-02", ISNA(MATCH(B446, _xlfn._xlws.FILTER(B:B, A:A="2021-03"), 0))), "Left", "Ativo")</f>
        <v>Ativo</v>
      </c>
      <c r="F446" s="12" t="str" cm="1">
        <f t="array" ref="F446">IF(AND(A446="2021-03", ISNA(MATCH(B446, _xlfn._xlws.FILTER(B:B, A:A="2021-04"), 0))), "Left", "Ativo")</f>
        <v>Ativo</v>
      </c>
    </row>
    <row r="447" spans="1:6" x14ac:dyDescent="0.25">
      <c r="A447" t="s">
        <v>1528</v>
      </c>
      <c r="B447" t="s">
        <v>446</v>
      </c>
      <c r="C447" s="10" t="str" cm="1">
        <f t="array" ref="C447">IF(AND(A447="2020-12", ISNA(MATCH(B447, _xlfn._xlws.FILTER(B:B, A:A="2021-01"), 0))), "Left", "Ativo")</f>
        <v>Ativo</v>
      </c>
      <c r="D447" s="10" t="str" cm="1">
        <f t="array" ref="D447">IF(AND(A447="2021-01", ISNA(MATCH(B447, _xlfn._xlws.FILTER(B:B, A:A="2021-02"), 0))), "Left", "Ativo")</f>
        <v>Ativo</v>
      </c>
      <c r="E447" s="10" t="str" cm="1">
        <f t="array" ref="E447">IF(AND(A447="2021-02", ISNA(MATCH(B447, _xlfn._xlws.FILTER(B:B, A:A="2021-03"), 0))), "Left", "Ativo")</f>
        <v>Ativo</v>
      </c>
      <c r="F447" s="12" t="str" cm="1">
        <f t="array" ref="F447">IF(AND(A447="2021-03", ISNA(MATCH(B447, _xlfn._xlws.FILTER(B:B, A:A="2021-04"), 0))), "Left", "Ativo")</f>
        <v>Ativo</v>
      </c>
    </row>
    <row r="448" spans="1:6" x14ac:dyDescent="0.25">
      <c r="A448" t="s">
        <v>1528</v>
      </c>
      <c r="B448" t="s">
        <v>447</v>
      </c>
      <c r="C448" s="10" t="str" cm="1">
        <f t="array" ref="C448">IF(AND(A448="2020-12", ISNA(MATCH(B448, _xlfn._xlws.FILTER(B:B, A:A="2021-01"), 0))), "Left", "Ativo")</f>
        <v>Ativo</v>
      </c>
      <c r="D448" s="10" t="str" cm="1">
        <f t="array" ref="D448">IF(AND(A448="2021-01", ISNA(MATCH(B448, _xlfn._xlws.FILTER(B:B, A:A="2021-02"), 0))), "Left", "Ativo")</f>
        <v>Ativo</v>
      </c>
      <c r="E448" s="10" t="str" cm="1">
        <f t="array" ref="E448">IF(AND(A448="2021-02", ISNA(MATCH(B448, _xlfn._xlws.FILTER(B:B, A:A="2021-03"), 0))), "Left", "Ativo")</f>
        <v>Ativo</v>
      </c>
      <c r="F448" s="12" t="str" cm="1">
        <f t="array" ref="F448">IF(AND(A448="2021-03", ISNA(MATCH(B448, _xlfn._xlws.FILTER(B:B, A:A="2021-04"), 0))), "Left", "Ativo")</f>
        <v>Ativo</v>
      </c>
    </row>
    <row r="449" spans="1:6" x14ac:dyDescent="0.25">
      <c r="A449" t="s">
        <v>1528</v>
      </c>
      <c r="B449" t="s">
        <v>448</v>
      </c>
      <c r="C449" s="10" t="str" cm="1">
        <f t="array" ref="C449">IF(AND(A449="2020-12", ISNA(MATCH(B449, _xlfn._xlws.FILTER(B:B, A:A="2021-01"), 0))), "Left", "Ativo")</f>
        <v>Ativo</v>
      </c>
      <c r="D449" s="10" t="str" cm="1">
        <f t="array" ref="D449">IF(AND(A449="2021-01", ISNA(MATCH(B449, _xlfn._xlws.FILTER(B:B, A:A="2021-02"), 0))), "Left", "Ativo")</f>
        <v>Ativo</v>
      </c>
      <c r="E449" s="10" t="str" cm="1">
        <f t="array" ref="E449">IF(AND(A449="2021-02", ISNA(MATCH(B449, _xlfn._xlws.FILTER(B:B, A:A="2021-03"), 0))), "Left", "Ativo")</f>
        <v>Ativo</v>
      </c>
      <c r="F449" s="12" t="str" cm="1">
        <f t="array" ref="F449">IF(AND(A449="2021-03", ISNA(MATCH(B449, _xlfn._xlws.FILTER(B:B, A:A="2021-04"), 0))), "Left", "Ativo")</f>
        <v>Ativo</v>
      </c>
    </row>
    <row r="450" spans="1:6" x14ac:dyDescent="0.25">
      <c r="A450" t="s">
        <v>1528</v>
      </c>
      <c r="B450" t="s">
        <v>449</v>
      </c>
      <c r="C450" s="10" t="str" cm="1">
        <f t="array" ref="C450">IF(AND(A450="2020-12", ISNA(MATCH(B450, _xlfn._xlws.FILTER(B:B, A:A="2021-01"), 0))), "Left", "Ativo")</f>
        <v>Ativo</v>
      </c>
      <c r="D450" s="10" t="str" cm="1">
        <f t="array" ref="D450">IF(AND(A450="2021-01", ISNA(MATCH(B450, _xlfn._xlws.FILTER(B:B, A:A="2021-02"), 0))), "Left", "Ativo")</f>
        <v>Ativo</v>
      </c>
      <c r="E450" s="10" t="str" cm="1">
        <f t="array" ref="E450">IF(AND(A450="2021-02", ISNA(MATCH(B450, _xlfn._xlws.FILTER(B:B, A:A="2021-03"), 0))), "Left", "Ativo")</f>
        <v>Ativo</v>
      </c>
      <c r="F450" s="12" t="str" cm="1">
        <f t="array" ref="F450">IF(AND(A450="2021-03", ISNA(MATCH(B450, _xlfn._xlws.FILTER(B:B, A:A="2021-04"), 0))), "Left", "Ativo")</f>
        <v>Ativo</v>
      </c>
    </row>
    <row r="451" spans="1:6" x14ac:dyDescent="0.25">
      <c r="A451" t="s">
        <v>1528</v>
      </c>
      <c r="B451" t="s">
        <v>450</v>
      </c>
      <c r="C451" s="10" t="str" cm="1">
        <f t="array" ref="C451">IF(AND(A451="2020-12", ISNA(MATCH(B451, _xlfn._xlws.FILTER(B:B, A:A="2021-01"), 0))), "Left", "Ativo")</f>
        <v>Ativo</v>
      </c>
      <c r="D451" s="10" t="str" cm="1">
        <f t="array" ref="D451">IF(AND(A451="2021-01", ISNA(MATCH(B451, _xlfn._xlws.FILTER(B:B, A:A="2021-02"), 0))), "Left", "Ativo")</f>
        <v>Ativo</v>
      </c>
      <c r="E451" s="10" t="str" cm="1">
        <f t="array" ref="E451">IF(AND(A451="2021-02", ISNA(MATCH(B451, _xlfn._xlws.FILTER(B:B, A:A="2021-03"), 0))), "Left", "Ativo")</f>
        <v>Ativo</v>
      </c>
      <c r="F451" s="12" t="str" cm="1">
        <f t="array" ref="F451">IF(AND(A451="2021-03", ISNA(MATCH(B451, _xlfn._xlws.FILTER(B:B, A:A="2021-04"), 0))), "Left", "Ativo")</f>
        <v>Ativo</v>
      </c>
    </row>
    <row r="452" spans="1:6" x14ac:dyDescent="0.25">
      <c r="A452" t="s">
        <v>1528</v>
      </c>
      <c r="B452" t="s">
        <v>451</v>
      </c>
      <c r="C452" s="10" t="str" cm="1">
        <f t="array" ref="C452">IF(AND(A452="2020-12", ISNA(MATCH(B452, _xlfn._xlws.FILTER(B:B, A:A="2021-01"), 0))), "Left", "Ativo")</f>
        <v>Ativo</v>
      </c>
      <c r="D452" s="10" t="str" cm="1">
        <f t="array" ref="D452">IF(AND(A452="2021-01", ISNA(MATCH(B452, _xlfn._xlws.FILTER(B:B, A:A="2021-02"), 0))), "Left", "Ativo")</f>
        <v>Ativo</v>
      </c>
      <c r="E452" s="10" t="str" cm="1">
        <f t="array" ref="E452">IF(AND(A452="2021-02", ISNA(MATCH(B452, _xlfn._xlws.FILTER(B:B, A:A="2021-03"), 0))), "Left", "Ativo")</f>
        <v>Ativo</v>
      </c>
      <c r="F452" s="12" t="str" cm="1">
        <f t="array" ref="F452">IF(AND(A452="2021-03", ISNA(MATCH(B452, _xlfn._xlws.FILTER(B:B, A:A="2021-04"), 0))), "Left", "Ativo")</f>
        <v>Ativo</v>
      </c>
    </row>
    <row r="453" spans="1:6" x14ac:dyDescent="0.25">
      <c r="A453" t="s">
        <v>1528</v>
      </c>
      <c r="B453" t="s">
        <v>452</v>
      </c>
      <c r="C453" s="10" t="str" cm="1">
        <f t="array" ref="C453">IF(AND(A453="2020-12", ISNA(MATCH(B453, _xlfn._xlws.FILTER(B:B, A:A="2021-01"), 0))), "Left", "Ativo")</f>
        <v>Ativo</v>
      </c>
      <c r="D453" s="10" t="str" cm="1">
        <f t="array" ref="D453">IF(AND(A453="2021-01", ISNA(MATCH(B453, _xlfn._xlws.FILTER(B:B, A:A="2021-02"), 0))), "Left", "Ativo")</f>
        <v>Ativo</v>
      </c>
      <c r="E453" s="10" t="str" cm="1">
        <f t="array" ref="E453">IF(AND(A453="2021-02", ISNA(MATCH(B453, _xlfn._xlws.FILTER(B:B, A:A="2021-03"), 0))), "Left", "Ativo")</f>
        <v>Ativo</v>
      </c>
      <c r="F453" s="12" t="str" cm="1">
        <f t="array" ref="F453">IF(AND(A453="2021-03", ISNA(MATCH(B453, _xlfn._xlws.FILTER(B:B, A:A="2021-04"), 0))), "Left", "Ativo")</f>
        <v>Ativo</v>
      </c>
    </row>
    <row r="454" spans="1:6" x14ac:dyDescent="0.25">
      <c r="A454" t="s">
        <v>1528</v>
      </c>
      <c r="B454" t="s">
        <v>453</v>
      </c>
      <c r="C454" s="10" t="str" cm="1">
        <f t="array" ref="C454">IF(AND(A454="2020-12", ISNA(MATCH(B454, _xlfn._xlws.FILTER(B:B, A:A="2021-01"), 0))), "Left", "Ativo")</f>
        <v>Ativo</v>
      </c>
      <c r="D454" s="10" t="str" cm="1">
        <f t="array" ref="D454">IF(AND(A454="2021-01", ISNA(MATCH(B454, _xlfn._xlws.FILTER(B:B, A:A="2021-02"), 0))), "Left", "Ativo")</f>
        <v>Ativo</v>
      </c>
      <c r="E454" s="10" t="str" cm="1">
        <f t="array" ref="E454">IF(AND(A454="2021-02", ISNA(MATCH(B454, _xlfn._xlws.FILTER(B:B, A:A="2021-03"), 0))), "Left", "Ativo")</f>
        <v>Ativo</v>
      </c>
      <c r="F454" s="12" t="str" cm="1">
        <f t="array" ref="F454">IF(AND(A454="2021-03", ISNA(MATCH(B454, _xlfn._xlws.FILTER(B:B, A:A="2021-04"), 0))), "Left", "Ativo")</f>
        <v>Ativo</v>
      </c>
    </row>
    <row r="455" spans="1:6" x14ac:dyDescent="0.25">
      <c r="A455" t="s">
        <v>1528</v>
      </c>
      <c r="B455" t="s">
        <v>454</v>
      </c>
      <c r="C455" s="10" t="str" cm="1">
        <f t="array" ref="C455">IF(AND(A455="2020-12", ISNA(MATCH(B455, _xlfn._xlws.FILTER(B:B, A:A="2021-01"), 0))), "Left", "Ativo")</f>
        <v>Ativo</v>
      </c>
      <c r="D455" s="10" t="str" cm="1">
        <f t="array" ref="D455">IF(AND(A455="2021-01", ISNA(MATCH(B455, _xlfn._xlws.FILTER(B:B, A:A="2021-02"), 0))), "Left", "Ativo")</f>
        <v>Ativo</v>
      </c>
      <c r="E455" s="10" t="str" cm="1">
        <f t="array" ref="E455">IF(AND(A455="2021-02", ISNA(MATCH(B455, _xlfn._xlws.FILTER(B:B, A:A="2021-03"), 0))), "Left", "Ativo")</f>
        <v>Ativo</v>
      </c>
      <c r="F455" s="12" t="str" cm="1">
        <f t="array" ref="F455">IF(AND(A455="2021-03", ISNA(MATCH(B455, _xlfn._xlws.FILTER(B:B, A:A="2021-04"), 0))), "Left", "Ativo")</f>
        <v>Ativo</v>
      </c>
    </row>
    <row r="456" spans="1:6" x14ac:dyDescent="0.25">
      <c r="A456" t="s">
        <v>1528</v>
      </c>
      <c r="B456" t="s">
        <v>455</v>
      </c>
      <c r="C456" s="10" t="str" cm="1">
        <f t="array" ref="C456">IF(AND(A456="2020-12", ISNA(MATCH(B456, _xlfn._xlws.FILTER(B:B, A:A="2021-01"), 0))), "Left", "Ativo")</f>
        <v>Ativo</v>
      </c>
      <c r="D456" s="10" t="str" cm="1">
        <f t="array" ref="D456">IF(AND(A456="2021-01", ISNA(MATCH(B456, _xlfn._xlws.FILTER(B:B, A:A="2021-02"), 0))), "Left", "Ativo")</f>
        <v>Ativo</v>
      </c>
      <c r="E456" s="10" t="str" cm="1">
        <f t="array" ref="E456">IF(AND(A456="2021-02", ISNA(MATCH(B456, _xlfn._xlws.FILTER(B:B, A:A="2021-03"), 0))), "Left", "Ativo")</f>
        <v>Ativo</v>
      </c>
      <c r="F456" s="12" t="str" cm="1">
        <f t="array" ref="F456">IF(AND(A456="2021-03", ISNA(MATCH(B456, _xlfn._xlws.FILTER(B:B, A:A="2021-04"), 0))), "Left", "Ativo")</f>
        <v>Ativo</v>
      </c>
    </row>
    <row r="457" spans="1:6" x14ac:dyDescent="0.25">
      <c r="A457" t="s">
        <v>1528</v>
      </c>
      <c r="B457" t="s">
        <v>456</v>
      </c>
      <c r="C457" s="10" t="str" cm="1">
        <f t="array" ref="C457">IF(AND(A457="2020-12", ISNA(MATCH(B457, _xlfn._xlws.FILTER(B:B, A:A="2021-01"), 0))), "Left", "Ativo")</f>
        <v>Ativo</v>
      </c>
      <c r="D457" s="10" t="str" cm="1">
        <f t="array" ref="D457">IF(AND(A457="2021-01", ISNA(MATCH(B457, _xlfn._xlws.FILTER(B:B, A:A="2021-02"), 0))), "Left", "Ativo")</f>
        <v>Ativo</v>
      </c>
      <c r="E457" s="10" t="str" cm="1">
        <f t="array" ref="E457">IF(AND(A457="2021-02", ISNA(MATCH(B457, _xlfn._xlws.FILTER(B:B, A:A="2021-03"), 0))), "Left", "Ativo")</f>
        <v>Ativo</v>
      </c>
      <c r="F457" s="12" t="str" cm="1">
        <f t="array" ref="F457">IF(AND(A457="2021-03", ISNA(MATCH(B457, _xlfn._xlws.FILTER(B:B, A:A="2021-04"), 0))), "Left", "Ativo")</f>
        <v>Ativo</v>
      </c>
    </row>
    <row r="458" spans="1:6" x14ac:dyDescent="0.25">
      <c r="A458" t="s">
        <v>1528</v>
      </c>
      <c r="B458" t="s">
        <v>457</v>
      </c>
      <c r="C458" s="10" t="str" cm="1">
        <f t="array" ref="C458">IF(AND(A458="2020-12", ISNA(MATCH(B458, _xlfn._xlws.FILTER(B:B, A:A="2021-01"), 0))), "Left", "Ativo")</f>
        <v>Ativo</v>
      </c>
      <c r="D458" s="10" t="str" cm="1">
        <f t="array" ref="D458">IF(AND(A458="2021-01", ISNA(MATCH(B458, _xlfn._xlws.FILTER(B:B, A:A="2021-02"), 0))), "Left", "Ativo")</f>
        <v>Ativo</v>
      </c>
      <c r="E458" s="10" t="str" cm="1">
        <f t="array" ref="E458">IF(AND(A458="2021-02", ISNA(MATCH(B458, _xlfn._xlws.FILTER(B:B, A:A="2021-03"), 0))), "Left", "Ativo")</f>
        <v>Ativo</v>
      </c>
      <c r="F458" s="12" t="str" cm="1">
        <f t="array" ref="F458">IF(AND(A458="2021-03", ISNA(MATCH(B458, _xlfn._xlws.FILTER(B:B, A:A="2021-04"), 0))), "Left", "Ativo")</f>
        <v>Ativo</v>
      </c>
    </row>
    <row r="459" spans="1:6" x14ac:dyDescent="0.25">
      <c r="A459" t="s">
        <v>1528</v>
      </c>
      <c r="B459" t="s">
        <v>458</v>
      </c>
      <c r="C459" s="10" t="str" cm="1">
        <f t="array" ref="C459">IF(AND(A459="2020-12", ISNA(MATCH(B459, _xlfn._xlws.FILTER(B:B, A:A="2021-01"), 0))), "Left", "Ativo")</f>
        <v>Ativo</v>
      </c>
      <c r="D459" s="10" t="str" cm="1">
        <f t="array" ref="D459">IF(AND(A459="2021-01", ISNA(MATCH(B459, _xlfn._xlws.FILTER(B:B, A:A="2021-02"), 0))), "Left", "Ativo")</f>
        <v>Ativo</v>
      </c>
      <c r="E459" s="10" t="str" cm="1">
        <f t="array" ref="E459">IF(AND(A459="2021-02", ISNA(MATCH(B459, _xlfn._xlws.FILTER(B:B, A:A="2021-03"), 0))), "Left", "Ativo")</f>
        <v>Ativo</v>
      </c>
      <c r="F459" s="12" t="str" cm="1">
        <f t="array" ref="F459">IF(AND(A459="2021-03", ISNA(MATCH(B459, _xlfn._xlws.FILTER(B:B, A:A="2021-04"), 0))), "Left", "Ativo")</f>
        <v>Ativo</v>
      </c>
    </row>
    <row r="460" spans="1:6" x14ac:dyDescent="0.25">
      <c r="A460" t="s">
        <v>1528</v>
      </c>
      <c r="B460" t="s">
        <v>459</v>
      </c>
      <c r="C460" s="10" t="str" cm="1">
        <f t="array" ref="C460">IF(AND(A460="2020-12", ISNA(MATCH(B460, _xlfn._xlws.FILTER(B:B, A:A="2021-01"), 0))), "Left", "Ativo")</f>
        <v>Ativo</v>
      </c>
      <c r="D460" s="10" t="str" cm="1">
        <f t="array" ref="D460">IF(AND(A460="2021-01", ISNA(MATCH(B460, _xlfn._xlws.FILTER(B:B, A:A="2021-02"), 0))), "Left", "Ativo")</f>
        <v>Ativo</v>
      </c>
      <c r="E460" s="10" t="str" cm="1">
        <f t="array" ref="E460">IF(AND(A460="2021-02", ISNA(MATCH(B460, _xlfn._xlws.FILTER(B:B, A:A="2021-03"), 0))), "Left", "Ativo")</f>
        <v>Ativo</v>
      </c>
      <c r="F460" s="12" t="str" cm="1">
        <f t="array" ref="F460">IF(AND(A460="2021-03", ISNA(MATCH(B460, _xlfn._xlws.FILTER(B:B, A:A="2021-04"), 0))), "Left", "Ativo")</f>
        <v>Ativo</v>
      </c>
    </row>
    <row r="461" spans="1:6" x14ac:dyDescent="0.25">
      <c r="A461" t="s">
        <v>1528</v>
      </c>
      <c r="B461" t="s">
        <v>460</v>
      </c>
      <c r="C461" s="10" t="str" cm="1">
        <f t="array" ref="C461">IF(AND(A461="2020-12", ISNA(MATCH(B461, _xlfn._xlws.FILTER(B:B, A:A="2021-01"), 0))), "Left", "Ativo")</f>
        <v>Ativo</v>
      </c>
      <c r="D461" s="10" t="str" cm="1">
        <f t="array" ref="D461">IF(AND(A461="2021-01", ISNA(MATCH(B461, _xlfn._xlws.FILTER(B:B, A:A="2021-02"), 0))), "Left", "Ativo")</f>
        <v>Ativo</v>
      </c>
      <c r="E461" s="10" t="str" cm="1">
        <f t="array" ref="E461">IF(AND(A461="2021-02", ISNA(MATCH(B461, _xlfn._xlws.FILTER(B:B, A:A="2021-03"), 0))), "Left", "Ativo")</f>
        <v>Ativo</v>
      </c>
      <c r="F461" s="12" t="str" cm="1">
        <f t="array" ref="F461">IF(AND(A461="2021-03", ISNA(MATCH(B461, _xlfn._xlws.FILTER(B:B, A:A="2021-04"), 0))), "Left", "Ativo")</f>
        <v>Ativo</v>
      </c>
    </row>
    <row r="462" spans="1:6" x14ac:dyDescent="0.25">
      <c r="A462" t="s">
        <v>1528</v>
      </c>
      <c r="B462" t="s">
        <v>461</v>
      </c>
      <c r="C462" s="10" t="str" cm="1">
        <f t="array" ref="C462">IF(AND(A462="2020-12", ISNA(MATCH(B462, _xlfn._xlws.FILTER(B:B, A:A="2021-01"), 0))), "Left", "Ativo")</f>
        <v>Ativo</v>
      </c>
      <c r="D462" s="10" t="str" cm="1">
        <f t="array" ref="D462">IF(AND(A462="2021-01", ISNA(MATCH(B462, _xlfn._xlws.FILTER(B:B, A:A="2021-02"), 0))), "Left", "Ativo")</f>
        <v>Ativo</v>
      </c>
      <c r="E462" s="10" t="str" cm="1">
        <f t="array" ref="E462">IF(AND(A462="2021-02", ISNA(MATCH(B462, _xlfn._xlws.FILTER(B:B, A:A="2021-03"), 0))), "Left", "Ativo")</f>
        <v>Ativo</v>
      </c>
      <c r="F462" s="12" t="str" cm="1">
        <f t="array" ref="F462">IF(AND(A462="2021-03", ISNA(MATCH(B462, _xlfn._xlws.FILTER(B:B, A:A="2021-04"), 0))), "Left", "Ativo")</f>
        <v>Ativo</v>
      </c>
    </row>
    <row r="463" spans="1:6" x14ac:dyDescent="0.25">
      <c r="A463" t="s">
        <v>1528</v>
      </c>
      <c r="B463" t="s">
        <v>462</v>
      </c>
      <c r="C463" s="10" t="str" cm="1">
        <f t="array" ref="C463">IF(AND(A463="2020-12", ISNA(MATCH(B463, _xlfn._xlws.FILTER(B:B, A:A="2021-01"), 0))), "Left", "Ativo")</f>
        <v>Ativo</v>
      </c>
      <c r="D463" s="10" t="str" cm="1">
        <f t="array" ref="D463">IF(AND(A463="2021-01", ISNA(MATCH(B463, _xlfn._xlws.FILTER(B:B, A:A="2021-02"), 0))), "Left", "Ativo")</f>
        <v>Ativo</v>
      </c>
      <c r="E463" s="10" t="str" cm="1">
        <f t="array" ref="E463">IF(AND(A463="2021-02", ISNA(MATCH(B463, _xlfn._xlws.FILTER(B:B, A:A="2021-03"), 0))), "Left", "Ativo")</f>
        <v>Ativo</v>
      </c>
      <c r="F463" s="12" t="str" cm="1">
        <f t="array" ref="F463">IF(AND(A463="2021-03", ISNA(MATCH(B463, _xlfn._xlws.FILTER(B:B, A:A="2021-04"), 0))), "Left", "Ativo")</f>
        <v>Ativo</v>
      </c>
    </row>
    <row r="464" spans="1:6" x14ac:dyDescent="0.25">
      <c r="A464" t="s">
        <v>1528</v>
      </c>
      <c r="B464" t="s">
        <v>463</v>
      </c>
      <c r="C464" s="10" t="str" cm="1">
        <f t="array" ref="C464">IF(AND(A464="2020-12", ISNA(MATCH(B464, _xlfn._xlws.FILTER(B:B, A:A="2021-01"), 0))), "Left", "Ativo")</f>
        <v>Ativo</v>
      </c>
      <c r="D464" s="10" t="str" cm="1">
        <f t="array" ref="D464">IF(AND(A464="2021-01", ISNA(MATCH(B464, _xlfn._xlws.FILTER(B:B, A:A="2021-02"), 0))), "Left", "Ativo")</f>
        <v>Ativo</v>
      </c>
      <c r="E464" s="10" t="str" cm="1">
        <f t="array" ref="E464">IF(AND(A464="2021-02", ISNA(MATCH(B464, _xlfn._xlws.FILTER(B:B, A:A="2021-03"), 0))), "Left", "Ativo")</f>
        <v>Ativo</v>
      </c>
      <c r="F464" s="12" t="str" cm="1">
        <f t="array" ref="F464">IF(AND(A464="2021-03", ISNA(MATCH(B464, _xlfn._xlws.FILTER(B:B, A:A="2021-04"), 0))), "Left", "Ativo")</f>
        <v>Ativo</v>
      </c>
    </row>
    <row r="465" spans="1:6" x14ac:dyDescent="0.25">
      <c r="A465" t="s">
        <v>1528</v>
      </c>
      <c r="B465" t="s">
        <v>464</v>
      </c>
      <c r="C465" s="10" t="str" cm="1">
        <f t="array" ref="C465">IF(AND(A465="2020-12", ISNA(MATCH(B465, _xlfn._xlws.FILTER(B:B, A:A="2021-01"), 0))), "Left", "Ativo")</f>
        <v>Ativo</v>
      </c>
      <c r="D465" s="10" t="str" cm="1">
        <f t="array" ref="D465">IF(AND(A465="2021-01", ISNA(MATCH(B465, _xlfn._xlws.FILTER(B:B, A:A="2021-02"), 0))), "Left", "Ativo")</f>
        <v>Ativo</v>
      </c>
      <c r="E465" s="10" t="str" cm="1">
        <f t="array" ref="E465">IF(AND(A465="2021-02", ISNA(MATCH(B465, _xlfn._xlws.FILTER(B:B, A:A="2021-03"), 0))), "Left", "Ativo")</f>
        <v>Ativo</v>
      </c>
      <c r="F465" s="12" t="str" cm="1">
        <f t="array" ref="F465">IF(AND(A465="2021-03", ISNA(MATCH(B465, _xlfn._xlws.FILTER(B:B, A:A="2021-04"), 0))), "Left", "Ativo")</f>
        <v>Ativo</v>
      </c>
    </row>
    <row r="466" spans="1:6" x14ac:dyDescent="0.25">
      <c r="A466" t="s">
        <v>1528</v>
      </c>
      <c r="B466" t="s">
        <v>465</v>
      </c>
      <c r="C466" s="10" t="str" cm="1">
        <f t="array" ref="C466">IF(AND(A466="2020-12", ISNA(MATCH(B466, _xlfn._xlws.FILTER(B:B, A:A="2021-01"), 0))), "Left", "Ativo")</f>
        <v>Ativo</v>
      </c>
      <c r="D466" s="10" t="str" cm="1">
        <f t="array" ref="D466">IF(AND(A466="2021-01", ISNA(MATCH(B466, _xlfn._xlws.FILTER(B:B, A:A="2021-02"), 0))), "Left", "Ativo")</f>
        <v>Ativo</v>
      </c>
      <c r="E466" s="10" t="str" cm="1">
        <f t="array" ref="E466">IF(AND(A466="2021-02", ISNA(MATCH(B466, _xlfn._xlws.FILTER(B:B, A:A="2021-03"), 0))), "Left", "Ativo")</f>
        <v>Ativo</v>
      </c>
      <c r="F466" s="12" t="str" cm="1">
        <f t="array" ref="F466">IF(AND(A466="2021-03", ISNA(MATCH(B466, _xlfn._xlws.FILTER(B:B, A:A="2021-04"), 0))), "Left", "Ativo")</f>
        <v>Ativo</v>
      </c>
    </row>
    <row r="467" spans="1:6" x14ac:dyDescent="0.25">
      <c r="A467" t="s">
        <v>1528</v>
      </c>
      <c r="B467" t="s">
        <v>466</v>
      </c>
      <c r="C467" s="10" t="str" cm="1">
        <f t="array" ref="C467">IF(AND(A467="2020-12", ISNA(MATCH(B467, _xlfn._xlws.FILTER(B:B, A:A="2021-01"), 0))), "Left", "Ativo")</f>
        <v>Ativo</v>
      </c>
      <c r="D467" s="10" t="str" cm="1">
        <f t="array" ref="D467">IF(AND(A467="2021-01", ISNA(MATCH(B467, _xlfn._xlws.FILTER(B:B, A:A="2021-02"), 0))), "Left", "Ativo")</f>
        <v>Ativo</v>
      </c>
      <c r="E467" s="10" t="str" cm="1">
        <f t="array" ref="E467">IF(AND(A467="2021-02", ISNA(MATCH(B467, _xlfn._xlws.FILTER(B:B, A:A="2021-03"), 0))), "Left", "Ativo")</f>
        <v>Ativo</v>
      </c>
      <c r="F467" s="12" t="str" cm="1">
        <f t="array" ref="F467">IF(AND(A467="2021-03", ISNA(MATCH(B467, _xlfn._xlws.FILTER(B:B, A:A="2021-04"), 0))), "Left", "Ativo")</f>
        <v>Ativo</v>
      </c>
    </row>
    <row r="468" spans="1:6" x14ac:dyDescent="0.25">
      <c r="A468" t="s">
        <v>1528</v>
      </c>
      <c r="B468" t="s">
        <v>467</v>
      </c>
      <c r="C468" s="10" t="str" cm="1">
        <f t="array" ref="C468">IF(AND(A468="2020-12", ISNA(MATCH(B468, _xlfn._xlws.FILTER(B:B, A:A="2021-01"), 0))), "Left", "Ativo")</f>
        <v>Ativo</v>
      </c>
      <c r="D468" s="10" t="str" cm="1">
        <f t="array" ref="D468">IF(AND(A468="2021-01", ISNA(MATCH(B468, _xlfn._xlws.FILTER(B:B, A:A="2021-02"), 0))), "Left", "Ativo")</f>
        <v>Ativo</v>
      </c>
      <c r="E468" s="10" t="str" cm="1">
        <f t="array" ref="E468">IF(AND(A468="2021-02", ISNA(MATCH(B468, _xlfn._xlws.FILTER(B:B, A:A="2021-03"), 0))), "Left", "Ativo")</f>
        <v>Ativo</v>
      </c>
      <c r="F468" s="12" t="str" cm="1">
        <f t="array" ref="F468">IF(AND(A468="2021-03", ISNA(MATCH(B468, _xlfn._xlws.FILTER(B:B, A:A="2021-04"), 0))), "Left", "Ativo")</f>
        <v>Ativo</v>
      </c>
    </row>
    <row r="469" spans="1:6" x14ac:dyDescent="0.25">
      <c r="A469" t="s">
        <v>1528</v>
      </c>
      <c r="B469" t="s">
        <v>468</v>
      </c>
      <c r="C469" s="10" t="str" cm="1">
        <f t="array" ref="C469">IF(AND(A469="2020-12", ISNA(MATCH(B469, _xlfn._xlws.FILTER(B:B, A:A="2021-01"), 0))), "Left", "Ativo")</f>
        <v>Ativo</v>
      </c>
      <c r="D469" s="10" t="str" cm="1">
        <f t="array" ref="D469">IF(AND(A469="2021-01", ISNA(MATCH(B469, _xlfn._xlws.FILTER(B:B, A:A="2021-02"), 0))), "Left", "Ativo")</f>
        <v>Ativo</v>
      </c>
      <c r="E469" s="10" t="str" cm="1">
        <f t="array" ref="E469">IF(AND(A469="2021-02", ISNA(MATCH(B469, _xlfn._xlws.FILTER(B:B, A:A="2021-03"), 0))), "Left", "Ativo")</f>
        <v>Ativo</v>
      </c>
      <c r="F469" s="12" t="str" cm="1">
        <f t="array" ref="F469">IF(AND(A469="2021-03", ISNA(MATCH(B469, _xlfn._xlws.FILTER(B:B, A:A="2021-04"), 0))), "Left", "Ativo")</f>
        <v>Ativo</v>
      </c>
    </row>
    <row r="470" spans="1:6" x14ac:dyDescent="0.25">
      <c r="A470" t="s">
        <v>1528</v>
      </c>
      <c r="B470" t="s">
        <v>469</v>
      </c>
      <c r="C470" s="10" t="str" cm="1">
        <f t="array" ref="C470">IF(AND(A470="2020-12", ISNA(MATCH(B470, _xlfn._xlws.FILTER(B:B, A:A="2021-01"), 0))), "Left", "Ativo")</f>
        <v>Ativo</v>
      </c>
      <c r="D470" s="10" t="str" cm="1">
        <f t="array" ref="D470">IF(AND(A470="2021-01", ISNA(MATCH(B470, _xlfn._xlws.FILTER(B:B, A:A="2021-02"), 0))), "Left", "Ativo")</f>
        <v>Ativo</v>
      </c>
      <c r="E470" s="10" t="str" cm="1">
        <f t="array" ref="E470">IF(AND(A470="2021-02", ISNA(MATCH(B470, _xlfn._xlws.FILTER(B:B, A:A="2021-03"), 0))), "Left", "Ativo")</f>
        <v>Ativo</v>
      </c>
      <c r="F470" s="12" t="str" cm="1">
        <f t="array" ref="F470">IF(AND(A470="2021-03", ISNA(MATCH(B470, _xlfn._xlws.FILTER(B:B, A:A="2021-04"), 0))), "Left", "Ativo")</f>
        <v>Ativo</v>
      </c>
    </row>
    <row r="471" spans="1:6" x14ac:dyDescent="0.25">
      <c r="A471" t="s">
        <v>1528</v>
      </c>
      <c r="B471" t="s">
        <v>470</v>
      </c>
      <c r="C471" s="10" t="str" cm="1">
        <f t="array" ref="C471">IF(AND(A471="2020-12", ISNA(MATCH(B471, _xlfn._xlws.FILTER(B:B, A:A="2021-01"), 0))), "Left", "Ativo")</f>
        <v>Ativo</v>
      </c>
      <c r="D471" s="10" t="str" cm="1">
        <f t="array" ref="D471">IF(AND(A471="2021-01", ISNA(MATCH(B471, _xlfn._xlws.FILTER(B:B, A:A="2021-02"), 0))), "Left", "Ativo")</f>
        <v>Ativo</v>
      </c>
      <c r="E471" s="10" t="str" cm="1">
        <f t="array" ref="E471">IF(AND(A471="2021-02", ISNA(MATCH(B471, _xlfn._xlws.FILTER(B:B, A:A="2021-03"), 0))), "Left", "Ativo")</f>
        <v>Ativo</v>
      </c>
      <c r="F471" s="12" t="str" cm="1">
        <f t="array" ref="F471">IF(AND(A471="2021-03", ISNA(MATCH(B471, _xlfn._xlws.FILTER(B:B, A:A="2021-04"), 0))), "Left", "Ativo")</f>
        <v>Ativo</v>
      </c>
    </row>
    <row r="472" spans="1:6" x14ac:dyDescent="0.25">
      <c r="A472" t="s">
        <v>1528</v>
      </c>
      <c r="B472" t="s">
        <v>471</v>
      </c>
      <c r="C472" s="10" t="str" cm="1">
        <f t="array" ref="C472">IF(AND(A472="2020-12", ISNA(MATCH(B472, _xlfn._xlws.FILTER(B:B, A:A="2021-01"), 0))), "Left", "Ativo")</f>
        <v>Ativo</v>
      </c>
      <c r="D472" s="10" t="str" cm="1">
        <f t="array" ref="D472">IF(AND(A472="2021-01", ISNA(MATCH(B472, _xlfn._xlws.FILTER(B:B, A:A="2021-02"), 0))), "Left", "Ativo")</f>
        <v>Ativo</v>
      </c>
      <c r="E472" s="10" t="str" cm="1">
        <f t="array" ref="E472">IF(AND(A472="2021-02", ISNA(MATCH(B472, _xlfn._xlws.FILTER(B:B, A:A="2021-03"), 0))), "Left", "Ativo")</f>
        <v>Ativo</v>
      </c>
      <c r="F472" s="12" t="str" cm="1">
        <f t="array" ref="F472">IF(AND(A472="2021-03", ISNA(MATCH(B472, _xlfn._xlws.FILTER(B:B, A:A="2021-04"), 0))), "Left", "Ativo")</f>
        <v>Ativo</v>
      </c>
    </row>
    <row r="473" spans="1:6" x14ac:dyDescent="0.25">
      <c r="A473" t="s">
        <v>1528</v>
      </c>
      <c r="B473" t="s">
        <v>472</v>
      </c>
      <c r="C473" s="10" t="str" cm="1">
        <f t="array" ref="C473">IF(AND(A473="2020-12", ISNA(MATCH(B473, _xlfn._xlws.FILTER(B:B, A:A="2021-01"), 0))), "Left", "Ativo")</f>
        <v>Ativo</v>
      </c>
      <c r="D473" s="10" t="str" cm="1">
        <f t="array" ref="D473">IF(AND(A473="2021-01", ISNA(MATCH(B473, _xlfn._xlws.FILTER(B:B, A:A="2021-02"), 0))), "Left", "Ativo")</f>
        <v>Ativo</v>
      </c>
      <c r="E473" s="10" t="str" cm="1">
        <f t="array" ref="E473">IF(AND(A473="2021-02", ISNA(MATCH(B473, _xlfn._xlws.FILTER(B:B, A:A="2021-03"), 0))), "Left", "Ativo")</f>
        <v>Ativo</v>
      </c>
      <c r="F473" s="12" t="str" cm="1">
        <f t="array" ref="F473">IF(AND(A473="2021-03", ISNA(MATCH(B473, _xlfn._xlws.FILTER(B:B, A:A="2021-04"), 0))), "Left", "Ativo")</f>
        <v>Ativo</v>
      </c>
    </row>
    <row r="474" spans="1:6" x14ac:dyDescent="0.25">
      <c r="A474" t="s">
        <v>1528</v>
      </c>
      <c r="B474" t="s">
        <v>473</v>
      </c>
      <c r="C474" s="10" t="str" cm="1">
        <f t="array" ref="C474">IF(AND(A474="2020-12", ISNA(MATCH(B474, _xlfn._xlws.FILTER(B:B, A:A="2021-01"), 0))), "Left", "Ativo")</f>
        <v>Ativo</v>
      </c>
      <c r="D474" s="10" t="str" cm="1">
        <f t="array" ref="D474">IF(AND(A474="2021-01", ISNA(MATCH(B474, _xlfn._xlws.FILTER(B:B, A:A="2021-02"), 0))), "Left", "Ativo")</f>
        <v>Ativo</v>
      </c>
      <c r="E474" s="10" t="str" cm="1">
        <f t="array" ref="E474">IF(AND(A474="2021-02", ISNA(MATCH(B474, _xlfn._xlws.FILTER(B:B, A:A="2021-03"), 0))), "Left", "Ativo")</f>
        <v>Ativo</v>
      </c>
      <c r="F474" s="12" t="str" cm="1">
        <f t="array" ref="F474">IF(AND(A474="2021-03", ISNA(MATCH(B474, _xlfn._xlws.FILTER(B:B, A:A="2021-04"), 0))), "Left", "Ativo")</f>
        <v>Ativo</v>
      </c>
    </row>
    <row r="475" spans="1:6" x14ac:dyDescent="0.25">
      <c r="A475" t="s">
        <v>1528</v>
      </c>
      <c r="B475" t="s">
        <v>474</v>
      </c>
      <c r="C475" s="10" t="str" cm="1">
        <f t="array" ref="C475">IF(AND(A475="2020-12", ISNA(MATCH(B475, _xlfn._xlws.FILTER(B:B, A:A="2021-01"), 0))), "Left", "Ativo")</f>
        <v>Ativo</v>
      </c>
      <c r="D475" s="10" t="str" cm="1">
        <f t="array" ref="D475">IF(AND(A475="2021-01", ISNA(MATCH(B475, _xlfn._xlws.FILTER(B:B, A:A="2021-02"), 0))), "Left", "Ativo")</f>
        <v>Ativo</v>
      </c>
      <c r="E475" s="10" t="str" cm="1">
        <f t="array" ref="E475">IF(AND(A475="2021-02", ISNA(MATCH(B475, _xlfn._xlws.FILTER(B:B, A:A="2021-03"), 0))), "Left", "Ativo")</f>
        <v>Ativo</v>
      </c>
      <c r="F475" s="12" t="str" cm="1">
        <f t="array" ref="F475">IF(AND(A475="2021-03", ISNA(MATCH(B475, _xlfn._xlws.FILTER(B:B, A:A="2021-04"), 0))), "Left", "Ativo")</f>
        <v>Ativo</v>
      </c>
    </row>
    <row r="476" spans="1:6" x14ac:dyDescent="0.25">
      <c r="A476" t="s">
        <v>1528</v>
      </c>
      <c r="B476" t="s">
        <v>475</v>
      </c>
      <c r="C476" s="10" t="str" cm="1">
        <f t="array" ref="C476">IF(AND(A476="2020-12", ISNA(MATCH(B476, _xlfn._xlws.FILTER(B:B, A:A="2021-01"), 0))), "Left", "Ativo")</f>
        <v>Ativo</v>
      </c>
      <c r="D476" s="10" t="str" cm="1">
        <f t="array" ref="D476">IF(AND(A476="2021-01", ISNA(MATCH(B476, _xlfn._xlws.FILTER(B:B, A:A="2021-02"), 0))), "Left", "Ativo")</f>
        <v>Ativo</v>
      </c>
      <c r="E476" s="10" t="str" cm="1">
        <f t="array" ref="E476">IF(AND(A476="2021-02", ISNA(MATCH(B476, _xlfn._xlws.FILTER(B:B, A:A="2021-03"), 0))), "Left", "Ativo")</f>
        <v>Ativo</v>
      </c>
      <c r="F476" s="12" t="str" cm="1">
        <f t="array" ref="F476">IF(AND(A476="2021-03", ISNA(MATCH(B476, _xlfn._xlws.FILTER(B:B, A:A="2021-04"), 0))), "Left", "Ativo")</f>
        <v>Ativo</v>
      </c>
    </row>
    <row r="477" spans="1:6" x14ac:dyDescent="0.25">
      <c r="A477" t="s">
        <v>1528</v>
      </c>
      <c r="B477" t="s">
        <v>476</v>
      </c>
      <c r="C477" s="10" t="str" cm="1">
        <f t="array" ref="C477">IF(AND(A477="2020-12", ISNA(MATCH(B477, _xlfn._xlws.FILTER(B:B, A:A="2021-01"), 0))), "Left", "Ativo")</f>
        <v>Ativo</v>
      </c>
      <c r="D477" s="10" t="str" cm="1">
        <f t="array" ref="D477">IF(AND(A477="2021-01", ISNA(MATCH(B477, _xlfn._xlws.FILTER(B:B, A:A="2021-02"), 0))), "Left", "Ativo")</f>
        <v>Ativo</v>
      </c>
      <c r="E477" s="10" t="str" cm="1">
        <f t="array" ref="E477">IF(AND(A477="2021-02", ISNA(MATCH(B477, _xlfn._xlws.FILTER(B:B, A:A="2021-03"), 0))), "Left", "Ativo")</f>
        <v>Ativo</v>
      </c>
      <c r="F477" s="12" t="str" cm="1">
        <f t="array" ref="F477">IF(AND(A477="2021-03", ISNA(MATCH(B477, _xlfn._xlws.FILTER(B:B, A:A="2021-04"), 0))), "Left", "Ativo")</f>
        <v>Ativo</v>
      </c>
    </row>
    <row r="478" spans="1:6" x14ac:dyDescent="0.25">
      <c r="A478" t="s">
        <v>1528</v>
      </c>
      <c r="B478" t="s">
        <v>477</v>
      </c>
      <c r="C478" s="10" t="str" cm="1">
        <f t="array" ref="C478">IF(AND(A478="2020-12", ISNA(MATCH(B478, _xlfn._xlws.FILTER(B:B, A:A="2021-01"), 0))), "Left", "Ativo")</f>
        <v>Ativo</v>
      </c>
      <c r="D478" s="10" t="str" cm="1">
        <f t="array" ref="D478">IF(AND(A478="2021-01", ISNA(MATCH(B478, _xlfn._xlws.FILTER(B:B, A:A="2021-02"), 0))), "Left", "Ativo")</f>
        <v>Ativo</v>
      </c>
      <c r="E478" s="10" t="str" cm="1">
        <f t="array" ref="E478">IF(AND(A478="2021-02", ISNA(MATCH(B478, _xlfn._xlws.FILTER(B:B, A:A="2021-03"), 0))), "Left", "Ativo")</f>
        <v>Ativo</v>
      </c>
      <c r="F478" s="12" t="str" cm="1">
        <f t="array" ref="F478">IF(AND(A478="2021-03", ISNA(MATCH(B478, _xlfn._xlws.FILTER(B:B, A:A="2021-04"), 0))), "Left", "Ativo")</f>
        <v>Ativo</v>
      </c>
    </row>
    <row r="479" spans="1:6" x14ac:dyDescent="0.25">
      <c r="A479" t="s">
        <v>1528</v>
      </c>
      <c r="B479" t="s">
        <v>478</v>
      </c>
      <c r="C479" s="10" t="str" cm="1">
        <f t="array" ref="C479">IF(AND(A479="2020-12", ISNA(MATCH(B479, _xlfn._xlws.FILTER(B:B, A:A="2021-01"), 0))), "Left", "Ativo")</f>
        <v>Ativo</v>
      </c>
      <c r="D479" s="10" t="str" cm="1">
        <f t="array" ref="D479">IF(AND(A479="2021-01", ISNA(MATCH(B479, _xlfn._xlws.FILTER(B:B, A:A="2021-02"), 0))), "Left", "Ativo")</f>
        <v>Ativo</v>
      </c>
      <c r="E479" s="10" t="str" cm="1">
        <f t="array" ref="E479">IF(AND(A479="2021-02", ISNA(MATCH(B479, _xlfn._xlws.FILTER(B:B, A:A="2021-03"), 0))), "Left", "Ativo")</f>
        <v>Ativo</v>
      </c>
      <c r="F479" s="12" t="str" cm="1">
        <f t="array" ref="F479">IF(AND(A479="2021-03", ISNA(MATCH(B479, _xlfn._xlws.FILTER(B:B, A:A="2021-04"), 0))), "Left", "Ativo")</f>
        <v>Ativo</v>
      </c>
    </row>
    <row r="480" spans="1:6" x14ac:dyDescent="0.25">
      <c r="A480" t="s">
        <v>1528</v>
      </c>
      <c r="B480" t="s">
        <v>479</v>
      </c>
      <c r="C480" s="10" t="str" cm="1">
        <f t="array" ref="C480">IF(AND(A480="2020-12", ISNA(MATCH(B480, _xlfn._xlws.FILTER(B:B, A:A="2021-01"), 0))), "Left", "Ativo")</f>
        <v>Ativo</v>
      </c>
      <c r="D480" s="10" t="str" cm="1">
        <f t="array" ref="D480">IF(AND(A480="2021-01", ISNA(MATCH(B480, _xlfn._xlws.FILTER(B:B, A:A="2021-02"), 0))), "Left", "Ativo")</f>
        <v>Ativo</v>
      </c>
      <c r="E480" s="10" t="str" cm="1">
        <f t="array" ref="E480">IF(AND(A480="2021-02", ISNA(MATCH(B480, _xlfn._xlws.FILTER(B:B, A:A="2021-03"), 0))), "Left", "Ativo")</f>
        <v>Ativo</v>
      </c>
      <c r="F480" s="12" t="str" cm="1">
        <f t="array" ref="F480">IF(AND(A480="2021-03", ISNA(MATCH(B480, _xlfn._xlws.FILTER(B:B, A:A="2021-04"), 0))), "Left", "Ativo")</f>
        <v>Ativo</v>
      </c>
    </row>
    <row r="481" spans="1:6" x14ac:dyDescent="0.25">
      <c r="A481" t="s">
        <v>1528</v>
      </c>
      <c r="B481" t="s">
        <v>480</v>
      </c>
      <c r="C481" s="10" t="str" cm="1">
        <f t="array" ref="C481">IF(AND(A481="2020-12", ISNA(MATCH(B481, _xlfn._xlws.FILTER(B:B, A:A="2021-01"), 0))), "Left", "Ativo")</f>
        <v>Ativo</v>
      </c>
      <c r="D481" s="10" t="str" cm="1">
        <f t="array" ref="D481">IF(AND(A481="2021-01", ISNA(MATCH(B481, _xlfn._xlws.FILTER(B:B, A:A="2021-02"), 0))), "Left", "Ativo")</f>
        <v>Ativo</v>
      </c>
      <c r="E481" s="10" t="str" cm="1">
        <f t="array" ref="E481">IF(AND(A481="2021-02", ISNA(MATCH(B481, _xlfn._xlws.FILTER(B:B, A:A="2021-03"), 0))), "Left", "Ativo")</f>
        <v>Ativo</v>
      </c>
      <c r="F481" s="12" t="str" cm="1">
        <f t="array" ref="F481">IF(AND(A481="2021-03", ISNA(MATCH(B481, _xlfn._xlws.FILTER(B:B, A:A="2021-04"), 0))), "Left", "Ativo")</f>
        <v>Ativo</v>
      </c>
    </row>
    <row r="482" spans="1:6" x14ac:dyDescent="0.25">
      <c r="A482" t="s">
        <v>1528</v>
      </c>
      <c r="B482" t="s">
        <v>481</v>
      </c>
      <c r="C482" s="10" t="str" cm="1">
        <f t="array" ref="C482">IF(AND(A482="2020-12", ISNA(MATCH(B482, _xlfn._xlws.FILTER(B:B, A:A="2021-01"), 0))), "Left", "Ativo")</f>
        <v>Ativo</v>
      </c>
      <c r="D482" s="10" t="str" cm="1">
        <f t="array" ref="D482">IF(AND(A482="2021-01", ISNA(MATCH(B482, _xlfn._xlws.FILTER(B:B, A:A="2021-02"), 0))), "Left", "Ativo")</f>
        <v>Ativo</v>
      </c>
      <c r="E482" s="10" t="str" cm="1">
        <f t="array" ref="E482">IF(AND(A482="2021-02", ISNA(MATCH(B482, _xlfn._xlws.FILTER(B:B, A:A="2021-03"), 0))), "Left", "Ativo")</f>
        <v>Ativo</v>
      </c>
      <c r="F482" s="12" t="str" cm="1">
        <f t="array" ref="F482">IF(AND(A482="2021-03", ISNA(MATCH(B482, _xlfn._xlws.FILTER(B:B, A:A="2021-04"), 0))), "Left", "Ativo")</f>
        <v>Ativo</v>
      </c>
    </row>
    <row r="483" spans="1:6" x14ac:dyDescent="0.25">
      <c r="A483" t="s">
        <v>1528</v>
      </c>
      <c r="B483" t="s">
        <v>482</v>
      </c>
      <c r="C483" s="10" t="str" cm="1">
        <f t="array" ref="C483">IF(AND(A483="2020-12", ISNA(MATCH(B483, _xlfn._xlws.FILTER(B:B, A:A="2021-01"), 0))), "Left", "Ativo")</f>
        <v>Ativo</v>
      </c>
      <c r="D483" s="10" t="str" cm="1">
        <f t="array" ref="D483">IF(AND(A483="2021-01", ISNA(MATCH(B483, _xlfn._xlws.FILTER(B:B, A:A="2021-02"), 0))), "Left", "Ativo")</f>
        <v>Ativo</v>
      </c>
      <c r="E483" s="10" t="str" cm="1">
        <f t="array" ref="E483">IF(AND(A483="2021-02", ISNA(MATCH(B483, _xlfn._xlws.FILTER(B:B, A:A="2021-03"), 0))), "Left", "Ativo")</f>
        <v>Ativo</v>
      </c>
      <c r="F483" s="12" t="str" cm="1">
        <f t="array" ref="F483">IF(AND(A483="2021-03", ISNA(MATCH(B483, _xlfn._xlws.FILTER(B:B, A:A="2021-04"), 0))), "Left", "Ativo")</f>
        <v>Ativo</v>
      </c>
    </row>
    <row r="484" spans="1:6" x14ac:dyDescent="0.25">
      <c r="A484" t="s">
        <v>1528</v>
      </c>
      <c r="B484" t="s">
        <v>483</v>
      </c>
      <c r="C484" s="10" t="str" cm="1">
        <f t="array" ref="C484">IF(AND(A484="2020-12", ISNA(MATCH(B484, _xlfn._xlws.FILTER(B:B, A:A="2021-01"), 0))), "Left", "Ativo")</f>
        <v>Ativo</v>
      </c>
      <c r="D484" s="10" t="str" cm="1">
        <f t="array" ref="D484">IF(AND(A484="2021-01", ISNA(MATCH(B484, _xlfn._xlws.FILTER(B:B, A:A="2021-02"), 0))), "Left", "Ativo")</f>
        <v>Ativo</v>
      </c>
      <c r="E484" s="10" t="str" cm="1">
        <f t="array" ref="E484">IF(AND(A484="2021-02", ISNA(MATCH(B484, _xlfn._xlws.FILTER(B:B, A:A="2021-03"), 0))), "Left", "Ativo")</f>
        <v>Ativo</v>
      </c>
      <c r="F484" s="12" t="str" cm="1">
        <f t="array" ref="F484">IF(AND(A484="2021-03", ISNA(MATCH(B484, _xlfn._xlws.FILTER(B:B, A:A="2021-04"), 0))), "Left", "Ativo")</f>
        <v>Ativo</v>
      </c>
    </row>
    <row r="485" spans="1:6" x14ac:dyDescent="0.25">
      <c r="A485" t="s">
        <v>1528</v>
      </c>
      <c r="B485" t="s">
        <v>484</v>
      </c>
      <c r="C485" s="10" t="str" cm="1">
        <f t="array" ref="C485">IF(AND(A485="2020-12", ISNA(MATCH(B485, _xlfn._xlws.FILTER(B:B, A:A="2021-01"), 0))), "Left", "Ativo")</f>
        <v>Ativo</v>
      </c>
      <c r="D485" s="10" t="str" cm="1">
        <f t="array" ref="D485">IF(AND(A485="2021-01", ISNA(MATCH(B485, _xlfn._xlws.FILTER(B:B, A:A="2021-02"), 0))), "Left", "Ativo")</f>
        <v>Ativo</v>
      </c>
      <c r="E485" s="10" t="str" cm="1">
        <f t="array" ref="E485">IF(AND(A485="2021-02", ISNA(MATCH(B485, _xlfn._xlws.FILTER(B:B, A:A="2021-03"), 0))), "Left", "Ativo")</f>
        <v>Ativo</v>
      </c>
      <c r="F485" s="12" t="str" cm="1">
        <f t="array" ref="F485">IF(AND(A485="2021-03", ISNA(MATCH(B485, _xlfn._xlws.FILTER(B:B, A:A="2021-04"), 0))), "Left", "Ativo")</f>
        <v>Ativo</v>
      </c>
    </row>
    <row r="486" spans="1:6" x14ac:dyDescent="0.25">
      <c r="A486" t="s">
        <v>1528</v>
      </c>
      <c r="B486" t="s">
        <v>485</v>
      </c>
      <c r="C486" s="10" t="str" cm="1">
        <f t="array" ref="C486">IF(AND(A486="2020-12", ISNA(MATCH(B486, _xlfn._xlws.FILTER(B:B, A:A="2021-01"), 0))), "Left", "Ativo")</f>
        <v>Ativo</v>
      </c>
      <c r="D486" s="10" t="str" cm="1">
        <f t="array" ref="D486">IF(AND(A486="2021-01", ISNA(MATCH(B486, _xlfn._xlws.FILTER(B:B, A:A="2021-02"), 0))), "Left", "Ativo")</f>
        <v>Ativo</v>
      </c>
      <c r="E486" s="10" t="str" cm="1">
        <f t="array" ref="E486">IF(AND(A486="2021-02", ISNA(MATCH(B486, _xlfn._xlws.FILTER(B:B, A:A="2021-03"), 0))), "Left", "Ativo")</f>
        <v>Ativo</v>
      </c>
      <c r="F486" s="12" t="str" cm="1">
        <f t="array" ref="F486">IF(AND(A486="2021-03", ISNA(MATCH(B486, _xlfn._xlws.FILTER(B:B, A:A="2021-04"), 0))), "Left", "Ativo")</f>
        <v>Ativo</v>
      </c>
    </row>
    <row r="487" spans="1:6" x14ac:dyDescent="0.25">
      <c r="A487" t="s">
        <v>1528</v>
      </c>
      <c r="B487" t="s">
        <v>486</v>
      </c>
      <c r="C487" s="10" t="str" cm="1">
        <f t="array" ref="C487">IF(AND(A487="2020-12", ISNA(MATCH(B487, _xlfn._xlws.FILTER(B:B, A:A="2021-01"), 0))), "Left", "Ativo")</f>
        <v>Ativo</v>
      </c>
      <c r="D487" s="10" t="str" cm="1">
        <f t="array" ref="D487">IF(AND(A487="2021-01", ISNA(MATCH(B487, _xlfn._xlws.FILTER(B:B, A:A="2021-02"), 0))), "Left", "Ativo")</f>
        <v>Ativo</v>
      </c>
      <c r="E487" s="10" t="str" cm="1">
        <f t="array" ref="E487">IF(AND(A487="2021-02", ISNA(MATCH(B487, _xlfn._xlws.FILTER(B:B, A:A="2021-03"), 0))), "Left", "Ativo")</f>
        <v>Ativo</v>
      </c>
      <c r="F487" s="12" t="str" cm="1">
        <f t="array" ref="F487">IF(AND(A487="2021-03", ISNA(MATCH(B487, _xlfn._xlws.FILTER(B:B, A:A="2021-04"), 0))), "Left", "Ativo")</f>
        <v>Ativo</v>
      </c>
    </row>
    <row r="488" spans="1:6" x14ac:dyDescent="0.25">
      <c r="A488" t="s">
        <v>1528</v>
      </c>
      <c r="B488" t="s">
        <v>487</v>
      </c>
      <c r="C488" s="10" t="str" cm="1">
        <f t="array" ref="C488">IF(AND(A488="2020-12", ISNA(MATCH(B488, _xlfn._xlws.FILTER(B:B, A:A="2021-01"), 0))), "Left", "Ativo")</f>
        <v>Ativo</v>
      </c>
      <c r="D488" s="10" t="str" cm="1">
        <f t="array" ref="D488">IF(AND(A488="2021-01", ISNA(MATCH(B488, _xlfn._xlws.FILTER(B:B, A:A="2021-02"), 0))), "Left", "Ativo")</f>
        <v>Ativo</v>
      </c>
      <c r="E488" s="10" t="str" cm="1">
        <f t="array" ref="E488">IF(AND(A488="2021-02", ISNA(MATCH(B488, _xlfn._xlws.FILTER(B:B, A:A="2021-03"), 0))), "Left", "Ativo")</f>
        <v>Ativo</v>
      </c>
      <c r="F488" s="12" t="str" cm="1">
        <f t="array" ref="F488">IF(AND(A488="2021-03", ISNA(MATCH(B488, _xlfn._xlws.FILTER(B:B, A:A="2021-04"), 0))), "Left", "Ativo")</f>
        <v>Ativo</v>
      </c>
    </row>
    <row r="489" spans="1:6" x14ac:dyDescent="0.25">
      <c r="A489" t="s">
        <v>1528</v>
      </c>
      <c r="B489" t="s">
        <v>488</v>
      </c>
      <c r="C489" s="10" t="str" cm="1">
        <f t="array" ref="C489">IF(AND(A489="2020-12", ISNA(MATCH(B489, _xlfn._xlws.FILTER(B:B, A:A="2021-01"), 0))), "Left", "Ativo")</f>
        <v>Ativo</v>
      </c>
      <c r="D489" s="10" t="str" cm="1">
        <f t="array" ref="D489">IF(AND(A489="2021-01", ISNA(MATCH(B489, _xlfn._xlws.FILTER(B:B, A:A="2021-02"), 0))), "Left", "Ativo")</f>
        <v>Ativo</v>
      </c>
      <c r="E489" s="10" t="str" cm="1">
        <f t="array" ref="E489">IF(AND(A489="2021-02", ISNA(MATCH(B489, _xlfn._xlws.FILTER(B:B, A:A="2021-03"), 0))), "Left", "Ativo")</f>
        <v>Ativo</v>
      </c>
      <c r="F489" s="12" t="str" cm="1">
        <f t="array" ref="F489">IF(AND(A489="2021-03", ISNA(MATCH(B489, _xlfn._xlws.FILTER(B:B, A:A="2021-04"), 0))), "Left", "Ativo")</f>
        <v>Ativo</v>
      </c>
    </row>
    <row r="490" spans="1:6" x14ac:dyDescent="0.25">
      <c r="A490" t="s">
        <v>1528</v>
      </c>
      <c r="B490" t="s">
        <v>489</v>
      </c>
      <c r="C490" s="10" t="str" cm="1">
        <f t="array" ref="C490">IF(AND(A490="2020-12", ISNA(MATCH(B490, _xlfn._xlws.FILTER(B:B, A:A="2021-01"), 0))), "Left", "Ativo")</f>
        <v>Ativo</v>
      </c>
      <c r="D490" s="10" t="str" cm="1">
        <f t="array" ref="D490">IF(AND(A490="2021-01", ISNA(MATCH(B490, _xlfn._xlws.FILTER(B:B, A:A="2021-02"), 0))), "Left", "Ativo")</f>
        <v>Ativo</v>
      </c>
      <c r="E490" s="10" t="str" cm="1">
        <f t="array" ref="E490">IF(AND(A490="2021-02", ISNA(MATCH(B490, _xlfn._xlws.FILTER(B:B, A:A="2021-03"), 0))), "Left", "Ativo")</f>
        <v>Ativo</v>
      </c>
      <c r="F490" s="12" t="str" cm="1">
        <f t="array" ref="F490">IF(AND(A490="2021-03", ISNA(MATCH(B490, _xlfn._xlws.FILTER(B:B, A:A="2021-04"), 0))), "Left", "Ativo")</f>
        <v>Ativo</v>
      </c>
    </row>
    <row r="491" spans="1:6" x14ac:dyDescent="0.25">
      <c r="A491" t="s">
        <v>1528</v>
      </c>
      <c r="B491" t="s">
        <v>490</v>
      </c>
      <c r="C491" s="10" t="str" cm="1">
        <f t="array" ref="C491">IF(AND(A491="2020-12", ISNA(MATCH(B491, _xlfn._xlws.FILTER(B:B, A:A="2021-01"), 0))), "Left", "Ativo")</f>
        <v>Ativo</v>
      </c>
      <c r="D491" s="10" t="str" cm="1">
        <f t="array" ref="D491">IF(AND(A491="2021-01", ISNA(MATCH(B491, _xlfn._xlws.FILTER(B:B, A:A="2021-02"), 0))), "Left", "Ativo")</f>
        <v>Ativo</v>
      </c>
      <c r="E491" s="10" t="str" cm="1">
        <f t="array" ref="E491">IF(AND(A491="2021-02", ISNA(MATCH(B491, _xlfn._xlws.FILTER(B:B, A:A="2021-03"), 0))), "Left", "Ativo")</f>
        <v>Ativo</v>
      </c>
      <c r="F491" s="12" t="str" cm="1">
        <f t="array" ref="F491">IF(AND(A491="2021-03", ISNA(MATCH(B491, _xlfn._xlws.FILTER(B:B, A:A="2021-04"), 0))), "Left", "Ativo")</f>
        <v>Ativo</v>
      </c>
    </row>
    <row r="492" spans="1:6" x14ac:dyDescent="0.25">
      <c r="A492" t="s">
        <v>1528</v>
      </c>
      <c r="B492" t="s">
        <v>491</v>
      </c>
      <c r="C492" s="10" t="str" cm="1">
        <f t="array" ref="C492">IF(AND(A492="2020-12", ISNA(MATCH(B492, _xlfn._xlws.FILTER(B:B, A:A="2021-01"), 0))), "Left", "Ativo")</f>
        <v>Ativo</v>
      </c>
      <c r="D492" s="10" t="str" cm="1">
        <f t="array" ref="D492">IF(AND(A492="2021-01", ISNA(MATCH(B492, _xlfn._xlws.FILTER(B:B, A:A="2021-02"), 0))), "Left", "Ativo")</f>
        <v>Ativo</v>
      </c>
      <c r="E492" s="10" t="str" cm="1">
        <f t="array" ref="E492">IF(AND(A492="2021-02", ISNA(MATCH(B492, _xlfn._xlws.FILTER(B:B, A:A="2021-03"), 0))), "Left", "Ativo")</f>
        <v>Ativo</v>
      </c>
      <c r="F492" s="12" t="str" cm="1">
        <f t="array" ref="F492">IF(AND(A492="2021-03", ISNA(MATCH(B492, _xlfn._xlws.FILTER(B:B, A:A="2021-04"), 0))), "Left", "Ativo")</f>
        <v>Ativo</v>
      </c>
    </row>
    <row r="493" spans="1:6" x14ac:dyDescent="0.25">
      <c r="A493" t="s">
        <v>1528</v>
      </c>
      <c r="B493" t="s">
        <v>492</v>
      </c>
      <c r="C493" s="10" t="str" cm="1">
        <f t="array" ref="C493">IF(AND(A493="2020-12", ISNA(MATCH(B493, _xlfn._xlws.FILTER(B:B, A:A="2021-01"), 0))), "Left", "Ativo")</f>
        <v>Ativo</v>
      </c>
      <c r="D493" s="10" t="str" cm="1">
        <f t="array" ref="D493">IF(AND(A493="2021-01", ISNA(MATCH(B493, _xlfn._xlws.FILTER(B:B, A:A="2021-02"), 0))), "Left", "Ativo")</f>
        <v>Ativo</v>
      </c>
      <c r="E493" s="10" t="str" cm="1">
        <f t="array" ref="E493">IF(AND(A493="2021-02", ISNA(MATCH(B493, _xlfn._xlws.FILTER(B:B, A:A="2021-03"), 0))), "Left", "Ativo")</f>
        <v>Ativo</v>
      </c>
      <c r="F493" s="12" t="str" cm="1">
        <f t="array" ref="F493">IF(AND(A493="2021-03", ISNA(MATCH(B493, _xlfn._xlws.FILTER(B:B, A:A="2021-04"), 0))), "Left", "Ativo")</f>
        <v>Ativo</v>
      </c>
    </row>
    <row r="494" spans="1:6" x14ac:dyDescent="0.25">
      <c r="A494" t="s">
        <v>1528</v>
      </c>
      <c r="B494" t="s">
        <v>493</v>
      </c>
      <c r="C494" s="10" t="str" cm="1">
        <f t="array" ref="C494">IF(AND(A494="2020-12", ISNA(MATCH(B494, _xlfn._xlws.FILTER(B:B, A:A="2021-01"), 0))), "Left", "Ativo")</f>
        <v>Ativo</v>
      </c>
      <c r="D494" s="10" t="str" cm="1">
        <f t="array" ref="D494">IF(AND(A494="2021-01", ISNA(MATCH(B494, _xlfn._xlws.FILTER(B:B, A:A="2021-02"), 0))), "Left", "Ativo")</f>
        <v>Ativo</v>
      </c>
      <c r="E494" s="10" t="str" cm="1">
        <f t="array" ref="E494">IF(AND(A494="2021-02", ISNA(MATCH(B494, _xlfn._xlws.FILTER(B:B, A:A="2021-03"), 0))), "Left", "Ativo")</f>
        <v>Ativo</v>
      </c>
      <c r="F494" s="12" t="str" cm="1">
        <f t="array" ref="F494">IF(AND(A494="2021-03", ISNA(MATCH(B494, _xlfn._xlws.FILTER(B:B, A:A="2021-04"), 0))), "Left", "Ativo")</f>
        <v>Ativo</v>
      </c>
    </row>
    <row r="495" spans="1:6" x14ac:dyDescent="0.25">
      <c r="A495" t="s">
        <v>1528</v>
      </c>
      <c r="B495" t="s">
        <v>494</v>
      </c>
      <c r="C495" s="10" t="str" cm="1">
        <f t="array" ref="C495">IF(AND(A495="2020-12", ISNA(MATCH(B495, _xlfn._xlws.FILTER(B:B, A:A="2021-01"), 0))), "Left", "Ativo")</f>
        <v>Ativo</v>
      </c>
      <c r="D495" s="10" t="str" cm="1">
        <f t="array" ref="D495">IF(AND(A495="2021-01", ISNA(MATCH(B495, _xlfn._xlws.FILTER(B:B, A:A="2021-02"), 0))), "Left", "Ativo")</f>
        <v>Ativo</v>
      </c>
      <c r="E495" s="10" t="str" cm="1">
        <f t="array" ref="E495">IF(AND(A495="2021-02", ISNA(MATCH(B495, _xlfn._xlws.FILTER(B:B, A:A="2021-03"), 0))), "Left", "Ativo")</f>
        <v>Ativo</v>
      </c>
      <c r="F495" s="12" t="str" cm="1">
        <f t="array" ref="F495">IF(AND(A495="2021-03", ISNA(MATCH(B495, _xlfn._xlws.FILTER(B:B, A:A="2021-04"), 0))), "Left", "Ativo")</f>
        <v>Ativo</v>
      </c>
    </row>
    <row r="496" spans="1:6" x14ac:dyDescent="0.25">
      <c r="A496" t="s">
        <v>1528</v>
      </c>
      <c r="B496" t="s">
        <v>495</v>
      </c>
      <c r="C496" s="10" t="str" cm="1">
        <f t="array" ref="C496">IF(AND(A496="2020-12", ISNA(MATCH(B496, _xlfn._xlws.FILTER(B:B, A:A="2021-01"), 0))), "Left", "Ativo")</f>
        <v>Ativo</v>
      </c>
      <c r="D496" s="10" t="str" cm="1">
        <f t="array" ref="D496">IF(AND(A496="2021-01", ISNA(MATCH(B496, _xlfn._xlws.FILTER(B:B, A:A="2021-02"), 0))), "Left", "Ativo")</f>
        <v>Ativo</v>
      </c>
      <c r="E496" s="10" t="str" cm="1">
        <f t="array" ref="E496">IF(AND(A496="2021-02", ISNA(MATCH(B496, _xlfn._xlws.FILTER(B:B, A:A="2021-03"), 0))), "Left", "Ativo")</f>
        <v>Ativo</v>
      </c>
      <c r="F496" s="12" t="str" cm="1">
        <f t="array" ref="F496">IF(AND(A496="2021-03", ISNA(MATCH(B496, _xlfn._xlws.FILTER(B:B, A:A="2021-04"), 0))), "Left", "Ativo")</f>
        <v>Ativo</v>
      </c>
    </row>
    <row r="497" spans="1:6" x14ac:dyDescent="0.25">
      <c r="A497" t="s">
        <v>1528</v>
      </c>
      <c r="B497" t="s">
        <v>496</v>
      </c>
      <c r="C497" s="10" t="str" cm="1">
        <f t="array" ref="C497">IF(AND(A497="2020-12", ISNA(MATCH(B497, _xlfn._xlws.FILTER(B:B, A:A="2021-01"), 0))), "Left", "Ativo")</f>
        <v>Ativo</v>
      </c>
      <c r="D497" s="10" t="str" cm="1">
        <f t="array" ref="D497">IF(AND(A497="2021-01", ISNA(MATCH(B497, _xlfn._xlws.FILTER(B:B, A:A="2021-02"), 0))), "Left", "Ativo")</f>
        <v>Ativo</v>
      </c>
      <c r="E497" s="10" t="str" cm="1">
        <f t="array" ref="E497">IF(AND(A497="2021-02", ISNA(MATCH(B497, _xlfn._xlws.FILTER(B:B, A:A="2021-03"), 0))), "Left", "Ativo")</f>
        <v>Ativo</v>
      </c>
      <c r="F497" s="12" t="str" cm="1">
        <f t="array" ref="F497">IF(AND(A497="2021-03", ISNA(MATCH(B497, _xlfn._xlws.FILTER(B:B, A:A="2021-04"), 0))), "Left", "Ativo")</f>
        <v>Ativo</v>
      </c>
    </row>
    <row r="498" spans="1:6" x14ac:dyDescent="0.25">
      <c r="A498" t="s">
        <v>1528</v>
      </c>
      <c r="B498" t="s">
        <v>497</v>
      </c>
      <c r="C498" s="10" t="str" cm="1">
        <f t="array" ref="C498">IF(AND(A498="2020-12", ISNA(MATCH(B498, _xlfn._xlws.FILTER(B:B, A:A="2021-01"), 0))), "Left", "Ativo")</f>
        <v>Ativo</v>
      </c>
      <c r="D498" s="10" t="str" cm="1">
        <f t="array" ref="D498">IF(AND(A498="2021-01", ISNA(MATCH(B498, _xlfn._xlws.FILTER(B:B, A:A="2021-02"), 0))), "Left", "Ativo")</f>
        <v>Ativo</v>
      </c>
      <c r="E498" s="10" t="str" cm="1">
        <f t="array" ref="E498">IF(AND(A498="2021-02", ISNA(MATCH(B498, _xlfn._xlws.FILTER(B:B, A:A="2021-03"), 0))), "Left", "Ativo")</f>
        <v>Ativo</v>
      </c>
      <c r="F498" s="12" t="str" cm="1">
        <f t="array" ref="F498">IF(AND(A498="2021-03", ISNA(MATCH(B498, _xlfn._xlws.FILTER(B:B, A:A="2021-04"), 0))), "Left", "Ativo")</f>
        <v>Ativo</v>
      </c>
    </row>
    <row r="499" spans="1:6" x14ac:dyDescent="0.25">
      <c r="A499" t="s">
        <v>1528</v>
      </c>
      <c r="B499" t="s">
        <v>498</v>
      </c>
      <c r="C499" s="10" t="str" cm="1">
        <f t="array" ref="C499">IF(AND(A499="2020-12", ISNA(MATCH(B499, _xlfn._xlws.FILTER(B:B, A:A="2021-01"), 0))), "Left", "Ativo")</f>
        <v>Ativo</v>
      </c>
      <c r="D499" s="10" t="str" cm="1">
        <f t="array" ref="D499">IF(AND(A499="2021-01", ISNA(MATCH(B499, _xlfn._xlws.FILTER(B:B, A:A="2021-02"), 0))), "Left", "Ativo")</f>
        <v>Ativo</v>
      </c>
      <c r="E499" s="10" t="str" cm="1">
        <f t="array" ref="E499">IF(AND(A499="2021-02", ISNA(MATCH(B499, _xlfn._xlws.FILTER(B:B, A:A="2021-03"), 0))), "Left", "Ativo")</f>
        <v>Ativo</v>
      </c>
      <c r="F499" s="12" t="str" cm="1">
        <f t="array" ref="F499">IF(AND(A499="2021-03", ISNA(MATCH(B499, _xlfn._xlws.FILTER(B:B, A:A="2021-04"), 0))), "Left", "Ativo")</f>
        <v>Ativo</v>
      </c>
    </row>
    <row r="500" spans="1:6" x14ac:dyDescent="0.25">
      <c r="A500" t="s">
        <v>1528</v>
      </c>
      <c r="B500" t="s">
        <v>499</v>
      </c>
      <c r="C500" s="10" t="str" cm="1">
        <f t="array" ref="C500">IF(AND(A500="2020-12", ISNA(MATCH(B500, _xlfn._xlws.FILTER(B:B, A:A="2021-01"), 0))), "Left", "Ativo")</f>
        <v>Ativo</v>
      </c>
      <c r="D500" s="10" t="str" cm="1">
        <f t="array" ref="D500">IF(AND(A500="2021-01", ISNA(MATCH(B500, _xlfn._xlws.FILTER(B:B, A:A="2021-02"), 0))), "Left", "Ativo")</f>
        <v>Ativo</v>
      </c>
      <c r="E500" s="10" t="str" cm="1">
        <f t="array" ref="E500">IF(AND(A500="2021-02", ISNA(MATCH(B500, _xlfn._xlws.FILTER(B:B, A:A="2021-03"), 0))), "Left", "Ativo")</f>
        <v>Ativo</v>
      </c>
      <c r="F500" s="12" t="str" cm="1">
        <f t="array" ref="F500">IF(AND(A500="2021-03", ISNA(MATCH(B500, _xlfn._xlws.FILTER(B:B, A:A="2021-04"), 0))), "Left", "Ativo")</f>
        <v>Ativo</v>
      </c>
    </row>
    <row r="501" spans="1:6" x14ac:dyDescent="0.25">
      <c r="A501" t="s">
        <v>1528</v>
      </c>
      <c r="B501" t="s">
        <v>500</v>
      </c>
      <c r="C501" s="10" t="str" cm="1">
        <f t="array" ref="C501">IF(AND(A501="2020-12", ISNA(MATCH(B501, _xlfn._xlws.FILTER(B:B, A:A="2021-01"), 0))), "Left", "Ativo")</f>
        <v>Ativo</v>
      </c>
      <c r="D501" s="10" t="str" cm="1">
        <f t="array" ref="D501">IF(AND(A501="2021-01", ISNA(MATCH(B501, _xlfn._xlws.FILTER(B:B, A:A="2021-02"), 0))), "Left", "Ativo")</f>
        <v>Ativo</v>
      </c>
      <c r="E501" s="10" t="str" cm="1">
        <f t="array" ref="E501">IF(AND(A501="2021-02", ISNA(MATCH(B501, _xlfn._xlws.FILTER(B:B, A:A="2021-03"), 0))), "Left", "Ativo")</f>
        <v>Ativo</v>
      </c>
      <c r="F501" s="12" t="str" cm="1">
        <f t="array" ref="F501">IF(AND(A501="2021-03", ISNA(MATCH(B501, _xlfn._xlws.FILTER(B:B, A:A="2021-04"), 0))), "Left", "Ativo")</f>
        <v>Ativo</v>
      </c>
    </row>
    <row r="502" spans="1:6" x14ac:dyDescent="0.25">
      <c r="A502" t="s">
        <v>1528</v>
      </c>
      <c r="B502" t="s">
        <v>501</v>
      </c>
      <c r="C502" s="10" t="str" cm="1">
        <f t="array" ref="C502">IF(AND(A502="2020-12", ISNA(MATCH(B502, _xlfn._xlws.FILTER(B:B, A:A="2021-01"), 0))), "Left", "Ativo")</f>
        <v>Ativo</v>
      </c>
      <c r="D502" s="10" t="str" cm="1">
        <f t="array" ref="D502">IF(AND(A502="2021-01", ISNA(MATCH(B502, _xlfn._xlws.FILTER(B:B, A:A="2021-02"), 0))), "Left", "Ativo")</f>
        <v>Ativo</v>
      </c>
      <c r="E502" s="10" t="str" cm="1">
        <f t="array" ref="E502">IF(AND(A502="2021-02", ISNA(MATCH(B502, _xlfn._xlws.FILTER(B:B, A:A="2021-03"), 0))), "Left", "Ativo")</f>
        <v>Ativo</v>
      </c>
      <c r="F502" s="12" t="str" cm="1">
        <f t="array" ref="F502">IF(AND(A502="2021-03", ISNA(MATCH(B502, _xlfn._xlws.FILTER(B:B, A:A="2021-04"), 0))), "Left", "Ativo")</f>
        <v>Ativo</v>
      </c>
    </row>
    <row r="503" spans="1:6" x14ac:dyDescent="0.25">
      <c r="A503" t="s">
        <v>1528</v>
      </c>
      <c r="B503" t="s">
        <v>502</v>
      </c>
      <c r="C503" s="10" t="str" cm="1">
        <f t="array" ref="C503">IF(AND(A503="2020-12", ISNA(MATCH(B503, _xlfn._xlws.FILTER(B:B, A:A="2021-01"), 0))), "Left", "Ativo")</f>
        <v>Ativo</v>
      </c>
      <c r="D503" s="10" t="str" cm="1">
        <f t="array" ref="D503">IF(AND(A503="2021-01", ISNA(MATCH(B503, _xlfn._xlws.FILTER(B:B, A:A="2021-02"), 0))), "Left", "Ativo")</f>
        <v>Ativo</v>
      </c>
      <c r="E503" s="10" t="str" cm="1">
        <f t="array" ref="E503">IF(AND(A503="2021-02", ISNA(MATCH(B503, _xlfn._xlws.FILTER(B:B, A:A="2021-03"), 0))), "Left", "Ativo")</f>
        <v>Ativo</v>
      </c>
      <c r="F503" s="12" t="str" cm="1">
        <f t="array" ref="F503">IF(AND(A503="2021-03", ISNA(MATCH(B503, _xlfn._xlws.FILTER(B:B, A:A="2021-04"), 0))), "Left", "Ativo")</f>
        <v>Ativo</v>
      </c>
    </row>
    <row r="504" spans="1:6" x14ac:dyDescent="0.25">
      <c r="A504" t="s">
        <v>1528</v>
      </c>
      <c r="B504" t="s">
        <v>503</v>
      </c>
      <c r="C504" s="10" t="str" cm="1">
        <f t="array" ref="C504">IF(AND(A504="2020-12", ISNA(MATCH(B504, _xlfn._xlws.FILTER(B:B, A:A="2021-01"), 0))), "Left", "Ativo")</f>
        <v>Ativo</v>
      </c>
      <c r="D504" s="10" t="str" cm="1">
        <f t="array" ref="D504">IF(AND(A504="2021-01", ISNA(MATCH(B504, _xlfn._xlws.FILTER(B:B, A:A="2021-02"), 0))), "Left", "Ativo")</f>
        <v>Ativo</v>
      </c>
      <c r="E504" s="10" t="str" cm="1">
        <f t="array" ref="E504">IF(AND(A504="2021-02", ISNA(MATCH(B504, _xlfn._xlws.FILTER(B:B, A:A="2021-03"), 0))), "Left", "Ativo")</f>
        <v>Ativo</v>
      </c>
      <c r="F504" s="12" t="str" cm="1">
        <f t="array" ref="F504">IF(AND(A504="2021-03", ISNA(MATCH(B504, _xlfn._xlws.FILTER(B:B, A:A="2021-04"), 0))), "Left", "Ativo")</f>
        <v>Ativo</v>
      </c>
    </row>
    <row r="505" spans="1:6" x14ac:dyDescent="0.25">
      <c r="A505" t="s">
        <v>1528</v>
      </c>
      <c r="B505" t="s">
        <v>504</v>
      </c>
      <c r="C505" s="10" t="str" cm="1">
        <f t="array" ref="C505">IF(AND(A505="2020-12", ISNA(MATCH(B505, _xlfn._xlws.FILTER(B:B, A:A="2021-01"), 0))), "Left", "Ativo")</f>
        <v>Ativo</v>
      </c>
      <c r="D505" s="10" t="str" cm="1">
        <f t="array" ref="D505">IF(AND(A505="2021-01", ISNA(MATCH(B505, _xlfn._xlws.FILTER(B:B, A:A="2021-02"), 0))), "Left", "Ativo")</f>
        <v>Ativo</v>
      </c>
      <c r="E505" s="10" t="str" cm="1">
        <f t="array" ref="E505">IF(AND(A505="2021-02", ISNA(MATCH(B505, _xlfn._xlws.FILTER(B:B, A:A="2021-03"), 0))), "Left", "Ativo")</f>
        <v>Ativo</v>
      </c>
      <c r="F505" s="12" t="str" cm="1">
        <f t="array" ref="F505">IF(AND(A505="2021-03", ISNA(MATCH(B505, _xlfn._xlws.FILTER(B:B, A:A="2021-04"), 0))), "Left", "Ativo")</f>
        <v>Ativo</v>
      </c>
    </row>
    <row r="506" spans="1:6" x14ac:dyDescent="0.25">
      <c r="A506" t="s">
        <v>1528</v>
      </c>
      <c r="B506" t="s">
        <v>505</v>
      </c>
      <c r="C506" s="10" t="str" cm="1">
        <f t="array" ref="C506">IF(AND(A506="2020-12", ISNA(MATCH(B506, _xlfn._xlws.FILTER(B:B, A:A="2021-01"), 0))), "Left", "Ativo")</f>
        <v>Ativo</v>
      </c>
      <c r="D506" s="10" t="str" cm="1">
        <f t="array" ref="D506">IF(AND(A506="2021-01", ISNA(MATCH(B506, _xlfn._xlws.FILTER(B:B, A:A="2021-02"), 0))), "Left", "Ativo")</f>
        <v>Ativo</v>
      </c>
      <c r="E506" s="10" t="str" cm="1">
        <f t="array" ref="E506">IF(AND(A506="2021-02", ISNA(MATCH(B506, _xlfn._xlws.FILTER(B:B, A:A="2021-03"), 0))), "Left", "Ativo")</f>
        <v>Ativo</v>
      </c>
      <c r="F506" s="12" t="str" cm="1">
        <f t="array" ref="F506">IF(AND(A506="2021-03", ISNA(MATCH(B506, _xlfn._xlws.FILTER(B:B, A:A="2021-04"), 0))), "Left", "Ativo")</f>
        <v>Ativo</v>
      </c>
    </row>
    <row r="507" spans="1:6" x14ac:dyDescent="0.25">
      <c r="A507" t="s">
        <v>1528</v>
      </c>
      <c r="B507" t="s">
        <v>506</v>
      </c>
      <c r="C507" s="10" t="str" cm="1">
        <f t="array" ref="C507">IF(AND(A507="2020-12", ISNA(MATCH(B507, _xlfn._xlws.FILTER(B:B, A:A="2021-01"), 0))), "Left", "Ativo")</f>
        <v>Ativo</v>
      </c>
      <c r="D507" s="10" t="str" cm="1">
        <f t="array" ref="D507">IF(AND(A507="2021-01", ISNA(MATCH(B507, _xlfn._xlws.FILTER(B:B, A:A="2021-02"), 0))), "Left", "Ativo")</f>
        <v>Ativo</v>
      </c>
      <c r="E507" s="10" t="str" cm="1">
        <f t="array" ref="E507">IF(AND(A507="2021-02", ISNA(MATCH(B507, _xlfn._xlws.FILTER(B:B, A:A="2021-03"), 0))), "Left", "Ativo")</f>
        <v>Ativo</v>
      </c>
      <c r="F507" s="12" t="str" cm="1">
        <f t="array" ref="F507">IF(AND(A507="2021-03", ISNA(MATCH(B507, _xlfn._xlws.FILTER(B:B, A:A="2021-04"), 0))), "Left", "Ativo")</f>
        <v>Ativo</v>
      </c>
    </row>
    <row r="508" spans="1:6" x14ac:dyDescent="0.25">
      <c r="A508" t="s">
        <v>1528</v>
      </c>
      <c r="B508" t="s">
        <v>507</v>
      </c>
      <c r="C508" s="10" t="str" cm="1">
        <f t="array" ref="C508">IF(AND(A508="2020-12", ISNA(MATCH(B508, _xlfn._xlws.FILTER(B:B, A:A="2021-01"), 0))), "Left", "Ativo")</f>
        <v>Ativo</v>
      </c>
      <c r="D508" s="10" t="str" cm="1">
        <f t="array" ref="D508">IF(AND(A508="2021-01", ISNA(MATCH(B508, _xlfn._xlws.FILTER(B:B, A:A="2021-02"), 0))), "Left", "Ativo")</f>
        <v>Ativo</v>
      </c>
      <c r="E508" s="10" t="str" cm="1">
        <f t="array" ref="E508">IF(AND(A508="2021-02", ISNA(MATCH(B508, _xlfn._xlws.FILTER(B:B, A:A="2021-03"), 0))), "Left", "Ativo")</f>
        <v>Ativo</v>
      </c>
      <c r="F508" s="12" t="str" cm="1">
        <f t="array" ref="F508">IF(AND(A508="2021-03", ISNA(MATCH(B508, _xlfn._xlws.FILTER(B:B, A:A="2021-04"), 0))), "Left", "Ativo")</f>
        <v>Ativo</v>
      </c>
    </row>
    <row r="509" spans="1:6" x14ac:dyDescent="0.25">
      <c r="A509" t="s">
        <v>1528</v>
      </c>
      <c r="B509" t="s">
        <v>508</v>
      </c>
      <c r="C509" s="10" t="str" cm="1">
        <f t="array" ref="C509">IF(AND(A509="2020-12", ISNA(MATCH(B509, _xlfn._xlws.FILTER(B:B, A:A="2021-01"), 0))), "Left", "Ativo")</f>
        <v>Ativo</v>
      </c>
      <c r="D509" s="10" t="str" cm="1">
        <f t="array" ref="D509">IF(AND(A509="2021-01", ISNA(MATCH(B509, _xlfn._xlws.FILTER(B:B, A:A="2021-02"), 0))), "Left", "Ativo")</f>
        <v>Ativo</v>
      </c>
      <c r="E509" s="10" t="str" cm="1">
        <f t="array" ref="E509">IF(AND(A509="2021-02", ISNA(MATCH(B509, _xlfn._xlws.FILTER(B:B, A:A="2021-03"), 0))), "Left", "Ativo")</f>
        <v>Ativo</v>
      </c>
      <c r="F509" s="12" t="str" cm="1">
        <f t="array" ref="F509">IF(AND(A509="2021-03", ISNA(MATCH(B509, _xlfn._xlws.FILTER(B:B, A:A="2021-04"), 0))), "Left", "Ativo")</f>
        <v>Ativo</v>
      </c>
    </row>
    <row r="510" spans="1:6" x14ac:dyDescent="0.25">
      <c r="A510" t="s">
        <v>1528</v>
      </c>
      <c r="B510" t="s">
        <v>509</v>
      </c>
      <c r="C510" s="10" t="str" cm="1">
        <f t="array" ref="C510">IF(AND(A510="2020-12", ISNA(MATCH(B510, _xlfn._xlws.FILTER(B:B, A:A="2021-01"), 0))), "Left", "Ativo")</f>
        <v>Ativo</v>
      </c>
      <c r="D510" s="10" t="str" cm="1">
        <f t="array" ref="D510">IF(AND(A510="2021-01", ISNA(MATCH(B510, _xlfn._xlws.FILTER(B:B, A:A="2021-02"), 0))), "Left", "Ativo")</f>
        <v>Ativo</v>
      </c>
      <c r="E510" s="10" t="str" cm="1">
        <f t="array" ref="E510">IF(AND(A510="2021-02", ISNA(MATCH(B510, _xlfn._xlws.FILTER(B:B, A:A="2021-03"), 0))), "Left", "Ativo")</f>
        <v>Ativo</v>
      </c>
      <c r="F510" s="12" t="str" cm="1">
        <f t="array" ref="F510">IF(AND(A510="2021-03", ISNA(MATCH(B510, _xlfn._xlws.FILTER(B:B, A:A="2021-04"), 0))), "Left", "Ativo")</f>
        <v>Ativo</v>
      </c>
    </row>
    <row r="511" spans="1:6" x14ac:dyDescent="0.25">
      <c r="A511" t="s">
        <v>1528</v>
      </c>
      <c r="B511" t="s">
        <v>510</v>
      </c>
      <c r="C511" s="10" t="str" cm="1">
        <f t="array" ref="C511">IF(AND(A511="2020-12", ISNA(MATCH(B511, _xlfn._xlws.FILTER(B:B, A:A="2021-01"), 0))), "Left", "Ativo")</f>
        <v>Ativo</v>
      </c>
      <c r="D511" s="10" t="str" cm="1">
        <f t="array" ref="D511">IF(AND(A511="2021-01", ISNA(MATCH(B511, _xlfn._xlws.FILTER(B:B, A:A="2021-02"), 0))), "Left", "Ativo")</f>
        <v>Ativo</v>
      </c>
      <c r="E511" s="10" t="str" cm="1">
        <f t="array" ref="E511">IF(AND(A511="2021-02", ISNA(MATCH(B511, _xlfn._xlws.FILTER(B:B, A:A="2021-03"), 0))), "Left", "Ativo")</f>
        <v>Ativo</v>
      </c>
      <c r="F511" s="12" t="str" cm="1">
        <f t="array" ref="F511">IF(AND(A511="2021-03", ISNA(MATCH(B511, _xlfn._xlws.FILTER(B:B, A:A="2021-04"), 0))), "Left", "Ativo")</f>
        <v>Ativo</v>
      </c>
    </row>
    <row r="512" spans="1:6" x14ac:dyDescent="0.25">
      <c r="A512" t="s">
        <v>1528</v>
      </c>
      <c r="B512" t="s">
        <v>511</v>
      </c>
      <c r="C512" s="10" t="str" cm="1">
        <f t="array" ref="C512">IF(AND(A512="2020-12", ISNA(MATCH(B512, _xlfn._xlws.FILTER(B:B, A:A="2021-01"), 0))), "Left", "Ativo")</f>
        <v>Ativo</v>
      </c>
      <c r="D512" s="10" t="str" cm="1">
        <f t="array" ref="D512">IF(AND(A512="2021-01", ISNA(MATCH(B512, _xlfn._xlws.FILTER(B:B, A:A="2021-02"), 0))), "Left", "Ativo")</f>
        <v>Ativo</v>
      </c>
      <c r="E512" s="10" t="str" cm="1">
        <f t="array" ref="E512">IF(AND(A512="2021-02", ISNA(MATCH(B512, _xlfn._xlws.FILTER(B:B, A:A="2021-03"), 0))), "Left", "Ativo")</f>
        <v>Ativo</v>
      </c>
      <c r="F512" s="12" t="str" cm="1">
        <f t="array" ref="F512">IF(AND(A512="2021-03", ISNA(MATCH(B512, _xlfn._xlws.FILTER(B:B, A:A="2021-04"), 0))), "Left", "Ativo")</f>
        <v>Ativo</v>
      </c>
    </row>
    <row r="513" spans="1:6" x14ac:dyDescent="0.25">
      <c r="A513" t="s">
        <v>1528</v>
      </c>
      <c r="B513" t="s">
        <v>512</v>
      </c>
      <c r="C513" s="10" t="str" cm="1">
        <f t="array" ref="C513">IF(AND(A513="2020-12", ISNA(MATCH(B513, _xlfn._xlws.FILTER(B:B, A:A="2021-01"), 0))), "Left", "Ativo")</f>
        <v>Ativo</v>
      </c>
      <c r="D513" s="10" t="str" cm="1">
        <f t="array" ref="D513">IF(AND(A513="2021-01", ISNA(MATCH(B513, _xlfn._xlws.FILTER(B:B, A:A="2021-02"), 0))), "Left", "Ativo")</f>
        <v>Ativo</v>
      </c>
      <c r="E513" s="10" t="str" cm="1">
        <f t="array" ref="E513">IF(AND(A513="2021-02", ISNA(MATCH(B513, _xlfn._xlws.FILTER(B:B, A:A="2021-03"), 0))), "Left", "Ativo")</f>
        <v>Ativo</v>
      </c>
      <c r="F513" s="12" t="str" cm="1">
        <f t="array" ref="F513">IF(AND(A513="2021-03", ISNA(MATCH(B513, _xlfn._xlws.FILTER(B:B, A:A="2021-04"), 0))), "Left", "Ativo")</f>
        <v>Ativo</v>
      </c>
    </row>
    <row r="514" spans="1:6" x14ac:dyDescent="0.25">
      <c r="A514" t="s">
        <v>1528</v>
      </c>
      <c r="B514" t="s">
        <v>513</v>
      </c>
      <c r="C514" s="10" t="str" cm="1">
        <f t="array" ref="C514">IF(AND(A514="2020-12", ISNA(MATCH(B514, _xlfn._xlws.FILTER(B:B, A:A="2021-01"), 0))), "Left", "Ativo")</f>
        <v>Ativo</v>
      </c>
      <c r="D514" s="10" t="str" cm="1">
        <f t="array" ref="D514">IF(AND(A514="2021-01", ISNA(MATCH(B514, _xlfn._xlws.FILTER(B:B, A:A="2021-02"), 0))), "Left", "Ativo")</f>
        <v>Ativo</v>
      </c>
      <c r="E514" s="10" t="str" cm="1">
        <f t="array" ref="E514">IF(AND(A514="2021-02", ISNA(MATCH(B514, _xlfn._xlws.FILTER(B:B, A:A="2021-03"), 0))), "Left", "Ativo")</f>
        <v>Ativo</v>
      </c>
      <c r="F514" s="12" t="str" cm="1">
        <f t="array" ref="F514">IF(AND(A514="2021-03", ISNA(MATCH(B514, _xlfn._xlws.FILTER(B:B, A:A="2021-04"), 0))), "Left", "Ativo")</f>
        <v>Ativo</v>
      </c>
    </row>
    <row r="515" spans="1:6" x14ac:dyDescent="0.25">
      <c r="A515" t="s">
        <v>1528</v>
      </c>
      <c r="B515" t="s">
        <v>514</v>
      </c>
      <c r="C515" s="10" t="str" cm="1">
        <f t="array" ref="C515">IF(AND(A515="2020-12", ISNA(MATCH(B515, _xlfn._xlws.FILTER(B:B, A:A="2021-01"), 0))), "Left", "Ativo")</f>
        <v>Ativo</v>
      </c>
      <c r="D515" s="10" t="str" cm="1">
        <f t="array" ref="D515">IF(AND(A515="2021-01", ISNA(MATCH(B515, _xlfn._xlws.FILTER(B:B, A:A="2021-02"), 0))), "Left", "Ativo")</f>
        <v>Ativo</v>
      </c>
      <c r="E515" s="10" t="str" cm="1">
        <f t="array" ref="E515">IF(AND(A515="2021-02", ISNA(MATCH(B515, _xlfn._xlws.FILTER(B:B, A:A="2021-03"), 0))), "Left", "Ativo")</f>
        <v>Ativo</v>
      </c>
      <c r="F515" s="12" t="str" cm="1">
        <f t="array" ref="F515">IF(AND(A515="2021-03", ISNA(MATCH(B515, _xlfn._xlws.FILTER(B:B, A:A="2021-04"), 0))), "Left", "Ativo")</f>
        <v>Ativo</v>
      </c>
    </row>
    <row r="516" spans="1:6" x14ac:dyDescent="0.25">
      <c r="A516" t="s">
        <v>1528</v>
      </c>
      <c r="B516" t="s">
        <v>515</v>
      </c>
      <c r="C516" s="10" t="str" cm="1">
        <f t="array" ref="C516">IF(AND(A516="2020-12", ISNA(MATCH(B516, _xlfn._xlws.FILTER(B:B, A:A="2021-01"), 0))), "Left", "Ativo")</f>
        <v>Ativo</v>
      </c>
      <c r="D516" s="10" t="str" cm="1">
        <f t="array" ref="D516">IF(AND(A516="2021-01", ISNA(MATCH(B516, _xlfn._xlws.FILTER(B:B, A:A="2021-02"), 0))), "Left", "Ativo")</f>
        <v>Ativo</v>
      </c>
      <c r="E516" s="10" t="str" cm="1">
        <f t="array" ref="E516">IF(AND(A516="2021-02", ISNA(MATCH(B516, _xlfn._xlws.FILTER(B:B, A:A="2021-03"), 0))), "Left", "Ativo")</f>
        <v>Ativo</v>
      </c>
      <c r="F516" s="12" t="str" cm="1">
        <f t="array" ref="F516">IF(AND(A516="2021-03", ISNA(MATCH(B516, _xlfn._xlws.FILTER(B:B, A:A="2021-04"), 0))), "Left", "Ativo")</f>
        <v>Ativo</v>
      </c>
    </row>
    <row r="517" spans="1:6" x14ac:dyDescent="0.25">
      <c r="A517" t="s">
        <v>1528</v>
      </c>
      <c r="B517" t="s">
        <v>516</v>
      </c>
      <c r="C517" s="10" t="str" cm="1">
        <f t="array" ref="C517">IF(AND(A517="2020-12", ISNA(MATCH(B517, _xlfn._xlws.FILTER(B:B, A:A="2021-01"), 0))), "Left", "Ativo")</f>
        <v>Ativo</v>
      </c>
      <c r="D517" s="10" t="str" cm="1">
        <f t="array" ref="D517">IF(AND(A517="2021-01", ISNA(MATCH(B517, _xlfn._xlws.FILTER(B:B, A:A="2021-02"), 0))), "Left", "Ativo")</f>
        <v>Ativo</v>
      </c>
      <c r="E517" s="10" t="str" cm="1">
        <f t="array" ref="E517">IF(AND(A517="2021-02", ISNA(MATCH(B517, _xlfn._xlws.FILTER(B:B, A:A="2021-03"), 0))), "Left", "Ativo")</f>
        <v>Ativo</v>
      </c>
      <c r="F517" s="12" t="str" cm="1">
        <f t="array" ref="F517">IF(AND(A517="2021-03", ISNA(MATCH(B517, _xlfn._xlws.FILTER(B:B, A:A="2021-04"), 0))), "Left", "Ativo")</f>
        <v>Ativo</v>
      </c>
    </row>
    <row r="518" spans="1:6" x14ac:dyDescent="0.25">
      <c r="A518" t="s">
        <v>1528</v>
      </c>
      <c r="B518" t="s">
        <v>517</v>
      </c>
      <c r="C518" s="10" t="str" cm="1">
        <f t="array" ref="C518">IF(AND(A518="2020-12", ISNA(MATCH(B518, _xlfn._xlws.FILTER(B:B, A:A="2021-01"), 0))), "Left", "Ativo")</f>
        <v>Ativo</v>
      </c>
      <c r="D518" s="10" t="str" cm="1">
        <f t="array" ref="D518">IF(AND(A518="2021-01", ISNA(MATCH(B518, _xlfn._xlws.FILTER(B:B, A:A="2021-02"), 0))), "Left", "Ativo")</f>
        <v>Ativo</v>
      </c>
      <c r="E518" s="10" t="str" cm="1">
        <f t="array" ref="E518">IF(AND(A518="2021-02", ISNA(MATCH(B518, _xlfn._xlws.FILTER(B:B, A:A="2021-03"), 0))), "Left", "Ativo")</f>
        <v>Ativo</v>
      </c>
      <c r="F518" s="12" t="str" cm="1">
        <f t="array" ref="F518">IF(AND(A518="2021-03", ISNA(MATCH(B518, _xlfn._xlws.FILTER(B:B, A:A="2021-04"), 0))), "Left", "Ativo")</f>
        <v>Ativo</v>
      </c>
    </row>
    <row r="519" spans="1:6" x14ac:dyDescent="0.25">
      <c r="A519" t="s">
        <v>1528</v>
      </c>
      <c r="B519" t="s">
        <v>518</v>
      </c>
      <c r="C519" s="10" t="str" cm="1">
        <f t="array" ref="C519">IF(AND(A519="2020-12", ISNA(MATCH(B519, _xlfn._xlws.FILTER(B:B, A:A="2021-01"), 0))), "Left", "Ativo")</f>
        <v>Ativo</v>
      </c>
      <c r="D519" s="10" t="str" cm="1">
        <f t="array" ref="D519">IF(AND(A519="2021-01", ISNA(MATCH(B519, _xlfn._xlws.FILTER(B:B, A:A="2021-02"), 0))), "Left", "Ativo")</f>
        <v>Ativo</v>
      </c>
      <c r="E519" s="10" t="str" cm="1">
        <f t="array" ref="E519">IF(AND(A519="2021-02", ISNA(MATCH(B519, _xlfn._xlws.FILTER(B:B, A:A="2021-03"), 0))), "Left", "Ativo")</f>
        <v>Ativo</v>
      </c>
      <c r="F519" s="12" t="str" cm="1">
        <f t="array" ref="F519">IF(AND(A519="2021-03", ISNA(MATCH(B519, _xlfn._xlws.FILTER(B:B, A:A="2021-04"), 0))), "Left", "Ativo")</f>
        <v>Ativo</v>
      </c>
    </row>
    <row r="520" spans="1:6" x14ac:dyDescent="0.25">
      <c r="A520" t="s">
        <v>1528</v>
      </c>
      <c r="B520" t="s">
        <v>519</v>
      </c>
      <c r="C520" s="10" t="str" cm="1">
        <f t="array" ref="C520">IF(AND(A520="2020-12", ISNA(MATCH(B520, _xlfn._xlws.FILTER(B:B, A:A="2021-01"), 0))), "Left", "Ativo")</f>
        <v>Ativo</v>
      </c>
      <c r="D520" s="10" t="str" cm="1">
        <f t="array" ref="D520">IF(AND(A520="2021-01", ISNA(MATCH(B520, _xlfn._xlws.FILTER(B:B, A:A="2021-02"), 0))), "Left", "Ativo")</f>
        <v>Ativo</v>
      </c>
      <c r="E520" s="10" t="str" cm="1">
        <f t="array" ref="E520">IF(AND(A520="2021-02", ISNA(MATCH(B520, _xlfn._xlws.FILTER(B:B, A:A="2021-03"), 0))), "Left", "Ativo")</f>
        <v>Ativo</v>
      </c>
      <c r="F520" s="12" t="str" cm="1">
        <f t="array" ref="F520">IF(AND(A520="2021-03", ISNA(MATCH(B520, _xlfn._xlws.FILTER(B:B, A:A="2021-04"), 0))), "Left", "Ativo")</f>
        <v>Ativo</v>
      </c>
    </row>
    <row r="521" spans="1:6" x14ac:dyDescent="0.25">
      <c r="A521" t="s">
        <v>1528</v>
      </c>
      <c r="B521" t="s">
        <v>520</v>
      </c>
      <c r="C521" s="10" t="str" cm="1">
        <f t="array" ref="C521">IF(AND(A521="2020-12", ISNA(MATCH(B521, _xlfn._xlws.FILTER(B:B, A:A="2021-01"), 0))), "Left", "Ativo")</f>
        <v>Ativo</v>
      </c>
      <c r="D521" s="10" t="str" cm="1">
        <f t="array" ref="D521">IF(AND(A521="2021-01", ISNA(MATCH(B521, _xlfn._xlws.FILTER(B:B, A:A="2021-02"), 0))), "Left", "Ativo")</f>
        <v>Ativo</v>
      </c>
      <c r="E521" s="10" t="str" cm="1">
        <f t="array" ref="E521">IF(AND(A521="2021-02", ISNA(MATCH(B521, _xlfn._xlws.FILTER(B:B, A:A="2021-03"), 0))), "Left", "Ativo")</f>
        <v>Ativo</v>
      </c>
      <c r="F521" s="12" t="str" cm="1">
        <f t="array" ref="F521">IF(AND(A521="2021-03", ISNA(MATCH(B521, _xlfn._xlws.FILTER(B:B, A:A="2021-04"), 0))), "Left", "Ativo")</f>
        <v>Ativo</v>
      </c>
    </row>
    <row r="522" spans="1:6" x14ac:dyDescent="0.25">
      <c r="A522" t="s">
        <v>1528</v>
      </c>
      <c r="B522" t="s">
        <v>521</v>
      </c>
      <c r="C522" s="10" t="str" cm="1">
        <f t="array" ref="C522">IF(AND(A522="2020-12", ISNA(MATCH(B522, _xlfn._xlws.FILTER(B:B, A:A="2021-01"), 0))), "Left", "Ativo")</f>
        <v>Ativo</v>
      </c>
      <c r="D522" s="10" t="str" cm="1">
        <f t="array" ref="D522">IF(AND(A522="2021-01", ISNA(MATCH(B522, _xlfn._xlws.FILTER(B:B, A:A="2021-02"), 0))), "Left", "Ativo")</f>
        <v>Ativo</v>
      </c>
      <c r="E522" s="10" t="str" cm="1">
        <f t="array" ref="E522">IF(AND(A522="2021-02", ISNA(MATCH(B522, _xlfn._xlws.FILTER(B:B, A:A="2021-03"), 0))), "Left", "Ativo")</f>
        <v>Ativo</v>
      </c>
      <c r="F522" s="12" t="str" cm="1">
        <f t="array" ref="F522">IF(AND(A522="2021-03", ISNA(MATCH(B522, _xlfn._xlws.FILTER(B:B, A:A="2021-04"), 0))), "Left", "Ativo")</f>
        <v>Ativo</v>
      </c>
    </row>
    <row r="523" spans="1:6" x14ac:dyDescent="0.25">
      <c r="A523" t="s">
        <v>1528</v>
      </c>
      <c r="B523" t="s">
        <v>522</v>
      </c>
      <c r="C523" s="10" t="str" cm="1">
        <f t="array" ref="C523">IF(AND(A523="2020-12", ISNA(MATCH(B523, _xlfn._xlws.FILTER(B:B, A:A="2021-01"), 0))), "Left", "Ativo")</f>
        <v>Ativo</v>
      </c>
      <c r="D523" s="10" t="str" cm="1">
        <f t="array" ref="D523">IF(AND(A523="2021-01", ISNA(MATCH(B523, _xlfn._xlws.FILTER(B:B, A:A="2021-02"), 0))), "Left", "Ativo")</f>
        <v>Ativo</v>
      </c>
      <c r="E523" s="10" t="str" cm="1">
        <f t="array" ref="E523">IF(AND(A523="2021-02", ISNA(MATCH(B523, _xlfn._xlws.FILTER(B:B, A:A="2021-03"), 0))), "Left", "Ativo")</f>
        <v>Ativo</v>
      </c>
      <c r="F523" s="12" t="str" cm="1">
        <f t="array" ref="F523">IF(AND(A523="2021-03", ISNA(MATCH(B523, _xlfn._xlws.FILTER(B:B, A:A="2021-04"), 0))), "Left", "Ativo")</f>
        <v>Ativo</v>
      </c>
    </row>
    <row r="524" spans="1:6" x14ac:dyDescent="0.25">
      <c r="A524" t="s">
        <v>1528</v>
      </c>
      <c r="B524" t="s">
        <v>523</v>
      </c>
      <c r="C524" s="10" t="str" cm="1">
        <f t="array" ref="C524">IF(AND(A524="2020-12", ISNA(MATCH(B524, _xlfn._xlws.FILTER(B:B, A:A="2021-01"), 0))), "Left", "Ativo")</f>
        <v>Ativo</v>
      </c>
      <c r="D524" s="10" t="str" cm="1">
        <f t="array" ref="D524">IF(AND(A524="2021-01", ISNA(MATCH(B524, _xlfn._xlws.FILTER(B:B, A:A="2021-02"), 0))), "Left", "Ativo")</f>
        <v>Ativo</v>
      </c>
      <c r="E524" s="10" t="str" cm="1">
        <f t="array" ref="E524">IF(AND(A524="2021-02", ISNA(MATCH(B524, _xlfn._xlws.FILTER(B:B, A:A="2021-03"), 0))), "Left", "Ativo")</f>
        <v>Ativo</v>
      </c>
      <c r="F524" s="12" t="str" cm="1">
        <f t="array" ref="F524">IF(AND(A524="2021-03", ISNA(MATCH(B524, _xlfn._xlws.FILTER(B:B, A:A="2021-04"), 0))), "Left", "Ativo")</f>
        <v>Ativo</v>
      </c>
    </row>
    <row r="525" spans="1:6" x14ac:dyDescent="0.25">
      <c r="A525" t="s">
        <v>1528</v>
      </c>
      <c r="B525" t="s">
        <v>524</v>
      </c>
      <c r="C525" s="10" t="str" cm="1">
        <f t="array" ref="C525">IF(AND(A525="2020-12", ISNA(MATCH(B525, _xlfn._xlws.FILTER(B:B, A:A="2021-01"), 0))), "Left", "Ativo")</f>
        <v>Ativo</v>
      </c>
      <c r="D525" s="10" t="str" cm="1">
        <f t="array" ref="D525">IF(AND(A525="2021-01", ISNA(MATCH(B525, _xlfn._xlws.FILTER(B:B, A:A="2021-02"), 0))), "Left", "Ativo")</f>
        <v>Ativo</v>
      </c>
      <c r="E525" s="10" t="str" cm="1">
        <f t="array" ref="E525">IF(AND(A525="2021-02", ISNA(MATCH(B525, _xlfn._xlws.FILTER(B:B, A:A="2021-03"), 0))), "Left", "Ativo")</f>
        <v>Ativo</v>
      </c>
      <c r="F525" s="12" t="str" cm="1">
        <f t="array" ref="F525">IF(AND(A525="2021-03", ISNA(MATCH(B525, _xlfn._xlws.FILTER(B:B, A:A="2021-04"), 0))), "Left", "Ativo")</f>
        <v>Ativo</v>
      </c>
    </row>
    <row r="526" spans="1:6" x14ac:dyDescent="0.25">
      <c r="A526" t="s">
        <v>1528</v>
      </c>
      <c r="B526" t="s">
        <v>525</v>
      </c>
      <c r="C526" s="10" t="str" cm="1">
        <f t="array" ref="C526">IF(AND(A526="2020-12", ISNA(MATCH(B526, _xlfn._xlws.FILTER(B:B, A:A="2021-01"), 0))), "Left", "Ativo")</f>
        <v>Ativo</v>
      </c>
      <c r="D526" s="10" t="str" cm="1">
        <f t="array" ref="D526">IF(AND(A526="2021-01", ISNA(MATCH(B526, _xlfn._xlws.FILTER(B:B, A:A="2021-02"), 0))), "Left", "Ativo")</f>
        <v>Ativo</v>
      </c>
      <c r="E526" s="10" t="str" cm="1">
        <f t="array" ref="E526">IF(AND(A526="2021-02", ISNA(MATCH(B526, _xlfn._xlws.FILTER(B:B, A:A="2021-03"), 0))), "Left", "Ativo")</f>
        <v>Ativo</v>
      </c>
      <c r="F526" s="12" t="str" cm="1">
        <f t="array" ref="F526">IF(AND(A526="2021-03", ISNA(MATCH(B526, _xlfn._xlws.FILTER(B:B, A:A="2021-04"), 0))), "Left", "Ativo")</f>
        <v>Ativo</v>
      </c>
    </row>
    <row r="527" spans="1:6" x14ac:dyDescent="0.25">
      <c r="A527" t="s">
        <v>1528</v>
      </c>
      <c r="B527" t="s">
        <v>526</v>
      </c>
      <c r="C527" s="10" t="str" cm="1">
        <f t="array" ref="C527">IF(AND(A527="2020-12", ISNA(MATCH(B527, _xlfn._xlws.FILTER(B:B, A:A="2021-01"), 0))), "Left", "Ativo")</f>
        <v>Ativo</v>
      </c>
      <c r="D527" s="10" t="str" cm="1">
        <f t="array" ref="D527">IF(AND(A527="2021-01", ISNA(MATCH(B527, _xlfn._xlws.FILTER(B:B, A:A="2021-02"), 0))), "Left", "Ativo")</f>
        <v>Ativo</v>
      </c>
      <c r="E527" s="10" t="str" cm="1">
        <f t="array" ref="E527">IF(AND(A527="2021-02", ISNA(MATCH(B527, _xlfn._xlws.FILTER(B:B, A:A="2021-03"), 0))), "Left", "Ativo")</f>
        <v>Ativo</v>
      </c>
      <c r="F527" s="12" t="str" cm="1">
        <f t="array" ref="F527">IF(AND(A527="2021-03", ISNA(MATCH(B527, _xlfn._xlws.FILTER(B:B, A:A="2021-04"), 0))), "Left", "Ativo")</f>
        <v>Ativo</v>
      </c>
    </row>
    <row r="528" spans="1:6" x14ac:dyDescent="0.25">
      <c r="A528" t="s">
        <v>1528</v>
      </c>
      <c r="B528" t="s">
        <v>527</v>
      </c>
      <c r="C528" s="10" t="str" cm="1">
        <f t="array" ref="C528">IF(AND(A528="2020-12", ISNA(MATCH(B528, _xlfn._xlws.FILTER(B:B, A:A="2021-01"), 0))), "Left", "Ativo")</f>
        <v>Ativo</v>
      </c>
      <c r="D528" s="10" t="str" cm="1">
        <f t="array" ref="D528">IF(AND(A528="2021-01", ISNA(MATCH(B528, _xlfn._xlws.FILTER(B:B, A:A="2021-02"), 0))), "Left", "Ativo")</f>
        <v>Ativo</v>
      </c>
      <c r="E528" s="10" t="str" cm="1">
        <f t="array" ref="E528">IF(AND(A528="2021-02", ISNA(MATCH(B528, _xlfn._xlws.FILTER(B:B, A:A="2021-03"), 0))), "Left", "Ativo")</f>
        <v>Ativo</v>
      </c>
      <c r="F528" s="12" t="str" cm="1">
        <f t="array" ref="F528">IF(AND(A528="2021-03", ISNA(MATCH(B528, _xlfn._xlws.FILTER(B:B, A:A="2021-04"), 0))), "Left", "Ativo")</f>
        <v>Ativo</v>
      </c>
    </row>
    <row r="529" spans="1:6" x14ac:dyDescent="0.25">
      <c r="A529" t="s">
        <v>1528</v>
      </c>
      <c r="B529" t="s">
        <v>528</v>
      </c>
      <c r="C529" s="10" t="str" cm="1">
        <f t="array" ref="C529">IF(AND(A529="2020-12", ISNA(MATCH(B529, _xlfn._xlws.FILTER(B:B, A:A="2021-01"), 0))), "Left", "Ativo")</f>
        <v>Ativo</v>
      </c>
      <c r="D529" s="10" t="str" cm="1">
        <f t="array" ref="D529">IF(AND(A529="2021-01", ISNA(MATCH(B529, _xlfn._xlws.FILTER(B:B, A:A="2021-02"), 0))), "Left", "Ativo")</f>
        <v>Ativo</v>
      </c>
      <c r="E529" s="10" t="str" cm="1">
        <f t="array" ref="E529">IF(AND(A529="2021-02", ISNA(MATCH(B529, _xlfn._xlws.FILTER(B:B, A:A="2021-03"), 0))), "Left", "Ativo")</f>
        <v>Ativo</v>
      </c>
      <c r="F529" s="12" t="str" cm="1">
        <f t="array" ref="F529">IF(AND(A529="2021-03", ISNA(MATCH(B529, _xlfn._xlws.FILTER(B:B, A:A="2021-04"), 0))), "Left", "Ativo")</f>
        <v>Ativo</v>
      </c>
    </row>
    <row r="530" spans="1:6" x14ac:dyDescent="0.25">
      <c r="A530" t="s">
        <v>1528</v>
      </c>
      <c r="B530" t="s">
        <v>529</v>
      </c>
      <c r="C530" s="10" t="str" cm="1">
        <f t="array" ref="C530">IF(AND(A530="2020-12", ISNA(MATCH(B530, _xlfn._xlws.FILTER(B:B, A:A="2021-01"), 0))), "Left", "Ativo")</f>
        <v>Ativo</v>
      </c>
      <c r="D530" s="10" t="str" cm="1">
        <f t="array" ref="D530">IF(AND(A530="2021-01", ISNA(MATCH(B530, _xlfn._xlws.FILTER(B:B, A:A="2021-02"), 0))), "Left", "Ativo")</f>
        <v>Ativo</v>
      </c>
      <c r="E530" s="10" t="str" cm="1">
        <f t="array" ref="E530">IF(AND(A530="2021-02", ISNA(MATCH(B530, _xlfn._xlws.FILTER(B:B, A:A="2021-03"), 0))), "Left", "Ativo")</f>
        <v>Ativo</v>
      </c>
      <c r="F530" s="12" t="str" cm="1">
        <f t="array" ref="F530">IF(AND(A530="2021-03", ISNA(MATCH(B530, _xlfn._xlws.FILTER(B:B, A:A="2021-04"), 0))), "Left", "Ativo")</f>
        <v>Ativo</v>
      </c>
    </row>
    <row r="531" spans="1:6" x14ac:dyDescent="0.25">
      <c r="A531" t="s">
        <v>1528</v>
      </c>
      <c r="B531" t="s">
        <v>530</v>
      </c>
      <c r="C531" s="10" t="str" cm="1">
        <f t="array" ref="C531">IF(AND(A531="2020-12", ISNA(MATCH(B531, _xlfn._xlws.FILTER(B:B, A:A="2021-01"), 0))), "Left", "Ativo")</f>
        <v>Ativo</v>
      </c>
      <c r="D531" s="10" t="str" cm="1">
        <f t="array" ref="D531">IF(AND(A531="2021-01", ISNA(MATCH(B531, _xlfn._xlws.FILTER(B:B, A:A="2021-02"), 0))), "Left", "Ativo")</f>
        <v>Ativo</v>
      </c>
      <c r="E531" s="10" t="str" cm="1">
        <f t="array" ref="E531">IF(AND(A531="2021-02", ISNA(MATCH(B531, _xlfn._xlws.FILTER(B:B, A:A="2021-03"), 0))), "Left", "Ativo")</f>
        <v>Ativo</v>
      </c>
      <c r="F531" s="12" t="str" cm="1">
        <f t="array" ref="F531">IF(AND(A531="2021-03", ISNA(MATCH(B531, _xlfn._xlws.FILTER(B:B, A:A="2021-04"), 0))), "Left", "Ativo")</f>
        <v>Ativo</v>
      </c>
    </row>
    <row r="532" spans="1:6" x14ac:dyDescent="0.25">
      <c r="A532" t="s">
        <v>1528</v>
      </c>
      <c r="B532" t="s">
        <v>531</v>
      </c>
      <c r="C532" s="10" t="str" cm="1">
        <f t="array" ref="C532">IF(AND(A532="2020-12", ISNA(MATCH(B532, _xlfn._xlws.FILTER(B:B, A:A="2021-01"), 0))), "Left", "Ativo")</f>
        <v>Ativo</v>
      </c>
      <c r="D532" s="10" t="str" cm="1">
        <f t="array" ref="D532">IF(AND(A532="2021-01", ISNA(MATCH(B532, _xlfn._xlws.FILTER(B:B, A:A="2021-02"), 0))), "Left", "Ativo")</f>
        <v>Ativo</v>
      </c>
      <c r="E532" s="10" t="str" cm="1">
        <f t="array" ref="E532">IF(AND(A532="2021-02", ISNA(MATCH(B532, _xlfn._xlws.FILTER(B:B, A:A="2021-03"), 0))), "Left", "Ativo")</f>
        <v>Ativo</v>
      </c>
      <c r="F532" s="12" t="str" cm="1">
        <f t="array" ref="F532">IF(AND(A532="2021-03", ISNA(MATCH(B532, _xlfn._xlws.FILTER(B:B, A:A="2021-04"), 0))), "Left", "Ativo")</f>
        <v>Ativo</v>
      </c>
    </row>
    <row r="533" spans="1:6" x14ac:dyDescent="0.25">
      <c r="A533" t="s">
        <v>1528</v>
      </c>
      <c r="B533" t="s">
        <v>532</v>
      </c>
      <c r="C533" s="10" t="str" cm="1">
        <f t="array" ref="C533">IF(AND(A533="2020-12", ISNA(MATCH(B533, _xlfn._xlws.FILTER(B:B, A:A="2021-01"), 0))), "Left", "Ativo")</f>
        <v>Ativo</v>
      </c>
      <c r="D533" s="10" t="str" cm="1">
        <f t="array" ref="D533">IF(AND(A533="2021-01", ISNA(MATCH(B533, _xlfn._xlws.FILTER(B:B, A:A="2021-02"), 0))), "Left", "Ativo")</f>
        <v>Ativo</v>
      </c>
      <c r="E533" s="10" t="str" cm="1">
        <f t="array" ref="E533">IF(AND(A533="2021-02", ISNA(MATCH(B533, _xlfn._xlws.FILTER(B:B, A:A="2021-03"), 0))), "Left", "Ativo")</f>
        <v>Ativo</v>
      </c>
      <c r="F533" s="12" t="str" cm="1">
        <f t="array" ref="F533">IF(AND(A533="2021-03", ISNA(MATCH(B533, _xlfn._xlws.FILTER(B:B, A:A="2021-04"), 0))), "Left", "Ativo")</f>
        <v>Ativo</v>
      </c>
    </row>
    <row r="534" spans="1:6" x14ac:dyDescent="0.25">
      <c r="A534" t="s">
        <v>1528</v>
      </c>
      <c r="B534" t="s">
        <v>533</v>
      </c>
      <c r="C534" s="10" t="str" cm="1">
        <f t="array" ref="C534">IF(AND(A534="2020-12", ISNA(MATCH(B534, _xlfn._xlws.FILTER(B:B, A:A="2021-01"), 0))), "Left", "Ativo")</f>
        <v>Ativo</v>
      </c>
      <c r="D534" s="10" t="str" cm="1">
        <f t="array" ref="D534">IF(AND(A534="2021-01", ISNA(MATCH(B534, _xlfn._xlws.FILTER(B:B, A:A="2021-02"), 0))), "Left", "Ativo")</f>
        <v>Ativo</v>
      </c>
      <c r="E534" s="10" t="str" cm="1">
        <f t="array" ref="E534">IF(AND(A534="2021-02", ISNA(MATCH(B534, _xlfn._xlws.FILTER(B:B, A:A="2021-03"), 0))), "Left", "Ativo")</f>
        <v>Ativo</v>
      </c>
      <c r="F534" s="12" t="str" cm="1">
        <f t="array" ref="F534">IF(AND(A534="2021-03", ISNA(MATCH(B534, _xlfn._xlws.FILTER(B:B, A:A="2021-04"), 0))), "Left", "Ativo")</f>
        <v>Ativo</v>
      </c>
    </row>
    <row r="535" spans="1:6" x14ac:dyDescent="0.25">
      <c r="A535" t="s">
        <v>1528</v>
      </c>
      <c r="B535" t="s">
        <v>534</v>
      </c>
      <c r="C535" s="10" t="str" cm="1">
        <f t="array" ref="C535">IF(AND(A535="2020-12", ISNA(MATCH(B535, _xlfn._xlws.FILTER(B:B, A:A="2021-01"), 0))), "Left", "Ativo")</f>
        <v>Ativo</v>
      </c>
      <c r="D535" s="10" t="str" cm="1">
        <f t="array" ref="D535">IF(AND(A535="2021-01", ISNA(MATCH(B535, _xlfn._xlws.FILTER(B:B, A:A="2021-02"), 0))), "Left", "Ativo")</f>
        <v>Ativo</v>
      </c>
      <c r="E535" s="10" t="str" cm="1">
        <f t="array" ref="E535">IF(AND(A535="2021-02", ISNA(MATCH(B535, _xlfn._xlws.FILTER(B:B, A:A="2021-03"), 0))), "Left", "Ativo")</f>
        <v>Ativo</v>
      </c>
      <c r="F535" s="12" t="str" cm="1">
        <f t="array" ref="F535">IF(AND(A535="2021-03", ISNA(MATCH(B535, _xlfn._xlws.FILTER(B:B, A:A="2021-04"), 0))), "Left", "Ativo")</f>
        <v>Ativo</v>
      </c>
    </row>
    <row r="536" spans="1:6" x14ac:dyDescent="0.25">
      <c r="A536" t="s">
        <v>1528</v>
      </c>
      <c r="B536" t="s">
        <v>535</v>
      </c>
      <c r="C536" s="10" t="str" cm="1">
        <f t="array" ref="C536">IF(AND(A536="2020-12", ISNA(MATCH(B536, _xlfn._xlws.FILTER(B:B, A:A="2021-01"), 0))), "Left", "Ativo")</f>
        <v>Ativo</v>
      </c>
      <c r="D536" s="10" t="str" cm="1">
        <f t="array" ref="D536">IF(AND(A536="2021-01", ISNA(MATCH(B536, _xlfn._xlws.FILTER(B:B, A:A="2021-02"), 0))), "Left", "Ativo")</f>
        <v>Ativo</v>
      </c>
      <c r="E536" s="10" t="str" cm="1">
        <f t="array" ref="E536">IF(AND(A536="2021-02", ISNA(MATCH(B536, _xlfn._xlws.FILTER(B:B, A:A="2021-03"), 0))), "Left", "Ativo")</f>
        <v>Ativo</v>
      </c>
      <c r="F536" s="12" t="str" cm="1">
        <f t="array" ref="F536">IF(AND(A536="2021-03", ISNA(MATCH(B536, _xlfn._xlws.FILTER(B:B, A:A="2021-04"), 0))), "Left", "Ativo")</f>
        <v>Ativo</v>
      </c>
    </row>
    <row r="537" spans="1:6" x14ac:dyDescent="0.25">
      <c r="A537" t="s">
        <v>1528</v>
      </c>
      <c r="B537" t="s">
        <v>536</v>
      </c>
      <c r="C537" s="10" t="str" cm="1">
        <f t="array" ref="C537">IF(AND(A537="2020-12", ISNA(MATCH(B537, _xlfn._xlws.FILTER(B:B, A:A="2021-01"), 0))), "Left", "Ativo")</f>
        <v>Ativo</v>
      </c>
      <c r="D537" s="10" t="str" cm="1">
        <f t="array" ref="D537">IF(AND(A537="2021-01", ISNA(MATCH(B537, _xlfn._xlws.FILTER(B:B, A:A="2021-02"), 0))), "Left", "Ativo")</f>
        <v>Ativo</v>
      </c>
      <c r="E537" s="10" t="str" cm="1">
        <f t="array" ref="E537">IF(AND(A537="2021-02", ISNA(MATCH(B537, _xlfn._xlws.FILTER(B:B, A:A="2021-03"), 0))), "Left", "Ativo")</f>
        <v>Ativo</v>
      </c>
      <c r="F537" s="12" t="str" cm="1">
        <f t="array" ref="F537">IF(AND(A537="2021-03", ISNA(MATCH(B537, _xlfn._xlws.FILTER(B:B, A:A="2021-04"), 0))), "Left", "Ativo")</f>
        <v>Ativo</v>
      </c>
    </row>
    <row r="538" spans="1:6" x14ac:dyDescent="0.25">
      <c r="A538" t="s">
        <v>1528</v>
      </c>
      <c r="B538" t="s">
        <v>537</v>
      </c>
      <c r="C538" s="10" t="str" cm="1">
        <f t="array" ref="C538">IF(AND(A538="2020-12", ISNA(MATCH(B538, _xlfn._xlws.FILTER(B:B, A:A="2021-01"), 0))), "Left", "Ativo")</f>
        <v>Ativo</v>
      </c>
      <c r="D538" s="10" t="str" cm="1">
        <f t="array" ref="D538">IF(AND(A538="2021-01", ISNA(MATCH(B538, _xlfn._xlws.FILTER(B:B, A:A="2021-02"), 0))), "Left", "Ativo")</f>
        <v>Ativo</v>
      </c>
      <c r="E538" s="10" t="str" cm="1">
        <f t="array" ref="E538">IF(AND(A538="2021-02", ISNA(MATCH(B538, _xlfn._xlws.FILTER(B:B, A:A="2021-03"), 0))), "Left", "Ativo")</f>
        <v>Ativo</v>
      </c>
      <c r="F538" s="12" t="str" cm="1">
        <f t="array" ref="F538">IF(AND(A538="2021-03", ISNA(MATCH(B538, _xlfn._xlws.FILTER(B:B, A:A="2021-04"), 0))), "Left", "Ativo")</f>
        <v>Ativo</v>
      </c>
    </row>
    <row r="539" spans="1:6" x14ac:dyDescent="0.25">
      <c r="A539" t="s">
        <v>1528</v>
      </c>
      <c r="B539" t="s">
        <v>538</v>
      </c>
      <c r="C539" s="10" t="str" cm="1">
        <f t="array" ref="C539">IF(AND(A539="2020-12", ISNA(MATCH(B539, _xlfn._xlws.FILTER(B:B, A:A="2021-01"), 0))), "Left", "Ativo")</f>
        <v>Ativo</v>
      </c>
      <c r="D539" s="10" t="str" cm="1">
        <f t="array" ref="D539">IF(AND(A539="2021-01", ISNA(MATCH(B539, _xlfn._xlws.FILTER(B:B, A:A="2021-02"), 0))), "Left", "Ativo")</f>
        <v>Ativo</v>
      </c>
      <c r="E539" s="10" t="str" cm="1">
        <f t="array" ref="E539">IF(AND(A539="2021-02", ISNA(MATCH(B539, _xlfn._xlws.FILTER(B:B, A:A="2021-03"), 0))), "Left", "Ativo")</f>
        <v>Ativo</v>
      </c>
      <c r="F539" s="12" t="str" cm="1">
        <f t="array" ref="F539">IF(AND(A539="2021-03", ISNA(MATCH(B539, _xlfn._xlws.FILTER(B:B, A:A="2021-04"), 0))), "Left", "Ativo")</f>
        <v>Ativo</v>
      </c>
    </row>
    <row r="540" spans="1:6" x14ac:dyDescent="0.25">
      <c r="A540" t="s">
        <v>1528</v>
      </c>
      <c r="B540" t="s">
        <v>539</v>
      </c>
      <c r="C540" s="10" t="str" cm="1">
        <f t="array" ref="C540">IF(AND(A540="2020-12", ISNA(MATCH(B540, _xlfn._xlws.FILTER(B:B, A:A="2021-01"), 0))), "Left", "Ativo")</f>
        <v>Ativo</v>
      </c>
      <c r="D540" s="10" t="str" cm="1">
        <f t="array" ref="D540">IF(AND(A540="2021-01", ISNA(MATCH(B540, _xlfn._xlws.FILTER(B:B, A:A="2021-02"), 0))), "Left", "Ativo")</f>
        <v>Ativo</v>
      </c>
      <c r="E540" s="10" t="str" cm="1">
        <f t="array" ref="E540">IF(AND(A540="2021-02", ISNA(MATCH(B540, _xlfn._xlws.FILTER(B:B, A:A="2021-03"), 0))), "Left", "Ativo")</f>
        <v>Ativo</v>
      </c>
      <c r="F540" s="12" t="str" cm="1">
        <f t="array" ref="F540">IF(AND(A540="2021-03", ISNA(MATCH(B540, _xlfn._xlws.FILTER(B:B, A:A="2021-04"), 0))), "Left", "Ativo")</f>
        <v>Ativo</v>
      </c>
    </row>
    <row r="541" spans="1:6" x14ac:dyDescent="0.25">
      <c r="A541" t="s">
        <v>1528</v>
      </c>
      <c r="B541" t="s">
        <v>540</v>
      </c>
      <c r="C541" s="10" t="str" cm="1">
        <f t="array" ref="C541">IF(AND(A541="2020-12", ISNA(MATCH(B541, _xlfn._xlws.FILTER(B:B, A:A="2021-01"), 0))), "Left", "Ativo")</f>
        <v>Ativo</v>
      </c>
      <c r="D541" s="10" t="str" cm="1">
        <f t="array" ref="D541">IF(AND(A541="2021-01", ISNA(MATCH(B541, _xlfn._xlws.FILTER(B:B, A:A="2021-02"), 0))), "Left", "Ativo")</f>
        <v>Ativo</v>
      </c>
      <c r="E541" s="10" t="str" cm="1">
        <f t="array" ref="E541">IF(AND(A541="2021-02", ISNA(MATCH(B541, _xlfn._xlws.FILTER(B:B, A:A="2021-03"), 0))), "Left", "Ativo")</f>
        <v>Ativo</v>
      </c>
      <c r="F541" s="12" t="str" cm="1">
        <f t="array" ref="F541">IF(AND(A541="2021-03", ISNA(MATCH(B541, _xlfn._xlws.FILTER(B:B, A:A="2021-04"), 0))), "Left", "Ativo")</f>
        <v>Ativo</v>
      </c>
    </row>
    <row r="542" spans="1:6" x14ac:dyDescent="0.25">
      <c r="A542" t="s">
        <v>1528</v>
      </c>
      <c r="B542" t="s">
        <v>541</v>
      </c>
      <c r="C542" s="10" t="str" cm="1">
        <f t="array" ref="C542">IF(AND(A542="2020-12", ISNA(MATCH(B542, _xlfn._xlws.FILTER(B:B, A:A="2021-01"), 0))), "Left", "Ativo")</f>
        <v>Ativo</v>
      </c>
      <c r="D542" s="10" t="str" cm="1">
        <f t="array" ref="D542">IF(AND(A542="2021-01", ISNA(MATCH(B542, _xlfn._xlws.FILTER(B:B, A:A="2021-02"), 0))), "Left", "Ativo")</f>
        <v>Ativo</v>
      </c>
      <c r="E542" s="10" t="str" cm="1">
        <f t="array" ref="E542">IF(AND(A542="2021-02", ISNA(MATCH(B542, _xlfn._xlws.FILTER(B:B, A:A="2021-03"), 0))), "Left", "Ativo")</f>
        <v>Ativo</v>
      </c>
      <c r="F542" s="12" t="str" cm="1">
        <f t="array" ref="F542">IF(AND(A542="2021-03", ISNA(MATCH(B542, _xlfn._xlws.FILTER(B:B, A:A="2021-04"), 0))), "Left", "Ativo")</f>
        <v>Ativo</v>
      </c>
    </row>
    <row r="543" spans="1:6" x14ac:dyDescent="0.25">
      <c r="A543" t="s">
        <v>1528</v>
      </c>
      <c r="B543" t="s">
        <v>542</v>
      </c>
      <c r="C543" s="10" t="str" cm="1">
        <f t="array" ref="C543">IF(AND(A543="2020-12", ISNA(MATCH(B543, _xlfn._xlws.FILTER(B:B, A:A="2021-01"), 0))), "Left", "Ativo")</f>
        <v>Ativo</v>
      </c>
      <c r="D543" s="10" t="str" cm="1">
        <f t="array" ref="D543">IF(AND(A543="2021-01", ISNA(MATCH(B543, _xlfn._xlws.FILTER(B:B, A:A="2021-02"), 0))), "Left", "Ativo")</f>
        <v>Ativo</v>
      </c>
      <c r="E543" s="10" t="str" cm="1">
        <f t="array" ref="E543">IF(AND(A543="2021-02", ISNA(MATCH(B543, _xlfn._xlws.FILTER(B:B, A:A="2021-03"), 0))), "Left", "Ativo")</f>
        <v>Ativo</v>
      </c>
      <c r="F543" s="12" t="str" cm="1">
        <f t="array" ref="F543">IF(AND(A543="2021-03", ISNA(MATCH(B543, _xlfn._xlws.FILTER(B:B, A:A="2021-04"), 0))), "Left", "Ativo")</f>
        <v>Ativo</v>
      </c>
    </row>
    <row r="544" spans="1:6" x14ac:dyDescent="0.25">
      <c r="A544" t="s">
        <v>1528</v>
      </c>
      <c r="B544" t="s">
        <v>543</v>
      </c>
      <c r="C544" s="10" t="str" cm="1">
        <f t="array" ref="C544">IF(AND(A544="2020-12", ISNA(MATCH(B544, _xlfn._xlws.FILTER(B:B, A:A="2021-01"), 0))), "Left", "Ativo")</f>
        <v>Ativo</v>
      </c>
      <c r="D544" s="10" t="str" cm="1">
        <f t="array" ref="D544">IF(AND(A544="2021-01", ISNA(MATCH(B544, _xlfn._xlws.FILTER(B:B, A:A="2021-02"), 0))), "Left", "Ativo")</f>
        <v>Ativo</v>
      </c>
      <c r="E544" s="10" t="str" cm="1">
        <f t="array" ref="E544">IF(AND(A544="2021-02", ISNA(MATCH(B544, _xlfn._xlws.FILTER(B:B, A:A="2021-03"), 0))), "Left", "Ativo")</f>
        <v>Ativo</v>
      </c>
      <c r="F544" s="12" t="str" cm="1">
        <f t="array" ref="F544">IF(AND(A544="2021-03", ISNA(MATCH(B544, _xlfn._xlws.FILTER(B:B, A:A="2021-04"), 0))), "Left", "Ativo")</f>
        <v>Ativo</v>
      </c>
    </row>
    <row r="545" spans="1:6" x14ac:dyDescent="0.25">
      <c r="A545" t="s">
        <v>1528</v>
      </c>
      <c r="B545" t="s">
        <v>544</v>
      </c>
      <c r="C545" s="10" t="str" cm="1">
        <f t="array" ref="C545">IF(AND(A545="2020-12", ISNA(MATCH(B545, _xlfn._xlws.FILTER(B:B, A:A="2021-01"), 0))), "Left", "Ativo")</f>
        <v>Ativo</v>
      </c>
      <c r="D545" s="10" t="str" cm="1">
        <f t="array" ref="D545">IF(AND(A545="2021-01", ISNA(MATCH(B545, _xlfn._xlws.FILTER(B:B, A:A="2021-02"), 0))), "Left", "Ativo")</f>
        <v>Ativo</v>
      </c>
      <c r="E545" s="10" t="str" cm="1">
        <f t="array" ref="E545">IF(AND(A545="2021-02", ISNA(MATCH(B545, _xlfn._xlws.FILTER(B:B, A:A="2021-03"), 0))), "Left", "Ativo")</f>
        <v>Ativo</v>
      </c>
      <c r="F545" s="12" t="str" cm="1">
        <f t="array" ref="F545">IF(AND(A545="2021-03", ISNA(MATCH(B545, _xlfn._xlws.FILTER(B:B, A:A="2021-04"), 0))), "Left", "Ativo")</f>
        <v>Ativo</v>
      </c>
    </row>
    <row r="546" spans="1:6" x14ac:dyDescent="0.25">
      <c r="A546" t="s">
        <v>1528</v>
      </c>
      <c r="B546" t="s">
        <v>545</v>
      </c>
      <c r="C546" s="10" t="str" cm="1">
        <f t="array" ref="C546">IF(AND(A546="2020-12", ISNA(MATCH(B546, _xlfn._xlws.FILTER(B:B, A:A="2021-01"), 0))), "Left", "Ativo")</f>
        <v>Ativo</v>
      </c>
      <c r="D546" s="10" t="str" cm="1">
        <f t="array" ref="D546">IF(AND(A546="2021-01", ISNA(MATCH(B546, _xlfn._xlws.FILTER(B:B, A:A="2021-02"), 0))), "Left", "Ativo")</f>
        <v>Ativo</v>
      </c>
      <c r="E546" s="10" t="str" cm="1">
        <f t="array" ref="E546">IF(AND(A546="2021-02", ISNA(MATCH(B546, _xlfn._xlws.FILTER(B:B, A:A="2021-03"), 0))), "Left", "Ativo")</f>
        <v>Ativo</v>
      </c>
      <c r="F546" s="12" t="str" cm="1">
        <f t="array" ref="F546">IF(AND(A546="2021-03", ISNA(MATCH(B546, _xlfn._xlws.FILTER(B:B, A:A="2021-04"), 0))), "Left", "Ativo")</f>
        <v>Ativo</v>
      </c>
    </row>
    <row r="547" spans="1:6" x14ac:dyDescent="0.25">
      <c r="A547" t="s">
        <v>1528</v>
      </c>
      <c r="B547" t="s">
        <v>546</v>
      </c>
      <c r="C547" s="10" t="str" cm="1">
        <f t="array" ref="C547">IF(AND(A547="2020-12", ISNA(MATCH(B547, _xlfn._xlws.FILTER(B:B, A:A="2021-01"), 0))), "Left", "Ativo")</f>
        <v>Ativo</v>
      </c>
      <c r="D547" s="10" t="str" cm="1">
        <f t="array" ref="D547">IF(AND(A547="2021-01", ISNA(MATCH(B547, _xlfn._xlws.FILTER(B:B, A:A="2021-02"), 0))), "Left", "Ativo")</f>
        <v>Ativo</v>
      </c>
      <c r="E547" s="10" t="str" cm="1">
        <f t="array" ref="E547">IF(AND(A547="2021-02", ISNA(MATCH(B547, _xlfn._xlws.FILTER(B:B, A:A="2021-03"), 0))), "Left", "Ativo")</f>
        <v>Ativo</v>
      </c>
      <c r="F547" s="12" t="str" cm="1">
        <f t="array" ref="F547">IF(AND(A547="2021-03", ISNA(MATCH(B547, _xlfn._xlws.FILTER(B:B, A:A="2021-04"), 0))), "Left", "Ativo")</f>
        <v>Ativo</v>
      </c>
    </row>
    <row r="548" spans="1:6" x14ac:dyDescent="0.25">
      <c r="A548" t="s">
        <v>1528</v>
      </c>
      <c r="B548" t="s">
        <v>547</v>
      </c>
      <c r="C548" s="10" t="str" cm="1">
        <f t="array" ref="C548">IF(AND(A548="2020-12", ISNA(MATCH(B548, _xlfn._xlws.FILTER(B:B, A:A="2021-01"), 0))), "Left", "Ativo")</f>
        <v>Ativo</v>
      </c>
      <c r="D548" s="10" t="str" cm="1">
        <f t="array" ref="D548">IF(AND(A548="2021-01", ISNA(MATCH(B548, _xlfn._xlws.FILTER(B:B, A:A="2021-02"), 0))), "Left", "Ativo")</f>
        <v>Ativo</v>
      </c>
      <c r="E548" s="10" t="str" cm="1">
        <f t="array" ref="E548">IF(AND(A548="2021-02", ISNA(MATCH(B548, _xlfn._xlws.FILTER(B:B, A:A="2021-03"), 0))), "Left", "Ativo")</f>
        <v>Ativo</v>
      </c>
      <c r="F548" s="12" t="str" cm="1">
        <f t="array" ref="F548">IF(AND(A548="2021-03", ISNA(MATCH(B548, _xlfn._xlws.FILTER(B:B, A:A="2021-04"), 0))), "Left", "Ativo")</f>
        <v>Ativo</v>
      </c>
    </row>
    <row r="549" spans="1:6" x14ac:dyDescent="0.25">
      <c r="A549" t="s">
        <v>1528</v>
      </c>
      <c r="B549" t="s">
        <v>548</v>
      </c>
      <c r="C549" s="10" t="str" cm="1">
        <f t="array" ref="C549">IF(AND(A549="2020-12", ISNA(MATCH(B549, _xlfn._xlws.FILTER(B:B, A:A="2021-01"), 0))), "Left", "Ativo")</f>
        <v>Ativo</v>
      </c>
      <c r="D549" s="10" t="str" cm="1">
        <f t="array" ref="D549">IF(AND(A549="2021-01", ISNA(MATCH(B549, _xlfn._xlws.FILTER(B:B, A:A="2021-02"), 0))), "Left", "Ativo")</f>
        <v>Ativo</v>
      </c>
      <c r="E549" s="10" t="str" cm="1">
        <f t="array" ref="E549">IF(AND(A549="2021-02", ISNA(MATCH(B549, _xlfn._xlws.FILTER(B:B, A:A="2021-03"), 0))), "Left", "Ativo")</f>
        <v>Ativo</v>
      </c>
      <c r="F549" s="12" t="str" cm="1">
        <f t="array" ref="F549">IF(AND(A549="2021-03", ISNA(MATCH(B549, _xlfn._xlws.FILTER(B:B, A:A="2021-04"), 0))), "Left", "Ativo")</f>
        <v>Ativo</v>
      </c>
    </row>
    <row r="550" spans="1:6" x14ac:dyDescent="0.25">
      <c r="A550" t="s">
        <v>1528</v>
      </c>
      <c r="B550" t="s">
        <v>549</v>
      </c>
      <c r="C550" s="10" t="str" cm="1">
        <f t="array" ref="C550">IF(AND(A550="2020-12", ISNA(MATCH(B550, _xlfn._xlws.FILTER(B:B, A:A="2021-01"), 0))), "Left", "Ativo")</f>
        <v>Ativo</v>
      </c>
      <c r="D550" s="10" t="str" cm="1">
        <f t="array" ref="D550">IF(AND(A550="2021-01", ISNA(MATCH(B550, _xlfn._xlws.FILTER(B:B, A:A="2021-02"), 0))), "Left", "Ativo")</f>
        <v>Ativo</v>
      </c>
      <c r="E550" s="10" t="str" cm="1">
        <f t="array" ref="E550">IF(AND(A550="2021-02", ISNA(MATCH(B550, _xlfn._xlws.FILTER(B:B, A:A="2021-03"), 0))), "Left", "Ativo")</f>
        <v>Ativo</v>
      </c>
      <c r="F550" s="12" t="str" cm="1">
        <f t="array" ref="F550">IF(AND(A550="2021-03", ISNA(MATCH(B550, _xlfn._xlws.FILTER(B:B, A:A="2021-04"), 0))), "Left", "Ativo")</f>
        <v>Ativo</v>
      </c>
    </row>
    <row r="551" spans="1:6" x14ac:dyDescent="0.25">
      <c r="A551" t="s">
        <v>1528</v>
      </c>
      <c r="B551" t="s">
        <v>550</v>
      </c>
      <c r="C551" s="10" t="str" cm="1">
        <f t="array" ref="C551">IF(AND(A551="2020-12", ISNA(MATCH(B551, _xlfn._xlws.FILTER(B:B, A:A="2021-01"), 0))), "Left", "Ativo")</f>
        <v>Ativo</v>
      </c>
      <c r="D551" s="10" t="str" cm="1">
        <f t="array" ref="D551">IF(AND(A551="2021-01", ISNA(MATCH(B551, _xlfn._xlws.FILTER(B:B, A:A="2021-02"), 0))), "Left", "Ativo")</f>
        <v>Ativo</v>
      </c>
      <c r="E551" s="10" t="str" cm="1">
        <f t="array" ref="E551">IF(AND(A551="2021-02", ISNA(MATCH(B551, _xlfn._xlws.FILTER(B:B, A:A="2021-03"), 0))), "Left", "Ativo")</f>
        <v>Ativo</v>
      </c>
      <c r="F551" s="12" t="str" cm="1">
        <f t="array" ref="F551">IF(AND(A551="2021-03", ISNA(MATCH(B551, _xlfn._xlws.FILTER(B:B, A:A="2021-04"), 0))), "Left", "Ativo")</f>
        <v>Ativo</v>
      </c>
    </row>
    <row r="552" spans="1:6" x14ac:dyDescent="0.25">
      <c r="A552" t="s">
        <v>1528</v>
      </c>
      <c r="B552" t="s">
        <v>551</v>
      </c>
      <c r="C552" s="10" t="str" cm="1">
        <f t="array" ref="C552">IF(AND(A552="2020-12", ISNA(MATCH(B552, _xlfn._xlws.FILTER(B:B, A:A="2021-01"), 0))), "Left", "Ativo")</f>
        <v>Ativo</v>
      </c>
      <c r="D552" s="10" t="str" cm="1">
        <f t="array" ref="D552">IF(AND(A552="2021-01", ISNA(MATCH(B552, _xlfn._xlws.FILTER(B:B, A:A="2021-02"), 0))), "Left", "Ativo")</f>
        <v>Ativo</v>
      </c>
      <c r="E552" s="10" t="str" cm="1">
        <f t="array" ref="E552">IF(AND(A552="2021-02", ISNA(MATCH(B552, _xlfn._xlws.FILTER(B:B, A:A="2021-03"), 0))), "Left", "Ativo")</f>
        <v>Ativo</v>
      </c>
      <c r="F552" s="12" t="str" cm="1">
        <f t="array" ref="F552">IF(AND(A552="2021-03", ISNA(MATCH(B552, _xlfn._xlws.FILTER(B:B, A:A="2021-04"), 0))), "Left", "Ativo")</f>
        <v>Ativo</v>
      </c>
    </row>
    <row r="553" spans="1:6" x14ac:dyDescent="0.25">
      <c r="A553" t="s">
        <v>1528</v>
      </c>
      <c r="B553" t="s">
        <v>552</v>
      </c>
      <c r="C553" s="10" t="str" cm="1">
        <f t="array" ref="C553">IF(AND(A553="2020-12", ISNA(MATCH(B553, _xlfn._xlws.FILTER(B:B, A:A="2021-01"), 0))), "Left", "Ativo")</f>
        <v>Ativo</v>
      </c>
      <c r="D553" s="10" t="str" cm="1">
        <f t="array" ref="D553">IF(AND(A553="2021-01", ISNA(MATCH(B553, _xlfn._xlws.FILTER(B:B, A:A="2021-02"), 0))), "Left", "Ativo")</f>
        <v>Ativo</v>
      </c>
      <c r="E553" s="10" t="str" cm="1">
        <f t="array" ref="E553">IF(AND(A553="2021-02", ISNA(MATCH(B553, _xlfn._xlws.FILTER(B:B, A:A="2021-03"), 0))), "Left", "Ativo")</f>
        <v>Ativo</v>
      </c>
      <c r="F553" s="12" t="str" cm="1">
        <f t="array" ref="F553">IF(AND(A553="2021-03", ISNA(MATCH(B553, _xlfn._xlws.FILTER(B:B, A:A="2021-04"), 0))), "Left", "Ativo")</f>
        <v>Ativo</v>
      </c>
    </row>
    <row r="554" spans="1:6" x14ac:dyDescent="0.25">
      <c r="A554" t="s">
        <v>1528</v>
      </c>
      <c r="B554" t="s">
        <v>553</v>
      </c>
      <c r="C554" s="10" t="str" cm="1">
        <f t="array" ref="C554">IF(AND(A554="2020-12", ISNA(MATCH(B554, _xlfn._xlws.FILTER(B:B, A:A="2021-01"), 0))), "Left", "Ativo")</f>
        <v>Ativo</v>
      </c>
      <c r="D554" s="10" t="str" cm="1">
        <f t="array" ref="D554">IF(AND(A554="2021-01", ISNA(MATCH(B554, _xlfn._xlws.FILTER(B:B, A:A="2021-02"), 0))), "Left", "Ativo")</f>
        <v>Ativo</v>
      </c>
      <c r="E554" s="10" t="str" cm="1">
        <f t="array" ref="E554">IF(AND(A554="2021-02", ISNA(MATCH(B554, _xlfn._xlws.FILTER(B:B, A:A="2021-03"), 0))), "Left", "Ativo")</f>
        <v>Ativo</v>
      </c>
      <c r="F554" s="12" t="str" cm="1">
        <f t="array" ref="F554">IF(AND(A554="2021-03", ISNA(MATCH(B554, _xlfn._xlws.FILTER(B:B, A:A="2021-04"), 0))), "Left", "Ativo")</f>
        <v>Ativo</v>
      </c>
    </row>
    <row r="555" spans="1:6" x14ac:dyDescent="0.25">
      <c r="A555" t="s">
        <v>1528</v>
      </c>
      <c r="B555" t="s">
        <v>554</v>
      </c>
      <c r="C555" s="10" t="str" cm="1">
        <f t="array" ref="C555">IF(AND(A555="2020-12", ISNA(MATCH(B555, _xlfn._xlws.FILTER(B:B, A:A="2021-01"), 0))), "Left", "Ativo")</f>
        <v>Ativo</v>
      </c>
      <c r="D555" s="10" t="str" cm="1">
        <f t="array" ref="D555">IF(AND(A555="2021-01", ISNA(MATCH(B555, _xlfn._xlws.FILTER(B:B, A:A="2021-02"), 0))), "Left", "Ativo")</f>
        <v>Ativo</v>
      </c>
      <c r="E555" s="10" t="str" cm="1">
        <f t="array" ref="E555">IF(AND(A555="2021-02", ISNA(MATCH(B555, _xlfn._xlws.FILTER(B:B, A:A="2021-03"), 0))), "Left", "Ativo")</f>
        <v>Ativo</v>
      </c>
      <c r="F555" s="12" t="str" cm="1">
        <f t="array" ref="F555">IF(AND(A555="2021-03", ISNA(MATCH(B555, _xlfn._xlws.FILTER(B:B, A:A="2021-04"), 0))), "Left", "Ativo")</f>
        <v>Ativo</v>
      </c>
    </row>
    <row r="556" spans="1:6" x14ac:dyDescent="0.25">
      <c r="A556" t="s">
        <v>1528</v>
      </c>
      <c r="B556" t="s">
        <v>555</v>
      </c>
      <c r="C556" s="10" t="str" cm="1">
        <f t="array" ref="C556">IF(AND(A556="2020-12", ISNA(MATCH(B556, _xlfn._xlws.FILTER(B:B, A:A="2021-01"), 0))), "Left", "Ativo")</f>
        <v>Ativo</v>
      </c>
      <c r="D556" s="10" t="str" cm="1">
        <f t="array" ref="D556">IF(AND(A556="2021-01", ISNA(MATCH(B556, _xlfn._xlws.FILTER(B:B, A:A="2021-02"), 0))), "Left", "Ativo")</f>
        <v>Ativo</v>
      </c>
      <c r="E556" s="10" t="str" cm="1">
        <f t="array" ref="E556">IF(AND(A556="2021-02", ISNA(MATCH(B556, _xlfn._xlws.FILTER(B:B, A:A="2021-03"), 0))), "Left", "Ativo")</f>
        <v>Ativo</v>
      </c>
      <c r="F556" s="12" t="str" cm="1">
        <f t="array" ref="F556">IF(AND(A556="2021-03", ISNA(MATCH(B556, _xlfn._xlws.FILTER(B:B, A:A="2021-04"), 0))), "Left", "Ativo")</f>
        <v>Ativo</v>
      </c>
    </row>
    <row r="557" spans="1:6" x14ac:dyDescent="0.25">
      <c r="A557" t="s">
        <v>1528</v>
      </c>
      <c r="B557" t="s">
        <v>556</v>
      </c>
      <c r="C557" s="10" t="str" cm="1">
        <f t="array" ref="C557">IF(AND(A557="2020-12", ISNA(MATCH(B557, _xlfn._xlws.FILTER(B:B, A:A="2021-01"), 0))), "Left", "Ativo")</f>
        <v>Ativo</v>
      </c>
      <c r="D557" s="10" t="str" cm="1">
        <f t="array" ref="D557">IF(AND(A557="2021-01", ISNA(MATCH(B557, _xlfn._xlws.FILTER(B:B, A:A="2021-02"), 0))), "Left", "Ativo")</f>
        <v>Ativo</v>
      </c>
      <c r="E557" s="10" t="str" cm="1">
        <f t="array" ref="E557">IF(AND(A557="2021-02", ISNA(MATCH(B557, _xlfn._xlws.FILTER(B:B, A:A="2021-03"), 0))), "Left", "Ativo")</f>
        <v>Ativo</v>
      </c>
      <c r="F557" s="12" t="str" cm="1">
        <f t="array" ref="F557">IF(AND(A557="2021-03", ISNA(MATCH(B557, _xlfn._xlws.FILTER(B:B, A:A="2021-04"), 0))), "Left", "Ativo")</f>
        <v>Ativo</v>
      </c>
    </row>
    <row r="558" spans="1:6" x14ac:dyDescent="0.25">
      <c r="A558" t="s">
        <v>1528</v>
      </c>
      <c r="B558" t="s">
        <v>557</v>
      </c>
      <c r="C558" s="10" t="str" cm="1">
        <f t="array" ref="C558">IF(AND(A558="2020-12", ISNA(MATCH(B558, _xlfn._xlws.FILTER(B:B, A:A="2021-01"), 0))), "Left", "Ativo")</f>
        <v>Ativo</v>
      </c>
      <c r="D558" s="10" t="str" cm="1">
        <f t="array" ref="D558">IF(AND(A558="2021-01", ISNA(MATCH(B558, _xlfn._xlws.FILTER(B:B, A:A="2021-02"), 0))), "Left", "Ativo")</f>
        <v>Ativo</v>
      </c>
      <c r="E558" s="10" t="str" cm="1">
        <f t="array" ref="E558">IF(AND(A558="2021-02", ISNA(MATCH(B558, _xlfn._xlws.FILTER(B:B, A:A="2021-03"), 0))), "Left", "Ativo")</f>
        <v>Ativo</v>
      </c>
      <c r="F558" s="12" t="str" cm="1">
        <f t="array" ref="F558">IF(AND(A558="2021-03", ISNA(MATCH(B558, _xlfn._xlws.FILTER(B:B, A:A="2021-04"), 0))), "Left", "Ativo")</f>
        <v>Ativo</v>
      </c>
    </row>
    <row r="559" spans="1:6" x14ac:dyDescent="0.25">
      <c r="A559" t="s">
        <v>1528</v>
      </c>
      <c r="B559" t="s">
        <v>558</v>
      </c>
      <c r="C559" s="10" t="str" cm="1">
        <f t="array" ref="C559">IF(AND(A559="2020-12", ISNA(MATCH(B559, _xlfn._xlws.FILTER(B:B, A:A="2021-01"), 0))), "Left", "Ativo")</f>
        <v>Ativo</v>
      </c>
      <c r="D559" s="10" t="str" cm="1">
        <f t="array" ref="D559">IF(AND(A559="2021-01", ISNA(MATCH(B559, _xlfn._xlws.FILTER(B:B, A:A="2021-02"), 0))), "Left", "Ativo")</f>
        <v>Ativo</v>
      </c>
      <c r="E559" s="10" t="str" cm="1">
        <f t="array" ref="E559">IF(AND(A559="2021-02", ISNA(MATCH(B559, _xlfn._xlws.FILTER(B:B, A:A="2021-03"), 0))), "Left", "Ativo")</f>
        <v>Ativo</v>
      </c>
      <c r="F559" s="12" t="str" cm="1">
        <f t="array" ref="F559">IF(AND(A559="2021-03", ISNA(MATCH(B559, _xlfn._xlws.FILTER(B:B, A:A="2021-04"), 0))), "Left", "Ativo")</f>
        <v>Ativo</v>
      </c>
    </row>
    <row r="560" spans="1:6" x14ac:dyDescent="0.25">
      <c r="A560" t="s">
        <v>1528</v>
      </c>
      <c r="B560" t="s">
        <v>559</v>
      </c>
      <c r="C560" s="10" t="str" cm="1">
        <f t="array" ref="C560">IF(AND(A560="2020-12", ISNA(MATCH(B560, _xlfn._xlws.FILTER(B:B, A:A="2021-01"), 0))), "Left", "Ativo")</f>
        <v>Ativo</v>
      </c>
      <c r="D560" s="10" t="str" cm="1">
        <f t="array" ref="D560">IF(AND(A560="2021-01", ISNA(MATCH(B560, _xlfn._xlws.FILTER(B:B, A:A="2021-02"), 0))), "Left", "Ativo")</f>
        <v>Ativo</v>
      </c>
      <c r="E560" s="10" t="str" cm="1">
        <f t="array" ref="E560">IF(AND(A560="2021-02", ISNA(MATCH(B560, _xlfn._xlws.FILTER(B:B, A:A="2021-03"), 0))), "Left", "Ativo")</f>
        <v>Ativo</v>
      </c>
      <c r="F560" s="12" t="str" cm="1">
        <f t="array" ref="F560">IF(AND(A560="2021-03", ISNA(MATCH(B560, _xlfn._xlws.FILTER(B:B, A:A="2021-04"), 0))), "Left", "Ativo")</f>
        <v>Ativo</v>
      </c>
    </row>
    <row r="561" spans="1:6" x14ac:dyDescent="0.25">
      <c r="A561" t="s">
        <v>1528</v>
      </c>
      <c r="B561" t="s">
        <v>560</v>
      </c>
      <c r="C561" s="10" t="str" cm="1">
        <f t="array" ref="C561">IF(AND(A561="2020-12", ISNA(MATCH(B561, _xlfn._xlws.FILTER(B:B, A:A="2021-01"), 0))), "Left", "Ativo")</f>
        <v>Ativo</v>
      </c>
      <c r="D561" s="10" t="str" cm="1">
        <f t="array" ref="D561">IF(AND(A561="2021-01", ISNA(MATCH(B561, _xlfn._xlws.FILTER(B:B, A:A="2021-02"), 0))), "Left", "Ativo")</f>
        <v>Ativo</v>
      </c>
      <c r="E561" s="10" t="str" cm="1">
        <f t="array" ref="E561">IF(AND(A561="2021-02", ISNA(MATCH(B561, _xlfn._xlws.FILTER(B:B, A:A="2021-03"), 0))), "Left", "Ativo")</f>
        <v>Ativo</v>
      </c>
      <c r="F561" s="12" t="str" cm="1">
        <f t="array" ref="F561">IF(AND(A561="2021-03", ISNA(MATCH(B561, _xlfn._xlws.FILTER(B:B, A:A="2021-04"), 0))), "Left", "Ativo")</f>
        <v>Ativo</v>
      </c>
    </row>
    <row r="562" spans="1:6" x14ac:dyDescent="0.25">
      <c r="A562" t="s">
        <v>1528</v>
      </c>
      <c r="B562" t="s">
        <v>561</v>
      </c>
      <c r="C562" s="10" t="str" cm="1">
        <f t="array" ref="C562">IF(AND(A562="2020-12", ISNA(MATCH(B562, _xlfn._xlws.FILTER(B:B, A:A="2021-01"), 0))), "Left", "Ativo")</f>
        <v>Ativo</v>
      </c>
      <c r="D562" s="10" t="str" cm="1">
        <f t="array" ref="D562">IF(AND(A562="2021-01", ISNA(MATCH(B562, _xlfn._xlws.FILTER(B:B, A:A="2021-02"), 0))), "Left", "Ativo")</f>
        <v>Ativo</v>
      </c>
      <c r="E562" s="10" t="str" cm="1">
        <f t="array" ref="E562">IF(AND(A562="2021-02", ISNA(MATCH(B562, _xlfn._xlws.FILTER(B:B, A:A="2021-03"), 0))), "Left", "Ativo")</f>
        <v>Ativo</v>
      </c>
      <c r="F562" s="12" t="str" cm="1">
        <f t="array" ref="F562">IF(AND(A562="2021-03", ISNA(MATCH(B562, _xlfn._xlws.FILTER(B:B, A:A="2021-04"), 0))), "Left", "Ativo")</f>
        <v>Ativo</v>
      </c>
    </row>
    <row r="563" spans="1:6" x14ac:dyDescent="0.25">
      <c r="A563" t="s">
        <v>1528</v>
      </c>
      <c r="B563" t="s">
        <v>562</v>
      </c>
      <c r="C563" s="10" t="str" cm="1">
        <f t="array" ref="C563">IF(AND(A563="2020-12", ISNA(MATCH(B563, _xlfn._xlws.FILTER(B:B, A:A="2021-01"), 0))), "Left", "Ativo")</f>
        <v>Ativo</v>
      </c>
      <c r="D563" s="10" t="str" cm="1">
        <f t="array" ref="D563">IF(AND(A563="2021-01", ISNA(MATCH(B563, _xlfn._xlws.FILTER(B:B, A:A="2021-02"), 0))), "Left", "Ativo")</f>
        <v>Ativo</v>
      </c>
      <c r="E563" s="10" t="str" cm="1">
        <f t="array" ref="E563">IF(AND(A563="2021-02", ISNA(MATCH(B563, _xlfn._xlws.FILTER(B:B, A:A="2021-03"), 0))), "Left", "Ativo")</f>
        <v>Ativo</v>
      </c>
      <c r="F563" s="12" t="str" cm="1">
        <f t="array" ref="F563">IF(AND(A563="2021-03", ISNA(MATCH(B563, _xlfn._xlws.FILTER(B:B, A:A="2021-04"), 0))), "Left", "Ativo")</f>
        <v>Ativo</v>
      </c>
    </row>
    <row r="564" spans="1:6" x14ac:dyDescent="0.25">
      <c r="A564" t="s">
        <v>1528</v>
      </c>
      <c r="B564" t="s">
        <v>563</v>
      </c>
      <c r="C564" s="10" t="str" cm="1">
        <f t="array" ref="C564">IF(AND(A564="2020-12", ISNA(MATCH(B564, _xlfn._xlws.FILTER(B:B, A:A="2021-01"), 0))), "Left", "Ativo")</f>
        <v>Ativo</v>
      </c>
      <c r="D564" s="10" t="str" cm="1">
        <f t="array" ref="D564">IF(AND(A564="2021-01", ISNA(MATCH(B564, _xlfn._xlws.FILTER(B:B, A:A="2021-02"), 0))), "Left", "Ativo")</f>
        <v>Ativo</v>
      </c>
      <c r="E564" s="10" t="str" cm="1">
        <f t="array" ref="E564">IF(AND(A564="2021-02", ISNA(MATCH(B564, _xlfn._xlws.FILTER(B:B, A:A="2021-03"), 0))), "Left", "Ativo")</f>
        <v>Ativo</v>
      </c>
      <c r="F564" s="12" t="str" cm="1">
        <f t="array" ref="F564">IF(AND(A564="2021-03", ISNA(MATCH(B564, _xlfn._xlws.FILTER(B:B, A:A="2021-04"), 0))), "Left", "Ativo")</f>
        <v>Ativo</v>
      </c>
    </row>
    <row r="565" spans="1:6" x14ac:dyDescent="0.25">
      <c r="A565" t="s">
        <v>1528</v>
      </c>
      <c r="B565" t="s">
        <v>564</v>
      </c>
      <c r="C565" s="10" t="str" cm="1">
        <f t="array" ref="C565">IF(AND(A565="2020-12", ISNA(MATCH(B565, _xlfn._xlws.FILTER(B:B, A:A="2021-01"), 0))), "Left", "Ativo")</f>
        <v>Ativo</v>
      </c>
      <c r="D565" s="10" t="str" cm="1">
        <f t="array" ref="D565">IF(AND(A565="2021-01", ISNA(MATCH(B565, _xlfn._xlws.FILTER(B:B, A:A="2021-02"), 0))), "Left", "Ativo")</f>
        <v>Ativo</v>
      </c>
      <c r="E565" s="10" t="str" cm="1">
        <f t="array" ref="E565">IF(AND(A565="2021-02", ISNA(MATCH(B565, _xlfn._xlws.FILTER(B:B, A:A="2021-03"), 0))), "Left", "Ativo")</f>
        <v>Ativo</v>
      </c>
      <c r="F565" s="12" t="str" cm="1">
        <f t="array" ref="F565">IF(AND(A565="2021-03", ISNA(MATCH(B565, _xlfn._xlws.FILTER(B:B, A:A="2021-04"), 0))), "Left", "Ativo")</f>
        <v>Ativo</v>
      </c>
    </row>
    <row r="566" spans="1:6" x14ac:dyDescent="0.25">
      <c r="A566" t="s">
        <v>1528</v>
      </c>
      <c r="B566" t="s">
        <v>565</v>
      </c>
      <c r="C566" s="10" t="str" cm="1">
        <f t="array" ref="C566">IF(AND(A566="2020-12", ISNA(MATCH(B566, _xlfn._xlws.FILTER(B:B, A:A="2021-01"), 0))), "Left", "Ativo")</f>
        <v>Ativo</v>
      </c>
      <c r="D566" s="10" t="str" cm="1">
        <f t="array" ref="D566">IF(AND(A566="2021-01", ISNA(MATCH(B566, _xlfn._xlws.FILTER(B:B, A:A="2021-02"), 0))), "Left", "Ativo")</f>
        <v>Ativo</v>
      </c>
      <c r="E566" s="10" t="str" cm="1">
        <f t="array" ref="E566">IF(AND(A566="2021-02", ISNA(MATCH(B566, _xlfn._xlws.FILTER(B:B, A:A="2021-03"), 0))), "Left", "Ativo")</f>
        <v>Ativo</v>
      </c>
      <c r="F566" s="12" t="str" cm="1">
        <f t="array" ref="F566">IF(AND(A566="2021-03", ISNA(MATCH(B566, _xlfn._xlws.FILTER(B:B, A:A="2021-04"), 0))), "Left", "Ativo")</f>
        <v>Ativo</v>
      </c>
    </row>
    <row r="567" spans="1:6" x14ac:dyDescent="0.25">
      <c r="A567" t="s">
        <v>1528</v>
      </c>
      <c r="B567" t="s">
        <v>566</v>
      </c>
      <c r="C567" s="10" t="str" cm="1">
        <f t="array" ref="C567">IF(AND(A567="2020-12", ISNA(MATCH(B567, _xlfn._xlws.FILTER(B:B, A:A="2021-01"), 0))), "Left", "Ativo")</f>
        <v>Ativo</v>
      </c>
      <c r="D567" s="10" t="str" cm="1">
        <f t="array" ref="D567">IF(AND(A567="2021-01", ISNA(MATCH(B567, _xlfn._xlws.FILTER(B:B, A:A="2021-02"), 0))), "Left", "Ativo")</f>
        <v>Ativo</v>
      </c>
      <c r="E567" s="10" t="str" cm="1">
        <f t="array" ref="E567">IF(AND(A567="2021-02", ISNA(MATCH(B567, _xlfn._xlws.FILTER(B:B, A:A="2021-03"), 0))), "Left", "Ativo")</f>
        <v>Ativo</v>
      </c>
      <c r="F567" s="12" t="str" cm="1">
        <f t="array" ref="F567">IF(AND(A567="2021-03", ISNA(MATCH(B567, _xlfn._xlws.FILTER(B:B, A:A="2021-04"), 0))), "Left", "Ativo")</f>
        <v>Ativo</v>
      </c>
    </row>
    <row r="568" spans="1:6" x14ac:dyDescent="0.25">
      <c r="A568" t="s">
        <v>1528</v>
      </c>
      <c r="B568" t="s">
        <v>567</v>
      </c>
      <c r="C568" s="10" t="str" cm="1">
        <f t="array" ref="C568">IF(AND(A568="2020-12", ISNA(MATCH(B568, _xlfn._xlws.FILTER(B:B, A:A="2021-01"), 0))), "Left", "Ativo")</f>
        <v>Left</v>
      </c>
      <c r="D568" s="10" t="str" cm="1">
        <f t="array" ref="D568">IF(AND(A568="2021-01", ISNA(MATCH(B568, _xlfn._xlws.FILTER(B:B, A:A="2021-02"), 0))), "Left", "Ativo")</f>
        <v>Ativo</v>
      </c>
      <c r="E568" s="10" t="str" cm="1">
        <f t="array" ref="E568">IF(AND(A568="2021-02", ISNA(MATCH(B568, _xlfn._xlws.FILTER(B:B, A:A="2021-03"), 0))), "Left", "Ativo")</f>
        <v>Ativo</v>
      </c>
      <c r="F568" s="12" t="str" cm="1">
        <f t="array" ref="F568">IF(AND(A568="2021-03", ISNA(MATCH(B568, _xlfn._xlws.FILTER(B:B, A:A="2021-04"), 0))), "Left", "Ativo")</f>
        <v>Ativo</v>
      </c>
    </row>
    <row r="569" spans="1:6" x14ac:dyDescent="0.25">
      <c r="A569" t="s">
        <v>1528</v>
      </c>
      <c r="B569" t="s">
        <v>568</v>
      </c>
      <c r="C569" s="10" t="str" cm="1">
        <f t="array" ref="C569">IF(AND(A569="2020-12", ISNA(MATCH(B569, _xlfn._xlws.FILTER(B:B, A:A="2021-01"), 0))), "Left", "Ativo")</f>
        <v>Ativo</v>
      </c>
      <c r="D569" s="10" t="str" cm="1">
        <f t="array" ref="D569">IF(AND(A569="2021-01", ISNA(MATCH(B569, _xlfn._xlws.FILTER(B:B, A:A="2021-02"), 0))), "Left", "Ativo")</f>
        <v>Ativo</v>
      </c>
      <c r="E569" s="10" t="str" cm="1">
        <f t="array" ref="E569">IF(AND(A569="2021-02", ISNA(MATCH(B569, _xlfn._xlws.FILTER(B:B, A:A="2021-03"), 0))), "Left", "Ativo")</f>
        <v>Ativo</v>
      </c>
      <c r="F569" s="12" t="str" cm="1">
        <f t="array" ref="F569">IF(AND(A569="2021-03", ISNA(MATCH(B569, _xlfn._xlws.FILTER(B:B, A:A="2021-04"), 0))), "Left", "Ativo")</f>
        <v>Ativo</v>
      </c>
    </row>
    <row r="570" spans="1:6" x14ac:dyDescent="0.25">
      <c r="A570" t="s">
        <v>1528</v>
      </c>
      <c r="B570" t="s">
        <v>569</v>
      </c>
      <c r="C570" s="10" t="str" cm="1">
        <f t="array" ref="C570">IF(AND(A570="2020-12", ISNA(MATCH(B570, _xlfn._xlws.FILTER(B:B, A:A="2021-01"), 0))), "Left", "Ativo")</f>
        <v>Ativo</v>
      </c>
      <c r="D570" s="10" t="str" cm="1">
        <f t="array" ref="D570">IF(AND(A570="2021-01", ISNA(MATCH(B570, _xlfn._xlws.FILTER(B:B, A:A="2021-02"), 0))), "Left", "Ativo")</f>
        <v>Ativo</v>
      </c>
      <c r="E570" s="10" t="str" cm="1">
        <f t="array" ref="E570">IF(AND(A570="2021-02", ISNA(MATCH(B570, _xlfn._xlws.FILTER(B:B, A:A="2021-03"), 0))), "Left", "Ativo")</f>
        <v>Ativo</v>
      </c>
      <c r="F570" s="12" t="str" cm="1">
        <f t="array" ref="F570">IF(AND(A570="2021-03", ISNA(MATCH(B570, _xlfn._xlws.FILTER(B:B, A:A="2021-04"), 0))), "Left", "Ativo")</f>
        <v>Ativo</v>
      </c>
    </row>
    <row r="571" spans="1:6" x14ac:dyDescent="0.25">
      <c r="A571" t="s">
        <v>1528</v>
      </c>
      <c r="B571" t="s">
        <v>570</v>
      </c>
      <c r="C571" s="10" t="str" cm="1">
        <f t="array" ref="C571">IF(AND(A571="2020-12", ISNA(MATCH(B571, _xlfn._xlws.FILTER(B:B, A:A="2021-01"), 0))), "Left", "Ativo")</f>
        <v>Left</v>
      </c>
      <c r="D571" s="10" t="str" cm="1">
        <f t="array" ref="D571">IF(AND(A571="2021-01", ISNA(MATCH(B571, _xlfn._xlws.FILTER(B:B, A:A="2021-02"), 0))), "Left", "Ativo")</f>
        <v>Ativo</v>
      </c>
      <c r="E571" s="10" t="str" cm="1">
        <f t="array" ref="E571">IF(AND(A571="2021-02", ISNA(MATCH(B571, _xlfn._xlws.FILTER(B:B, A:A="2021-03"), 0))), "Left", "Ativo")</f>
        <v>Ativo</v>
      </c>
      <c r="F571" s="12" t="str" cm="1">
        <f t="array" ref="F571">IF(AND(A571="2021-03", ISNA(MATCH(B571, _xlfn._xlws.FILTER(B:B, A:A="2021-04"), 0))), "Left", "Ativo")</f>
        <v>Ativo</v>
      </c>
    </row>
    <row r="572" spans="1:6" x14ac:dyDescent="0.25">
      <c r="A572" t="s">
        <v>1528</v>
      </c>
      <c r="B572" t="s">
        <v>571</v>
      </c>
      <c r="C572" s="10" t="str" cm="1">
        <f t="array" ref="C572">IF(AND(A572="2020-12", ISNA(MATCH(B572, _xlfn._xlws.FILTER(B:B, A:A="2021-01"), 0))), "Left", "Ativo")</f>
        <v>Ativo</v>
      </c>
      <c r="D572" s="10" t="str" cm="1">
        <f t="array" ref="D572">IF(AND(A572="2021-01", ISNA(MATCH(B572, _xlfn._xlws.FILTER(B:B, A:A="2021-02"), 0))), "Left", "Ativo")</f>
        <v>Ativo</v>
      </c>
      <c r="E572" s="10" t="str" cm="1">
        <f t="array" ref="E572">IF(AND(A572="2021-02", ISNA(MATCH(B572, _xlfn._xlws.FILTER(B:B, A:A="2021-03"), 0))), "Left", "Ativo")</f>
        <v>Ativo</v>
      </c>
      <c r="F572" s="12" t="str" cm="1">
        <f t="array" ref="F572">IF(AND(A572="2021-03", ISNA(MATCH(B572, _xlfn._xlws.FILTER(B:B, A:A="2021-04"), 0))), "Left", "Ativo")</f>
        <v>Ativo</v>
      </c>
    </row>
    <row r="573" spans="1:6" x14ac:dyDescent="0.25">
      <c r="A573" t="s">
        <v>1528</v>
      </c>
      <c r="B573" t="s">
        <v>572</v>
      </c>
      <c r="C573" s="10" t="str" cm="1">
        <f t="array" ref="C573">IF(AND(A573="2020-12", ISNA(MATCH(B573, _xlfn._xlws.FILTER(B:B, A:A="2021-01"), 0))), "Left", "Ativo")</f>
        <v>Left</v>
      </c>
      <c r="D573" s="10" t="str" cm="1">
        <f t="array" ref="D573">IF(AND(A573="2021-01", ISNA(MATCH(B573, _xlfn._xlws.FILTER(B:B, A:A="2021-02"), 0))), "Left", "Ativo")</f>
        <v>Ativo</v>
      </c>
      <c r="E573" s="10" t="str" cm="1">
        <f t="array" ref="E573">IF(AND(A573="2021-02", ISNA(MATCH(B573, _xlfn._xlws.FILTER(B:B, A:A="2021-03"), 0))), "Left", "Ativo")</f>
        <v>Ativo</v>
      </c>
      <c r="F573" s="12" t="str" cm="1">
        <f t="array" ref="F573">IF(AND(A573="2021-03", ISNA(MATCH(B573, _xlfn._xlws.FILTER(B:B, A:A="2021-04"), 0))), "Left", "Ativo")</f>
        <v>Ativo</v>
      </c>
    </row>
    <row r="574" spans="1:6" x14ac:dyDescent="0.25">
      <c r="A574" t="s">
        <v>1528</v>
      </c>
      <c r="B574" t="s">
        <v>573</v>
      </c>
      <c r="C574" s="10" t="str" cm="1">
        <f t="array" ref="C574">IF(AND(A574="2020-12", ISNA(MATCH(B574, _xlfn._xlws.FILTER(B:B, A:A="2021-01"), 0))), "Left", "Ativo")</f>
        <v>Left</v>
      </c>
      <c r="D574" s="10" t="str" cm="1">
        <f t="array" ref="D574">IF(AND(A574="2021-01", ISNA(MATCH(B574, _xlfn._xlws.FILTER(B:B, A:A="2021-02"), 0))), "Left", "Ativo")</f>
        <v>Ativo</v>
      </c>
      <c r="E574" s="10" t="str" cm="1">
        <f t="array" ref="E574">IF(AND(A574="2021-02", ISNA(MATCH(B574, _xlfn._xlws.FILTER(B:B, A:A="2021-03"), 0))), "Left", "Ativo")</f>
        <v>Ativo</v>
      </c>
      <c r="F574" s="12" t="str" cm="1">
        <f t="array" ref="F574">IF(AND(A574="2021-03", ISNA(MATCH(B574, _xlfn._xlws.FILTER(B:B, A:A="2021-04"), 0))), "Left", "Ativo")</f>
        <v>Ativo</v>
      </c>
    </row>
    <row r="575" spans="1:6" x14ac:dyDescent="0.25">
      <c r="A575" t="s">
        <v>1528</v>
      </c>
      <c r="B575" t="s">
        <v>574</v>
      </c>
      <c r="C575" s="10" t="str" cm="1">
        <f t="array" ref="C575">IF(AND(A575="2020-12", ISNA(MATCH(B575, _xlfn._xlws.FILTER(B:B, A:A="2021-01"), 0))), "Left", "Ativo")</f>
        <v>Ativo</v>
      </c>
      <c r="D575" s="10" t="str" cm="1">
        <f t="array" ref="D575">IF(AND(A575="2021-01", ISNA(MATCH(B575, _xlfn._xlws.FILTER(B:B, A:A="2021-02"), 0))), "Left", "Ativo")</f>
        <v>Ativo</v>
      </c>
      <c r="E575" s="10" t="str" cm="1">
        <f t="array" ref="E575">IF(AND(A575="2021-02", ISNA(MATCH(B575, _xlfn._xlws.FILTER(B:B, A:A="2021-03"), 0))), "Left", "Ativo")</f>
        <v>Ativo</v>
      </c>
      <c r="F575" s="12" t="str" cm="1">
        <f t="array" ref="F575">IF(AND(A575="2021-03", ISNA(MATCH(B575, _xlfn._xlws.FILTER(B:B, A:A="2021-04"), 0))), "Left", "Ativo")</f>
        <v>Ativo</v>
      </c>
    </row>
    <row r="576" spans="1:6" x14ac:dyDescent="0.25">
      <c r="A576" t="s">
        <v>1528</v>
      </c>
      <c r="B576" t="s">
        <v>575</v>
      </c>
      <c r="C576" s="10" t="str" cm="1">
        <f t="array" ref="C576">IF(AND(A576="2020-12", ISNA(MATCH(B576, _xlfn._xlws.FILTER(B:B, A:A="2021-01"), 0))), "Left", "Ativo")</f>
        <v>Ativo</v>
      </c>
      <c r="D576" s="10" t="str" cm="1">
        <f t="array" ref="D576">IF(AND(A576="2021-01", ISNA(MATCH(B576, _xlfn._xlws.FILTER(B:B, A:A="2021-02"), 0))), "Left", "Ativo")</f>
        <v>Ativo</v>
      </c>
      <c r="E576" s="10" t="str" cm="1">
        <f t="array" ref="E576">IF(AND(A576="2021-02", ISNA(MATCH(B576, _xlfn._xlws.FILTER(B:B, A:A="2021-03"), 0))), "Left", "Ativo")</f>
        <v>Ativo</v>
      </c>
      <c r="F576" s="12" t="str" cm="1">
        <f t="array" ref="F576">IF(AND(A576="2021-03", ISNA(MATCH(B576, _xlfn._xlws.FILTER(B:B, A:A="2021-04"), 0))), "Left", "Ativo")</f>
        <v>Ativo</v>
      </c>
    </row>
    <row r="577" spans="1:6" x14ac:dyDescent="0.25">
      <c r="A577" t="s">
        <v>1528</v>
      </c>
      <c r="B577" t="s">
        <v>576</v>
      </c>
      <c r="C577" s="10" t="str" cm="1">
        <f t="array" ref="C577">IF(AND(A577="2020-12", ISNA(MATCH(B577, _xlfn._xlws.FILTER(B:B, A:A="2021-01"), 0))), "Left", "Ativo")</f>
        <v>Ativo</v>
      </c>
      <c r="D577" s="10" t="str" cm="1">
        <f t="array" ref="D577">IF(AND(A577="2021-01", ISNA(MATCH(B577, _xlfn._xlws.FILTER(B:B, A:A="2021-02"), 0))), "Left", "Ativo")</f>
        <v>Ativo</v>
      </c>
      <c r="E577" s="10" t="str" cm="1">
        <f t="array" ref="E577">IF(AND(A577="2021-02", ISNA(MATCH(B577, _xlfn._xlws.FILTER(B:B, A:A="2021-03"), 0))), "Left", "Ativo")</f>
        <v>Ativo</v>
      </c>
      <c r="F577" s="12" t="str" cm="1">
        <f t="array" ref="F577">IF(AND(A577="2021-03", ISNA(MATCH(B577, _xlfn._xlws.FILTER(B:B, A:A="2021-04"), 0))), "Left", "Ativo")</f>
        <v>Ativo</v>
      </c>
    </row>
    <row r="578" spans="1:6" x14ac:dyDescent="0.25">
      <c r="A578" t="s">
        <v>1528</v>
      </c>
      <c r="B578" t="s">
        <v>577</v>
      </c>
      <c r="C578" s="10" t="str" cm="1">
        <f t="array" ref="C578">IF(AND(A578="2020-12", ISNA(MATCH(B578, _xlfn._xlws.FILTER(B:B, A:A="2021-01"), 0))), "Left", "Ativo")</f>
        <v>Ativo</v>
      </c>
      <c r="D578" s="10" t="str" cm="1">
        <f t="array" ref="D578">IF(AND(A578="2021-01", ISNA(MATCH(B578, _xlfn._xlws.FILTER(B:B, A:A="2021-02"), 0))), "Left", "Ativo")</f>
        <v>Ativo</v>
      </c>
      <c r="E578" s="10" t="str" cm="1">
        <f t="array" ref="E578">IF(AND(A578="2021-02", ISNA(MATCH(B578, _xlfn._xlws.FILTER(B:B, A:A="2021-03"), 0))), "Left", "Ativo")</f>
        <v>Ativo</v>
      </c>
      <c r="F578" s="12" t="str" cm="1">
        <f t="array" ref="F578">IF(AND(A578="2021-03", ISNA(MATCH(B578, _xlfn._xlws.FILTER(B:B, A:A="2021-04"), 0))), "Left", "Ativo")</f>
        <v>Ativo</v>
      </c>
    </row>
    <row r="579" spans="1:6" x14ac:dyDescent="0.25">
      <c r="A579" t="s">
        <v>1528</v>
      </c>
      <c r="B579" t="s">
        <v>578</v>
      </c>
      <c r="C579" s="10" t="str" cm="1">
        <f t="array" ref="C579">IF(AND(A579="2020-12", ISNA(MATCH(B579, _xlfn._xlws.FILTER(B:B, A:A="2021-01"), 0))), "Left", "Ativo")</f>
        <v>Ativo</v>
      </c>
      <c r="D579" s="10" t="str" cm="1">
        <f t="array" ref="D579">IF(AND(A579="2021-01", ISNA(MATCH(B579, _xlfn._xlws.FILTER(B:B, A:A="2021-02"), 0))), "Left", "Ativo")</f>
        <v>Ativo</v>
      </c>
      <c r="E579" s="10" t="str" cm="1">
        <f t="array" ref="E579">IF(AND(A579="2021-02", ISNA(MATCH(B579, _xlfn._xlws.FILTER(B:B, A:A="2021-03"), 0))), "Left", "Ativo")</f>
        <v>Ativo</v>
      </c>
      <c r="F579" s="12" t="str" cm="1">
        <f t="array" ref="F579">IF(AND(A579="2021-03", ISNA(MATCH(B579, _xlfn._xlws.FILTER(B:B, A:A="2021-04"), 0))), "Left", "Ativo")</f>
        <v>Ativo</v>
      </c>
    </row>
    <row r="580" spans="1:6" x14ac:dyDescent="0.25">
      <c r="A580" t="s">
        <v>1528</v>
      </c>
      <c r="B580" t="s">
        <v>579</v>
      </c>
      <c r="C580" s="10" t="str" cm="1">
        <f t="array" ref="C580">IF(AND(A580="2020-12", ISNA(MATCH(B580, _xlfn._xlws.FILTER(B:B, A:A="2021-01"), 0))), "Left", "Ativo")</f>
        <v>Ativo</v>
      </c>
      <c r="D580" s="10" t="str" cm="1">
        <f t="array" ref="D580">IF(AND(A580="2021-01", ISNA(MATCH(B580, _xlfn._xlws.FILTER(B:B, A:A="2021-02"), 0))), "Left", "Ativo")</f>
        <v>Ativo</v>
      </c>
      <c r="E580" s="10" t="str" cm="1">
        <f t="array" ref="E580">IF(AND(A580="2021-02", ISNA(MATCH(B580, _xlfn._xlws.FILTER(B:B, A:A="2021-03"), 0))), "Left", "Ativo")</f>
        <v>Ativo</v>
      </c>
      <c r="F580" s="12" t="str" cm="1">
        <f t="array" ref="F580">IF(AND(A580="2021-03", ISNA(MATCH(B580, _xlfn._xlws.FILTER(B:B, A:A="2021-04"), 0))), "Left", "Ativo")</f>
        <v>Ativo</v>
      </c>
    </row>
    <row r="581" spans="1:6" x14ac:dyDescent="0.25">
      <c r="A581" t="s">
        <v>1528</v>
      </c>
      <c r="B581" t="s">
        <v>580</v>
      </c>
      <c r="C581" s="10" t="str" cm="1">
        <f t="array" ref="C581">IF(AND(A581="2020-12", ISNA(MATCH(B581, _xlfn._xlws.FILTER(B:B, A:A="2021-01"), 0))), "Left", "Ativo")</f>
        <v>Ativo</v>
      </c>
      <c r="D581" s="10" t="str" cm="1">
        <f t="array" ref="D581">IF(AND(A581="2021-01", ISNA(MATCH(B581, _xlfn._xlws.FILTER(B:B, A:A="2021-02"), 0))), "Left", "Ativo")</f>
        <v>Ativo</v>
      </c>
      <c r="E581" s="10" t="str" cm="1">
        <f t="array" ref="E581">IF(AND(A581="2021-02", ISNA(MATCH(B581, _xlfn._xlws.FILTER(B:B, A:A="2021-03"), 0))), "Left", "Ativo")</f>
        <v>Ativo</v>
      </c>
      <c r="F581" s="12" t="str" cm="1">
        <f t="array" ref="F581">IF(AND(A581="2021-03", ISNA(MATCH(B581, _xlfn._xlws.FILTER(B:B, A:A="2021-04"), 0))), "Left", "Ativo")</f>
        <v>Ativo</v>
      </c>
    </row>
    <row r="582" spans="1:6" x14ac:dyDescent="0.25">
      <c r="A582" t="s">
        <v>1528</v>
      </c>
      <c r="B582" t="s">
        <v>581</v>
      </c>
      <c r="C582" s="10" t="str" cm="1">
        <f t="array" ref="C582">IF(AND(A582="2020-12", ISNA(MATCH(B582, _xlfn._xlws.FILTER(B:B, A:A="2021-01"), 0))), "Left", "Ativo")</f>
        <v>Ativo</v>
      </c>
      <c r="D582" s="10" t="str" cm="1">
        <f t="array" ref="D582">IF(AND(A582="2021-01", ISNA(MATCH(B582, _xlfn._xlws.FILTER(B:B, A:A="2021-02"), 0))), "Left", "Ativo")</f>
        <v>Ativo</v>
      </c>
      <c r="E582" s="10" t="str" cm="1">
        <f t="array" ref="E582">IF(AND(A582="2021-02", ISNA(MATCH(B582, _xlfn._xlws.FILTER(B:B, A:A="2021-03"), 0))), "Left", "Ativo")</f>
        <v>Ativo</v>
      </c>
      <c r="F582" s="12" t="str" cm="1">
        <f t="array" ref="F582">IF(AND(A582="2021-03", ISNA(MATCH(B582, _xlfn._xlws.FILTER(B:B, A:A="2021-04"), 0))), "Left", "Ativo")</f>
        <v>Ativo</v>
      </c>
    </row>
    <row r="583" spans="1:6" x14ac:dyDescent="0.25">
      <c r="A583" t="s">
        <v>1528</v>
      </c>
      <c r="B583" t="s">
        <v>582</v>
      </c>
      <c r="C583" s="10" t="str" cm="1">
        <f t="array" ref="C583">IF(AND(A583="2020-12", ISNA(MATCH(B583, _xlfn._xlws.FILTER(B:B, A:A="2021-01"), 0))), "Left", "Ativo")</f>
        <v>Ativo</v>
      </c>
      <c r="D583" s="10" t="str" cm="1">
        <f t="array" ref="D583">IF(AND(A583="2021-01", ISNA(MATCH(B583, _xlfn._xlws.FILTER(B:B, A:A="2021-02"), 0))), "Left", "Ativo")</f>
        <v>Ativo</v>
      </c>
      <c r="E583" s="10" t="str" cm="1">
        <f t="array" ref="E583">IF(AND(A583="2021-02", ISNA(MATCH(B583, _xlfn._xlws.FILTER(B:B, A:A="2021-03"), 0))), "Left", "Ativo")</f>
        <v>Ativo</v>
      </c>
      <c r="F583" s="12" t="str" cm="1">
        <f t="array" ref="F583">IF(AND(A583="2021-03", ISNA(MATCH(B583, _xlfn._xlws.FILTER(B:B, A:A="2021-04"), 0))), "Left", "Ativo")</f>
        <v>Ativo</v>
      </c>
    </row>
    <row r="584" spans="1:6" x14ac:dyDescent="0.25">
      <c r="A584" t="s">
        <v>1528</v>
      </c>
      <c r="B584" t="s">
        <v>583</v>
      </c>
      <c r="C584" s="10" t="str" cm="1">
        <f t="array" ref="C584">IF(AND(A584="2020-12", ISNA(MATCH(B584, _xlfn._xlws.FILTER(B:B, A:A="2021-01"), 0))), "Left", "Ativo")</f>
        <v>Ativo</v>
      </c>
      <c r="D584" s="10" t="str" cm="1">
        <f t="array" ref="D584">IF(AND(A584="2021-01", ISNA(MATCH(B584, _xlfn._xlws.FILTER(B:B, A:A="2021-02"), 0))), "Left", "Ativo")</f>
        <v>Ativo</v>
      </c>
      <c r="E584" s="10" t="str" cm="1">
        <f t="array" ref="E584">IF(AND(A584="2021-02", ISNA(MATCH(B584, _xlfn._xlws.FILTER(B:B, A:A="2021-03"), 0))), "Left", "Ativo")</f>
        <v>Ativo</v>
      </c>
      <c r="F584" s="12" t="str" cm="1">
        <f t="array" ref="F584">IF(AND(A584="2021-03", ISNA(MATCH(B584, _xlfn._xlws.FILTER(B:B, A:A="2021-04"), 0))), "Left", "Ativo")</f>
        <v>Ativo</v>
      </c>
    </row>
    <row r="585" spans="1:6" x14ac:dyDescent="0.25">
      <c r="A585" t="s">
        <v>1528</v>
      </c>
      <c r="B585" t="s">
        <v>584</v>
      </c>
      <c r="C585" s="10" t="str" cm="1">
        <f t="array" ref="C585">IF(AND(A585="2020-12", ISNA(MATCH(B585, _xlfn._xlws.FILTER(B:B, A:A="2021-01"), 0))), "Left", "Ativo")</f>
        <v>Ativo</v>
      </c>
      <c r="D585" s="10" t="str" cm="1">
        <f t="array" ref="D585">IF(AND(A585="2021-01", ISNA(MATCH(B585, _xlfn._xlws.FILTER(B:B, A:A="2021-02"), 0))), "Left", "Ativo")</f>
        <v>Ativo</v>
      </c>
      <c r="E585" s="10" t="str" cm="1">
        <f t="array" ref="E585">IF(AND(A585="2021-02", ISNA(MATCH(B585, _xlfn._xlws.FILTER(B:B, A:A="2021-03"), 0))), "Left", "Ativo")</f>
        <v>Ativo</v>
      </c>
      <c r="F585" s="12" t="str" cm="1">
        <f t="array" ref="F585">IF(AND(A585="2021-03", ISNA(MATCH(B585, _xlfn._xlws.FILTER(B:B, A:A="2021-04"), 0))), "Left", "Ativo")</f>
        <v>Ativo</v>
      </c>
    </row>
    <row r="586" spans="1:6" x14ac:dyDescent="0.25">
      <c r="A586" t="s">
        <v>1528</v>
      </c>
      <c r="B586" t="s">
        <v>585</v>
      </c>
      <c r="C586" s="10" t="str" cm="1">
        <f t="array" ref="C586">IF(AND(A586="2020-12", ISNA(MATCH(B586, _xlfn._xlws.FILTER(B:B, A:A="2021-01"), 0))), "Left", "Ativo")</f>
        <v>Ativo</v>
      </c>
      <c r="D586" s="10" t="str" cm="1">
        <f t="array" ref="D586">IF(AND(A586="2021-01", ISNA(MATCH(B586, _xlfn._xlws.FILTER(B:B, A:A="2021-02"), 0))), "Left", "Ativo")</f>
        <v>Ativo</v>
      </c>
      <c r="E586" s="10" t="str" cm="1">
        <f t="array" ref="E586">IF(AND(A586="2021-02", ISNA(MATCH(B586, _xlfn._xlws.FILTER(B:B, A:A="2021-03"), 0))), "Left", "Ativo")</f>
        <v>Ativo</v>
      </c>
      <c r="F586" s="12" t="str" cm="1">
        <f t="array" ref="F586">IF(AND(A586="2021-03", ISNA(MATCH(B586, _xlfn._xlws.FILTER(B:B, A:A="2021-04"), 0))), "Left", "Ativo")</f>
        <v>Ativo</v>
      </c>
    </row>
    <row r="587" spans="1:6" x14ac:dyDescent="0.25">
      <c r="A587" t="s">
        <v>1528</v>
      </c>
      <c r="B587" t="s">
        <v>586</v>
      </c>
      <c r="C587" s="10" t="str" cm="1">
        <f t="array" ref="C587">IF(AND(A587="2020-12", ISNA(MATCH(B587, _xlfn._xlws.FILTER(B:B, A:A="2021-01"), 0))), "Left", "Ativo")</f>
        <v>Ativo</v>
      </c>
      <c r="D587" s="10" t="str" cm="1">
        <f t="array" ref="D587">IF(AND(A587="2021-01", ISNA(MATCH(B587, _xlfn._xlws.FILTER(B:B, A:A="2021-02"), 0))), "Left", "Ativo")</f>
        <v>Ativo</v>
      </c>
      <c r="E587" s="10" t="str" cm="1">
        <f t="array" ref="E587">IF(AND(A587="2021-02", ISNA(MATCH(B587, _xlfn._xlws.FILTER(B:B, A:A="2021-03"), 0))), "Left", "Ativo")</f>
        <v>Ativo</v>
      </c>
      <c r="F587" s="12" t="str" cm="1">
        <f t="array" ref="F587">IF(AND(A587="2021-03", ISNA(MATCH(B587, _xlfn._xlws.FILTER(B:B, A:A="2021-04"), 0))), "Left", "Ativo")</f>
        <v>Ativo</v>
      </c>
    </row>
    <row r="588" spans="1:6" x14ac:dyDescent="0.25">
      <c r="A588" t="s">
        <v>1528</v>
      </c>
      <c r="B588" t="s">
        <v>587</v>
      </c>
      <c r="C588" s="10" t="str" cm="1">
        <f t="array" ref="C588">IF(AND(A588="2020-12", ISNA(MATCH(B588, _xlfn._xlws.FILTER(B:B, A:A="2021-01"), 0))), "Left", "Ativo")</f>
        <v>Ativo</v>
      </c>
      <c r="D588" s="10" t="str" cm="1">
        <f t="array" ref="D588">IF(AND(A588="2021-01", ISNA(MATCH(B588, _xlfn._xlws.FILTER(B:B, A:A="2021-02"), 0))), "Left", "Ativo")</f>
        <v>Ativo</v>
      </c>
      <c r="E588" s="10" t="str" cm="1">
        <f t="array" ref="E588">IF(AND(A588="2021-02", ISNA(MATCH(B588, _xlfn._xlws.FILTER(B:B, A:A="2021-03"), 0))), "Left", "Ativo")</f>
        <v>Ativo</v>
      </c>
      <c r="F588" s="12" t="str" cm="1">
        <f t="array" ref="F588">IF(AND(A588="2021-03", ISNA(MATCH(B588, _xlfn._xlws.FILTER(B:B, A:A="2021-04"), 0))), "Left", "Ativo")</f>
        <v>Ativo</v>
      </c>
    </row>
    <row r="589" spans="1:6" x14ac:dyDescent="0.25">
      <c r="A589" t="s">
        <v>1528</v>
      </c>
      <c r="B589" t="s">
        <v>588</v>
      </c>
      <c r="C589" s="10" t="str" cm="1">
        <f t="array" ref="C589">IF(AND(A589="2020-12", ISNA(MATCH(B589, _xlfn._xlws.FILTER(B:B, A:A="2021-01"), 0))), "Left", "Ativo")</f>
        <v>Ativo</v>
      </c>
      <c r="D589" s="10" t="str" cm="1">
        <f t="array" ref="D589">IF(AND(A589="2021-01", ISNA(MATCH(B589, _xlfn._xlws.FILTER(B:B, A:A="2021-02"), 0))), "Left", "Ativo")</f>
        <v>Ativo</v>
      </c>
      <c r="E589" s="10" t="str" cm="1">
        <f t="array" ref="E589">IF(AND(A589="2021-02", ISNA(MATCH(B589, _xlfn._xlws.FILTER(B:B, A:A="2021-03"), 0))), "Left", "Ativo")</f>
        <v>Ativo</v>
      </c>
      <c r="F589" s="12" t="str" cm="1">
        <f t="array" ref="F589">IF(AND(A589="2021-03", ISNA(MATCH(B589, _xlfn._xlws.FILTER(B:B, A:A="2021-04"), 0))), "Left", "Ativo")</f>
        <v>Ativo</v>
      </c>
    </row>
    <row r="590" spans="1:6" x14ac:dyDescent="0.25">
      <c r="A590" t="s">
        <v>1528</v>
      </c>
      <c r="B590" t="s">
        <v>589</v>
      </c>
      <c r="C590" s="10" t="str" cm="1">
        <f t="array" ref="C590">IF(AND(A590="2020-12", ISNA(MATCH(B590, _xlfn._xlws.FILTER(B:B, A:A="2021-01"), 0))), "Left", "Ativo")</f>
        <v>Ativo</v>
      </c>
      <c r="D590" s="10" t="str" cm="1">
        <f t="array" ref="D590">IF(AND(A590="2021-01", ISNA(MATCH(B590, _xlfn._xlws.FILTER(B:B, A:A="2021-02"), 0))), "Left", "Ativo")</f>
        <v>Ativo</v>
      </c>
      <c r="E590" s="10" t="str" cm="1">
        <f t="array" ref="E590">IF(AND(A590="2021-02", ISNA(MATCH(B590, _xlfn._xlws.FILTER(B:B, A:A="2021-03"), 0))), "Left", "Ativo")</f>
        <v>Ativo</v>
      </c>
      <c r="F590" s="12" t="str" cm="1">
        <f t="array" ref="F590">IF(AND(A590="2021-03", ISNA(MATCH(B590, _xlfn._xlws.FILTER(B:B, A:A="2021-04"), 0))), "Left", "Ativo")</f>
        <v>Ativo</v>
      </c>
    </row>
    <row r="591" spans="1:6" x14ac:dyDescent="0.25">
      <c r="A591" t="s">
        <v>1528</v>
      </c>
      <c r="B591" t="s">
        <v>590</v>
      </c>
      <c r="C591" s="10" t="str" cm="1">
        <f t="array" ref="C591">IF(AND(A591="2020-12", ISNA(MATCH(B591, _xlfn._xlws.FILTER(B:B, A:A="2021-01"), 0))), "Left", "Ativo")</f>
        <v>Ativo</v>
      </c>
      <c r="D591" s="10" t="str" cm="1">
        <f t="array" ref="D591">IF(AND(A591="2021-01", ISNA(MATCH(B591, _xlfn._xlws.FILTER(B:B, A:A="2021-02"), 0))), "Left", "Ativo")</f>
        <v>Ativo</v>
      </c>
      <c r="E591" s="10" t="str" cm="1">
        <f t="array" ref="E591">IF(AND(A591="2021-02", ISNA(MATCH(B591, _xlfn._xlws.FILTER(B:B, A:A="2021-03"), 0))), "Left", "Ativo")</f>
        <v>Ativo</v>
      </c>
      <c r="F591" s="12" t="str" cm="1">
        <f t="array" ref="F591">IF(AND(A591="2021-03", ISNA(MATCH(B591, _xlfn._xlws.FILTER(B:B, A:A="2021-04"), 0))), "Left", "Ativo")</f>
        <v>Ativo</v>
      </c>
    </row>
    <row r="592" spans="1:6" x14ac:dyDescent="0.25">
      <c r="A592" t="s">
        <v>1528</v>
      </c>
      <c r="B592" t="s">
        <v>591</v>
      </c>
      <c r="C592" s="10" t="str" cm="1">
        <f t="array" ref="C592">IF(AND(A592="2020-12", ISNA(MATCH(B592, _xlfn._xlws.FILTER(B:B, A:A="2021-01"), 0))), "Left", "Ativo")</f>
        <v>Ativo</v>
      </c>
      <c r="D592" s="10" t="str" cm="1">
        <f t="array" ref="D592">IF(AND(A592="2021-01", ISNA(MATCH(B592, _xlfn._xlws.FILTER(B:B, A:A="2021-02"), 0))), "Left", "Ativo")</f>
        <v>Ativo</v>
      </c>
      <c r="E592" s="10" t="str" cm="1">
        <f t="array" ref="E592">IF(AND(A592="2021-02", ISNA(MATCH(B592, _xlfn._xlws.FILTER(B:B, A:A="2021-03"), 0))), "Left", "Ativo")</f>
        <v>Ativo</v>
      </c>
      <c r="F592" s="12" t="str" cm="1">
        <f t="array" ref="F592">IF(AND(A592="2021-03", ISNA(MATCH(B592, _xlfn._xlws.FILTER(B:B, A:A="2021-04"), 0))), "Left", "Ativo")</f>
        <v>Ativo</v>
      </c>
    </row>
    <row r="593" spans="1:6" x14ac:dyDescent="0.25">
      <c r="A593" t="s">
        <v>1528</v>
      </c>
      <c r="B593" t="s">
        <v>592</v>
      </c>
      <c r="C593" s="10" t="str" cm="1">
        <f t="array" ref="C593">IF(AND(A593="2020-12", ISNA(MATCH(B593, _xlfn._xlws.FILTER(B:B, A:A="2021-01"), 0))), "Left", "Ativo")</f>
        <v>Ativo</v>
      </c>
      <c r="D593" s="10" t="str" cm="1">
        <f t="array" ref="D593">IF(AND(A593="2021-01", ISNA(MATCH(B593, _xlfn._xlws.FILTER(B:B, A:A="2021-02"), 0))), "Left", "Ativo")</f>
        <v>Ativo</v>
      </c>
      <c r="E593" s="10" t="str" cm="1">
        <f t="array" ref="E593">IF(AND(A593="2021-02", ISNA(MATCH(B593, _xlfn._xlws.FILTER(B:B, A:A="2021-03"), 0))), "Left", "Ativo")</f>
        <v>Ativo</v>
      </c>
      <c r="F593" s="12" t="str" cm="1">
        <f t="array" ref="F593">IF(AND(A593="2021-03", ISNA(MATCH(B593, _xlfn._xlws.FILTER(B:B, A:A="2021-04"), 0))), "Left", "Ativo")</f>
        <v>Ativo</v>
      </c>
    </row>
    <row r="594" spans="1:6" x14ac:dyDescent="0.25">
      <c r="A594" t="s">
        <v>1528</v>
      </c>
      <c r="B594" t="s">
        <v>593</v>
      </c>
      <c r="C594" s="10" t="str" cm="1">
        <f t="array" ref="C594">IF(AND(A594="2020-12", ISNA(MATCH(B594, _xlfn._xlws.FILTER(B:B, A:A="2021-01"), 0))), "Left", "Ativo")</f>
        <v>Ativo</v>
      </c>
      <c r="D594" s="10" t="str" cm="1">
        <f t="array" ref="D594">IF(AND(A594="2021-01", ISNA(MATCH(B594, _xlfn._xlws.FILTER(B:B, A:A="2021-02"), 0))), "Left", "Ativo")</f>
        <v>Ativo</v>
      </c>
      <c r="E594" s="10" t="str" cm="1">
        <f t="array" ref="E594">IF(AND(A594="2021-02", ISNA(MATCH(B594, _xlfn._xlws.FILTER(B:B, A:A="2021-03"), 0))), "Left", "Ativo")</f>
        <v>Ativo</v>
      </c>
      <c r="F594" s="12" t="str" cm="1">
        <f t="array" ref="F594">IF(AND(A594="2021-03", ISNA(MATCH(B594, _xlfn._xlws.FILTER(B:B, A:A="2021-04"), 0))), "Left", "Ativo")</f>
        <v>Ativo</v>
      </c>
    </row>
    <row r="595" spans="1:6" x14ac:dyDescent="0.25">
      <c r="A595" t="s">
        <v>1528</v>
      </c>
      <c r="B595" t="s">
        <v>594</v>
      </c>
      <c r="C595" s="10" t="str" cm="1">
        <f t="array" ref="C595">IF(AND(A595="2020-12", ISNA(MATCH(B595, _xlfn._xlws.FILTER(B:B, A:A="2021-01"), 0))), "Left", "Ativo")</f>
        <v>Ativo</v>
      </c>
      <c r="D595" s="10" t="str" cm="1">
        <f t="array" ref="D595">IF(AND(A595="2021-01", ISNA(MATCH(B595, _xlfn._xlws.FILTER(B:B, A:A="2021-02"), 0))), "Left", "Ativo")</f>
        <v>Ativo</v>
      </c>
      <c r="E595" s="10" t="str" cm="1">
        <f t="array" ref="E595">IF(AND(A595="2021-02", ISNA(MATCH(B595, _xlfn._xlws.FILTER(B:B, A:A="2021-03"), 0))), "Left", "Ativo")</f>
        <v>Ativo</v>
      </c>
      <c r="F595" s="12" t="str" cm="1">
        <f t="array" ref="F595">IF(AND(A595="2021-03", ISNA(MATCH(B595, _xlfn._xlws.FILTER(B:B, A:A="2021-04"), 0))), "Left", "Ativo")</f>
        <v>Ativo</v>
      </c>
    </row>
    <row r="596" spans="1:6" x14ac:dyDescent="0.25">
      <c r="A596" t="s">
        <v>1528</v>
      </c>
      <c r="B596" t="s">
        <v>595</v>
      </c>
      <c r="C596" s="10" t="str" cm="1">
        <f t="array" ref="C596">IF(AND(A596="2020-12", ISNA(MATCH(B596, _xlfn._xlws.FILTER(B:B, A:A="2021-01"), 0))), "Left", "Ativo")</f>
        <v>Ativo</v>
      </c>
      <c r="D596" s="10" t="str" cm="1">
        <f t="array" ref="D596">IF(AND(A596="2021-01", ISNA(MATCH(B596, _xlfn._xlws.FILTER(B:B, A:A="2021-02"), 0))), "Left", "Ativo")</f>
        <v>Ativo</v>
      </c>
      <c r="E596" s="10" t="str" cm="1">
        <f t="array" ref="E596">IF(AND(A596="2021-02", ISNA(MATCH(B596, _xlfn._xlws.FILTER(B:B, A:A="2021-03"), 0))), "Left", "Ativo")</f>
        <v>Ativo</v>
      </c>
      <c r="F596" s="12" t="str" cm="1">
        <f t="array" ref="F596">IF(AND(A596="2021-03", ISNA(MATCH(B596, _xlfn._xlws.FILTER(B:B, A:A="2021-04"), 0))), "Left", "Ativo")</f>
        <v>Ativo</v>
      </c>
    </row>
    <row r="597" spans="1:6" x14ac:dyDescent="0.25">
      <c r="A597" t="s">
        <v>1528</v>
      </c>
      <c r="B597" t="s">
        <v>596</v>
      </c>
      <c r="C597" s="10" t="str" cm="1">
        <f t="array" ref="C597">IF(AND(A597="2020-12", ISNA(MATCH(B597, _xlfn._xlws.FILTER(B:B, A:A="2021-01"), 0))), "Left", "Ativo")</f>
        <v>Ativo</v>
      </c>
      <c r="D597" s="10" t="str" cm="1">
        <f t="array" ref="D597">IF(AND(A597="2021-01", ISNA(MATCH(B597, _xlfn._xlws.FILTER(B:B, A:A="2021-02"), 0))), "Left", "Ativo")</f>
        <v>Ativo</v>
      </c>
      <c r="E597" s="10" t="str" cm="1">
        <f t="array" ref="E597">IF(AND(A597="2021-02", ISNA(MATCH(B597, _xlfn._xlws.FILTER(B:B, A:A="2021-03"), 0))), "Left", "Ativo")</f>
        <v>Ativo</v>
      </c>
      <c r="F597" s="12" t="str" cm="1">
        <f t="array" ref="F597">IF(AND(A597="2021-03", ISNA(MATCH(B597, _xlfn._xlws.FILTER(B:B, A:A="2021-04"), 0))), "Left", "Ativo")</f>
        <v>Ativo</v>
      </c>
    </row>
    <row r="598" spans="1:6" x14ac:dyDescent="0.25">
      <c r="A598" t="s">
        <v>1528</v>
      </c>
      <c r="B598" t="s">
        <v>597</v>
      </c>
      <c r="C598" s="10" t="str" cm="1">
        <f t="array" ref="C598">IF(AND(A598="2020-12", ISNA(MATCH(B598, _xlfn._xlws.FILTER(B:B, A:A="2021-01"), 0))), "Left", "Ativo")</f>
        <v>Ativo</v>
      </c>
      <c r="D598" s="10" t="str" cm="1">
        <f t="array" ref="D598">IF(AND(A598="2021-01", ISNA(MATCH(B598, _xlfn._xlws.FILTER(B:B, A:A="2021-02"), 0))), "Left", "Ativo")</f>
        <v>Ativo</v>
      </c>
      <c r="E598" s="10" t="str" cm="1">
        <f t="array" ref="E598">IF(AND(A598="2021-02", ISNA(MATCH(B598, _xlfn._xlws.FILTER(B:B, A:A="2021-03"), 0))), "Left", "Ativo")</f>
        <v>Ativo</v>
      </c>
      <c r="F598" s="12" t="str" cm="1">
        <f t="array" ref="F598">IF(AND(A598="2021-03", ISNA(MATCH(B598, _xlfn._xlws.FILTER(B:B, A:A="2021-04"), 0))), "Left", "Ativo")</f>
        <v>Ativo</v>
      </c>
    </row>
    <row r="599" spans="1:6" x14ac:dyDescent="0.25">
      <c r="A599" t="s">
        <v>1528</v>
      </c>
      <c r="B599" t="s">
        <v>598</v>
      </c>
      <c r="C599" s="10" t="str" cm="1">
        <f t="array" ref="C599">IF(AND(A599="2020-12", ISNA(MATCH(B599, _xlfn._xlws.FILTER(B:B, A:A="2021-01"), 0))), "Left", "Ativo")</f>
        <v>Ativo</v>
      </c>
      <c r="D599" s="10" t="str" cm="1">
        <f t="array" ref="D599">IF(AND(A599="2021-01", ISNA(MATCH(B599, _xlfn._xlws.FILTER(B:B, A:A="2021-02"), 0))), "Left", "Ativo")</f>
        <v>Ativo</v>
      </c>
      <c r="E599" s="10" t="str" cm="1">
        <f t="array" ref="E599">IF(AND(A599="2021-02", ISNA(MATCH(B599, _xlfn._xlws.FILTER(B:B, A:A="2021-03"), 0))), "Left", "Ativo")</f>
        <v>Ativo</v>
      </c>
      <c r="F599" s="12" t="str" cm="1">
        <f t="array" ref="F599">IF(AND(A599="2021-03", ISNA(MATCH(B599, _xlfn._xlws.FILTER(B:B, A:A="2021-04"), 0))), "Left", "Ativo")</f>
        <v>Ativo</v>
      </c>
    </row>
    <row r="600" spans="1:6" x14ac:dyDescent="0.25">
      <c r="A600" t="s">
        <v>1528</v>
      </c>
      <c r="B600" t="s">
        <v>599</v>
      </c>
      <c r="C600" s="10" t="str" cm="1">
        <f t="array" ref="C600">IF(AND(A600="2020-12", ISNA(MATCH(B600, _xlfn._xlws.FILTER(B:B, A:A="2021-01"), 0))), "Left", "Ativo")</f>
        <v>Ativo</v>
      </c>
      <c r="D600" s="10" t="str" cm="1">
        <f t="array" ref="D600">IF(AND(A600="2021-01", ISNA(MATCH(B600, _xlfn._xlws.FILTER(B:B, A:A="2021-02"), 0))), "Left", "Ativo")</f>
        <v>Ativo</v>
      </c>
      <c r="E600" s="10" t="str" cm="1">
        <f t="array" ref="E600">IF(AND(A600="2021-02", ISNA(MATCH(B600, _xlfn._xlws.FILTER(B:B, A:A="2021-03"), 0))), "Left", "Ativo")</f>
        <v>Ativo</v>
      </c>
      <c r="F600" s="12" t="str" cm="1">
        <f t="array" ref="F600">IF(AND(A600="2021-03", ISNA(MATCH(B600, _xlfn._xlws.FILTER(B:B, A:A="2021-04"), 0))), "Left", "Ativo")</f>
        <v>Ativo</v>
      </c>
    </row>
    <row r="601" spans="1:6" x14ac:dyDescent="0.25">
      <c r="A601" t="s">
        <v>1528</v>
      </c>
      <c r="B601" t="s">
        <v>600</v>
      </c>
      <c r="C601" s="10" t="str" cm="1">
        <f t="array" ref="C601">IF(AND(A601="2020-12", ISNA(MATCH(B601, _xlfn._xlws.FILTER(B:B, A:A="2021-01"), 0))), "Left", "Ativo")</f>
        <v>Ativo</v>
      </c>
      <c r="D601" s="10" t="str" cm="1">
        <f t="array" ref="D601">IF(AND(A601="2021-01", ISNA(MATCH(B601, _xlfn._xlws.FILTER(B:B, A:A="2021-02"), 0))), "Left", "Ativo")</f>
        <v>Ativo</v>
      </c>
      <c r="E601" s="10" t="str" cm="1">
        <f t="array" ref="E601">IF(AND(A601="2021-02", ISNA(MATCH(B601, _xlfn._xlws.FILTER(B:B, A:A="2021-03"), 0))), "Left", "Ativo")</f>
        <v>Ativo</v>
      </c>
      <c r="F601" s="12" t="str" cm="1">
        <f t="array" ref="F601">IF(AND(A601="2021-03", ISNA(MATCH(B601, _xlfn._xlws.FILTER(B:B, A:A="2021-04"), 0))), "Left", "Ativo")</f>
        <v>Ativo</v>
      </c>
    </row>
    <row r="602" spans="1:6" x14ac:dyDescent="0.25">
      <c r="A602" t="s">
        <v>1528</v>
      </c>
      <c r="B602" t="s">
        <v>601</v>
      </c>
      <c r="C602" s="10" t="str" cm="1">
        <f t="array" ref="C602">IF(AND(A602="2020-12", ISNA(MATCH(B602, _xlfn._xlws.FILTER(B:B, A:A="2021-01"), 0))), "Left", "Ativo")</f>
        <v>Ativo</v>
      </c>
      <c r="D602" s="10" t="str" cm="1">
        <f t="array" ref="D602">IF(AND(A602="2021-01", ISNA(MATCH(B602, _xlfn._xlws.FILTER(B:B, A:A="2021-02"), 0))), "Left", "Ativo")</f>
        <v>Ativo</v>
      </c>
      <c r="E602" s="10" t="str" cm="1">
        <f t="array" ref="E602">IF(AND(A602="2021-02", ISNA(MATCH(B602, _xlfn._xlws.FILTER(B:B, A:A="2021-03"), 0))), "Left", "Ativo")</f>
        <v>Ativo</v>
      </c>
      <c r="F602" s="12" t="str" cm="1">
        <f t="array" ref="F602">IF(AND(A602="2021-03", ISNA(MATCH(B602, _xlfn._xlws.FILTER(B:B, A:A="2021-04"), 0))), "Left", "Ativo")</f>
        <v>Ativo</v>
      </c>
    </row>
    <row r="603" spans="1:6" x14ac:dyDescent="0.25">
      <c r="A603" t="s">
        <v>1528</v>
      </c>
      <c r="B603" t="s">
        <v>602</v>
      </c>
      <c r="C603" s="10" t="str" cm="1">
        <f t="array" ref="C603">IF(AND(A603="2020-12", ISNA(MATCH(B603, _xlfn._xlws.FILTER(B:B, A:A="2021-01"), 0))), "Left", "Ativo")</f>
        <v>Ativo</v>
      </c>
      <c r="D603" s="10" t="str" cm="1">
        <f t="array" ref="D603">IF(AND(A603="2021-01", ISNA(MATCH(B603, _xlfn._xlws.FILTER(B:B, A:A="2021-02"), 0))), "Left", "Ativo")</f>
        <v>Ativo</v>
      </c>
      <c r="E603" s="10" t="str" cm="1">
        <f t="array" ref="E603">IF(AND(A603="2021-02", ISNA(MATCH(B603, _xlfn._xlws.FILTER(B:B, A:A="2021-03"), 0))), "Left", "Ativo")</f>
        <v>Ativo</v>
      </c>
      <c r="F603" s="12" t="str" cm="1">
        <f t="array" ref="F603">IF(AND(A603="2021-03", ISNA(MATCH(B603, _xlfn._xlws.FILTER(B:B, A:A="2021-04"), 0))), "Left", "Ativo")</f>
        <v>Ativo</v>
      </c>
    </row>
    <row r="604" spans="1:6" x14ac:dyDescent="0.25">
      <c r="A604" t="s">
        <v>1528</v>
      </c>
      <c r="B604" t="s">
        <v>603</v>
      </c>
      <c r="C604" s="10" t="str" cm="1">
        <f t="array" ref="C604">IF(AND(A604="2020-12", ISNA(MATCH(B604, _xlfn._xlws.FILTER(B:B, A:A="2021-01"), 0))), "Left", "Ativo")</f>
        <v>Ativo</v>
      </c>
      <c r="D604" s="10" t="str" cm="1">
        <f t="array" ref="D604">IF(AND(A604="2021-01", ISNA(MATCH(B604, _xlfn._xlws.FILTER(B:B, A:A="2021-02"), 0))), "Left", "Ativo")</f>
        <v>Ativo</v>
      </c>
      <c r="E604" s="10" t="str" cm="1">
        <f t="array" ref="E604">IF(AND(A604="2021-02", ISNA(MATCH(B604, _xlfn._xlws.FILTER(B:B, A:A="2021-03"), 0))), "Left", "Ativo")</f>
        <v>Ativo</v>
      </c>
      <c r="F604" s="12" t="str" cm="1">
        <f t="array" ref="F604">IF(AND(A604="2021-03", ISNA(MATCH(B604, _xlfn._xlws.FILTER(B:B, A:A="2021-04"), 0))), "Left", "Ativo")</f>
        <v>Ativo</v>
      </c>
    </row>
    <row r="605" spans="1:6" x14ac:dyDescent="0.25">
      <c r="A605" t="s">
        <v>1528</v>
      </c>
      <c r="B605" t="s">
        <v>604</v>
      </c>
      <c r="C605" s="10" t="str" cm="1">
        <f t="array" ref="C605">IF(AND(A605="2020-12", ISNA(MATCH(B605, _xlfn._xlws.FILTER(B:B, A:A="2021-01"), 0))), "Left", "Ativo")</f>
        <v>Ativo</v>
      </c>
      <c r="D605" s="10" t="str" cm="1">
        <f t="array" ref="D605">IF(AND(A605="2021-01", ISNA(MATCH(B605, _xlfn._xlws.FILTER(B:B, A:A="2021-02"), 0))), "Left", "Ativo")</f>
        <v>Ativo</v>
      </c>
      <c r="E605" s="10" t="str" cm="1">
        <f t="array" ref="E605">IF(AND(A605="2021-02", ISNA(MATCH(B605, _xlfn._xlws.FILTER(B:B, A:A="2021-03"), 0))), "Left", "Ativo")</f>
        <v>Ativo</v>
      </c>
      <c r="F605" s="12" t="str" cm="1">
        <f t="array" ref="F605">IF(AND(A605="2021-03", ISNA(MATCH(B605, _xlfn._xlws.FILTER(B:B, A:A="2021-04"), 0))), "Left", "Ativo")</f>
        <v>Ativo</v>
      </c>
    </row>
    <row r="606" spans="1:6" x14ac:dyDescent="0.25">
      <c r="A606" t="s">
        <v>1528</v>
      </c>
      <c r="B606" t="s">
        <v>605</v>
      </c>
      <c r="C606" s="10" t="str" cm="1">
        <f t="array" ref="C606">IF(AND(A606="2020-12", ISNA(MATCH(B606, _xlfn._xlws.FILTER(B:B, A:A="2021-01"), 0))), "Left", "Ativo")</f>
        <v>Ativo</v>
      </c>
      <c r="D606" s="10" t="str" cm="1">
        <f t="array" ref="D606">IF(AND(A606="2021-01", ISNA(MATCH(B606, _xlfn._xlws.FILTER(B:B, A:A="2021-02"), 0))), "Left", "Ativo")</f>
        <v>Ativo</v>
      </c>
      <c r="E606" s="10" t="str" cm="1">
        <f t="array" ref="E606">IF(AND(A606="2021-02", ISNA(MATCH(B606, _xlfn._xlws.FILTER(B:B, A:A="2021-03"), 0))), "Left", "Ativo")</f>
        <v>Ativo</v>
      </c>
      <c r="F606" s="12" t="str" cm="1">
        <f t="array" ref="F606">IF(AND(A606="2021-03", ISNA(MATCH(B606, _xlfn._xlws.FILTER(B:B, A:A="2021-04"), 0))), "Left", "Ativo")</f>
        <v>Ativo</v>
      </c>
    </row>
    <row r="607" spans="1:6" x14ac:dyDescent="0.25">
      <c r="A607" t="s">
        <v>1528</v>
      </c>
      <c r="B607" t="s">
        <v>606</v>
      </c>
      <c r="C607" s="10" t="str" cm="1">
        <f t="array" ref="C607">IF(AND(A607="2020-12", ISNA(MATCH(B607, _xlfn._xlws.FILTER(B:B, A:A="2021-01"), 0))), "Left", "Ativo")</f>
        <v>Ativo</v>
      </c>
      <c r="D607" s="10" t="str" cm="1">
        <f t="array" ref="D607">IF(AND(A607="2021-01", ISNA(MATCH(B607, _xlfn._xlws.FILTER(B:B, A:A="2021-02"), 0))), "Left", "Ativo")</f>
        <v>Ativo</v>
      </c>
      <c r="E607" s="10" t="str" cm="1">
        <f t="array" ref="E607">IF(AND(A607="2021-02", ISNA(MATCH(B607, _xlfn._xlws.FILTER(B:B, A:A="2021-03"), 0))), "Left", "Ativo")</f>
        <v>Ativo</v>
      </c>
      <c r="F607" s="12" t="str" cm="1">
        <f t="array" ref="F607">IF(AND(A607="2021-03", ISNA(MATCH(B607, _xlfn._xlws.FILTER(B:B, A:A="2021-04"), 0))), "Left", "Ativo")</f>
        <v>Ativo</v>
      </c>
    </row>
    <row r="608" spans="1:6" x14ac:dyDescent="0.25">
      <c r="A608" t="s">
        <v>1528</v>
      </c>
      <c r="B608" t="s">
        <v>607</v>
      </c>
      <c r="C608" s="10" t="str" cm="1">
        <f t="array" ref="C608">IF(AND(A608="2020-12", ISNA(MATCH(B608, _xlfn._xlws.FILTER(B:B, A:A="2021-01"), 0))), "Left", "Ativo")</f>
        <v>Ativo</v>
      </c>
      <c r="D608" s="10" t="str" cm="1">
        <f t="array" ref="D608">IF(AND(A608="2021-01", ISNA(MATCH(B608, _xlfn._xlws.FILTER(B:B, A:A="2021-02"), 0))), "Left", "Ativo")</f>
        <v>Ativo</v>
      </c>
      <c r="E608" s="10" t="str" cm="1">
        <f t="array" ref="E608">IF(AND(A608="2021-02", ISNA(MATCH(B608, _xlfn._xlws.FILTER(B:B, A:A="2021-03"), 0))), "Left", "Ativo")</f>
        <v>Ativo</v>
      </c>
      <c r="F608" s="12" t="str" cm="1">
        <f t="array" ref="F608">IF(AND(A608="2021-03", ISNA(MATCH(B608, _xlfn._xlws.FILTER(B:B, A:A="2021-04"), 0))), "Left", "Ativo")</f>
        <v>Ativo</v>
      </c>
    </row>
    <row r="609" spans="1:6" x14ac:dyDescent="0.25">
      <c r="A609" t="s">
        <v>1528</v>
      </c>
      <c r="B609" t="s">
        <v>608</v>
      </c>
      <c r="C609" s="10" t="str" cm="1">
        <f t="array" ref="C609">IF(AND(A609="2020-12", ISNA(MATCH(B609, _xlfn._xlws.FILTER(B:B, A:A="2021-01"), 0))), "Left", "Ativo")</f>
        <v>Ativo</v>
      </c>
      <c r="D609" s="10" t="str" cm="1">
        <f t="array" ref="D609">IF(AND(A609="2021-01", ISNA(MATCH(B609, _xlfn._xlws.FILTER(B:B, A:A="2021-02"), 0))), "Left", "Ativo")</f>
        <v>Ativo</v>
      </c>
      <c r="E609" s="10" t="str" cm="1">
        <f t="array" ref="E609">IF(AND(A609="2021-02", ISNA(MATCH(B609, _xlfn._xlws.FILTER(B:B, A:A="2021-03"), 0))), "Left", "Ativo")</f>
        <v>Ativo</v>
      </c>
      <c r="F609" s="12" t="str" cm="1">
        <f t="array" ref="F609">IF(AND(A609="2021-03", ISNA(MATCH(B609, _xlfn._xlws.FILTER(B:B, A:A="2021-04"), 0))), "Left", "Ativo")</f>
        <v>Ativo</v>
      </c>
    </row>
    <row r="610" spans="1:6" x14ac:dyDescent="0.25">
      <c r="A610" t="s">
        <v>1528</v>
      </c>
      <c r="B610" t="s">
        <v>609</v>
      </c>
      <c r="C610" s="10" t="str" cm="1">
        <f t="array" ref="C610">IF(AND(A610="2020-12", ISNA(MATCH(B610, _xlfn._xlws.FILTER(B:B, A:A="2021-01"), 0))), "Left", "Ativo")</f>
        <v>Ativo</v>
      </c>
      <c r="D610" s="10" t="str" cm="1">
        <f t="array" ref="D610">IF(AND(A610="2021-01", ISNA(MATCH(B610, _xlfn._xlws.FILTER(B:B, A:A="2021-02"), 0))), "Left", "Ativo")</f>
        <v>Ativo</v>
      </c>
      <c r="E610" s="10" t="str" cm="1">
        <f t="array" ref="E610">IF(AND(A610="2021-02", ISNA(MATCH(B610, _xlfn._xlws.FILTER(B:B, A:A="2021-03"), 0))), "Left", "Ativo")</f>
        <v>Ativo</v>
      </c>
      <c r="F610" s="12" t="str" cm="1">
        <f t="array" ref="F610">IF(AND(A610="2021-03", ISNA(MATCH(B610, _xlfn._xlws.FILTER(B:B, A:A="2021-04"), 0))), "Left", "Ativo")</f>
        <v>Ativo</v>
      </c>
    </row>
    <row r="611" spans="1:6" x14ac:dyDescent="0.25">
      <c r="A611" t="s">
        <v>1528</v>
      </c>
      <c r="B611" t="s">
        <v>610</v>
      </c>
      <c r="C611" s="10" t="str" cm="1">
        <f t="array" ref="C611">IF(AND(A611="2020-12", ISNA(MATCH(B611, _xlfn._xlws.FILTER(B:B, A:A="2021-01"), 0))), "Left", "Ativo")</f>
        <v>Ativo</v>
      </c>
      <c r="D611" s="10" t="str" cm="1">
        <f t="array" ref="D611">IF(AND(A611="2021-01", ISNA(MATCH(B611, _xlfn._xlws.FILTER(B:B, A:A="2021-02"), 0))), "Left", "Ativo")</f>
        <v>Ativo</v>
      </c>
      <c r="E611" s="10" t="str" cm="1">
        <f t="array" ref="E611">IF(AND(A611="2021-02", ISNA(MATCH(B611, _xlfn._xlws.FILTER(B:B, A:A="2021-03"), 0))), "Left", "Ativo")</f>
        <v>Ativo</v>
      </c>
      <c r="F611" s="12" t="str" cm="1">
        <f t="array" ref="F611">IF(AND(A611="2021-03", ISNA(MATCH(B611, _xlfn._xlws.FILTER(B:B, A:A="2021-04"), 0))), "Left", "Ativo")</f>
        <v>Ativo</v>
      </c>
    </row>
    <row r="612" spans="1:6" x14ac:dyDescent="0.25">
      <c r="A612" t="s">
        <v>1528</v>
      </c>
      <c r="B612" t="s">
        <v>611</v>
      </c>
      <c r="C612" s="10" t="str" cm="1">
        <f t="array" ref="C612">IF(AND(A612="2020-12", ISNA(MATCH(B612, _xlfn._xlws.FILTER(B:B, A:A="2021-01"), 0))), "Left", "Ativo")</f>
        <v>Ativo</v>
      </c>
      <c r="D612" s="10" t="str" cm="1">
        <f t="array" ref="D612">IF(AND(A612="2021-01", ISNA(MATCH(B612, _xlfn._xlws.FILTER(B:B, A:A="2021-02"), 0))), "Left", "Ativo")</f>
        <v>Ativo</v>
      </c>
      <c r="E612" s="10" t="str" cm="1">
        <f t="array" ref="E612">IF(AND(A612="2021-02", ISNA(MATCH(B612, _xlfn._xlws.FILTER(B:B, A:A="2021-03"), 0))), "Left", "Ativo")</f>
        <v>Ativo</v>
      </c>
      <c r="F612" s="12" t="str" cm="1">
        <f t="array" ref="F612">IF(AND(A612="2021-03", ISNA(MATCH(B612, _xlfn._xlws.FILTER(B:B, A:A="2021-04"), 0))), "Left", "Ativo")</f>
        <v>Ativo</v>
      </c>
    </row>
    <row r="613" spans="1:6" x14ac:dyDescent="0.25">
      <c r="A613" t="s">
        <v>1528</v>
      </c>
      <c r="B613" t="s">
        <v>612</v>
      </c>
      <c r="C613" s="10" t="str" cm="1">
        <f t="array" ref="C613">IF(AND(A613="2020-12", ISNA(MATCH(B613, _xlfn._xlws.FILTER(B:B, A:A="2021-01"), 0))), "Left", "Ativo")</f>
        <v>Ativo</v>
      </c>
      <c r="D613" s="10" t="str" cm="1">
        <f t="array" ref="D613">IF(AND(A613="2021-01", ISNA(MATCH(B613, _xlfn._xlws.FILTER(B:B, A:A="2021-02"), 0))), "Left", "Ativo")</f>
        <v>Ativo</v>
      </c>
      <c r="E613" s="10" t="str" cm="1">
        <f t="array" ref="E613">IF(AND(A613="2021-02", ISNA(MATCH(B613, _xlfn._xlws.FILTER(B:B, A:A="2021-03"), 0))), "Left", "Ativo")</f>
        <v>Ativo</v>
      </c>
      <c r="F613" s="12" t="str" cm="1">
        <f t="array" ref="F613">IF(AND(A613="2021-03", ISNA(MATCH(B613, _xlfn._xlws.FILTER(B:B, A:A="2021-04"), 0))), "Left", "Ativo")</f>
        <v>Ativo</v>
      </c>
    </row>
    <row r="614" spans="1:6" x14ac:dyDescent="0.25">
      <c r="A614" t="s">
        <v>1528</v>
      </c>
      <c r="B614" t="s">
        <v>613</v>
      </c>
      <c r="C614" s="10" t="str" cm="1">
        <f t="array" ref="C614">IF(AND(A614="2020-12", ISNA(MATCH(B614, _xlfn._xlws.FILTER(B:B, A:A="2021-01"), 0))), "Left", "Ativo")</f>
        <v>Ativo</v>
      </c>
      <c r="D614" s="10" t="str" cm="1">
        <f t="array" ref="D614">IF(AND(A614="2021-01", ISNA(MATCH(B614, _xlfn._xlws.FILTER(B:B, A:A="2021-02"), 0))), "Left", "Ativo")</f>
        <v>Ativo</v>
      </c>
      <c r="E614" s="10" t="str" cm="1">
        <f t="array" ref="E614">IF(AND(A614="2021-02", ISNA(MATCH(B614, _xlfn._xlws.FILTER(B:B, A:A="2021-03"), 0))), "Left", "Ativo")</f>
        <v>Ativo</v>
      </c>
      <c r="F614" s="12" t="str" cm="1">
        <f t="array" ref="F614">IF(AND(A614="2021-03", ISNA(MATCH(B614, _xlfn._xlws.FILTER(B:B, A:A="2021-04"), 0))), "Left", "Ativo")</f>
        <v>Ativo</v>
      </c>
    </row>
    <row r="615" spans="1:6" x14ac:dyDescent="0.25">
      <c r="A615" t="s">
        <v>1528</v>
      </c>
      <c r="B615" t="s">
        <v>614</v>
      </c>
      <c r="C615" s="10" t="str" cm="1">
        <f t="array" ref="C615">IF(AND(A615="2020-12", ISNA(MATCH(B615, _xlfn._xlws.FILTER(B:B, A:A="2021-01"), 0))), "Left", "Ativo")</f>
        <v>Ativo</v>
      </c>
      <c r="D615" s="10" t="str" cm="1">
        <f t="array" ref="D615">IF(AND(A615="2021-01", ISNA(MATCH(B615, _xlfn._xlws.FILTER(B:B, A:A="2021-02"), 0))), "Left", "Ativo")</f>
        <v>Ativo</v>
      </c>
      <c r="E615" s="10" t="str" cm="1">
        <f t="array" ref="E615">IF(AND(A615="2021-02", ISNA(MATCH(B615, _xlfn._xlws.FILTER(B:B, A:A="2021-03"), 0))), "Left", "Ativo")</f>
        <v>Ativo</v>
      </c>
      <c r="F615" s="12" t="str" cm="1">
        <f t="array" ref="F615">IF(AND(A615="2021-03", ISNA(MATCH(B615, _xlfn._xlws.FILTER(B:B, A:A="2021-04"), 0))), "Left", "Ativo")</f>
        <v>Ativo</v>
      </c>
    </row>
    <row r="616" spans="1:6" x14ac:dyDescent="0.25">
      <c r="A616" t="s">
        <v>1528</v>
      </c>
      <c r="B616" t="s">
        <v>615</v>
      </c>
      <c r="C616" s="10" t="str" cm="1">
        <f t="array" ref="C616">IF(AND(A616="2020-12", ISNA(MATCH(B616, _xlfn._xlws.FILTER(B:B, A:A="2021-01"), 0))), "Left", "Ativo")</f>
        <v>Ativo</v>
      </c>
      <c r="D616" s="10" t="str" cm="1">
        <f t="array" ref="D616">IF(AND(A616="2021-01", ISNA(MATCH(B616, _xlfn._xlws.FILTER(B:B, A:A="2021-02"), 0))), "Left", "Ativo")</f>
        <v>Ativo</v>
      </c>
      <c r="E616" s="10" t="str" cm="1">
        <f t="array" ref="E616">IF(AND(A616="2021-02", ISNA(MATCH(B616, _xlfn._xlws.FILTER(B:B, A:A="2021-03"), 0))), "Left", "Ativo")</f>
        <v>Ativo</v>
      </c>
      <c r="F616" s="12" t="str" cm="1">
        <f t="array" ref="F616">IF(AND(A616="2021-03", ISNA(MATCH(B616, _xlfn._xlws.FILTER(B:B, A:A="2021-04"), 0))), "Left", "Ativo")</f>
        <v>Ativo</v>
      </c>
    </row>
    <row r="617" spans="1:6" x14ac:dyDescent="0.25">
      <c r="A617" t="s">
        <v>1528</v>
      </c>
      <c r="B617" t="s">
        <v>616</v>
      </c>
      <c r="C617" s="10" t="str" cm="1">
        <f t="array" ref="C617">IF(AND(A617="2020-12", ISNA(MATCH(B617, _xlfn._xlws.FILTER(B:B, A:A="2021-01"), 0))), "Left", "Ativo")</f>
        <v>Ativo</v>
      </c>
      <c r="D617" s="10" t="str" cm="1">
        <f t="array" ref="D617">IF(AND(A617="2021-01", ISNA(MATCH(B617, _xlfn._xlws.FILTER(B:B, A:A="2021-02"), 0))), "Left", "Ativo")</f>
        <v>Ativo</v>
      </c>
      <c r="E617" s="10" t="str" cm="1">
        <f t="array" ref="E617">IF(AND(A617="2021-02", ISNA(MATCH(B617, _xlfn._xlws.FILTER(B:B, A:A="2021-03"), 0))), "Left", "Ativo")</f>
        <v>Ativo</v>
      </c>
      <c r="F617" s="12" t="str" cm="1">
        <f t="array" ref="F617">IF(AND(A617="2021-03", ISNA(MATCH(B617, _xlfn._xlws.FILTER(B:B, A:A="2021-04"), 0))), "Left", "Ativo")</f>
        <v>Ativo</v>
      </c>
    </row>
    <row r="618" spans="1:6" x14ac:dyDescent="0.25">
      <c r="A618" t="s">
        <v>1528</v>
      </c>
      <c r="B618" t="s">
        <v>617</v>
      </c>
      <c r="C618" s="10" t="str" cm="1">
        <f t="array" ref="C618">IF(AND(A618="2020-12", ISNA(MATCH(B618, _xlfn._xlws.FILTER(B:B, A:A="2021-01"), 0))), "Left", "Ativo")</f>
        <v>Ativo</v>
      </c>
      <c r="D618" s="10" t="str" cm="1">
        <f t="array" ref="D618">IF(AND(A618="2021-01", ISNA(MATCH(B618, _xlfn._xlws.FILTER(B:B, A:A="2021-02"), 0))), "Left", "Ativo")</f>
        <v>Ativo</v>
      </c>
      <c r="E618" s="10" t="str" cm="1">
        <f t="array" ref="E618">IF(AND(A618="2021-02", ISNA(MATCH(B618, _xlfn._xlws.FILTER(B:B, A:A="2021-03"), 0))), "Left", "Ativo")</f>
        <v>Ativo</v>
      </c>
      <c r="F618" s="12" t="str" cm="1">
        <f t="array" ref="F618">IF(AND(A618="2021-03", ISNA(MATCH(B618, _xlfn._xlws.FILTER(B:B, A:A="2021-04"), 0))), "Left", "Ativo")</f>
        <v>Ativo</v>
      </c>
    </row>
    <row r="619" spans="1:6" x14ac:dyDescent="0.25">
      <c r="A619" t="s">
        <v>1528</v>
      </c>
      <c r="B619" t="s">
        <v>618</v>
      </c>
      <c r="C619" s="10" t="str" cm="1">
        <f t="array" ref="C619">IF(AND(A619="2020-12", ISNA(MATCH(B619, _xlfn._xlws.FILTER(B:B, A:A="2021-01"), 0))), "Left", "Ativo")</f>
        <v>Ativo</v>
      </c>
      <c r="D619" s="10" t="str" cm="1">
        <f t="array" ref="D619">IF(AND(A619="2021-01", ISNA(MATCH(B619, _xlfn._xlws.FILTER(B:B, A:A="2021-02"), 0))), "Left", "Ativo")</f>
        <v>Ativo</v>
      </c>
      <c r="E619" s="10" t="str" cm="1">
        <f t="array" ref="E619">IF(AND(A619="2021-02", ISNA(MATCH(B619, _xlfn._xlws.FILTER(B:B, A:A="2021-03"), 0))), "Left", "Ativo")</f>
        <v>Ativo</v>
      </c>
      <c r="F619" s="12" t="str" cm="1">
        <f t="array" ref="F619">IF(AND(A619="2021-03", ISNA(MATCH(B619, _xlfn._xlws.FILTER(B:B, A:A="2021-04"), 0))), "Left", "Ativo")</f>
        <v>Ativo</v>
      </c>
    </row>
    <row r="620" spans="1:6" x14ac:dyDescent="0.25">
      <c r="A620" t="s">
        <v>1528</v>
      </c>
      <c r="B620" t="s">
        <v>619</v>
      </c>
      <c r="C620" s="10" t="str" cm="1">
        <f t="array" ref="C620">IF(AND(A620="2020-12", ISNA(MATCH(B620, _xlfn._xlws.FILTER(B:B, A:A="2021-01"), 0))), "Left", "Ativo")</f>
        <v>Ativo</v>
      </c>
      <c r="D620" s="10" t="str" cm="1">
        <f t="array" ref="D620">IF(AND(A620="2021-01", ISNA(MATCH(B620, _xlfn._xlws.FILTER(B:B, A:A="2021-02"), 0))), "Left", "Ativo")</f>
        <v>Ativo</v>
      </c>
      <c r="E620" s="10" t="str" cm="1">
        <f t="array" ref="E620">IF(AND(A620="2021-02", ISNA(MATCH(B620, _xlfn._xlws.FILTER(B:B, A:A="2021-03"), 0))), "Left", "Ativo")</f>
        <v>Ativo</v>
      </c>
      <c r="F620" s="12" t="str" cm="1">
        <f t="array" ref="F620">IF(AND(A620="2021-03", ISNA(MATCH(B620, _xlfn._xlws.FILTER(B:B, A:A="2021-04"), 0))), "Left", "Ativo")</f>
        <v>Ativo</v>
      </c>
    </row>
    <row r="621" spans="1:6" x14ac:dyDescent="0.25">
      <c r="A621" t="s">
        <v>1528</v>
      </c>
      <c r="B621" t="s">
        <v>620</v>
      </c>
      <c r="C621" s="10" t="str" cm="1">
        <f t="array" ref="C621">IF(AND(A621="2020-12", ISNA(MATCH(B621, _xlfn._xlws.FILTER(B:B, A:A="2021-01"), 0))), "Left", "Ativo")</f>
        <v>Ativo</v>
      </c>
      <c r="D621" s="10" t="str" cm="1">
        <f t="array" ref="D621">IF(AND(A621="2021-01", ISNA(MATCH(B621, _xlfn._xlws.FILTER(B:B, A:A="2021-02"), 0))), "Left", "Ativo")</f>
        <v>Ativo</v>
      </c>
      <c r="E621" s="10" t="str" cm="1">
        <f t="array" ref="E621">IF(AND(A621="2021-02", ISNA(MATCH(B621, _xlfn._xlws.FILTER(B:B, A:A="2021-03"), 0))), "Left", "Ativo")</f>
        <v>Ativo</v>
      </c>
      <c r="F621" s="12" t="str" cm="1">
        <f t="array" ref="F621">IF(AND(A621="2021-03", ISNA(MATCH(B621, _xlfn._xlws.FILTER(B:B, A:A="2021-04"), 0))), "Left", "Ativo")</f>
        <v>Ativo</v>
      </c>
    </row>
    <row r="622" spans="1:6" x14ac:dyDescent="0.25">
      <c r="A622" t="s">
        <v>1528</v>
      </c>
      <c r="B622" t="s">
        <v>621</v>
      </c>
      <c r="C622" s="10" t="str" cm="1">
        <f t="array" ref="C622">IF(AND(A622="2020-12", ISNA(MATCH(B622, _xlfn._xlws.FILTER(B:B, A:A="2021-01"), 0))), "Left", "Ativo")</f>
        <v>Ativo</v>
      </c>
      <c r="D622" s="10" t="str" cm="1">
        <f t="array" ref="D622">IF(AND(A622="2021-01", ISNA(MATCH(B622, _xlfn._xlws.FILTER(B:B, A:A="2021-02"), 0))), "Left", "Ativo")</f>
        <v>Ativo</v>
      </c>
      <c r="E622" s="10" t="str" cm="1">
        <f t="array" ref="E622">IF(AND(A622="2021-02", ISNA(MATCH(B622, _xlfn._xlws.FILTER(B:B, A:A="2021-03"), 0))), "Left", "Ativo")</f>
        <v>Ativo</v>
      </c>
      <c r="F622" s="12" t="str" cm="1">
        <f t="array" ref="F622">IF(AND(A622="2021-03", ISNA(MATCH(B622, _xlfn._xlws.FILTER(B:B, A:A="2021-04"), 0))), "Left", "Ativo")</f>
        <v>Ativo</v>
      </c>
    </row>
    <row r="623" spans="1:6" x14ac:dyDescent="0.25">
      <c r="A623" t="s">
        <v>1528</v>
      </c>
      <c r="B623" t="s">
        <v>622</v>
      </c>
      <c r="C623" s="10" t="str" cm="1">
        <f t="array" ref="C623">IF(AND(A623="2020-12", ISNA(MATCH(B623, _xlfn._xlws.FILTER(B:B, A:A="2021-01"), 0))), "Left", "Ativo")</f>
        <v>Ativo</v>
      </c>
      <c r="D623" s="10" t="str" cm="1">
        <f t="array" ref="D623">IF(AND(A623="2021-01", ISNA(MATCH(B623, _xlfn._xlws.FILTER(B:B, A:A="2021-02"), 0))), "Left", "Ativo")</f>
        <v>Ativo</v>
      </c>
      <c r="E623" s="10" t="str" cm="1">
        <f t="array" ref="E623">IF(AND(A623="2021-02", ISNA(MATCH(B623, _xlfn._xlws.FILTER(B:B, A:A="2021-03"), 0))), "Left", "Ativo")</f>
        <v>Ativo</v>
      </c>
      <c r="F623" s="12" t="str" cm="1">
        <f t="array" ref="F623">IF(AND(A623="2021-03", ISNA(MATCH(B623, _xlfn._xlws.FILTER(B:B, A:A="2021-04"), 0))), "Left", "Ativo")</f>
        <v>Ativo</v>
      </c>
    </row>
    <row r="624" spans="1:6" x14ac:dyDescent="0.25">
      <c r="A624" t="s">
        <v>1528</v>
      </c>
      <c r="B624" t="s">
        <v>623</v>
      </c>
      <c r="C624" s="10" t="str" cm="1">
        <f t="array" ref="C624">IF(AND(A624="2020-12", ISNA(MATCH(B624, _xlfn._xlws.FILTER(B:B, A:A="2021-01"), 0))), "Left", "Ativo")</f>
        <v>Ativo</v>
      </c>
      <c r="D624" s="10" t="str" cm="1">
        <f t="array" ref="D624">IF(AND(A624="2021-01", ISNA(MATCH(B624, _xlfn._xlws.FILTER(B:B, A:A="2021-02"), 0))), "Left", "Ativo")</f>
        <v>Ativo</v>
      </c>
      <c r="E624" s="10" t="str" cm="1">
        <f t="array" ref="E624">IF(AND(A624="2021-02", ISNA(MATCH(B624, _xlfn._xlws.FILTER(B:B, A:A="2021-03"), 0))), "Left", "Ativo")</f>
        <v>Ativo</v>
      </c>
      <c r="F624" s="12" t="str" cm="1">
        <f t="array" ref="F624">IF(AND(A624="2021-03", ISNA(MATCH(B624, _xlfn._xlws.FILTER(B:B, A:A="2021-04"), 0))), "Left", "Ativo")</f>
        <v>Ativo</v>
      </c>
    </row>
    <row r="625" spans="1:6" x14ac:dyDescent="0.25">
      <c r="A625" t="s">
        <v>1528</v>
      </c>
      <c r="B625" t="s">
        <v>624</v>
      </c>
      <c r="C625" s="10" t="str" cm="1">
        <f t="array" ref="C625">IF(AND(A625="2020-12", ISNA(MATCH(B625, _xlfn._xlws.FILTER(B:B, A:A="2021-01"), 0))), "Left", "Ativo")</f>
        <v>Ativo</v>
      </c>
      <c r="D625" s="10" t="str" cm="1">
        <f t="array" ref="D625">IF(AND(A625="2021-01", ISNA(MATCH(B625, _xlfn._xlws.FILTER(B:B, A:A="2021-02"), 0))), "Left", "Ativo")</f>
        <v>Ativo</v>
      </c>
      <c r="E625" s="10" t="str" cm="1">
        <f t="array" ref="E625">IF(AND(A625="2021-02", ISNA(MATCH(B625, _xlfn._xlws.FILTER(B:B, A:A="2021-03"), 0))), "Left", "Ativo")</f>
        <v>Ativo</v>
      </c>
      <c r="F625" s="12" t="str" cm="1">
        <f t="array" ref="F625">IF(AND(A625="2021-03", ISNA(MATCH(B625, _xlfn._xlws.FILTER(B:B, A:A="2021-04"), 0))), "Left", "Ativo")</f>
        <v>Ativo</v>
      </c>
    </row>
    <row r="626" spans="1:6" x14ac:dyDescent="0.25">
      <c r="A626" t="s">
        <v>1528</v>
      </c>
      <c r="B626" t="s">
        <v>625</v>
      </c>
      <c r="C626" s="10" t="str" cm="1">
        <f t="array" ref="C626">IF(AND(A626="2020-12", ISNA(MATCH(B626, _xlfn._xlws.FILTER(B:B, A:A="2021-01"), 0))), "Left", "Ativo")</f>
        <v>Ativo</v>
      </c>
      <c r="D626" s="10" t="str" cm="1">
        <f t="array" ref="D626">IF(AND(A626="2021-01", ISNA(MATCH(B626, _xlfn._xlws.FILTER(B:B, A:A="2021-02"), 0))), "Left", "Ativo")</f>
        <v>Ativo</v>
      </c>
      <c r="E626" s="10" t="str" cm="1">
        <f t="array" ref="E626">IF(AND(A626="2021-02", ISNA(MATCH(B626, _xlfn._xlws.FILTER(B:B, A:A="2021-03"), 0))), "Left", "Ativo")</f>
        <v>Ativo</v>
      </c>
      <c r="F626" s="12" t="str" cm="1">
        <f t="array" ref="F626">IF(AND(A626="2021-03", ISNA(MATCH(B626, _xlfn._xlws.FILTER(B:B, A:A="2021-04"), 0))), "Left", "Ativo")</f>
        <v>Ativo</v>
      </c>
    </row>
    <row r="627" spans="1:6" x14ac:dyDescent="0.25">
      <c r="A627" t="s">
        <v>1528</v>
      </c>
      <c r="B627" t="s">
        <v>626</v>
      </c>
      <c r="C627" s="10" t="str" cm="1">
        <f t="array" ref="C627">IF(AND(A627="2020-12", ISNA(MATCH(B627, _xlfn._xlws.FILTER(B:B, A:A="2021-01"), 0))), "Left", "Ativo")</f>
        <v>Ativo</v>
      </c>
      <c r="D627" s="10" t="str" cm="1">
        <f t="array" ref="D627">IF(AND(A627="2021-01", ISNA(MATCH(B627, _xlfn._xlws.FILTER(B:B, A:A="2021-02"), 0))), "Left", "Ativo")</f>
        <v>Ativo</v>
      </c>
      <c r="E627" s="10" t="str" cm="1">
        <f t="array" ref="E627">IF(AND(A627="2021-02", ISNA(MATCH(B627, _xlfn._xlws.FILTER(B:B, A:A="2021-03"), 0))), "Left", "Ativo")</f>
        <v>Ativo</v>
      </c>
      <c r="F627" s="12" t="str" cm="1">
        <f t="array" ref="F627">IF(AND(A627="2021-03", ISNA(MATCH(B627, _xlfn._xlws.FILTER(B:B, A:A="2021-04"), 0))), "Left", "Ativo")</f>
        <v>Ativo</v>
      </c>
    </row>
    <row r="628" spans="1:6" x14ac:dyDescent="0.25">
      <c r="A628" t="s">
        <v>1528</v>
      </c>
      <c r="B628" t="s">
        <v>627</v>
      </c>
      <c r="C628" s="10" t="str" cm="1">
        <f t="array" ref="C628">IF(AND(A628="2020-12", ISNA(MATCH(B628, _xlfn._xlws.FILTER(B:B, A:A="2021-01"), 0))), "Left", "Ativo")</f>
        <v>Ativo</v>
      </c>
      <c r="D628" s="10" t="str" cm="1">
        <f t="array" ref="D628">IF(AND(A628="2021-01", ISNA(MATCH(B628, _xlfn._xlws.FILTER(B:B, A:A="2021-02"), 0))), "Left", "Ativo")</f>
        <v>Ativo</v>
      </c>
      <c r="E628" s="10" t="str" cm="1">
        <f t="array" ref="E628">IF(AND(A628="2021-02", ISNA(MATCH(B628, _xlfn._xlws.FILTER(B:B, A:A="2021-03"), 0))), "Left", "Ativo")</f>
        <v>Ativo</v>
      </c>
      <c r="F628" s="12" t="str" cm="1">
        <f t="array" ref="F628">IF(AND(A628="2021-03", ISNA(MATCH(B628, _xlfn._xlws.FILTER(B:B, A:A="2021-04"), 0))), "Left", "Ativo")</f>
        <v>Ativo</v>
      </c>
    </row>
    <row r="629" spans="1:6" x14ac:dyDescent="0.25">
      <c r="A629" t="s">
        <v>1528</v>
      </c>
      <c r="B629" t="s">
        <v>628</v>
      </c>
      <c r="C629" s="10" t="str" cm="1">
        <f t="array" ref="C629">IF(AND(A629="2020-12", ISNA(MATCH(B629, _xlfn._xlws.FILTER(B:B, A:A="2021-01"), 0))), "Left", "Ativo")</f>
        <v>Ativo</v>
      </c>
      <c r="D629" s="10" t="str" cm="1">
        <f t="array" ref="D629">IF(AND(A629="2021-01", ISNA(MATCH(B629, _xlfn._xlws.FILTER(B:B, A:A="2021-02"), 0))), "Left", "Ativo")</f>
        <v>Ativo</v>
      </c>
      <c r="E629" s="10" t="str" cm="1">
        <f t="array" ref="E629">IF(AND(A629="2021-02", ISNA(MATCH(B629, _xlfn._xlws.FILTER(B:B, A:A="2021-03"), 0))), "Left", "Ativo")</f>
        <v>Ativo</v>
      </c>
      <c r="F629" s="12" t="str" cm="1">
        <f t="array" ref="F629">IF(AND(A629="2021-03", ISNA(MATCH(B629, _xlfn._xlws.FILTER(B:B, A:A="2021-04"), 0))), "Left", "Ativo")</f>
        <v>Ativo</v>
      </c>
    </row>
    <row r="630" spans="1:6" x14ac:dyDescent="0.25">
      <c r="A630" t="s">
        <v>1528</v>
      </c>
      <c r="B630" t="s">
        <v>629</v>
      </c>
      <c r="C630" s="10" t="str" cm="1">
        <f t="array" ref="C630">IF(AND(A630="2020-12", ISNA(MATCH(B630, _xlfn._xlws.FILTER(B:B, A:A="2021-01"), 0))), "Left", "Ativo")</f>
        <v>Ativo</v>
      </c>
      <c r="D630" s="10" t="str" cm="1">
        <f t="array" ref="D630">IF(AND(A630="2021-01", ISNA(MATCH(B630, _xlfn._xlws.FILTER(B:B, A:A="2021-02"), 0))), "Left", "Ativo")</f>
        <v>Ativo</v>
      </c>
      <c r="E630" s="10" t="str" cm="1">
        <f t="array" ref="E630">IF(AND(A630="2021-02", ISNA(MATCH(B630, _xlfn._xlws.FILTER(B:B, A:A="2021-03"), 0))), "Left", "Ativo")</f>
        <v>Ativo</v>
      </c>
      <c r="F630" s="12" t="str" cm="1">
        <f t="array" ref="F630">IF(AND(A630="2021-03", ISNA(MATCH(B630, _xlfn._xlws.FILTER(B:B, A:A="2021-04"), 0))), "Left", "Ativo")</f>
        <v>Ativo</v>
      </c>
    </row>
    <row r="631" spans="1:6" x14ac:dyDescent="0.25">
      <c r="A631" t="s">
        <v>1528</v>
      </c>
      <c r="B631" t="s">
        <v>630</v>
      </c>
      <c r="C631" s="10" t="str" cm="1">
        <f t="array" ref="C631">IF(AND(A631="2020-12", ISNA(MATCH(B631, _xlfn._xlws.FILTER(B:B, A:A="2021-01"), 0))), "Left", "Ativo")</f>
        <v>Ativo</v>
      </c>
      <c r="D631" s="10" t="str" cm="1">
        <f t="array" ref="D631">IF(AND(A631="2021-01", ISNA(MATCH(B631, _xlfn._xlws.FILTER(B:B, A:A="2021-02"), 0))), "Left", "Ativo")</f>
        <v>Ativo</v>
      </c>
      <c r="E631" s="10" t="str" cm="1">
        <f t="array" ref="E631">IF(AND(A631="2021-02", ISNA(MATCH(B631, _xlfn._xlws.FILTER(B:B, A:A="2021-03"), 0))), "Left", "Ativo")</f>
        <v>Ativo</v>
      </c>
      <c r="F631" s="12" t="str" cm="1">
        <f t="array" ref="F631">IF(AND(A631="2021-03", ISNA(MATCH(B631, _xlfn._xlws.FILTER(B:B, A:A="2021-04"), 0))), "Left", "Ativo")</f>
        <v>Ativo</v>
      </c>
    </row>
    <row r="632" spans="1:6" x14ac:dyDescent="0.25">
      <c r="A632" t="s">
        <v>1528</v>
      </c>
      <c r="B632" t="s">
        <v>631</v>
      </c>
      <c r="C632" s="10" t="str" cm="1">
        <f t="array" ref="C632">IF(AND(A632="2020-12", ISNA(MATCH(B632, _xlfn._xlws.FILTER(B:B, A:A="2021-01"), 0))), "Left", "Ativo")</f>
        <v>Ativo</v>
      </c>
      <c r="D632" s="10" t="str" cm="1">
        <f t="array" ref="D632">IF(AND(A632="2021-01", ISNA(MATCH(B632, _xlfn._xlws.FILTER(B:B, A:A="2021-02"), 0))), "Left", "Ativo")</f>
        <v>Ativo</v>
      </c>
      <c r="E632" s="10" t="str" cm="1">
        <f t="array" ref="E632">IF(AND(A632="2021-02", ISNA(MATCH(B632, _xlfn._xlws.FILTER(B:B, A:A="2021-03"), 0))), "Left", "Ativo")</f>
        <v>Ativo</v>
      </c>
      <c r="F632" s="12" t="str" cm="1">
        <f t="array" ref="F632">IF(AND(A632="2021-03", ISNA(MATCH(B632, _xlfn._xlws.FILTER(B:B, A:A="2021-04"), 0))), "Left", "Ativo")</f>
        <v>Ativo</v>
      </c>
    </row>
    <row r="633" spans="1:6" x14ac:dyDescent="0.25">
      <c r="A633" t="s">
        <v>1528</v>
      </c>
      <c r="B633" t="s">
        <v>632</v>
      </c>
      <c r="C633" s="10" t="str" cm="1">
        <f t="array" ref="C633">IF(AND(A633="2020-12", ISNA(MATCH(B633, _xlfn._xlws.FILTER(B:B, A:A="2021-01"), 0))), "Left", "Ativo")</f>
        <v>Ativo</v>
      </c>
      <c r="D633" s="10" t="str" cm="1">
        <f t="array" ref="D633">IF(AND(A633="2021-01", ISNA(MATCH(B633, _xlfn._xlws.FILTER(B:B, A:A="2021-02"), 0))), "Left", "Ativo")</f>
        <v>Ativo</v>
      </c>
      <c r="E633" s="10" t="str" cm="1">
        <f t="array" ref="E633">IF(AND(A633="2021-02", ISNA(MATCH(B633, _xlfn._xlws.FILTER(B:B, A:A="2021-03"), 0))), "Left", "Ativo")</f>
        <v>Ativo</v>
      </c>
      <c r="F633" s="12" t="str" cm="1">
        <f t="array" ref="F633">IF(AND(A633="2021-03", ISNA(MATCH(B633, _xlfn._xlws.FILTER(B:B, A:A="2021-04"), 0))), "Left", "Ativo")</f>
        <v>Ativo</v>
      </c>
    </row>
    <row r="634" spans="1:6" x14ac:dyDescent="0.25">
      <c r="A634" t="s">
        <v>1528</v>
      </c>
      <c r="B634" t="s">
        <v>633</v>
      </c>
      <c r="C634" s="10" t="str" cm="1">
        <f t="array" ref="C634">IF(AND(A634="2020-12", ISNA(MATCH(B634, _xlfn._xlws.FILTER(B:B, A:A="2021-01"), 0))), "Left", "Ativo")</f>
        <v>Ativo</v>
      </c>
      <c r="D634" s="10" t="str" cm="1">
        <f t="array" ref="D634">IF(AND(A634="2021-01", ISNA(MATCH(B634, _xlfn._xlws.FILTER(B:B, A:A="2021-02"), 0))), "Left", "Ativo")</f>
        <v>Ativo</v>
      </c>
      <c r="E634" s="10" t="str" cm="1">
        <f t="array" ref="E634">IF(AND(A634="2021-02", ISNA(MATCH(B634, _xlfn._xlws.FILTER(B:B, A:A="2021-03"), 0))), "Left", "Ativo")</f>
        <v>Ativo</v>
      </c>
      <c r="F634" s="12" t="str" cm="1">
        <f t="array" ref="F634">IF(AND(A634="2021-03", ISNA(MATCH(B634, _xlfn._xlws.FILTER(B:B, A:A="2021-04"), 0))), "Left", "Ativo")</f>
        <v>Ativo</v>
      </c>
    </row>
    <row r="635" spans="1:6" x14ac:dyDescent="0.25">
      <c r="A635" t="s">
        <v>1528</v>
      </c>
      <c r="B635" t="s">
        <v>634</v>
      </c>
      <c r="C635" s="10" t="str" cm="1">
        <f t="array" ref="C635">IF(AND(A635="2020-12", ISNA(MATCH(B635, _xlfn._xlws.FILTER(B:B, A:A="2021-01"), 0))), "Left", "Ativo")</f>
        <v>Ativo</v>
      </c>
      <c r="D635" s="10" t="str" cm="1">
        <f t="array" ref="D635">IF(AND(A635="2021-01", ISNA(MATCH(B635, _xlfn._xlws.FILTER(B:B, A:A="2021-02"), 0))), "Left", "Ativo")</f>
        <v>Ativo</v>
      </c>
      <c r="E635" s="10" t="str" cm="1">
        <f t="array" ref="E635">IF(AND(A635="2021-02", ISNA(MATCH(B635, _xlfn._xlws.FILTER(B:B, A:A="2021-03"), 0))), "Left", "Ativo")</f>
        <v>Ativo</v>
      </c>
      <c r="F635" s="12" t="str" cm="1">
        <f t="array" ref="F635">IF(AND(A635="2021-03", ISNA(MATCH(B635, _xlfn._xlws.FILTER(B:B, A:A="2021-04"), 0))), "Left", "Ativo")</f>
        <v>Ativo</v>
      </c>
    </row>
    <row r="636" spans="1:6" x14ac:dyDescent="0.25">
      <c r="A636" t="s">
        <v>1528</v>
      </c>
      <c r="B636" t="s">
        <v>635</v>
      </c>
      <c r="C636" s="10" t="str" cm="1">
        <f t="array" ref="C636">IF(AND(A636="2020-12", ISNA(MATCH(B636, _xlfn._xlws.FILTER(B:B, A:A="2021-01"), 0))), "Left", "Ativo")</f>
        <v>Ativo</v>
      </c>
      <c r="D636" s="10" t="str" cm="1">
        <f t="array" ref="D636">IF(AND(A636="2021-01", ISNA(MATCH(B636, _xlfn._xlws.FILTER(B:B, A:A="2021-02"), 0))), "Left", "Ativo")</f>
        <v>Ativo</v>
      </c>
      <c r="E636" s="10" t="str" cm="1">
        <f t="array" ref="E636">IF(AND(A636="2021-02", ISNA(MATCH(B636, _xlfn._xlws.FILTER(B:B, A:A="2021-03"), 0))), "Left", "Ativo")</f>
        <v>Ativo</v>
      </c>
      <c r="F636" s="12" t="str" cm="1">
        <f t="array" ref="F636">IF(AND(A636="2021-03", ISNA(MATCH(B636, _xlfn._xlws.FILTER(B:B, A:A="2021-04"), 0))), "Left", "Ativo")</f>
        <v>Ativo</v>
      </c>
    </row>
    <row r="637" spans="1:6" x14ac:dyDescent="0.25">
      <c r="A637" t="s">
        <v>1528</v>
      </c>
      <c r="B637" t="s">
        <v>636</v>
      </c>
      <c r="C637" s="10" t="str" cm="1">
        <f t="array" ref="C637">IF(AND(A637="2020-12", ISNA(MATCH(B637, _xlfn._xlws.FILTER(B:B, A:A="2021-01"), 0))), "Left", "Ativo")</f>
        <v>Ativo</v>
      </c>
      <c r="D637" s="10" t="str" cm="1">
        <f t="array" ref="D637">IF(AND(A637="2021-01", ISNA(MATCH(B637, _xlfn._xlws.FILTER(B:B, A:A="2021-02"), 0))), "Left", "Ativo")</f>
        <v>Ativo</v>
      </c>
      <c r="E637" s="10" t="str" cm="1">
        <f t="array" ref="E637">IF(AND(A637="2021-02", ISNA(MATCH(B637, _xlfn._xlws.FILTER(B:B, A:A="2021-03"), 0))), "Left", "Ativo")</f>
        <v>Ativo</v>
      </c>
      <c r="F637" s="12" t="str" cm="1">
        <f t="array" ref="F637">IF(AND(A637="2021-03", ISNA(MATCH(B637, _xlfn._xlws.FILTER(B:B, A:A="2021-04"), 0))), "Left", "Ativo")</f>
        <v>Ativo</v>
      </c>
    </row>
    <row r="638" spans="1:6" x14ac:dyDescent="0.25">
      <c r="A638" t="s">
        <v>1528</v>
      </c>
      <c r="B638" t="s">
        <v>637</v>
      </c>
      <c r="C638" s="10" t="str" cm="1">
        <f t="array" ref="C638">IF(AND(A638="2020-12", ISNA(MATCH(B638, _xlfn._xlws.FILTER(B:B, A:A="2021-01"), 0))), "Left", "Ativo")</f>
        <v>Ativo</v>
      </c>
      <c r="D638" s="10" t="str" cm="1">
        <f t="array" ref="D638">IF(AND(A638="2021-01", ISNA(MATCH(B638, _xlfn._xlws.FILTER(B:B, A:A="2021-02"), 0))), "Left", "Ativo")</f>
        <v>Ativo</v>
      </c>
      <c r="E638" s="10" t="str" cm="1">
        <f t="array" ref="E638">IF(AND(A638="2021-02", ISNA(MATCH(B638, _xlfn._xlws.FILTER(B:B, A:A="2021-03"), 0))), "Left", "Ativo")</f>
        <v>Ativo</v>
      </c>
      <c r="F638" s="12" t="str" cm="1">
        <f t="array" ref="F638">IF(AND(A638="2021-03", ISNA(MATCH(B638, _xlfn._xlws.FILTER(B:B, A:A="2021-04"), 0))), "Left", "Ativo")</f>
        <v>Ativo</v>
      </c>
    </row>
    <row r="639" spans="1:6" x14ac:dyDescent="0.25">
      <c r="A639" t="s">
        <v>1528</v>
      </c>
      <c r="B639" t="s">
        <v>638</v>
      </c>
      <c r="C639" s="10" t="str" cm="1">
        <f t="array" ref="C639">IF(AND(A639="2020-12", ISNA(MATCH(B639, _xlfn._xlws.FILTER(B:B, A:A="2021-01"), 0))), "Left", "Ativo")</f>
        <v>Ativo</v>
      </c>
      <c r="D639" s="10" t="str" cm="1">
        <f t="array" ref="D639">IF(AND(A639="2021-01", ISNA(MATCH(B639, _xlfn._xlws.FILTER(B:B, A:A="2021-02"), 0))), "Left", "Ativo")</f>
        <v>Ativo</v>
      </c>
      <c r="E639" s="10" t="str" cm="1">
        <f t="array" ref="E639">IF(AND(A639="2021-02", ISNA(MATCH(B639, _xlfn._xlws.FILTER(B:B, A:A="2021-03"), 0))), "Left", "Ativo")</f>
        <v>Ativo</v>
      </c>
      <c r="F639" s="12" t="str" cm="1">
        <f t="array" ref="F639">IF(AND(A639="2021-03", ISNA(MATCH(B639, _xlfn._xlws.FILTER(B:B, A:A="2021-04"), 0))), "Left", "Ativo")</f>
        <v>Ativo</v>
      </c>
    </row>
    <row r="640" spans="1:6" x14ac:dyDescent="0.25">
      <c r="A640" t="s">
        <v>1528</v>
      </c>
      <c r="B640" t="s">
        <v>639</v>
      </c>
      <c r="C640" s="10" t="str" cm="1">
        <f t="array" ref="C640">IF(AND(A640="2020-12", ISNA(MATCH(B640, _xlfn._xlws.FILTER(B:B, A:A="2021-01"), 0))), "Left", "Ativo")</f>
        <v>Ativo</v>
      </c>
      <c r="D640" s="10" t="str" cm="1">
        <f t="array" ref="D640">IF(AND(A640="2021-01", ISNA(MATCH(B640, _xlfn._xlws.FILTER(B:B, A:A="2021-02"), 0))), "Left", "Ativo")</f>
        <v>Ativo</v>
      </c>
      <c r="E640" s="10" t="str" cm="1">
        <f t="array" ref="E640">IF(AND(A640="2021-02", ISNA(MATCH(B640, _xlfn._xlws.FILTER(B:B, A:A="2021-03"), 0))), "Left", "Ativo")</f>
        <v>Ativo</v>
      </c>
      <c r="F640" s="12" t="str" cm="1">
        <f t="array" ref="F640">IF(AND(A640="2021-03", ISNA(MATCH(B640, _xlfn._xlws.FILTER(B:B, A:A="2021-04"), 0))), "Left", "Ativo")</f>
        <v>Ativo</v>
      </c>
    </row>
    <row r="641" spans="1:6" x14ac:dyDescent="0.25">
      <c r="A641" t="s">
        <v>1528</v>
      </c>
      <c r="B641" t="s">
        <v>640</v>
      </c>
      <c r="C641" s="10" t="str" cm="1">
        <f t="array" ref="C641">IF(AND(A641="2020-12", ISNA(MATCH(B641, _xlfn._xlws.FILTER(B:B, A:A="2021-01"), 0))), "Left", "Ativo")</f>
        <v>Ativo</v>
      </c>
      <c r="D641" s="10" t="str" cm="1">
        <f t="array" ref="D641">IF(AND(A641="2021-01", ISNA(MATCH(B641, _xlfn._xlws.FILTER(B:B, A:A="2021-02"), 0))), "Left", "Ativo")</f>
        <v>Ativo</v>
      </c>
      <c r="E641" s="10" t="str" cm="1">
        <f t="array" ref="E641">IF(AND(A641="2021-02", ISNA(MATCH(B641, _xlfn._xlws.FILTER(B:B, A:A="2021-03"), 0))), "Left", "Ativo")</f>
        <v>Ativo</v>
      </c>
      <c r="F641" s="12" t="str" cm="1">
        <f t="array" ref="F641">IF(AND(A641="2021-03", ISNA(MATCH(B641, _xlfn._xlws.FILTER(B:B, A:A="2021-04"), 0))), "Left", "Ativo")</f>
        <v>Ativo</v>
      </c>
    </row>
    <row r="642" spans="1:6" x14ac:dyDescent="0.25">
      <c r="A642" t="s">
        <v>1528</v>
      </c>
      <c r="B642" t="s">
        <v>641</v>
      </c>
      <c r="C642" s="10" t="str" cm="1">
        <f t="array" ref="C642">IF(AND(A642="2020-12", ISNA(MATCH(B642, _xlfn._xlws.FILTER(B:B, A:A="2021-01"), 0))), "Left", "Ativo")</f>
        <v>Ativo</v>
      </c>
      <c r="D642" s="10" t="str" cm="1">
        <f t="array" ref="D642">IF(AND(A642="2021-01", ISNA(MATCH(B642, _xlfn._xlws.FILTER(B:B, A:A="2021-02"), 0))), "Left", "Ativo")</f>
        <v>Ativo</v>
      </c>
      <c r="E642" s="10" t="str" cm="1">
        <f t="array" ref="E642">IF(AND(A642="2021-02", ISNA(MATCH(B642, _xlfn._xlws.FILTER(B:B, A:A="2021-03"), 0))), "Left", "Ativo")</f>
        <v>Ativo</v>
      </c>
      <c r="F642" s="12" t="str" cm="1">
        <f t="array" ref="F642">IF(AND(A642="2021-03", ISNA(MATCH(B642, _xlfn._xlws.FILTER(B:B, A:A="2021-04"), 0))), "Left", "Ativo")</f>
        <v>Ativo</v>
      </c>
    </row>
    <row r="643" spans="1:6" x14ac:dyDescent="0.25">
      <c r="A643" t="s">
        <v>1528</v>
      </c>
      <c r="B643" t="s">
        <v>642</v>
      </c>
      <c r="C643" s="10" t="str" cm="1">
        <f t="array" ref="C643">IF(AND(A643="2020-12", ISNA(MATCH(B643, _xlfn._xlws.FILTER(B:B, A:A="2021-01"), 0))), "Left", "Ativo")</f>
        <v>Ativo</v>
      </c>
      <c r="D643" s="10" t="str" cm="1">
        <f t="array" ref="D643">IF(AND(A643="2021-01", ISNA(MATCH(B643, _xlfn._xlws.FILTER(B:B, A:A="2021-02"), 0))), "Left", "Ativo")</f>
        <v>Ativo</v>
      </c>
      <c r="E643" s="10" t="str" cm="1">
        <f t="array" ref="E643">IF(AND(A643="2021-02", ISNA(MATCH(B643, _xlfn._xlws.FILTER(B:B, A:A="2021-03"), 0))), "Left", "Ativo")</f>
        <v>Ativo</v>
      </c>
      <c r="F643" s="12" t="str" cm="1">
        <f t="array" ref="F643">IF(AND(A643="2021-03", ISNA(MATCH(B643, _xlfn._xlws.FILTER(B:B, A:A="2021-04"), 0))), "Left", "Ativo")</f>
        <v>Ativo</v>
      </c>
    </row>
    <row r="644" spans="1:6" x14ac:dyDescent="0.25">
      <c r="A644" t="s">
        <v>1528</v>
      </c>
      <c r="B644" t="s">
        <v>643</v>
      </c>
      <c r="C644" s="10" t="str" cm="1">
        <f t="array" ref="C644">IF(AND(A644="2020-12", ISNA(MATCH(B644, _xlfn._xlws.FILTER(B:B, A:A="2021-01"), 0))), "Left", "Ativo")</f>
        <v>Ativo</v>
      </c>
      <c r="D644" s="10" t="str" cm="1">
        <f t="array" ref="D644">IF(AND(A644="2021-01", ISNA(MATCH(B644, _xlfn._xlws.FILTER(B:B, A:A="2021-02"), 0))), "Left", "Ativo")</f>
        <v>Ativo</v>
      </c>
      <c r="E644" s="10" t="str" cm="1">
        <f t="array" ref="E644">IF(AND(A644="2021-02", ISNA(MATCH(B644, _xlfn._xlws.FILTER(B:B, A:A="2021-03"), 0))), "Left", "Ativo")</f>
        <v>Ativo</v>
      </c>
      <c r="F644" s="12" t="str" cm="1">
        <f t="array" ref="F644">IF(AND(A644="2021-03", ISNA(MATCH(B644, _xlfn._xlws.FILTER(B:B, A:A="2021-04"), 0))), "Left", "Ativo")</f>
        <v>Ativo</v>
      </c>
    </row>
    <row r="645" spans="1:6" x14ac:dyDescent="0.25">
      <c r="A645" t="s">
        <v>1528</v>
      </c>
      <c r="B645" t="s">
        <v>644</v>
      </c>
      <c r="C645" s="10" t="str" cm="1">
        <f t="array" ref="C645">IF(AND(A645="2020-12", ISNA(MATCH(B645, _xlfn._xlws.FILTER(B:B, A:A="2021-01"), 0))), "Left", "Ativo")</f>
        <v>Ativo</v>
      </c>
      <c r="D645" s="10" t="str" cm="1">
        <f t="array" ref="D645">IF(AND(A645="2021-01", ISNA(MATCH(B645, _xlfn._xlws.FILTER(B:B, A:A="2021-02"), 0))), "Left", "Ativo")</f>
        <v>Ativo</v>
      </c>
      <c r="E645" s="10" t="str" cm="1">
        <f t="array" ref="E645">IF(AND(A645="2021-02", ISNA(MATCH(B645, _xlfn._xlws.FILTER(B:B, A:A="2021-03"), 0))), "Left", "Ativo")</f>
        <v>Ativo</v>
      </c>
      <c r="F645" s="12" t="str" cm="1">
        <f t="array" ref="F645">IF(AND(A645="2021-03", ISNA(MATCH(B645, _xlfn._xlws.FILTER(B:B, A:A="2021-04"), 0))), "Left", "Ativo")</f>
        <v>Ativo</v>
      </c>
    </row>
    <row r="646" spans="1:6" x14ac:dyDescent="0.25">
      <c r="A646" t="s">
        <v>1528</v>
      </c>
      <c r="B646" t="s">
        <v>645</v>
      </c>
      <c r="C646" s="10" t="str" cm="1">
        <f t="array" ref="C646">IF(AND(A646="2020-12", ISNA(MATCH(B646, _xlfn._xlws.FILTER(B:B, A:A="2021-01"), 0))), "Left", "Ativo")</f>
        <v>Ativo</v>
      </c>
      <c r="D646" s="10" t="str" cm="1">
        <f t="array" ref="D646">IF(AND(A646="2021-01", ISNA(MATCH(B646, _xlfn._xlws.FILTER(B:B, A:A="2021-02"), 0))), "Left", "Ativo")</f>
        <v>Ativo</v>
      </c>
      <c r="E646" s="10" t="str" cm="1">
        <f t="array" ref="E646">IF(AND(A646="2021-02", ISNA(MATCH(B646, _xlfn._xlws.FILTER(B:B, A:A="2021-03"), 0))), "Left", "Ativo")</f>
        <v>Ativo</v>
      </c>
      <c r="F646" s="12" t="str" cm="1">
        <f t="array" ref="F646">IF(AND(A646="2021-03", ISNA(MATCH(B646, _xlfn._xlws.FILTER(B:B, A:A="2021-04"), 0))), "Left", "Ativo")</f>
        <v>Ativo</v>
      </c>
    </row>
    <row r="647" spans="1:6" x14ac:dyDescent="0.25">
      <c r="A647" t="s">
        <v>1528</v>
      </c>
      <c r="B647" t="s">
        <v>646</v>
      </c>
      <c r="C647" s="10" t="str" cm="1">
        <f t="array" ref="C647">IF(AND(A647="2020-12", ISNA(MATCH(B647, _xlfn._xlws.FILTER(B:B, A:A="2021-01"), 0))), "Left", "Ativo")</f>
        <v>Ativo</v>
      </c>
      <c r="D647" s="10" t="str" cm="1">
        <f t="array" ref="D647">IF(AND(A647="2021-01", ISNA(MATCH(B647, _xlfn._xlws.FILTER(B:B, A:A="2021-02"), 0))), "Left", "Ativo")</f>
        <v>Ativo</v>
      </c>
      <c r="E647" s="10" t="str" cm="1">
        <f t="array" ref="E647">IF(AND(A647="2021-02", ISNA(MATCH(B647, _xlfn._xlws.FILTER(B:B, A:A="2021-03"), 0))), "Left", "Ativo")</f>
        <v>Ativo</v>
      </c>
      <c r="F647" s="12" t="str" cm="1">
        <f t="array" ref="F647">IF(AND(A647="2021-03", ISNA(MATCH(B647, _xlfn._xlws.FILTER(B:B, A:A="2021-04"), 0))), "Left", "Ativo")</f>
        <v>Ativo</v>
      </c>
    </row>
    <row r="648" spans="1:6" x14ac:dyDescent="0.25">
      <c r="A648" t="s">
        <v>1528</v>
      </c>
      <c r="B648" t="s">
        <v>647</v>
      </c>
      <c r="C648" s="10" t="str" cm="1">
        <f t="array" ref="C648">IF(AND(A648="2020-12", ISNA(MATCH(B648, _xlfn._xlws.FILTER(B:B, A:A="2021-01"), 0))), "Left", "Ativo")</f>
        <v>Ativo</v>
      </c>
      <c r="D648" s="10" t="str" cm="1">
        <f t="array" ref="D648">IF(AND(A648="2021-01", ISNA(MATCH(B648, _xlfn._xlws.FILTER(B:B, A:A="2021-02"), 0))), "Left", "Ativo")</f>
        <v>Ativo</v>
      </c>
      <c r="E648" s="10" t="str" cm="1">
        <f t="array" ref="E648">IF(AND(A648="2021-02", ISNA(MATCH(B648, _xlfn._xlws.FILTER(B:B, A:A="2021-03"), 0))), "Left", "Ativo")</f>
        <v>Ativo</v>
      </c>
      <c r="F648" s="12" t="str" cm="1">
        <f t="array" ref="F648">IF(AND(A648="2021-03", ISNA(MATCH(B648, _xlfn._xlws.FILTER(B:B, A:A="2021-04"), 0))), "Left", "Ativo")</f>
        <v>Ativo</v>
      </c>
    </row>
    <row r="649" spans="1:6" x14ac:dyDescent="0.25">
      <c r="A649" t="s">
        <v>1528</v>
      </c>
      <c r="B649" t="s">
        <v>648</v>
      </c>
      <c r="C649" s="10" t="str" cm="1">
        <f t="array" ref="C649">IF(AND(A649="2020-12", ISNA(MATCH(B649, _xlfn._xlws.FILTER(B:B, A:A="2021-01"), 0))), "Left", "Ativo")</f>
        <v>Ativo</v>
      </c>
      <c r="D649" s="10" t="str" cm="1">
        <f t="array" ref="D649">IF(AND(A649="2021-01", ISNA(MATCH(B649, _xlfn._xlws.FILTER(B:B, A:A="2021-02"), 0))), "Left", "Ativo")</f>
        <v>Ativo</v>
      </c>
      <c r="E649" s="10" t="str" cm="1">
        <f t="array" ref="E649">IF(AND(A649="2021-02", ISNA(MATCH(B649, _xlfn._xlws.FILTER(B:B, A:A="2021-03"), 0))), "Left", "Ativo")</f>
        <v>Ativo</v>
      </c>
      <c r="F649" s="12" t="str" cm="1">
        <f t="array" ref="F649">IF(AND(A649="2021-03", ISNA(MATCH(B649, _xlfn._xlws.FILTER(B:B, A:A="2021-04"), 0))), "Left", "Ativo")</f>
        <v>Ativo</v>
      </c>
    </row>
    <row r="650" spans="1:6" x14ac:dyDescent="0.25">
      <c r="A650" t="s">
        <v>1528</v>
      </c>
      <c r="B650" t="s">
        <v>649</v>
      </c>
      <c r="C650" s="10" t="str" cm="1">
        <f t="array" ref="C650">IF(AND(A650="2020-12", ISNA(MATCH(B650, _xlfn._xlws.FILTER(B:B, A:A="2021-01"), 0))), "Left", "Ativo")</f>
        <v>Ativo</v>
      </c>
      <c r="D650" s="10" t="str" cm="1">
        <f t="array" ref="D650">IF(AND(A650="2021-01", ISNA(MATCH(B650, _xlfn._xlws.FILTER(B:B, A:A="2021-02"), 0))), "Left", "Ativo")</f>
        <v>Ativo</v>
      </c>
      <c r="E650" s="10" t="str" cm="1">
        <f t="array" ref="E650">IF(AND(A650="2021-02", ISNA(MATCH(B650, _xlfn._xlws.FILTER(B:B, A:A="2021-03"), 0))), "Left", "Ativo")</f>
        <v>Ativo</v>
      </c>
      <c r="F650" s="12" t="str" cm="1">
        <f t="array" ref="F650">IF(AND(A650="2021-03", ISNA(MATCH(B650, _xlfn._xlws.FILTER(B:B, A:A="2021-04"), 0))), "Left", "Ativo")</f>
        <v>Ativo</v>
      </c>
    </row>
    <row r="651" spans="1:6" x14ac:dyDescent="0.25">
      <c r="A651" t="s">
        <v>1528</v>
      </c>
      <c r="B651" t="s">
        <v>650</v>
      </c>
      <c r="C651" s="10" t="str" cm="1">
        <f t="array" ref="C651">IF(AND(A651="2020-12", ISNA(MATCH(B651, _xlfn._xlws.FILTER(B:B, A:A="2021-01"), 0))), "Left", "Ativo")</f>
        <v>Ativo</v>
      </c>
      <c r="D651" s="10" t="str" cm="1">
        <f t="array" ref="D651">IF(AND(A651="2021-01", ISNA(MATCH(B651, _xlfn._xlws.FILTER(B:B, A:A="2021-02"), 0))), "Left", "Ativo")</f>
        <v>Ativo</v>
      </c>
      <c r="E651" s="10" t="str" cm="1">
        <f t="array" ref="E651">IF(AND(A651="2021-02", ISNA(MATCH(B651, _xlfn._xlws.FILTER(B:B, A:A="2021-03"), 0))), "Left", "Ativo")</f>
        <v>Ativo</v>
      </c>
      <c r="F651" s="12" t="str" cm="1">
        <f t="array" ref="F651">IF(AND(A651="2021-03", ISNA(MATCH(B651, _xlfn._xlws.FILTER(B:B, A:A="2021-04"), 0))), "Left", "Ativo")</f>
        <v>Ativo</v>
      </c>
    </row>
    <row r="652" spans="1:6" x14ac:dyDescent="0.25">
      <c r="A652" t="s">
        <v>1528</v>
      </c>
      <c r="B652" t="s">
        <v>651</v>
      </c>
      <c r="C652" s="10" t="str" cm="1">
        <f t="array" ref="C652">IF(AND(A652="2020-12", ISNA(MATCH(B652, _xlfn._xlws.FILTER(B:B, A:A="2021-01"), 0))), "Left", "Ativo")</f>
        <v>Ativo</v>
      </c>
      <c r="D652" s="10" t="str" cm="1">
        <f t="array" ref="D652">IF(AND(A652="2021-01", ISNA(MATCH(B652, _xlfn._xlws.FILTER(B:B, A:A="2021-02"), 0))), "Left", "Ativo")</f>
        <v>Ativo</v>
      </c>
      <c r="E652" s="10" t="str" cm="1">
        <f t="array" ref="E652">IF(AND(A652="2021-02", ISNA(MATCH(B652, _xlfn._xlws.FILTER(B:B, A:A="2021-03"), 0))), "Left", "Ativo")</f>
        <v>Ativo</v>
      </c>
      <c r="F652" s="12" t="str" cm="1">
        <f t="array" ref="F652">IF(AND(A652="2021-03", ISNA(MATCH(B652, _xlfn._xlws.FILTER(B:B, A:A="2021-04"), 0))), "Left", "Ativo")</f>
        <v>Ativo</v>
      </c>
    </row>
    <row r="653" spans="1:6" x14ac:dyDescent="0.25">
      <c r="A653" t="s">
        <v>1528</v>
      </c>
      <c r="B653" t="s">
        <v>652</v>
      </c>
      <c r="C653" s="10" t="str" cm="1">
        <f t="array" ref="C653">IF(AND(A653="2020-12", ISNA(MATCH(B653, _xlfn._xlws.FILTER(B:B, A:A="2021-01"), 0))), "Left", "Ativo")</f>
        <v>Ativo</v>
      </c>
      <c r="D653" s="10" t="str" cm="1">
        <f t="array" ref="D653">IF(AND(A653="2021-01", ISNA(MATCH(B653, _xlfn._xlws.FILTER(B:B, A:A="2021-02"), 0))), "Left", "Ativo")</f>
        <v>Ativo</v>
      </c>
      <c r="E653" s="10" t="str" cm="1">
        <f t="array" ref="E653">IF(AND(A653="2021-02", ISNA(MATCH(B653, _xlfn._xlws.FILTER(B:B, A:A="2021-03"), 0))), "Left", "Ativo")</f>
        <v>Ativo</v>
      </c>
      <c r="F653" s="12" t="str" cm="1">
        <f t="array" ref="F653">IF(AND(A653="2021-03", ISNA(MATCH(B653, _xlfn._xlws.FILTER(B:B, A:A="2021-04"), 0))), "Left", "Ativo")</f>
        <v>Ativo</v>
      </c>
    </row>
    <row r="654" spans="1:6" x14ac:dyDescent="0.25">
      <c r="A654" t="s">
        <v>1528</v>
      </c>
      <c r="B654" t="s">
        <v>653</v>
      </c>
      <c r="C654" s="10" t="str" cm="1">
        <f t="array" ref="C654">IF(AND(A654="2020-12", ISNA(MATCH(B654, _xlfn._xlws.FILTER(B:B, A:A="2021-01"), 0))), "Left", "Ativo")</f>
        <v>Ativo</v>
      </c>
      <c r="D654" s="10" t="str" cm="1">
        <f t="array" ref="D654">IF(AND(A654="2021-01", ISNA(MATCH(B654, _xlfn._xlws.FILTER(B:B, A:A="2021-02"), 0))), "Left", "Ativo")</f>
        <v>Ativo</v>
      </c>
      <c r="E654" s="10" t="str" cm="1">
        <f t="array" ref="E654">IF(AND(A654="2021-02", ISNA(MATCH(B654, _xlfn._xlws.FILTER(B:B, A:A="2021-03"), 0))), "Left", "Ativo")</f>
        <v>Ativo</v>
      </c>
      <c r="F654" s="12" t="str" cm="1">
        <f t="array" ref="F654">IF(AND(A654="2021-03", ISNA(MATCH(B654, _xlfn._xlws.FILTER(B:B, A:A="2021-04"), 0))), "Left", "Ativo")</f>
        <v>Ativo</v>
      </c>
    </row>
    <row r="655" spans="1:6" x14ac:dyDescent="0.25">
      <c r="A655" t="s">
        <v>1528</v>
      </c>
      <c r="B655" t="s">
        <v>654</v>
      </c>
      <c r="C655" s="10" t="str" cm="1">
        <f t="array" ref="C655">IF(AND(A655="2020-12", ISNA(MATCH(B655, _xlfn._xlws.FILTER(B:B, A:A="2021-01"), 0))), "Left", "Ativo")</f>
        <v>Ativo</v>
      </c>
      <c r="D655" s="10" t="str" cm="1">
        <f t="array" ref="D655">IF(AND(A655="2021-01", ISNA(MATCH(B655, _xlfn._xlws.FILTER(B:B, A:A="2021-02"), 0))), "Left", "Ativo")</f>
        <v>Ativo</v>
      </c>
      <c r="E655" s="10" t="str" cm="1">
        <f t="array" ref="E655">IF(AND(A655="2021-02", ISNA(MATCH(B655, _xlfn._xlws.FILTER(B:B, A:A="2021-03"), 0))), "Left", "Ativo")</f>
        <v>Ativo</v>
      </c>
      <c r="F655" s="12" t="str" cm="1">
        <f t="array" ref="F655">IF(AND(A655="2021-03", ISNA(MATCH(B655, _xlfn._xlws.FILTER(B:B, A:A="2021-04"), 0))), "Left", "Ativo")</f>
        <v>Ativo</v>
      </c>
    </row>
    <row r="656" spans="1:6" x14ac:dyDescent="0.25">
      <c r="A656" t="s">
        <v>1528</v>
      </c>
      <c r="B656" t="s">
        <v>655</v>
      </c>
      <c r="C656" s="10" t="str" cm="1">
        <f t="array" ref="C656">IF(AND(A656="2020-12", ISNA(MATCH(B656, _xlfn._xlws.FILTER(B:B, A:A="2021-01"), 0))), "Left", "Ativo")</f>
        <v>Ativo</v>
      </c>
      <c r="D656" s="10" t="str" cm="1">
        <f t="array" ref="D656">IF(AND(A656="2021-01", ISNA(MATCH(B656, _xlfn._xlws.FILTER(B:B, A:A="2021-02"), 0))), "Left", "Ativo")</f>
        <v>Ativo</v>
      </c>
      <c r="E656" s="10" t="str" cm="1">
        <f t="array" ref="E656">IF(AND(A656="2021-02", ISNA(MATCH(B656, _xlfn._xlws.FILTER(B:B, A:A="2021-03"), 0))), "Left", "Ativo")</f>
        <v>Ativo</v>
      </c>
      <c r="F656" s="12" t="str" cm="1">
        <f t="array" ref="F656">IF(AND(A656="2021-03", ISNA(MATCH(B656, _xlfn._xlws.FILTER(B:B, A:A="2021-04"), 0))), "Left", "Ativo")</f>
        <v>Ativo</v>
      </c>
    </row>
    <row r="657" spans="1:6" x14ac:dyDescent="0.25">
      <c r="A657" t="s">
        <v>1528</v>
      </c>
      <c r="B657" t="s">
        <v>656</v>
      </c>
      <c r="C657" s="10" t="str" cm="1">
        <f t="array" ref="C657">IF(AND(A657="2020-12", ISNA(MATCH(B657, _xlfn._xlws.FILTER(B:B, A:A="2021-01"), 0))), "Left", "Ativo")</f>
        <v>Ativo</v>
      </c>
      <c r="D657" s="10" t="str" cm="1">
        <f t="array" ref="D657">IF(AND(A657="2021-01", ISNA(MATCH(B657, _xlfn._xlws.FILTER(B:B, A:A="2021-02"), 0))), "Left", "Ativo")</f>
        <v>Ativo</v>
      </c>
      <c r="E657" s="10" t="str" cm="1">
        <f t="array" ref="E657">IF(AND(A657="2021-02", ISNA(MATCH(B657, _xlfn._xlws.FILTER(B:B, A:A="2021-03"), 0))), "Left", "Ativo")</f>
        <v>Ativo</v>
      </c>
      <c r="F657" s="12" t="str" cm="1">
        <f t="array" ref="F657">IF(AND(A657="2021-03", ISNA(MATCH(B657, _xlfn._xlws.FILTER(B:B, A:A="2021-04"), 0))), "Left", "Ativo")</f>
        <v>Ativo</v>
      </c>
    </row>
    <row r="658" spans="1:6" x14ac:dyDescent="0.25">
      <c r="A658" t="s">
        <v>1528</v>
      </c>
      <c r="B658" t="s">
        <v>657</v>
      </c>
      <c r="C658" s="10" t="str" cm="1">
        <f t="array" ref="C658">IF(AND(A658="2020-12", ISNA(MATCH(B658, _xlfn._xlws.FILTER(B:B, A:A="2021-01"), 0))), "Left", "Ativo")</f>
        <v>Ativo</v>
      </c>
      <c r="D658" s="10" t="str" cm="1">
        <f t="array" ref="D658">IF(AND(A658="2021-01", ISNA(MATCH(B658, _xlfn._xlws.FILTER(B:B, A:A="2021-02"), 0))), "Left", "Ativo")</f>
        <v>Ativo</v>
      </c>
      <c r="E658" s="10" t="str" cm="1">
        <f t="array" ref="E658">IF(AND(A658="2021-02", ISNA(MATCH(B658, _xlfn._xlws.FILTER(B:B, A:A="2021-03"), 0))), "Left", "Ativo")</f>
        <v>Ativo</v>
      </c>
      <c r="F658" s="12" t="str" cm="1">
        <f t="array" ref="F658">IF(AND(A658="2021-03", ISNA(MATCH(B658, _xlfn._xlws.FILTER(B:B, A:A="2021-04"), 0))), "Left", "Ativo")</f>
        <v>Ativo</v>
      </c>
    </row>
    <row r="659" spans="1:6" x14ac:dyDescent="0.25">
      <c r="A659" t="s">
        <v>1528</v>
      </c>
      <c r="B659" t="s">
        <v>658</v>
      </c>
      <c r="C659" s="10" t="str" cm="1">
        <f t="array" ref="C659">IF(AND(A659="2020-12", ISNA(MATCH(B659, _xlfn._xlws.FILTER(B:B, A:A="2021-01"), 0))), "Left", "Ativo")</f>
        <v>Ativo</v>
      </c>
      <c r="D659" s="10" t="str" cm="1">
        <f t="array" ref="D659">IF(AND(A659="2021-01", ISNA(MATCH(B659, _xlfn._xlws.FILTER(B:B, A:A="2021-02"), 0))), "Left", "Ativo")</f>
        <v>Ativo</v>
      </c>
      <c r="E659" s="10" t="str" cm="1">
        <f t="array" ref="E659">IF(AND(A659="2021-02", ISNA(MATCH(B659, _xlfn._xlws.FILTER(B:B, A:A="2021-03"), 0))), "Left", "Ativo")</f>
        <v>Ativo</v>
      </c>
      <c r="F659" s="12" t="str" cm="1">
        <f t="array" ref="F659">IF(AND(A659="2021-03", ISNA(MATCH(B659, _xlfn._xlws.FILTER(B:B, A:A="2021-04"), 0))), "Left", "Ativo")</f>
        <v>Ativo</v>
      </c>
    </row>
    <row r="660" spans="1:6" x14ac:dyDescent="0.25">
      <c r="A660" t="s">
        <v>1528</v>
      </c>
      <c r="B660" t="s">
        <v>659</v>
      </c>
      <c r="C660" s="10" t="str" cm="1">
        <f t="array" ref="C660">IF(AND(A660="2020-12", ISNA(MATCH(B660, _xlfn._xlws.FILTER(B:B, A:A="2021-01"), 0))), "Left", "Ativo")</f>
        <v>Ativo</v>
      </c>
      <c r="D660" s="10" t="str" cm="1">
        <f t="array" ref="D660">IF(AND(A660="2021-01", ISNA(MATCH(B660, _xlfn._xlws.FILTER(B:B, A:A="2021-02"), 0))), "Left", "Ativo")</f>
        <v>Ativo</v>
      </c>
      <c r="E660" s="10" t="str" cm="1">
        <f t="array" ref="E660">IF(AND(A660="2021-02", ISNA(MATCH(B660, _xlfn._xlws.FILTER(B:B, A:A="2021-03"), 0))), "Left", "Ativo")</f>
        <v>Ativo</v>
      </c>
      <c r="F660" s="12" t="str" cm="1">
        <f t="array" ref="F660">IF(AND(A660="2021-03", ISNA(MATCH(B660, _xlfn._xlws.FILTER(B:B, A:A="2021-04"), 0))), "Left", "Ativo")</f>
        <v>Ativo</v>
      </c>
    </row>
    <row r="661" spans="1:6" x14ac:dyDescent="0.25">
      <c r="A661" t="s">
        <v>1528</v>
      </c>
      <c r="B661" t="s">
        <v>660</v>
      </c>
      <c r="C661" s="10" t="str" cm="1">
        <f t="array" ref="C661">IF(AND(A661="2020-12", ISNA(MATCH(B661, _xlfn._xlws.FILTER(B:B, A:A="2021-01"), 0))), "Left", "Ativo")</f>
        <v>Ativo</v>
      </c>
      <c r="D661" s="10" t="str" cm="1">
        <f t="array" ref="D661">IF(AND(A661="2021-01", ISNA(MATCH(B661, _xlfn._xlws.FILTER(B:B, A:A="2021-02"), 0))), "Left", "Ativo")</f>
        <v>Ativo</v>
      </c>
      <c r="E661" s="10" t="str" cm="1">
        <f t="array" ref="E661">IF(AND(A661="2021-02", ISNA(MATCH(B661, _xlfn._xlws.FILTER(B:B, A:A="2021-03"), 0))), "Left", "Ativo")</f>
        <v>Ativo</v>
      </c>
      <c r="F661" s="12" t="str" cm="1">
        <f t="array" ref="F661">IF(AND(A661="2021-03", ISNA(MATCH(B661, _xlfn._xlws.FILTER(B:B, A:A="2021-04"), 0))), "Left", "Ativo")</f>
        <v>Ativo</v>
      </c>
    </row>
    <row r="662" spans="1:6" x14ac:dyDescent="0.25">
      <c r="A662" t="s">
        <v>1528</v>
      </c>
      <c r="B662" t="s">
        <v>661</v>
      </c>
      <c r="C662" s="10" t="str" cm="1">
        <f t="array" ref="C662">IF(AND(A662="2020-12", ISNA(MATCH(B662, _xlfn._xlws.FILTER(B:B, A:A="2021-01"), 0))), "Left", "Ativo")</f>
        <v>Ativo</v>
      </c>
      <c r="D662" s="10" t="str" cm="1">
        <f t="array" ref="D662">IF(AND(A662="2021-01", ISNA(MATCH(B662, _xlfn._xlws.FILTER(B:B, A:A="2021-02"), 0))), "Left", "Ativo")</f>
        <v>Ativo</v>
      </c>
      <c r="E662" s="10" t="str" cm="1">
        <f t="array" ref="E662">IF(AND(A662="2021-02", ISNA(MATCH(B662, _xlfn._xlws.FILTER(B:B, A:A="2021-03"), 0))), "Left", "Ativo")</f>
        <v>Ativo</v>
      </c>
      <c r="F662" s="12" t="str" cm="1">
        <f t="array" ref="F662">IF(AND(A662="2021-03", ISNA(MATCH(B662, _xlfn._xlws.FILTER(B:B, A:A="2021-04"), 0))), "Left", "Ativo")</f>
        <v>Ativo</v>
      </c>
    </row>
    <row r="663" spans="1:6" x14ac:dyDescent="0.25">
      <c r="A663" t="s">
        <v>1528</v>
      </c>
      <c r="B663" t="s">
        <v>662</v>
      </c>
      <c r="C663" s="10" t="str" cm="1">
        <f t="array" ref="C663">IF(AND(A663="2020-12", ISNA(MATCH(B663, _xlfn._xlws.FILTER(B:B, A:A="2021-01"), 0))), "Left", "Ativo")</f>
        <v>Ativo</v>
      </c>
      <c r="D663" s="10" t="str" cm="1">
        <f t="array" ref="D663">IF(AND(A663="2021-01", ISNA(MATCH(B663, _xlfn._xlws.FILTER(B:B, A:A="2021-02"), 0))), "Left", "Ativo")</f>
        <v>Ativo</v>
      </c>
      <c r="E663" s="10" t="str" cm="1">
        <f t="array" ref="E663">IF(AND(A663="2021-02", ISNA(MATCH(B663, _xlfn._xlws.FILTER(B:B, A:A="2021-03"), 0))), "Left", "Ativo")</f>
        <v>Ativo</v>
      </c>
      <c r="F663" s="12" t="str" cm="1">
        <f t="array" ref="F663">IF(AND(A663="2021-03", ISNA(MATCH(B663, _xlfn._xlws.FILTER(B:B, A:A="2021-04"), 0))), "Left", "Ativo")</f>
        <v>Ativo</v>
      </c>
    </row>
    <row r="664" spans="1:6" x14ac:dyDescent="0.25">
      <c r="A664" t="s">
        <v>1528</v>
      </c>
      <c r="B664" t="s">
        <v>663</v>
      </c>
      <c r="C664" s="10" t="str" cm="1">
        <f t="array" ref="C664">IF(AND(A664="2020-12", ISNA(MATCH(B664, _xlfn._xlws.FILTER(B:B, A:A="2021-01"), 0))), "Left", "Ativo")</f>
        <v>Ativo</v>
      </c>
      <c r="D664" s="10" t="str" cm="1">
        <f t="array" ref="D664">IF(AND(A664="2021-01", ISNA(MATCH(B664, _xlfn._xlws.FILTER(B:B, A:A="2021-02"), 0))), "Left", "Ativo")</f>
        <v>Ativo</v>
      </c>
      <c r="E664" s="10" t="str" cm="1">
        <f t="array" ref="E664">IF(AND(A664="2021-02", ISNA(MATCH(B664, _xlfn._xlws.FILTER(B:B, A:A="2021-03"), 0))), "Left", "Ativo")</f>
        <v>Ativo</v>
      </c>
      <c r="F664" s="12" t="str" cm="1">
        <f t="array" ref="F664">IF(AND(A664="2021-03", ISNA(MATCH(B664, _xlfn._xlws.FILTER(B:B, A:A="2021-04"), 0))), "Left", "Ativo")</f>
        <v>Ativo</v>
      </c>
    </row>
    <row r="665" spans="1:6" x14ac:dyDescent="0.25">
      <c r="A665" t="s">
        <v>1528</v>
      </c>
      <c r="B665" t="s">
        <v>664</v>
      </c>
      <c r="C665" s="10" t="str" cm="1">
        <f t="array" ref="C665">IF(AND(A665="2020-12", ISNA(MATCH(B665, _xlfn._xlws.FILTER(B:B, A:A="2021-01"), 0))), "Left", "Ativo")</f>
        <v>Ativo</v>
      </c>
      <c r="D665" s="10" t="str" cm="1">
        <f t="array" ref="D665">IF(AND(A665="2021-01", ISNA(MATCH(B665, _xlfn._xlws.FILTER(B:B, A:A="2021-02"), 0))), "Left", "Ativo")</f>
        <v>Ativo</v>
      </c>
      <c r="E665" s="10" t="str" cm="1">
        <f t="array" ref="E665">IF(AND(A665="2021-02", ISNA(MATCH(B665, _xlfn._xlws.FILTER(B:B, A:A="2021-03"), 0))), "Left", "Ativo")</f>
        <v>Ativo</v>
      </c>
      <c r="F665" s="12" t="str" cm="1">
        <f t="array" ref="F665">IF(AND(A665="2021-03", ISNA(MATCH(B665, _xlfn._xlws.FILTER(B:B, A:A="2021-04"), 0))), "Left", "Ativo")</f>
        <v>Ativo</v>
      </c>
    </row>
    <row r="666" spans="1:6" x14ac:dyDescent="0.25">
      <c r="A666" t="s">
        <v>1528</v>
      </c>
      <c r="B666" t="s">
        <v>665</v>
      </c>
      <c r="C666" s="10" t="str" cm="1">
        <f t="array" ref="C666">IF(AND(A666="2020-12", ISNA(MATCH(B666, _xlfn._xlws.FILTER(B:B, A:A="2021-01"), 0))), "Left", "Ativo")</f>
        <v>Ativo</v>
      </c>
      <c r="D666" s="10" t="str" cm="1">
        <f t="array" ref="D666">IF(AND(A666="2021-01", ISNA(MATCH(B666, _xlfn._xlws.FILTER(B:B, A:A="2021-02"), 0))), "Left", "Ativo")</f>
        <v>Ativo</v>
      </c>
      <c r="E666" s="10" t="str" cm="1">
        <f t="array" ref="E666">IF(AND(A666="2021-02", ISNA(MATCH(B666, _xlfn._xlws.FILTER(B:B, A:A="2021-03"), 0))), "Left", "Ativo")</f>
        <v>Ativo</v>
      </c>
      <c r="F666" s="12" t="str" cm="1">
        <f t="array" ref="F666">IF(AND(A666="2021-03", ISNA(MATCH(B666, _xlfn._xlws.FILTER(B:B, A:A="2021-04"), 0))), "Left", "Ativo")</f>
        <v>Ativo</v>
      </c>
    </row>
    <row r="667" spans="1:6" x14ac:dyDescent="0.25">
      <c r="A667" t="s">
        <v>1528</v>
      </c>
      <c r="B667" t="s">
        <v>666</v>
      </c>
      <c r="C667" s="10" t="str" cm="1">
        <f t="array" ref="C667">IF(AND(A667="2020-12", ISNA(MATCH(B667, _xlfn._xlws.FILTER(B:B, A:A="2021-01"), 0))), "Left", "Ativo")</f>
        <v>Ativo</v>
      </c>
      <c r="D667" s="10" t="str" cm="1">
        <f t="array" ref="D667">IF(AND(A667="2021-01", ISNA(MATCH(B667, _xlfn._xlws.FILTER(B:B, A:A="2021-02"), 0))), "Left", "Ativo")</f>
        <v>Ativo</v>
      </c>
      <c r="E667" s="10" t="str" cm="1">
        <f t="array" ref="E667">IF(AND(A667="2021-02", ISNA(MATCH(B667, _xlfn._xlws.FILTER(B:B, A:A="2021-03"), 0))), "Left", "Ativo")</f>
        <v>Ativo</v>
      </c>
      <c r="F667" s="12" t="str" cm="1">
        <f t="array" ref="F667">IF(AND(A667="2021-03", ISNA(MATCH(B667, _xlfn._xlws.FILTER(B:B, A:A="2021-04"), 0))), "Left", "Ativo")</f>
        <v>Ativo</v>
      </c>
    </row>
    <row r="668" spans="1:6" x14ac:dyDescent="0.25">
      <c r="A668" t="s">
        <v>1528</v>
      </c>
      <c r="B668" t="s">
        <v>667</v>
      </c>
      <c r="C668" s="10" t="str" cm="1">
        <f t="array" ref="C668">IF(AND(A668="2020-12", ISNA(MATCH(B668, _xlfn._xlws.FILTER(B:B, A:A="2021-01"), 0))), "Left", "Ativo")</f>
        <v>Ativo</v>
      </c>
      <c r="D668" s="10" t="str" cm="1">
        <f t="array" ref="D668">IF(AND(A668="2021-01", ISNA(MATCH(B668, _xlfn._xlws.FILTER(B:B, A:A="2021-02"), 0))), "Left", "Ativo")</f>
        <v>Ativo</v>
      </c>
      <c r="E668" s="10" t="str" cm="1">
        <f t="array" ref="E668">IF(AND(A668="2021-02", ISNA(MATCH(B668, _xlfn._xlws.FILTER(B:B, A:A="2021-03"), 0))), "Left", "Ativo")</f>
        <v>Ativo</v>
      </c>
      <c r="F668" s="12" t="str" cm="1">
        <f t="array" ref="F668">IF(AND(A668="2021-03", ISNA(MATCH(B668, _xlfn._xlws.FILTER(B:B, A:A="2021-04"), 0))), "Left", "Ativo")</f>
        <v>Ativo</v>
      </c>
    </row>
    <row r="669" spans="1:6" x14ac:dyDescent="0.25">
      <c r="A669" t="s">
        <v>1528</v>
      </c>
      <c r="B669" t="s">
        <v>668</v>
      </c>
      <c r="C669" s="10" t="str" cm="1">
        <f t="array" ref="C669">IF(AND(A669="2020-12", ISNA(MATCH(B669, _xlfn._xlws.FILTER(B:B, A:A="2021-01"), 0))), "Left", "Ativo")</f>
        <v>Ativo</v>
      </c>
      <c r="D669" s="10" t="str" cm="1">
        <f t="array" ref="D669">IF(AND(A669="2021-01", ISNA(MATCH(B669, _xlfn._xlws.FILTER(B:B, A:A="2021-02"), 0))), "Left", "Ativo")</f>
        <v>Ativo</v>
      </c>
      <c r="E669" s="10" t="str" cm="1">
        <f t="array" ref="E669">IF(AND(A669="2021-02", ISNA(MATCH(B669, _xlfn._xlws.FILTER(B:B, A:A="2021-03"), 0))), "Left", "Ativo")</f>
        <v>Ativo</v>
      </c>
      <c r="F669" s="12" t="str" cm="1">
        <f t="array" ref="F669">IF(AND(A669="2021-03", ISNA(MATCH(B669, _xlfn._xlws.FILTER(B:B, A:A="2021-04"), 0))), "Left", "Ativo")</f>
        <v>Ativo</v>
      </c>
    </row>
    <row r="670" spans="1:6" x14ac:dyDescent="0.25">
      <c r="A670" t="s">
        <v>1528</v>
      </c>
      <c r="B670" t="s">
        <v>669</v>
      </c>
      <c r="C670" s="10" t="str" cm="1">
        <f t="array" ref="C670">IF(AND(A670="2020-12", ISNA(MATCH(B670, _xlfn._xlws.FILTER(B:B, A:A="2021-01"), 0))), "Left", "Ativo")</f>
        <v>Ativo</v>
      </c>
      <c r="D670" s="10" t="str" cm="1">
        <f t="array" ref="D670">IF(AND(A670="2021-01", ISNA(MATCH(B670, _xlfn._xlws.FILTER(B:B, A:A="2021-02"), 0))), "Left", "Ativo")</f>
        <v>Ativo</v>
      </c>
      <c r="E670" s="10" t="str" cm="1">
        <f t="array" ref="E670">IF(AND(A670="2021-02", ISNA(MATCH(B670, _xlfn._xlws.FILTER(B:B, A:A="2021-03"), 0))), "Left", "Ativo")</f>
        <v>Ativo</v>
      </c>
      <c r="F670" s="12" t="str" cm="1">
        <f t="array" ref="F670">IF(AND(A670="2021-03", ISNA(MATCH(B670, _xlfn._xlws.FILTER(B:B, A:A="2021-04"), 0))), "Left", "Ativo")</f>
        <v>Ativo</v>
      </c>
    </row>
    <row r="671" spans="1:6" x14ac:dyDescent="0.25">
      <c r="A671" t="s">
        <v>1528</v>
      </c>
      <c r="B671" t="s">
        <v>670</v>
      </c>
      <c r="C671" s="10" t="str" cm="1">
        <f t="array" ref="C671">IF(AND(A671="2020-12", ISNA(MATCH(B671, _xlfn._xlws.FILTER(B:B, A:A="2021-01"), 0))), "Left", "Ativo")</f>
        <v>Ativo</v>
      </c>
      <c r="D671" s="10" t="str" cm="1">
        <f t="array" ref="D671">IF(AND(A671="2021-01", ISNA(MATCH(B671, _xlfn._xlws.FILTER(B:B, A:A="2021-02"), 0))), "Left", "Ativo")</f>
        <v>Ativo</v>
      </c>
      <c r="E671" s="10" t="str" cm="1">
        <f t="array" ref="E671">IF(AND(A671="2021-02", ISNA(MATCH(B671, _xlfn._xlws.FILTER(B:B, A:A="2021-03"), 0))), "Left", "Ativo")</f>
        <v>Ativo</v>
      </c>
      <c r="F671" s="12" t="str" cm="1">
        <f t="array" ref="F671">IF(AND(A671="2021-03", ISNA(MATCH(B671, _xlfn._xlws.FILTER(B:B, A:A="2021-04"), 0))), "Left", "Ativo")</f>
        <v>Ativo</v>
      </c>
    </row>
    <row r="672" spans="1:6" x14ac:dyDescent="0.25">
      <c r="A672" t="s">
        <v>1528</v>
      </c>
      <c r="B672" t="s">
        <v>671</v>
      </c>
      <c r="C672" s="10" t="str" cm="1">
        <f t="array" ref="C672">IF(AND(A672="2020-12", ISNA(MATCH(B672, _xlfn._xlws.FILTER(B:B, A:A="2021-01"), 0))), "Left", "Ativo")</f>
        <v>Ativo</v>
      </c>
      <c r="D672" s="10" t="str" cm="1">
        <f t="array" ref="D672">IF(AND(A672="2021-01", ISNA(MATCH(B672, _xlfn._xlws.FILTER(B:B, A:A="2021-02"), 0))), "Left", "Ativo")</f>
        <v>Ativo</v>
      </c>
      <c r="E672" s="10" t="str" cm="1">
        <f t="array" ref="E672">IF(AND(A672="2021-02", ISNA(MATCH(B672, _xlfn._xlws.FILTER(B:B, A:A="2021-03"), 0))), "Left", "Ativo")</f>
        <v>Ativo</v>
      </c>
      <c r="F672" s="12" t="str" cm="1">
        <f t="array" ref="F672">IF(AND(A672="2021-03", ISNA(MATCH(B672, _xlfn._xlws.FILTER(B:B, A:A="2021-04"), 0))), "Left", "Ativo")</f>
        <v>Ativo</v>
      </c>
    </row>
    <row r="673" spans="1:6" x14ac:dyDescent="0.25">
      <c r="A673" t="s">
        <v>1528</v>
      </c>
      <c r="B673" t="s">
        <v>672</v>
      </c>
      <c r="C673" s="10" t="str" cm="1">
        <f t="array" ref="C673">IF(AND(A673="2020-12", ISNA(MATCH(B673, _xlfn._xlws.FILTER(B:B, A:A="2021-01"), 0))), "Left", "Ativo")</f>
        <v>Ativo</v>
      </c>
      <c r="D673" s="10" t="str" cm="1">
        <f t="array" ref="D673">IF(AND(A673="2021-01", ISNA(MATCH(B673, _xlfn._xlws.FILTER(B:B, A:A="2021-02"), 0))), "Left", "Ativo")</f>
        <v>Ativo</v>
      </c>
      <c r="E673" s="10" t="str" cm="1">
        <f t="array" ref="E673">IF(AND(A673="2021-02", ISNA(MATCH(B673, _xlfn._xlws.FILTER(B:B, A:A="2021-03"), 0))), "Left", "Ativo")</f>
        <v>Ativo</v>
      </c>
      <c r="F673" s="12" t="str" cm="1">
        <f t="array" ref="F673">IF(AND(A673="2021-03", ISNA(MATCH(B673, _xlfn._xlws.FILTER(B:B, A:A="2021-04"), 0))), "Left", "Ativo")</f>
        <v>Ativo</v>
      </c>
    </row>
    <row r="674" spans="1:6" x14ac:dyDescent="0.25">
      <c r="A674" t="s">
        <v>1528</v>
      </c>
      <c r="B674" t="s">
        <v>673</v>
      </c>
      <c r="C674" s="10" t="str" cm="1">
        <f t="array" ref="C674">IF(AND(A674="2020-12", ISNA(MATCH(B674, _xlfn._xlws.FILTER(B:B, A:A="2021-01"), 0))), "Left", "Ativo")</f>
        <v>Ativo</v>
      </c>
      <c r="D674" s="10" t="str" cm="1">
        <f t="array" ref="D674">IF(AND(A674="2021-01", ISNA(MATCH(B674, _xlfn._xlws.FILTER(B:B, A:A="2021-02"), 0))), "Left", "Ativo")</f>
        <v>Ativo</v>
      </c>
      <c r="E674" s="10" t="str" cm="1">
        <f t="array" ref="E674">IF(AND(A674="2021-02", ISNA(MATCH(B674, _xlfn._xlws.FILTER(B:B, A:A="2021-03"), 0))), "Left", "Ativo")</f>
        <v>Ativo</v>
      </c>
      <c r="F674" s="12" t="str" cm="1">
        <f t="array" ref="F674">IF(AND(A674="2021-03", ISNA(MATCH(B674, _xlfn._xlws.FILTER(B:B, A:A="2021-04"), 0))), "Left", "Ativo")</f>
        <v>Ativo</v>
      </c>
    </row>
    <row r="675" spans="1:6" x14ac:dyDescent="0.25">
      <c r="A675" t="s">
        <v>1528</v>
      </c>
      <c r="B675" t="s">
        <v>674</v>
      </c>
      <c r="C675" s="10" t="str" cm="1">
        <f t="array" ref="C675">IF(AND(A675="2020-12", ISNA(MATCH(B675, _xlfn._xlws.FILTER(B:B, A:A="2021-01"), 0))), "Left", "Ativo")</f>
        <v>Ativo</v>
      </c>
      <c r="D675" s="10" t="str" cm="1">
        <f t="array" ref="D675">IF(AND(A675="2021-01", ISNA(MATCH(B675, _xlfn._xlws.FILTER(B:B, A:A="2021-02"), 0))), "Left", "Ativo")</f>
        <v>Ativo</v>
      </c>
      <c r="E675" s="10" t="str" cm="1">
        <f t="array" ref="E675">IF(AND(A675="2021-02", ISNA(MATCH(B675, _xlfn._xlws.FILTER(B:B, A:A="2021-03"), 0))), "Left", "Ativo")</f>
        <v>Ativo</v>
      </c>
      <c r="F675" s="12" t="str" cm="1">
        <f t="array" ref="F675">IF(AND(A675="2021-03", ISNA(MATCH(B675, _xlfn._xlws.FILTER(B:B, A:A="2021-04"), 0))), "Left", "Ativo")</f>
        <v>Ativo</v>
      </c>
    </row>
    <row r="676" spans="1:6" x14ac:dyDescent="0.25">
      <c r="A676" t="s">
        <v>1528</v>
      </c>
      <c r="B676" t="s">
        <v>675</v>
      </c>
      <c r="C676" s="10" t="str" cm="1">
        <f t="array" ref="C676">IF(AND(A676="2020-12", ISNA(MATCH(B676, _xlfn._xlws.FILTER(B:B, A:A="2021-01"), 0))), "Left", "Ativo")</f>
        <v>Ativo</v>
      </c>
      <c r="D676" s="10" t="str" cm="1">
        <f t="array" ref="D676">IF(AND(A676="2021-01", ISNA(MATCH(B676, _xlfn._xlws.FILTER(B:B, A:A="2021-02"), 0))), "Left", "Ativo")</f>
        <v>Ativo</v>
      </c>
      <c r="E676" s="10" t="str" cm="1">
        <f t="array" ref="E676">IF(AND(A676="2021-02", ISNA(MATCH(B676, _xlfn._xlws.FILTER(B:B, A:A="2021-03"), 0))), "Left", "Ativo")</f>
        <v>Ativo</v>
      </c>
      <c r="F676" s="12" t="str" cm="1">
        <f t="array" ref="F676">IF(AND(A676="2021-03", ISNA(MATCH(B676, _xlfn._xlws.FILTER(B:B, A:A="2021-04"), 0))), "Left", "Ativo")</f>
        <v>Ativo</v>
      </c>
    </row>
    <row r="677" spans="1:6" x14ac:dyDescent="0.25">
      <c r="A677" t="s">
        <v>1528</v>
      </c>
      <c r="B677" t="s">
        <v>676</v>
      </c>
      <c r="C677" s="10" t="str" cm="1">
        <f t="array" ref="C677">IF(AND(A677="2020-12", ISNA(MATCH(B677, _xlfn._xlws.FILTER(B:B, A:A="2021-01"), 0))), "Left", "Ativo")</f>
        <v>Ativo</v>
      </c>
      <c r="D677" s="10" t="str" cm="1">
        <f t="array" ref="D677">IF(AND(A677="2021-01", ISNA(MATCH(B677, _xlfn._xlws.FILTER(B:B, A:A="2021-02"), 0))), "Left", "Ativo")</f>
        <v>Ativo</v>
      </c>
      <c r="E677" s="10" t="str" cm="1">
        <f t="array" ref="E677">IF(AND(A677="2021-02", ISNA(MATCH(B677, _xlfn._xlws.FILTER(B:B, A:A="2021-03"), 0))), "Left", "Ativo")</f>
        <v>Ativo</v>
      </c>
      <c r="F677" s="12" t="str" cm="1">
        <f t="array" ref="F677">IF(AND(A677="2021-03", ISNA(MATCH(B677, _xlfn._xlws.FILTER(B:B, A:A="2021-04"), 0))), "Left", "Ativo")</f>
        <v>Ativo</v>
      </c>
    </row>
    <row r="678" spans="1:6" x14ac:dyDescent="0.25">
      <c r="A678" t="s">
        <v>1528</v>
      </c>
      <c r="B678" t="s">
        <v>677</v>
      </c>
      <c r="C678" s="10" t="str" cm="1">
        <f t="array" ref="C678">IF(AND(A678="2020-12", ISNA(MATCH(B678, _xlfn._xlws.FILTER(B:B, A:A="2021-01"), 0))), "Left", "Ativo")</f>
        <v>Ativo</v>
      </c>
      <c r="D678" s="10" t="str" cm="1">
        <f t="array" ref="D678">IF(AND(A678="2021-01", ISNA(MATCH(B678, _xlfn._xlws.FILTER(B:B, A:A="2021-02"), 0))), "Left", "Ativo")</f>
        <v>Ativo</v>
      </c>
      <c r="E678" s="10" t="str" cm="1">
        <f t="array" ref="E678">IF(AND(A678="2021-02", ISNA(MATCH(B678, _xlfn._xlws.FILTER(B:B, A:A="2021-03"), 0))), "Left", "Ativo")</f>
        <v>Ativo</v>
      </c>
      <c r="F678" s="12" t="str" cm="1">
        <f t="array" ref="F678">IF(AND(A678="2021-03", ISNA(MATCH(B678, _xlfn._xlws.FILTER(B:B, A:A="2021-04"), 0))), "Left", "Ativo")</f>
        <v>Ativo</v>
      </c>
    </row>
    <row r="679" spans="1:6" x14ac:dyDescent="0.25">
      <c r="A679" t="s">
        <v>1528</v>
      </c>
      <c r="B679" t="s">
        <v>678</v>
      </c>
      <c r="C679" s="10" t="str" cm="1">
        <f t="array" ref="C679">IF(AND(A679="2020-12", ISNA(MATCH(B679, _xlfn._xlws.FILTER(B:B, A:A="2021-01"), 0))), "Left", "Ativo")</f>
        <v>Ativo</v>
      </c>
      <c r="D679" s="10" t="str" cm="1">
        <f t="array" ref="D679">IF(AND(A679="2021-01", ISNA(MATCH(B679, _xlfn._xlws.FILTER(B:B, A:A="2021-02"), 0))), "Left", "Ativo")</f>
        <v>Ativo</v>
      </c>
      <c r="E679" s="10" t="str" cm="1">
        <f t="array" ref="E679">IF(AND(A679="2021-02", ISNA(MATCH(B679, _xlfn._xlws.FILTER(B:B, A:A="2021-03"), 0))), "Left", "Ativo")</f>
        <v>Ativo</v>
      </c>
      <c r="F679" s="12" t="str" cm="1">
        <f t="array" ref="F679">IF(AND(A679="2021-03", ISNA(MATCH(B679, _xlfn._xlws.FILTER(B:B, A:A="2021-04"), 0))), "Left", "Ativo")</f>
        <v>Ativo</v>
      </c>
    </row>
    <row r="680" spans="1:6" x14ac:dyDescent="0.25">
      <c r="A680" t="s">
        <v>1528</v>
      </c>
      <c r="B680" t="s">
        <v>679</v>
      </c>
      <c r="C680" s="10" t="str" cm="1">
        <f t="array" ref="C680">IF(AND(A680="2020-12", ISNA(MATCH(B680, _xlfn._xlws.FILTER(B:B, A:A="2021-01"), 0))), "Left", "Ativo")</f>
        <v>Ativo</v>
      </c>
      <c r="D680" s="10" t="str" cm="1">
        <f t="array" ref="D680">IF(AND(A680="2021-01", ISNA(MATCH(B680, _xlfn._xlws.FILTER(B:B, A:A="2021-02"), 0))), "Left", "Ativo")</f>
        <v>Ativo</v>
      </c>
      <c r="E680" s="10" t="str" cm="1">
        <f t="array" ref="E680">IF(AND(A680="2021-02", ISNA(MATCH(B680, _xlfn._xlws.FILTER(B:B, A:A="2021-03"), 0))), "Left", "Ativo")</f>
        <v>Ativo</v>
      </c>
      <c r="F680" s="12" t="str" cm="1">
        <f t="array" ref="F680">IF(AND(A680="2021-03", ISNA(MATCH(B680, _xlfn._xlws.FILTER(B:B, A:A="2021-04"), 0))), "Left", "Ativo")</f>
        <v>Ativo</v>
      </c>
    </row>
    <row r="681" spans="1:6" x14ac:dyDescent="0.25">
      <c r="A681" t="s">
        <v>1528</v>
      </c>
      <c r="B681" t="s">
        <v>680</v>
      </c>
      <c r="C681" s="10" t="str" cm="1">
        <f t="array" ref="C681">IF(AND(A681="2020-12", ISNA(MATCH(B681, _xlfn._xlws.FILTER(B:B, A:A="2021-01"), 0))), "Left", "Ativo")</f>
        <v>Ativo</v>
      </c>
      <c r="D681" s="10" t="str" cm="1">
        <f t="array" ref="D681">IF(AND(A681="2021-01", ISNA(MATCH(B681, _xlfn._xlws.FILTER(B:B, A:A="2021-02"), 0))), "Left", "Ativo")</f>
        <v>Ativo</v>
      </c>
      <c r="E681" s="10" t="str" cm="1">
        <f t="array" ref="E681">IF(AND(A681="2021-02", ISNA(MATCH(B681, _xlfn._xlws.FILTER(B:B, A:A="2021-03"), 0))), "Left", "Ativo")</f>
        <v>Ativo</v>
      </c>
      <c r="F681" s="12" t="str" cm="1">
        <f t="array" ref="F681">IF(AND(A681="2021-03", ISNA(MATCH(B681, _xlfn._xlws.FILTER(B:B, A:A="2021-04"), 0))), "Left", "Ativo")</f>
        <v>Ativo</v>
      </c>
    </row>
    <row r="682" spans="1:6" x14ac:dyDescent="0.25">
      <c r="A682" t="s">
        <v>1528</v>
      </c>
      <c r="B682" t="s">
        <v>681</v>
      </c>
      <c r="C682" s="10" t="str" cm="1">
        <f t="array" ref="C682">IF(AND(A682="2020-12", ISNA(MATCH(B682, _xlfn._xlws.FILTER(B:B, A:A="2021-01"), 0))), "Left", "Ativo")</f>
        <v>Ativo</v>
      </c>
      <c r="D682" s="10" t="str" cm="1">
        <f t="array" ref="D682">IF(AND(A682="2021-01", ISNA(MATCH(B682, _xlfn._xlws.FILTER(B:B, A:A="2021-02"), 0))), "Left", "Ativo")</f>
        <v>Ativo</v>
      </c>
      <c r="E682" s="10" t="str" cm="1">
        <f t="array" ref="E682">IF(AND(A682="2021-02", ISNA(MATCH(B682, _xlfn._xlws.FILTER(B:B, A:A="2021-03"), 0))), "Left", "Ativo")</f>
        <v>Ativo</v>
      </c>
      <c r="F682" s="12" t="str" cm="1">
        <f t="array" ref="F682">IF(AND(A682="2021-03", ISNA(MATCH(B682, _xlfn._xlws.FILTER(B:B, A:A="2021-04"), 0))), "Left", "Ativo")</f>
        <v>Ativo</v>
      </c>
    </row>
    <row r="683" spans="1:6" x14ac:dyDescent="0.25">
      <c r="A683" t="s">
        <v>1528</v>
      </c>
      <c r="B683" t="s">
        <v>682</v>
      </c>
      <c r="C683" s="10" t="str" cm="1">
        <f t="array" ref="C683">IF(AND(A683="2020-12", ISNA(MATCH(B683, _xlfn._xlws.FILTER(B:B, A:A="2021-01"), 0))), "Left", "Ativo")</f>
        <v>Ativo</v>
      </c>
      <c r="D683" s="10" t="str" cm="1">
        <f t="array" ref="D683">IF(AND(A683="2021-01", ISNA(MATCH(B683, _xlfn._xlws.FILTER(B:B, A:A="2021-02"), 0))), "Left", "Ativo")</f>
        <v>Ativo</v>
      </c>
      <c r="E683" s="10" t="str" cm="1">
        <f t="array" ref="E683">IF(AND(A683="2021-02", ISNA(MATCH(B683, _xlfn._xlws.FILTER(B:B, A:A="2021-03"), 0))), "Left", "Ativo")</f>
        <v>Ativo</v>
      </c>
      <c r="F683" s="12" t="str" cm="1">
        <f t="array" ref="F683">IF(AND(A683="2021-03", ISNA(MATCH(B683, _xlfn._xlws.FILTER(B:B, A:A="2021-04"), 0))), "Left", "Ativo")</f>
        <v>Ativo</v>
      </c>
    </row>
    <row r="684" spans="1:6" x14ac:dyDescent="0.25">
      <c r="A684" t="s">
        <v>1528</v>
      </c>
      <c r="B684" t="s">
        <v>683</v>
      </c>
      <c r="C684" s="10" t="str" cm="1">
        <f t="array" ref="C684">IF(AND(A684="2020-12", ISNA(MATCH(B684, _xlfn._xlws.FILTER(B:B, A:A="2021-01"), 0))), "Left", "Ativo")</f>
        <v>Ativo</v>
      </c>
      <c r="D684" s="10" t="str" cm="1">
        <f t="array" ref="D684">IF(AND(A684="2021-01", ISNA(MATCH(B684, _xlfn._xlws.FILTER(B:B, A:A="2021-02"), 0))), "Left", "Ativo")</f>
        <v>Ativo</v>
      </c>
      <c r="E684" s="10" t="str" cm="1">
        <f t="array" ref="E684">IF(AND(A684="2021-02", ISNA(MATCH(B684, _xlfn._xlws.FILTER(B:B, A:A="2021-03"), 0))), "Left", "Ativo")</f>
        <v>Ativo</v>
      </c>
      <c r="F684" s="12" t="str" cm="1">
        <f t="array" ref="F684">IF(AND(A684="2021-03", ISNA(MATCH(B684, _xlfn._xlws.FILTER(B:B, A:A="2021-04"), 0))), "Left", "Ativo")</f>
        <v>Ativo</v>
      </c>
    </row>
    <row r="685" spans="1:6" x14ac:dyDescent="0.25">
      <c r="A685" t="s">
        <v>1528</v>
      </c>
      <c r="B685" t="s">
        <v>684</v>
      </c>
      <c r="C685" s="10" t="str" cm="1">
        <f t="array" ref="C685">IF(AND(A685="2020-12", ISNA(MATCH(B685, _xlfn._xlws.FILTER(B:B, A:A="2021-01"), 0))), "Left", "Ativo")</f>
        <v>Ativo</v>
      </c>
      <c r="D685" s="10" t="str" cm="1">
        <f t="array" ref="D685">IF(AND(A685="2021-01", ISNA(MATCH(B685, _xlfn._xlws.FILTER(B:B, A:A="2021-02"), 0))), "Left", "Ativo")</f>
        <v>Ativo</v>
      </c>
      <c r="E685" s="10" t="str" cm="1">
        <f t="array" ref="E685">IF(AND(A685="2021-02", ISNA(MATCH(B685, _xlfn._xlws.FILTER(B:B, A:A="2021-03"), 0))), "Left", "Ativo")</f>
        <v>Ativo</v>
      </c>
      <c r="F685" s="12" t="str" cm="1">
        <f t="array" ref="F685">IF(AND(A685="2021-03", ISNA(MATCH(B685, _xlfn._xlws.FILTER(B:B, A:A="2021-04"), 0))), "Left", "Ativo")</f>
        <v>Ativo</v>
      </c>
    </row>
    <row r="686" spans="1:6" x14ac:dyDescent="0.25">
      <c r="A686" t="s">
        <v>1528</v>
      </c>
      <c r="B686" t="s">
        <v>685</v>
      </c>
      <c r="C686" s="10" t="str" cm="1">
        <f t="array" ref="C686">IF(AND(A686="2020-12", ISNA(MATCH(B686, _xlfn._xlws.FILTER(B:B, A:A="2021-01"), 0))), "Left", "Ativo")</f>
        <v>Ativo</v>
      </c>
      <c r="D686" s="10" t="str" cm="1">
        <f t="array" ref="D686">IF(AND(A686="2021-01", ISNA(MATCH(B686, _xlfn._xlws.FILTER(B:B, A:A="2021-02"), 0))), "Left", "Ativo")</f>
        <v>Ativo</v>
      </c>
      <c r="E686" s="10" t="str" cm="1">
        <f t="array" ref="E686">IF(AND(A686="2021-02", ISNA(MATCH(B686, _xlfn._xlws.FILTER(B:B, A:A="2021-03"), 0))), "Left", "Ativo")</f>
        <v>Ativo</v>
      </c>
      <c r="F686" s="12" t="str" cm="1">
        <f t="array" ref="F686">IF(AND(A686="2021-03", ISNA(MATCH(B686, _xlfn._xlws.FILTER(B:B, A:A="2021-04"), 0))), "Left", "Ativo")</f>
        <v>Ativo</v>
      </c>
    </row>
    <row r="687" spans="1:6" x14ac:dyDescent="0.25">
      <c r="A687" t="s">
        <v>1528</v>
      </c>
      <c r="B687" t="s">
        <v>686</v>
      </c>
      <c r="C687" s="10" t="str" cm="1">
        <f t="array" ref="C687">IF(AND(A687="2020-12", ISNA(MATCH(B687, _xlfn._xlws.FILTER(B:B, A:A="2021-01"), 0))), "Left", "Ativo")</f>
        <v>Ativo</v>
      </c>
      <c r="D687" s="10" t="str" cm="1">
        <f t="array" ref="D687">IF(AND(A687="2021-01", ISNA(MATCH(B687, _xlfn._xlws.FILTER(B:B, A:A="2021-02"), 0))), "Left", "Ativo")</f>
        <v>Ativo</v>
      </c>
      <c r="E687" s="10" t="str" cm="1">
        <f t="array" ref="E687">IF(AND(A687="2021-02", ISNA(MATCH(B687, _xlfn._xlws.FILTER(B:B, A:A="2021-03"), 0))), "Left", "Ativo")</f>
        <v>Ativo</v>
      </c>
      <c r="F687" s="12" t="str" cm="1">
        <f t="array" ref="F687">IF(AND(A687="2021-03", ISNA(MATCH(B687, _xlfn._xlws.FILTER(B:B, A:A="2021-04"), 0))), "Left", "Ativo")</f>
        <v>Ativo</v>
      </c>
    </row>
    <row r="688" spans="1:6" x14ac:dyDescent="0.25">
      <c r="A688" t="s">
        <v>1528</v>
      </c>
      <c r="B688" t="s">
        <v>687</v>
      </c>
      <c r="C688" s="10" t="str" cm="1">
        <f t="array" ref="C688">IF(AND(A688="2020-12", ISNA(MATCH(B688, _xlfn._xlws.FILTER(B:B, A:A="2021-01"), 0))), "Left", "Ativo")</f>
        <v>Ativo</v>
      </c>
      <c r="D688" s="10" t="str" cm="1">
        <f t="array" ref="D688">IF(AND(A688="2021-01", ISNA(MATCH(B688, _xlfn._xlws.FILTER(B:B, A:A="2021-02"), 0))), "Left", "Ativo")</f>
        <v>Ativo</v>
      </c>
      <c r="E688" s="10" t="str" cm="1">
        <f t="array" ref="E688">IF(AND(A688="2021-02", ISNA(MATCH(B688, _xlfn._xlws.FILTER(B:B, A:A="2021-03"), 0))), "Left", "Ativo")</f>
        <v>Ativo</v>
      </c>
      <c r="F688" s="12" t="str" cm="1">
        <f t="array" ref="F688">IF(AND(A688="2021-03", ISNA(MATCH(B688, _xlfn._xlws.FILTER(B:B, A:A="2021-04"), 0))), "Left", "Ativo")</f>
        <v>Ativo</v>
      </c>
    </row>
    <row r="689" spans="1:6" x14ac:dyDescent="0.25">
      <c r="A689" t="s">
        <v>1528</v>
      </c>
      <c r="B689" t="s">
        <v>688</v>
      </c>
      <c r="C689" s="10" t="str" cm="1">
        <f t="array" ref="C689">IF(AND(A689="2020-12", ISNA(MATCH(B689, _xlfn._xlws.FILTER(B:B, A:A="2021-01"), 0))), "Left", "Ativo")</f>
        <v>Ativo</v>
      </c>
      <c r="D689" s="10" t="str" cm="1">
        <f t="array" ref="D689">IF(AND(A689="2021-01", ISNA(MATCH(B689, _xlfn._xlws.FILTER(B:B, A:A="2021-02"), 0))), "Left", "Ativo")</f>
        <v>Ativo</v>
      </c>
      <c r="E689" s="10" t="str" cm="1">
        <f t="array" ref="E689">IF(AND(A689="2021-02", ISNA(MATCH(B689, _xlfn._xlws.FILTER(B:B, A:A="2021-03"), 0))), "Left", "Ativo")</f>
        <v>Ativo</v>
      </c>
      <c r="F689" s="12" t="str" cm="1">
        <f t="array" ref="F689">IF(AND(A689="2021-03", ISNA(MATCH(B689, _xlfn._xlws.FILTER(B:B, A:A="2021-04"), 0))), "Left", "Ativo")</f>
        <v>Ativo</v>
      </c>
    </row>
    <row r="690" spans="1:6" x14ac:dyDescent="0.25">
      <c r="A690" t="s">
        <v>1528</v>
      </c>
      <c r="B690" t="s">
        <v>689</v>
      </c>
      <c r="C690" s="10" t="str" cm="1">
        <f t="array" ref="C690">IF(AND(A690="2020-12", ISNA(MATCH(B690, _xlfn._xlws.FILTER(B:B, A:A="2021-01"), 0))), "Left", "Ativo")</f>
        <v>Ativo</v>
      </c>
      <c r="D690" s="10" t="str" cm="1">
        <f t="array" ref="D690">IF(AND(A690="2021-01", ISNA(MATCH(B690, _xlfn._xlws.FILTER(B:B, A:A="2021-02"), 0))), "Left", "Ativo")</f>
        <v>Ativo</v>
      </c>
      <c r="E690" s="10" t="str" cm="1">
        <f t="array" ref="E690">IF(AND(A690="2021-02", ISNA(MATCH(B690, _xlfn._xlws.FILTER(B:B, A:A="2021-03"), 0))), "Left", "Ativo")</f>
        <v>Ativo</v>
      </c>
      <c r="F690" s="12" t="str" cm="1">
        <f t="array" ref="F690">IF(AND(A690="2021-03", ISNA(MATCH(B690, _xlfn._xlws.FILTER(B:B, A:A="2021-04"), 0))), "Left", "Ativo")</f>
        <v>Ativo</v>
      </c>
    </row>
    <row r="691" spans="1:6" x14ac:dyDescent="0.25">
      <c r="A691" t="s">
        <v>1528</v>
      </c>
      <c r="B691" t="s">
        <v>690</v>
      </c>
      <c r="C691" s="10" t="str" cm="1">
        <f t="array" ref="C691">IF(AND(A691="2020-12", ISNA(MATCH(B691, _xlfn._xlws.FILTER(B:B, A:A="2021-01"), 0))), "Left", "Ativo")</f>
        <v>Ativo</v>
      </c>
      <c r="D691" s="10" t="str" cm="1">
        <f t="array" ref="D691">IF(AND(A691="2021-01", ISNA(MATCH(B691, _xlfn._xlws.FILTER(B:B, A:A="2021-02"), 0))), "Left", "Ativo")</f>
        <v>Ativo</v>
      </c>
      <c r="E691" s="10" t="str" cm="1">
        <f t="array" ref="E691">IF(AND(A691="2021-02", ISNA(MATCH(B691, _xlfn._xlws.FILTER(B:B, A:A="2021-03"), 0))), "Left", "Ativo")</f>
        <v>Ativo</v>
      </c>
      <c r="F691" s="12" t="str" cm="1">
        <f t="array" ref="F691">IF(AND(A691="2021-03", ISNA(MATCH(B691, _xlfn._xlws.FILTER(B:B, A:A="2021-04"), 0))), "Left", "Ativo")</f>
        <v>Ativo</v>
      </c>
    </row>
    <row r="692" spans="1:6" x14ac:dyDescent="0.25">
      <c r="A692" t="s">
        <v>1528</v>
      </c>
      <c r="B692" t="s">
        <v>691</v>
      </c>
      <c r="C692" s="10" t="str" cm="1">
        <f t="array" ref="C692">IF(AND(A692="2020-12", ISNA(MATCH(B692, _xlfn._xlws.FILTER(B:B, A:A="2021-01"), 0))), "Left", "Ativo")</f>
        <v>Ativo</v>
      </c>
      <c r="D692" s="10" t="str" cm="1">
        <f t="array" ref="D692">IF(AND(A692="2021-01", ISNA(MATCH(B692, _xlfn._xlws.FILTER(B:B, A:A="2021-02"), 0))), "Left", "Ativo")</f>
        <v>Ativo</v>
      </c>
      <c r="E692" s="10" t="str" cm="1">
        <f t="array" ref="E692">IF(AND(A692="2021-02", ISNA(MATCH(B692, _xlfn._xlws.FILTER(B:B, A:A="2021-03"), 0))), "Left", "Ativo")</f>
        <v>Ativo</v>
      </c>
      <c r="F692" s="12" t="str" cm="1">
        <f t="array" ref="F692">IF(AND(A692="2021-03", ISNA(MATCH(B692, _xlfn._xlws.FILTER(B:B, A:A="2021-04"), 0))), "Left", "Ativo")</f>
        <v>Ativo</v>
      </c>
    </row>
    <row r="693" spans="1:6" x14ac:dyDescent="0.25">
      <c r="A693" t="s">
        <v>1528</v>
      </c>
      <c r="B693" t="s">
        <v>692</v>
      </c>
      <c r="C693" s="10" t="str" cm="1">
        <f t="array" ref="C693">IF(AND(A693="2020-12", ISNA(MATCH(B693, _xlfn._xlws.FILTER(B:B, A:A="2021-01"), 0))), "Left", "Ativo")</f>
        <v>Ativo</v>
      </c>
      <c r="D693" s="10" t="str" cm="1">
        <f t="array" ref="D693">IF(AND(A693="2021-01", ISNA(MATCH(B693, _xlfn._xlws.FILTER(B:B, A:A="2021-02"), 0))), "Left", "Ativo")</f>
        <v>Ativo</v>
      </c>
      <c r="E693" s="10" t="str" cm="1">
        <f t="array" ref="E693">IF(AND(A693="2021-02", ISNA(MATCH(B693, _xlfn._xlws.FILTER(B:B, A:A="2021-03"), 0))), "Left", "Ativo")</f>
        <v>Ativo</v>
      </c>
      <c r="F693" s="12" t="str" cm="1">
        <f t="array" ref="F693">IF(AND(A693="2021-03", ISNA(MATCH(B693, _xlfn._xlws.FILTER(B:B, A:A="2021-04"), 0))), "Left", "Ativo")</f>
        <v>Ativo</v>
      </c>
    </row>
    <row r="694" spans="1:6" x14ac:dyDescent="0.25">
      <c r="A694" t="s">
        <v>1528</v>
      </c>
      <c r="B694" t="s">
        <v>693</v>
      </c>
      <c r="C694" s="10" t="str" cm="1">
        <f t="array" ref="C694">IF(AND(A694="2020-12", ISNA(MATCH(B694, _xlfn._xlws.FILTER(B:B, A:A="2021-01"), 0))), "Left", "Ativo")</f>
        <v>Ativo</v>
      </c>
      <c r="D694" s="10" t="str" cm="1">
        <f t="array" ref="D694">IF(AND(A694="2021-01", ISNA(MATCH(B694, _xlfn._xlws.FILTER(B:B, A:A="2021-02"), 0))), "Left", "Ativo")</f>
        <v>Ativo</v>
      </c>
      <c r="E694" s="10" t="str" cm="1">
        <f t="array" ref="E694">IF(AND(A694="2021-02", ISNA(MATCH(B694, _xlfn._xlws.FILTER(B:B, A:A="2021-03"), 0))), "Left", "Ativo")</f>
        <v>Ativo</v>
      </c>
      <c r="F694" s="12" t="str" cm="1">
        <f t="array" ref="F694">IF(AND(A694="2021-03", ISNA(MATCH(B694, _xlfn._xlws.FILTER(B:B, A:A="2021-04"), 0))), "Left", "Ativo")</f>
        <v>Ativo</v>
      </c>
    </row>
    <row r="695" spans="1:6" x14ac:dyDescent="0.25">
      <c r="A695" t="s">
        <v>1528</v>
      </c>
      <c r="B695" t="s">
        <v>694</v>
      </c>
      <c r="C695" s="10" t="str" cm="1">
        <f t="array" ref="C695">IF(AND(A695="2020-12", ISNA(MATCH(B695, _xlfn._xlws.FILTER(B:B, A:A="2021-01"), 0))), "Left", "Ativo")</f>
        <v>Ativo</v>
      </c>
      <c r="D695" s="10" t="str" cm="1">
        <f t="array" ref="D695">IF(AND(A695="2021-01", ISNA(MATCH(B695, _xlfn._xlws.FILTER(B:B, A:A="2021-02"), 0))), "Left", "Ativo")</f>
        <v>Ativo</v>
      </c>
      <c r="E695" s="10" t="str" cm="1">
        <f t="array" ref="E695">IF(AND(A695="2021-02", ISNA(MATCH(B695, _xlfn._xlws.FILTER(B:B, A:A="2021-03"), 0))), "Left", "Ativo")</f>
        <v>Ativo</v>
      </c>
      <c r="F695" s="12" t="str" cm="1">
        <f t="array" ref="F695">IF(AND(A695="2021-03", ISNA(MATCH(B695, _xlfn._xlws.FILTER(B:B, A:A="2021-04"), 0))), "Left", "Ativo")</f>
        <v>Ativo</v>
      </c>
    </row>
    <row r="696" spans="1:6" x14ac:dyDescent="0.25">
      <c r="A696" t="s">
        <v>1528</v>
      </c>
      <c r="B696" t="s">
        <v>695</v>
      </c>
      <c r="C696" s="10" t="str" cm="1">
        <f t="array" ref="C696">IF(AND(A696="2020-12", ISNA(MATCH(B696, _xlfn._xlws.FILTER(B:B, A:A="2021-01"), 0))), "Left", "Ativo")</f>
        <v>Ativo</v>
      </c>
      <c r="D696" s="10" t="str" cm="1">
        <f t="array" ref="D696">IF(AND(A696="2021-01", ISNA(MATCH(B696, _xlfn._xlws.FILTER(B:B, A:A="2021-02"), 0))), "Left", "Ativo")</f>
        <v>Ativo</v>
      </c>
      <c r="E696" s="10" t="str" cm="1">
        <f t="array" ref="E696">IF(AND(A696="2021-02", ISNA(MATCH(B696, _xlfn._xlws.FILTER(B:B, A:A="2021-03"), 0))), "Left", "Ativo")</f>
        <v>Ativo</v>
      </c>
      <c r="F696" s="12" t="str" cm="1">
        <f t="array" ref="F696">IF(AND(A696="2021-03", ISNA(MATCH(B696, _xlfn._xlws.FILTER(B:B, A:A="2021-04"), 0))), "Left", "Ativo")</f>
        <v>Ativo</v>
      </c>
    </row>
    <row r="697" spans="1:6" x14ac:dyDescent="0.25">
      <c r="A697" t="s">
        <v>1528</v>
      </c>
      <c r="B697" t="s">
        <v>696</v>
      </c>
      <c r="C697" s="10" t="str" cm="1">
        <f t="array" ref="C697">IF(AND(A697="2020-12", ISNA(MATCH(B697, _xlfn._xlws.FILTER(B:B, A:A="2021-01"), 0))), "Left", "Ativo")</f>
        <v>Ativo</v>
      </c>
      <c r="D697" s="10" t="str" cm="1">
        <f t="array" ref="D697">IF(AND(A697="2021-01", ISNA(MATCH(B697, _xlfn._xlws.FILTER(B:B, A:A="2021-02"), 0))), "Left", "Ativo")</f>
        <v>Ativo</v>
      </c>
      <c r="E697" s="10" t="str" cm="1">
        <f t="array" ref="E697">IF(AND(A697="2021-02", ISNA(MATCH(B697, _xlfn._xlws.FILTER(B:B, A:A="2021-03"), 0))), "Left", "Ativo")</f>
        <v>Ativo</v>
      </c>
      <c r="F697" s="12" t="str" cm="1">
        <f t="array" ref="F697">IF(AND(A697="2021-03", ISNA(MATCH(B697, _xlfn._xlws.FILTER(B:B, A:A="2021-04"), 0))), "Left", "Ativo")</f>
        <v>Ativo</v>
      </c>
    </row>
    <row r="698" spans="1:6" x14ac:dyDescent="0.25">
      <c r="A698" t="s">
        <v>1528</v>
      </c>
      <c r="B698" t="s">
        <v>697</v>
      </c>
      <c r="C698" s="10" t="str" cm="1">
        <f t="array" ref="C698">IF(AND(A698="2020-12", ISNA(MATCH(B698, _xlfn._xlws.FILTER(B:B, A:A="2021-01"), 0))), "Left", "Ativo")</f>
        <v>Ativo</v>
      </c>
      <c r="D698" s="10" t="str" cm="1">
        <f t="array" ref="D698">IF(AND(A698="2021-01", ISNA(MATCH(B698, _xlfn._xlws.FILTER(B:B, A:A="2021-02"), 0))), "Left", "Ativo")</f>
        <v>Ativo</v>
      </c>
      <c r="E698" s="10" t="str" cm="1">
        <f t="array" ref="E698">IF(AND(A698="2021-02", ISNA(MATCH(B698, _xlfn._xlws.FILTER(B:B, A:A="2021-03"), 0))), "Left", "Ativo")</f>
        <v>Ativo</v>
      </c>
      <c r="F698" s="12" t="str" cm="1">
        <f t="array" ref="F698">IF(AND(A698="2021-03", ISNA(MATCH(B698, _xlfn._xlws.FILTER(B:B, A:A="2021-04"), 0))), "Left", "Ativo")</f>
        <v>Ativo</v>
      </c>
    </row>
    <row r="699" spans="1:6" x14ac:dyDescent="0.25">
      <c r="A699" t="s">
        <v>1528</v>
      </c>
      <c r="B699" t="s">
        <v>698</v>
      </c>
      <c r="C699" s="10" t="str" cm="1">
        <f t="array" ref="C699">IF(AND(A699="2020-12", ISNA(MATCH(B699, _xlfn._xlws.FILTER(B:B, A:A="2021-01"), 0))), "Left", "Ativo")</f>
        <v>Ativo</v>
      </c>
      <c r="D699" s="10" t="str" cm="1">
        <f t="array" ref="D699">IF(AND(A699="2021-01", ISNA(MATCH(B699, _xlfn._xlws.FILTER(B:B, A:A="2021-02"), 0))), "Left", "Ativo")</f>
        <v>Ativo</v>
      </c>
      <c r="E699" s="10" t="str" cm="1">
        <f t="array" ref="E699">IF(AND(A699="2021-02", ISNA(MATCH(B699, _xlfn._xlws.FILTER(B:B, A:A="2021-03"), 0))), "Left", "Ativo")</f>
        <v>Ativo</v>
      </c>
      <c r="F699" s="12" t="str" cm="1">
        <f t="array" ref="F699">IF(AND(A699="2021-03", ISNA(MATCH(B699, _xlfn._xlws.FILTER(B:B, A:A="2021-04"), 0))), "Left", "Ativo")</f>
        <v>Ativo</v>
      </c>
    </row>
    <row r="700" spans="1:6" x14ac:dyDescent="0.25">
      <c r="A700" t="s">
        <v>1528</v>
      </c>
      <c r="B700" t="s">
        <v>699</v>
      </c>
      <c r="C700" s="10" t="str" cm="1">
        <f t="array" ref="C700">IF(AND(A700="2020-12", ISNA(MATCH(B700, _xlfn._xlws.FILTER(B:B, A:A="2021-01"), 0))), "Left", "Ativo")</f>
        <v>Ativo</v>
      </c>
      <c r="D700" s="10" t="str" cm="1">
        <f t="array" ref="D700">IF(AND(A700="2021-01", ISNA(MATCH(B700, _xlfn._xlws.FILTER(B:B, A:A="2021-02"), 0))), "Left", "Ativo")</f>
        <v>Ativo</v>
      </c>
      <c r="E700" s="10" t="str" cm="1">
        <f t="array" ref="E700">IF(AND(A700="2021-02", ISNA(MATCH(B700, _xlfn._xlws.FILTER(B:B, A:A="2021-03"), 0))), "Left", "Ativo")</f>
        <v>Ativo</v>
      </c>
      <c r="F700" s="12" t="str" cm="1">
        <f t="array" ref="F700">IF(AND(A700="2021-03", ISNA(MATCH(B700, _xlfn._xlws.FILTER(B:B, A:A="2021-04"), 0))), "Left", "Ativo")</f>
        <v>Ativo</v>
      </c>
    </row>
    <row r="701" spans="1:6" x14ac:dyDescent="0.25">
      <c r="A701" t="s">
        <v>1528</v>
      </c>
      <c r="B701" t="s">
        <v>700</v>
      </c>
      <c r="C701" s="10" t="str" cm="1">
        <f t="array" ref="C701">IF(AND(A701="2020-12", ISNA(MATCH(B701, _xlfn._xlws.FILTER(B:B, A:A="2021-01"), 0))), "Left", "Ativo")</f>
        <v>Ativo</v>
      </c>
      <c r="D701" s="10" t="str" cm="1">
        <f t="array" ref="D701">IF(AND(A701="2021-01", ISNA(MATCH(B701, _xlfn._xlws.FILTER(B:B, A:A="2021-02"), 0))), "Left", "Ativo")</f>
        <v>Ativo</v>
      </c>
      <c r="E701" s="10" t="str" cm="1">
        <f t="array" ref="E701">IF(AND(A701="2021-02", ISNA(MATCH(B701, _xlfn._xlws.FILTER(B:B, A:A="2021-03"), 0))), "Left", "Ativo")</f>
        <v>Ativo</v>
      </c>
      <c r="F701" s="12" t="str" cm="1">
        <f t="array" ref="F701">IF(AND(A701="2021-03", ISNA(MATCH(B701, _xlfn._xlws.FILTER(B:B, A:A="2021-04"), 0))), "Left", "Ativo")</f>
        <v>Ativo</v>
      </c>
    </row>
    <row r="702" spans="1:6" x14ac:dyDescent="0.25">
      <c r="A702" t="s">
        <v>1528</v>
      </c>
      <c r="B702" t="s">
        <v>701</v>
      </c>
      <c r="C702" s="10" t="str" cm="1">
        <f t="array" ref="C702">IF(AND(A702="2020-12", ISNA(MATCH(B702, _xlfn._xlws.FILTER(B:B, A:A="2021-01"), 0))), "Left", "Ativo")</f>
        <v>Ativo</v>
      </c>
      <c r="D702" s="10" t="str" cm="1">
        <f t="array" ref="D702">IF(AND(A702="2021-01", ISNA(MATCH(B702, _xlfn._xlws.FILTER(B:B, A:A="2021-02"), 0))), "Left", "Ativo")</f>
        <v>Ativo</v>
      </c>
      <c r="E702" s="10" t="str" cm="1">
        <f t="array" ref="E702">IF(AND(A702="2021-02", ISNA(MATCH(B702, _xlfn._xlws.FILTER(B:B, A:A="2021-03"), 0))), "Left", "Ativo")</f>
        <v>Ativo</v>
      </c>
      <c r="F702" s="12" t="str" cm="1">
        <f t="array" ref="F702">IF(AND(A702="2021-03", ISNA(MATCH(B702, _xlfn._xlws.FILTER(B:B, A:A="2021-04"), 0))), "Left", "Ativo")</f>
        <v>Ativo</v>
      </c>
    </row>
    <row r="703" spans="1:6" x14ac:dyDescent="0.25">
      <c r="A703" t="s">
        <v>1528</v>
      </c>
      <c r="B703" t="s">
        <v>702</v>
      </c>
      <c r="C703" s="10" t="str" cm="1">
        <f t="array" ref="C703">IF(AND(A703="2020-12", ISNA(MATCH(B703, _xlfn._xlws.FILTER(B:B, A:A="2021-01"), 0))), "Left", "Ativo")</f>
        <v>Ativo</v>
      </c>
      <c r="D703" s="10" t="str" cm="1">
        <f t="array" ref="D703">IF(AND(A703="2021-01", ISNA(MATCH(B703, _xlfn._xlws.FILTER(B:B, A:A="2021-02"), 0))), "Left", "Ativo")</f>
        <v>Ativo</v>
      </c>
      <c r="E703" s="10" t="str" cm="1">
        <f t="array" ref="E703">IF(AND(A703="2021-02", ISNA(MATCH(B703, _xlfn._xlws.FILTER(B:B, A:A="2021-03"), 0))), "Left", "Ativo")</f>
        <v>Ativo</v>
      </c>
      <c r="F703" s="12" t="str" cm="1">
        <f t="array" ref="F703">IF(AND(A703="2021-03", ISNA(MATCH(B703, _xlfn._xlws.FILTER(B:B, A:A="2021-04"), 0))), "Left", "Ativo")</f>
        <v>Ativo</v>
      </c>
    </row>
    <row r="704" spans="1:6" x14ac:dyDescent="0.25">
      <c r="A704" t="s">
        <v>1528</v>
      </c>
      <c r="B704" t="s">
        <v>703</v>
      </c>
      <c r="C704" s="10" t="str" cm="1">
        <f t="array" ref="C704">IF(AND(A704="2020-12", ISNA(MATCH(B704, _xlfn._xlws.FILTER(B:B, A:A="2021-01"), 0))), "Left", "Ativo")</f>
        <v>Ativo</v>
      </c>
      <c r="D704" s="10" t="str" cm="1">
        <f t="array" ref="D704">IF(AND(A704="2021-01", ISNA(MATCH(B704, _xlfn._xlws.FILTER(B:B, A:A="2021-02"), 0))), "Left", "Ativo")</f>
        <v>Ativo</v>
      </c>
      <c r="E704" s="10" t="str" cm="1">
        <f t="array" ref="E704">IF(AND(A704="2021-02", ISNA(MATCH(B704, _xlfn._xlws.FILTER(B:B, A:A="2021-03"), 0))), "Left", "Ativo")</f>
        <v>Ativo</v>
      </c>
      <c r="F704" s="12" t="str" cm="1">
        <f t="array" ref="F704">IF(AND(A704="2021-03", ISNA(MATCH(B704, _xlfn._xlws.FILTER(B:B, A:A="2021-04"), 0))), "Left", "Ativo")</f>
        <v>Ativo</v>
      </c>
    </row>
    <row r="705" spans="1:6" x14ac:dyDescent="0.25">
      <c r="A705" t="s">
        <v>1528</v>
      </c>
      <c r="B705" t="s">
        <v>704</v>
      </c>
      <c r="C705" s="10" t="str" cm="1">
        <f t="array" ref="C705">IF(AND(A705="2020-12", ISNA(MATCH(B705, _xlfn._xlws.FILTER(B:B, A:A="2021-01"), 0))), "Left", "Ativo")</f>
        <v>Ativo</v>
      </c>
      <c r="D705" s="10" t="str" cm="1">
        <f t="array" ref="D705">IF(AND(A705="2021-01", ISNA(MATCH(B705, _xlfn._xlws.FILTER(B:B, A:A="2021-02"), 0))), "Left", "Ativo")</f>
        <v>Ativo</v>
      </c>
      <c r="E705" s="10" t="str" cm="1">
        <f t="array" ref="E705">IF(AND(A705="2021-02", ISNA(MATCH(B705, _xlfn._xlws.FILTER(B:B, A:A="2021-03"), 0))), "Left", "Ativo")</f>
        <v>Ativo</v>
      </c>
      <c r="F705" s="12" t="str" cm="1">
        <f t="array" ref="F705">IF(AND(A705="2021-03", ISNA(MATCH(B705, _xlfn._xlws.FILTER(B:B, A:A="2021-04"), 0))), "Left", "Ativo")</f>
        <v>Ativo</v>
      </c>
    </row>
    <row r="706" spans="1:6" x14ac:dyDescent="0.25">
      <c r="A706" t="s">
        <v>1528</v>
      </c>
      <c r="B706" t="s">
        <v>705</v>
      </c>
      <c r="C706" s="10" t="str" cm="1">
        <f t="array" ref="C706">IF(AND(A706="2020-12", ISNA(MATCH(B706, _xlfn._xlws.FILTER(B:B, A:A="2021-01"), 0))), "Left", "Ativo")</f>
        <v>Ativo</v>
      </c>
      <c r="D706" s="10" t="str" cm="1">
        <f t="array" ref="D706">IF(AND(A706="2021-01", ISNA(MATCH(B706, _xlfn._xlws.FILTER(B:B, A:A="2021-02"), 0))), "Left", "Ativo")</f>
        <v>Ativo</v>
      </c>
      <c r="E706" s="10" t="str" cm="1">
        <f t="array" ref="E706">IF(AND(A706="2021-02", ISNA(MATCH(B706, _xlfn._xlws.FILTER(B:B, A:A="2021-03"), 0))), "Left", "Ativo")</f>
        <v>Ativo</v>
      </c>
      <c r="F706" s="12" t="str" cm="1">
        <f t="array" ref="F706">IF(AND(A706="2021-03", ISNA(MATCH(B706, _xlfn._xlws.FILTER(B:B, A:A="2021-04"), 0))), "Left", "Ativo")</f>
        <v>Ativo</v>
      </c>
    </row>
    <row r="707" spans="1:6" x14ac:dyDescent="0.25">
      <c r="A707" t="s">
        <v>1528</v>
      </c>
      <c r="B707" t="s">
        <v>706</v>
      </c>
      <c r="C707" s="10" t="str" cm="1">
        <f t="array" ref="C707">IF(AND(A707="2020-12", ISNA(MATCH(B707, _xlfn._xlws.FILTER(B:B, A:A="2021-01"), 0))), "Left", "Ativo")</f>
        <v>Ativo</v>
      </c>
      <c r="D707" s="10" t="str" cm="1">
        <f t="array" ref="D707">IF(AND(A707="2021-01", ISNA(MATCH(B707, _xlfn._xlws.FILTER(B:B, A:A="2021-02"), 0))), "Left", "Ativo")</f>
        <v>Ativo</v>
      </c>
      <c r="E707" s="10" t="str" cm="1">
        <f t="array" ref="E707">IF(AND(A707="2021-02", ISNA(MATCH(B707, _xlfn._xlws.FILTER(B:B, A:A="2021-03"), 0))), "Left", "Ativo")</f>
        <v>Ativo</v>
      </c>
      <c r="F707" s="12" t="str" cm="1">
        <f t="array" ref="F707">IF(AND(A707="2021-03", ISNA(MATCH(B707, _xlfn._xlws.FILTER(B:B, A:A="2021-04"), 0))), "Left", "Ativo")</f>
        <v>Ativo</v>
      </c>
    </row>
    <row r="708" spans="1:6" x14ac:dyDescent="0.25">
      <c r="A708" t="s">
        <v>1528</v>
      </c>
      <c r="B708" t="s">
        <v>707</v>
      </c>
      <c r="C708" s="10" t="str" cm="1">
        <f t="array" ref="C708">IF(AND(A708="2020-12", ISNA(MATCH(B708, _xlfn._xlws.FILTER(B:B, A:A="2021-01"), 0))), "Left", "Ativo")</f>
        <v>Ativo</v>
      </c>
      <c r="D708" s="10" t="str" cm="1">
        <f t="array" ref="D708">IF(AND(A708="2021-01", ISNA(MATCH(B708, _xlfn._xlws.FILTER(B:B, A:A="2021-02"), 0))), "Left", "Ativo")</f>
        <v>Ativo</v>
      </c>
      <c r="E708" s="10" t="str" cm="1">
        <f t="array" ref="E708">IF(AND(A708="2021-02", ISNA(MATCH(B708, _xlfn._xlws.FILTER(B:B, A:A="2021-03"), 0))), "Left", "Ativo")</f>
        <v>Ativo</v>
      </c>
      <c r="F708" s="12" t="str" cm="1">
        <f t="array" ref="F708">IF(AND(A708="2021-03", ISNA(MATCH(B708, _xlfn._xlws.FILTER(B:B, A:A="2021-04"), 0))), "Left", "Ativo")</f>
        <v>Ativo</v>
      </c>
    </row>
    <row r="709" spans="1:6" x14ac:dyDescent="0.25">
      <c r="A709" t="s">
        <v>1528</v>
      </c>
      <c r="B709" t="s">
        <v>708</v>
      </c>
      <c r="C709" s="10" t="str" cm="1">
        <f t="array" ref="C709">IF(AND(A709="2020-12", ISNA(MATCH(B709, _xlfn._xlws.FILTER(B:B, A:A="2021-01"), 0))), "Left", "Ativo")</f>
        <v>Ativo</v>
      </c>
      <c r="D709" s="10" t="str" cm="1">
        <f t="array" ref="D709">IF(AND(A709="2021-01", ISNA(MATCH(B709, _xlfn._xlws.FILTER(B:B, A:A="2021-02"), 0))), "Left", "Ativo")</f>
        <v>Ativo</v>
      </c>
      <c r="E709" s="10" t="str" cm="1">
        <f t="array" ref="E709">IF(AND(A709="2021-02", ISNA(MATCH(B709, _xlfn._xlws.FILTER(B:B, A:A="2021-03"), 0))), "Left", "Ativo")</f>
        <v>Ativo</v>
      </c>
      <c r="F709" s="12" t="str" cm="1">
        <f t="array" ref="F709">IF(AND(A709="2021-03", ISNA(MATCH(B709, _xlfn._xlws.FILTER(B:B, A:A="2021-04"), 0))), "Left", "Ativo")</f>
        <v>Ativo</v>
      </c>
    </row>
    <row r="710" spans="1:6" x14ac:dyDescent="0.25">
      <c r="A710" t="s">
        <v>1528</v>
      </c>
      <c r="B710" t="s">
        <v>709</v>
      </c>
      <c r="C710" s="10" t="str" cm="1">
        <f t="array" ref="C710">IF(AND(A710="2020-12", ISNA(MATCH(B710, _xlfn._xlws.FILTER(B:B, A:A="2021-01"), 0))), "Left", "Ativo")</f>
        <v>Ativo</v>
      </c>
      <c r="D710" s="10" t="str" cm="1">
        <f t="array" ref="D710">IF(AND(A710="2021-01", ISNA(MATCH(B710, _xlfn._xlws.FILTER(B:B, A:A="2021-02"), 0))), "Left", "Ativo")</f>
        <v>Ativo</v>
      </c>
      <c r="E710" s="10" t="str" cm="1">
        <f t="array" ref="E710">IF(AND(A710="2021-02", ISNA(MATCH(B710, _xlfn._xlws.FILTER(B:B, A:A="2021-03"), 0))), "Left", "Ativo")</f>
        <v>Ativo</v>
      </c>
      <c r="F710" s="12" t="str" cm="1">
        <f t="array" ref="F710">IF(AND(A710="2021-03", ISNA(MATCH(B710, _xlfn._xlws.FILTER(B:B, A:A="2021-04"), 0))), "Left", "Ativo")</f>
        <v>Ativo</v>
      </c>
    </row>
    <row r="711" spans="1:6" x14ac:dyDescent="0.25">
      <c r="A711" t="s">
        <v>1528</v>
      </c>
      <c r="B711" t="s">
        <v>710</v>
      </c>
      <c r="C711" s="10" t="str" cm="1">
        <f t="array" ref="C711">IF(AND(A711="2020-12", ISNA(MATCH(B711, _xlfn._xlws.FILTER(B:B, A:A="2021-01"), 0))), "Left", "Ativo")</f>
        <v>Ativo</v>
      </c>
      <c r="D711" s="10" t="str" cm="1">
        <f t="array" ref="D711">IF(AND(A711="2021-01", ISNA(MATCH(B711, _xlfn._xlws.FILTER(B:B, A:A="2021-02"), 0))), "Left", "Ativo")</f>
        <v>Ativo</v>
      </c>
      <c r="E711" s="10" t="str" cm="1">
        <f t="array" ref="E711">IF(AND(A711="2021-02", ISNA(MATCH(B711, _xlfn._xlws.FILTER(B:B, A:A="2021-03"), 0))), "Left", "Ativo")</f>
        <v>Ativo</v>
      </c>
      <c r="F711" s="12" t="str" cm="1">
        <f t="array" ref="F711">IF(AND(A711="2021-03", ISNA(MATCH(B711, _xlfn._xlws.FILTER(B:B, A:A="2021-04"), 0))), "Left", "Ativo")</f>
        <v>Ativo</v>
      </c>
    </row>
    <row r="712" spans="1:6" x14ac:dyDescent="0.25">
      <c r="A712" t="s">
        <v>1528</v>
      </c>
      <c r="B712" t="s">
        <v>711</v>
      </c>
      <c r="C712" s="10" t="str" cm="1">
        <f t="array" ref="C712">IF(AND(A712="2020-12", ISNA(MATCH(B712, _xlfn._xlws.FILTER(B:B, A:A="2021-01"), 0))), "Left", "Ativo")</f>
        <v>Ativo</v>
      </c>
      <c r="D712" s="10" t="str" cm="1">
        <f t="array" ref="D712">IF(AND(A712="2021-01", ISNA(MATCH(B712, _xlfn._xlws.FILTER(B:B, A:A="2021-02"), 0))), "Left", "Ativo")</f>
        <v>Ativo</v>
      </c>
      <c r="E712" s="10" t="str" cm="1">
        <f t="array" ref="E712">IF(AND(A712="2021-02", ISNA(MATCH(B712, _xlfn._xlws.FILTER(B:B, A:A="2021-03"), 0))), "Left", "Ativo")</f>
        <v>Ativo</v>
      </c>
      <c r="F712" s="12" t="str" cm="1">
        <f t="array" ref="F712">IF(AND(A712="2021-03", ISNA(MATCH(B712, _xlfn._xlws.FILTER(B:B, A:A="2021-04"), 0))), "Left", "Ativo")</f>
        <v>Ativo</v>
      </c>
    </row>
    <row r="713" spans="1:6" x14ac:dyDescent="0.25">
      <c r="A713" t="s">
        <v>1528</v>
      </c>
      <c r="B713" t="s">
        <v>712</v>
      </c>
      <c r="C713" s="10" t="str" cm="1">
        <f t="array" ref="C713">IF(AND(A713="2020-12", ISNA(MATCH(B713, _xlfn._xlws.FILTER(B:B, A:A="2021-01"), 0))), "Left", "Ativo")</f>
        <v>Ativo</v>
      </c>
      <c r="D713" s="10" t="str" cm="1">
        <f t="array" ref="D713">IF(AND(A713="2021-01", ISNA(MATCH(B713, _xlfn._xlws.FILTER(B:B, A:A="2021-02"), 0))), "Left", "Ativo")</f>
        <v>Ativo</v>
      </c>
      <c r="E713" s="10" t="str" cm="1">
        <f t="array" ref="E713">IF(AND(A713="2021-02", ISNA(MATCH(B713, _xlfn._xlws.FILTER(B:B, A:A="2021-03"), 0))), "Left", "Ativo")</f>
        <v>Ativo</v>
      </c>
      <c r="F713" s="12" t="str" cm="1">
        <f t="array" ref="F713">IF(AND(A713="2021-03", ISNA(MATCH(B713, _xlfn._xlws.FILTER(B:B, A:A="2021-04"), 0))), "Left", "Ativo")</f>
        <v>Ativo</v>
      </c>
    </row>
    <row r="714" spans="1:6" x14ac:dyDescent="0.25">
      <c r="A714" t="s">
        <v>1528</v>
      </c>
      <c r="B714" t="s">
        <v>713</v>
      </c>
      <c r="C714" s="10" t="str" cm="1">
        <f t="array" ref="C714">IF(AND(A714="2020-12", ISNA(MATCH(B714, _xlfn._xlws.FILTER(B:B, A:A="2021-01"), 0))), "Left", "Ativo")</f>
        <v>Ativo</v>
      </c>
      <c r="D714" s="10" t="str" cm="1">
        <f t="array" ref="D714">IF(AND(A714="2021-01", ISNA(MATCH(B714, _xlfn._xlws.FILTER(B:B, A:A="2021-02"), 0))), "Left", "Ativo")</f>
        <v>Ativo</v>
      </c>
      <c r="E714" s="10" t="str" cm="1">
        <f t="array" ref="E714">IF(AND(A714="2021-02", ISNA(MATCH(B714, _xlfn._xlws.FILTER(B:B, A:A="2021-03"), 0))), "Left", "Ativo")</f>
        <v>Ativo</v>
      </c>
      <c r="F714" s="12" t="str" cm="1">
        <f t="array" ref="F714">IF(AND(A714="2021-03", ISNA(MATCH(B714, _xlfn._xlws.FILTER(B:B, A:A="2021-04"), 0))), "Left", "Ativo")</f>
        <v>Ativo</v>
      </c>
    </row>
    <row r="715" spans="1:6" x14ac:dyDescent="0.25">
      <c r="A715" t="s">
        <v>1528</v>
      </c>
      <c r="B715" t="s">
        <v>714</v>
      </c>
      <c r="C715" s="10" t="str" cm="1">
        <f t="array" ref="C715">IF(AND(A715="2020-12", ISNA(MATCH(B715, _xlfn._xlws.FILTER(B:B, A:A="2021-01"), 0))), "Left", "Ativo")</f>
        <v>Ativo</v>
      </c>
      <c r="D715" s="10" t="str" cm="1">
        <f t="array" ref="D715">IF(AND(A715="2021-01", ISNA(MATCH(B715, _xlfn._xlws.FILTER(B:B, A:A="2021-02"), 0))), "Left", "Ativo")</f>
        <v>Ativo</v>
      </c>
      <c r="E715" s="10" t="str" cm="1">
        <f t="array" ref="E715">IF(AND(A715="2021-02", ISNA(MATCH(B715, _xlfn._xlws.FILTER(B:B, A:A="2021-03"), 0))), "Left", "Ativo")</f>
        <v>Ativo</v>
      </c>
      <c r="F715" s="12" t="str" cm="1">
        <f t="array" ref="F715">IF(AND(A715="2021-03", ISNA(MATCH(B715, _xlfn._xlws.FILTER(B:B, A:A="2021-04"), 0))), "Left", "Ativo")</f>
        <v>Ativo</v>
      </c>
    </row>
    <row r="716" spans="1:6" x14ac:dyDescent="0.25">
      <c r="A716" t="s">
        <v>1528</v>
      </c>
      <c r="B716" t="s">
        <v>715</v>
      </c>
      <c r="C716" s="10" t="str" cm="1">
        <f t="array" ref="C716">IF(AND(A716="2020-12", ISNA(MATCH(B716, _xlfn._xlws.FILTER(B:B, A:A="2021-01"), 0))), "Left", "Ativo")</f>
        <v>Ativo</v>
      </c>
      <c r="D716" s="10" t="str" cm="1">
        <f t="array" ref="D716">IF(AND(A716="2021-01", ISNA(MATCH(B716, _xlfn._xlws.FILTER(B:B, A:A="2021-02"), 0))), "Left", "Ativo")</f>
        <v>Ativo</v>
      </c>
      <c r="E716" s="10" t="str" cm="1">
        <f t="array" ref="E716">IF(AND(A716="2021-02", ISNA(MATCH(B716, _xlfn._xlws.FILTER(B:B, A:A="2021-03"), 0))), "Left", "Ativo")</f>
        <v>Ativo</v>
      </c>
      <c r="F716" s="12" t="str" cm="1">
        <f t="array" ref="F716">IF(AND(A716="2021-03", ISNA(MATCH(B716, _xlfn._xlws.FILTER(B:B, A:A="2021-04"), 0))), "Left", "Ativo")</f>
        <v>Ativo</v>
      </c>
    </row>
    <row r="717" spans="1:6" x14ac:dyDescent="0.25">
      <c r="A717" t="s">
        <v>1528</v>
      </c>
      <c r="B717" t="s">
        <v>716</v>
      </c>
      <c r="C717" s="10" t="str" cm="1">
        <f t="array" ref="C717">IF(AND(A717="2020-12", ISNA(MATCH(B717, _xlfn._xlws.FILTER(B:B, A:A="2021-01"), 0))), "Left", "Ativo")</f>
        <v>Ativo</v>
      </c>
      <c r="D717" s="10" t="str" cm="1">
        <f t="array" ref="D717">IF(AND(A717="2021-01", ISNA(MATCH(B717, _xlfn._xlws.FILTER(B:B, A:A="2021-02"), 0))), "Left", "Ativo")</f>
        <v>Ativo</v>
      </c>
      <c r="E717" s="10" t="str" cm="1">
        <f t="array" ref="E717">IF(AND(A717="2021-02", ISNA(MATCH(B717, _xlfn._xlws.FILTER(B:B, A:A="2021-03"), 0))), "Left", "Ativo")</f>
        <v>Ativo</v>
      </c>
      <c r="F717" s="12" t="str" cm="1">
        <f t="array" ref="F717">IF(AND(A717="2021-03", ISNA(MATCH(B717, _xlfn._xlws.FILTER(B:B, A:A="2021-04"), 0))), "Left", "Ativo")</f>
        <v>Ativo</v>
      </c>
    </row>
    <row r="718" spans="1:6" x14ac:dyDescent="0.25">
      <c r="A718" t="s">
        <v>1528</v>
      </c>
      <c r="B718" t="s">
        <v>717</v>
      </c>
      <c r="C718" s="10" t="str" cm="1">
        <f t="array" ref="C718">IF(AND(A718="2020-12", ISNA(MATCH(B718, _xlfn._xlws.FILTER(B:B, A:A="2021-01"), 0))), "Left", "Ativo")</f>
        <v>Ativo</v>
      </c>
      <c r="D718" s="10" t="str" cm="1">
        <f t="array" ref="D718">IF(AND(A718="2021-01", ISNA(MATCH(B718, _xlfn._xlws.FILTER(B:B, A:A="2021-02"), 0))), "Left", "Ativo")</f>
        <v>Ativo</v>
      </c>
      <c r="E718" s="10" t="str" cm="1">
        <f t="array" ref="E718">IF(AND(A718="2021-02", ISNA(MATCH(B718, _xlfn._xlws.FILTER(B:B, A:A="2021-03"), 0))), "Left", "Ativo")</f>
        <v>Ativo</v>
      </c>
      <c r="F718" s="12" t="str" cm="1">
        <f t="array" ref="F718">IF(AND(A718="2021-03", ISNA(MATCH(B718, _xlfn._xlws.FILTER(B:B, A:A="2021-04"), 0))), "Left", "Ativo")</f>
        <v>Ativo</v>
      </c>
    </row>
    <row r="719" spans="1:6" x14ac:dyDescent="0.25">
      <c r="A719" t="s">
        <v>1528</v>
      </c>
      <c r="B719" t="s">
        <v>718</v>
      </c>
      <c r="C719" s="10" t="str" cm="1">
        <f t="array" ref="C719">IF(AND(A719="2020-12", ISNA(MATCH(B719, _xlfn._xlws.FILTER(B:B, A:A="2021-01"), 0))), "Left", "Ativo")</f>
        <v>Ativo</v>
      </c>
      <c r="D719" s="10" t="str" cm="1">
        <f t="array" ref="D719">IF(AND(A719="2021-01", ISNA(MATCH(B719, _xlfn._xlws.FILTER(B:B, A:A="2021-02"), 0))), "Left", "Ativo")</f>
        <v>Ativo</v>
      </c>
      <c r="E719" s="10" t="str" cm="1">
        <f t="array" ref="E719">IF(AND(A719="2021-02", ISNA(MATCH(B719, _xlfn._xlws.FILTER(B:B, A:A="2021-03"), 0))), "Left", "Ativo")</f>
        <v>Ativo</v>
      </c>
      <c r="F719" s="12" t="str" cm="1">
        <f t="array" ref="F719">IF(AND(A719="2021-03", ISNA(MATCH(B719, _xlfn._xlws.FILTER(B:B, A:A="2021-04"), 0))), "Left", "Ativo")</f>
        <v>Ativo</v>
      </c>
    </row>
    <row r="720" spans="1:6" x14ac:dyDescent="0.25">
      <c r="A720" t="s">
        <v>1528</v>
      </c>
      <c r="B720" t="s">
        <v>719</v>
      </c>
      <c r="C720" s="10" t="str" cm="1">
        <f t="array" ref="C720">IF(AND(A720="2020-12", ISNA(MATCH(B720, _xlfn._xlws.FILTER(B:B, A:A="2021-01"), 0))), "Left", "Ativo")</f>
        <v>Ativo</v>
      </c>
      <c r="D720" s="10" t="str" cm="1">
        <f t="array" ref="D720">IF(AND(A720="2021-01", ISNA(MATCH(B720, _xlfn._xlws.FILTER(B:B, A:A="2021-02"), 0))), "Left", "Ativo")</f>
        <v>Ativo</v>
      </c>
      <c r="E720" s="10" t="str" cm="1">
        <f t="array" ref="E720">IF(AND(A720="2021-02", ISNA(MATCH(B720, _xlfn._xlws.FILTER(B:B, A:A="2021-03"), 0))), "Left", "Ativo")</f>
        <v>Ativo</v>
      </c>
      <c r="F720" s="12" t="str" cm="1">
        <f t="array" ref="F720">IF(AND(A720="2021-03", ISNA(MATCH(B720, _xlfn._xlws.FILTER(B:B, A:A="2021-04"), 0))), "Left", "Ativo")</f>
        <v>Ativo</v>
      </c>
    </row>
    <row r="721" spans="1:6" x14ac:dyDescent="0.25">
      <c r="A721" t="s">
        <v>1528</v>
      </c>
      <c r="B721" t="s">
        <v>720</v>
      </c>
      <c r="C721" s="10" t="str" cm="1">
        <f t="array" ref="C721">IF(AND(A721="2020-12", ISNA(MATCH(B721, _xlfn._xlws.FILTER(B:B, A:A="2021-01"), 0))), "Left", "Ativo")</f>
        <v>Ativo</v>
      </c>
      <c r="D721" s="10" t="str" cm="1">
        <f t="array" ref="D721">IF(AND(A721="2021-01", ISNA(MATCH(B721, _xlfn._xlws.FILTER(B:B, A:A="2021-02"), 0))), "Left", "Ativo")</f>
        <v>Ativo</v>
      </c>
      <c r="E721" s="10" t="str" cm="1">
        <f t="array" ref="E721">IF(AND(A721="2021-02", ISNA(MATCH(B721, _xlfn._xlws.FILTER(B:B, A:A="2021-03"), 0))), "Left", "Ativo")</f>
        <v>Ativo</v>
      </c>
      <c r="F721" s="12" t="str" cm="1">
        <f t="array" ref="F721">IF(AND(A721="2021-03", ISNA(MATCH(B721, _xlfn._xlws.FILTER(B:B, A:A="2021-04"), 0))), "Left", "Ativo")</f>
        <v>Ativo</v>
      </c>
    </row>
    <row r="722" spans="1:6" x14ac:dyDescent="0.25">
      <c r="A722" t="s">
        <v>1528</v>
      </c>
      <c r="B722" t="s">
        <v>721</v>
      </c>
      <c r="C722" s="10" t="str" cm="1">
        <f t="array" ref="C722">IF(AND(A722="2020-12", ISNA(MATCH(B722, _xlfn._xlws.FILTER(B:B, A:A="2021-01"), 0))), "Left", "Ativo")</f>
        <v>Ativo</v>
      </c>
      <c r="D722" s="10" t="str" cm="1">
        <f t="array" ref="D722">IF(AND(A722="2021-01", ISNA(MATCH(B722, _xlfn._xlws.FILTER(B:B, A:A="2021-02"), 0))), "Left", "Ativo")</f>
        <v>Ativo</v>
      </c>
      <c r="E722" s="10" t="str" cm="1">
        <f t="array" ref="E722">IF(AND(A722="2021-02", ISNA(MATCH(B722, _xlfn._xlws.FILTER(B:B, A:A="2021-03"), 0))), "Left", "Ativo")</f>
        <v>Ativo</v>
      </c>
      <c r="F722" s="12" t="str" cm="1">
        <f t="array" ref="F722">IF(AND(A722="2021-03", ISNA(MATCH(B722, _xlfn._xlws.FILTER(B:B, A:A="2021-04"), 0))), "Left", "Ativo")</f>
        <v>Ativo</v>
      </c>
    </row>
    <row r="723" spans="1:6" x14ac:dyDescent="0.25">
      <c r="A723" t="s">
        <v>1528</v>
      </c>
      <c r="B723" t="s">
        <v>722</v>
      </c>
      <c r="C723" s="10" t="str" cm="1">
        <f t="array" ref="C723">IF(AND(A723="2020-12", ISNA(MATCH(B723, _xlfn._xlws.FILTER(B:B, A:A="2021-01"), 0))), "Left", "Ativo")</f>
        <v>Ativo</v>
      </c>
      <c r="D723" s="10" t="str" cm="1">
        <f t="array" ref="D723">IF(AND(A723="2021-01", ISNA(MATCH(B723, _xlfn._xlws.FILTER(B:B, A:A="2021-02"), 0))), "Left", "Ativo")</f>
        <v>Ativo</v>
      </c>
      <c r="E723" s="10" t="str" cm="1">
        <f t="array" ref="E723">IF(AND(A723="2021-02", ISNA(MATCH(B723, _xlfn._xlws.FILTER(B:B, A:A="2021-03"), 0))), "Left", "Ativo")</f>
        <v>Ativo</v>
      </c>
      <c r="F723" s="12" t="str" cm="1">
        <f t="array" ref="F723">IF(AND(A723="2021-03", ISNA(MATCH(B723, _xlfn._xlws.FILTER(B:B, A:A="2021-04"), 0))), "Left", "Ativo")</f>
        <v>Ativo</v>
      </c>
    </row>
    <row r="724" spans="1:6" x14ac:dyDescent="0.25">
      <c r="A724" t="s">
        <v>1528</v>
      </c>
      <c r="B724" t="s">
        <v>723</v>
      </c>
      <c r="C724" s="10" t="str" cm="1">
        <f t="array" ref="C724">IF(AND(A724="2020-12", ISNA(MATCH(B724, _xlfn._xlws.FILTER(B:B, A:A="2021-01"), 0))), "Left", "Ativo")</f>
        <v>Ativo</v>
      </c>
      <c r="D724" s="10" t="str" cm="1">
        <f t="array" ref="D724">IF(AND(A724="2021-01", ISNA(MATCH(B724, _xlfn._xlws.FILTER(B:B, A:A="2021-02"), 0))), "Left", "Ativo")</f>
        <v>Ativo</v>
      </c>
      <c r="E724" s="10" t="str" cm="1">
        <f t="array" ref="E724">IF(AND(A724="2021-02", ISNA(MATCH(B724, _xlfn._xlws.FILTER(B:B, A:A="2021-03"), 0))), "Left", "Ativo")</f>
        <v>Ativo</v>
      </c>
      <c r="F724" s="12" t="str" cm="1">
        <f t="array" ref="F724">IF(AND(A724="2021-03", ISNA(MATCH(B724, _xlfn._xlws.FILTER(B:B, A:A="2021-04"), 0))), "Left", "Ativo")</f>
        <v>Ativo</v>
      </c>
    </row>
    <row r="725" spans="1:6" x14ac:dyDescent="0.25">
      <c r="A725" t="s">
        <v>1528</v>
      </c>
      <c r="B725" t="s">
        <v>724</v>
      </c>
      <c r="C725" s="10" t="str" cm="1">
        <f t="array" ref="C725">IF(AND(A725="2020-12", ISNA(MATCH(B725, _xlfn._xlws.FILTER(B:B, A:A="2021-01"), 0))), "Left", "Ativo")</f>
        <v>Ativo</v>
      </c>
      <c r="D725" s="10" t="str" cm="1">
        <f t="array" ref="D725">IF(AND(A725="2021-01", ISNA(MATCH(B725, _xlfn._xlws.FILTER(B:B, A:A="2021-02"), 0))), "Left", "Ativo")</f>
        <v>Ativo</v>
      </c>
      <c r="E725" s="10" t="str" cm="1">
        <f t="array" ref="E725">IF(AND(A725="2021-02", ISNA(MATCH(B725, _xlfn._xlws.FILTER(B:B, A:A="2021-03"), 0))), "Left", "Ativo")</f>
        <v>Ativo</v>
      </c>
      <c r="F725" s="12" t="str" cm="1">
        <f t="array" ref="F725">IF(AND(A725="2021-03", ISNA(MATCH(B725, _xlfn._xlws.FILTER(B:B, A:A="2021-04"), 0))), "Left", "Ativo")</f>
        <v>Ativo</v>
      </c>
    </row>
    <row r="726" spans="1:6" x14ac:dyDescent="0.25">
      <c r="A726" t="s">
        <v>1528</v>
      </c>
      <c r="B726" t="s">
        <v>725</v>
      </c>
      <c r="C726" s="10" t="str" cm="1">
        <f t="array" ref="C726">IF(AND(A726="2020-12", ISNA(MATCH(B726, _xlfn._xlws.FILTER(B:B, A:A="2021-01"), 0))), "Left", "Ativo")</f>
        <v>Ativo</v>
      </c>
      <c r="D726" s="10" t="str" cm="1">
        <f t="array" ref="D726">IF(AND(A726="2021-01", ISNA(MATCH(B726, _xlfn._xlws.FILTER(B:B, A:A="2021-02"), 0))), "Left", "Ativo")</f>
        <v>Ativo</v>
      </c>
      <c r="E726" s="10" t="str" cm="1">
        <f t="array" ref="E726">IF(AND(A726="2021-02", ISNA(MATCH(B726, _xlfn._xlws.FILTER(B:B, A:A="2021-03"), 0))), "Left", "Ativo")</f>
        <v>Ativo</v>
      </c>
      <c r="F726" s="12" t="str" cm="1">
        <f t="array" ref="F726">IF(AND(A726="2021-03", ISNA(MATCH(B726, _xlfn._xlws.FILTER(B:B, A:A="2021-04"), 0))), "Left", "Ativo")</f>
        <v>Ativo</v>
      </c>
    </row>
    <row r="727" spans="1:6" x14ac:dyDescent="0.25">
      <c r="A727" t="s">
        <v>1528</v>
      </c>
      <c r="B727" t="s">
        <v>726</v>
      </c>
      <c r="C727" s="10" t="str" cm="1">
        <f t="array" ref="C727">IF(AND(A727="2020-12", ISNA(MATCH(B727, _xlfn._xlws.FILTER(B:B, A:A="2021-01"), 0))), "Left", "Ativo")</f>
        <v>Ativo</v>
      </c>
      <c r="D727" s="10" t="str" cm="1">
        <f t="array" ref="D727">IF(AND(A727="2021-01", ISNA(MATCH(B727, _xlfn._xlws.FILTER(B:B, A:A="2021-02"), 0))), "Left", "Ativo")</f>
        <v>Ativo</v>
      </c>
      <c r="E727" s="10" t="str" cm="1">
        <f t="array" ref="E727">IF(AND(A727="2021-02", ISNA(MATCH(B727, _xlfn._xlws.FILTER(B:B, A:A="2021-03"), 0))), "Left", "Ativo")</f>
        <v>Ativo</v>
      </c>
      <c r="F727" s="12" t="str" cm="1">
        <f t="array" ref="F727">IF(AND(A727="2021-03", ISNA(MATCH(B727, _xlfn._xlws.FILTER(B:B, A:A="2021-04"), 0))), "Left", "Ativo")</f>
        <v>Ativo</v>
      </c>
    </row>
    <row r="728" spans="1:6" x14ac:dyDescent="0.25">
      <c r="A728" t="s">
        <v>1528</v>
      </c>
      <c r="B728" t="s">
        <v>727</v>
      </c>
      <c r="C728" s="10" t="str" cm="1">
        <f t="array" ref="C728">IF(AND(A728="2020-12", ISNA(MATCH(B728, _xlfn._xlws.FILTER(B:B, A:A="2021-01"), 0))), "Left", "Ativo")</f>
        <v>Ativo</v>
      </c>
      <c r="D728" s="10" t="str" cm="1">
        <f t="array" ref="D728">IF(AND(A728="2021-01", ISNA(MATCH(B728, _xlfn._xlws.FILTER(B:B, A:A="2021-02"), 0))), "Left", "Ativo")</f>
        <v>Ativo</v>
      </c>
      <c r="E728" s="10" t="str" cm="1">
        <f t="array" ref="E728">IF(AND(A728="2021-02", ISNA(MATCH(B728, _xlfn._xlws.FILTER(B:B, A:A="2021-03"), 0))), "Left", "Ativo")</f>
        <v>Ativo</v>
      </c>
      <c r="F728" s="12" t="str" cm="1">
        <f t="array" ref="F728">IF(AND(A728="2021-03", ISNA(MATCH(B728, _xlfn._xlws.FILTER(B:B, A:A="2021-04"), 0))), "Left", "Ativo")</f>
        <v>Ativo</v>
      </c>
    </row>
    <row r="729" spans="1:6" x14ac:dyDescent="0.25">
      <c r="A729" t="s">
        <v>1528</v>
      </c>
      <c r="B729" t="s">
        <v>728</v>
      </c>
      <c r="C729" s="10" t="str" cm="1">
        <f t="array" ref="C729">IF(AND(A729="2020-12", ISNA(MATCH(B729, _xlfn._xlws.FILTER(B:B, A:A="2021-01"), 0))), "Left", "Ativo")</f>
        <v>Ativo</v>
      </c>
      <c r="D729" s="10" t="str" cm="1">
        <f t="array" ref="D729">IF(AND(A729="2021-01", ISNA(MATCH(B729, _xlfn._xlws.FILTER(B:B, A:A="2021-02"), 0))), "Left", "Ativo")</f>
        <v>Ativo</v>
      </c>
      <c r="E729" s="10" t="str" cm="1">
        <f t="array" ref="E729">IF(AND(A729="2021-02", ISNA(MATCH(B729, _xlfn._xlws.FILTER(B:B, A:A="2021-03"), 0))), "Left", "Ativo")</f>
        <v>Ativo</v>
      </c>
      <c r="F729" s="12" t="str" cm="1">
        <f t="array" ref="F729">IF(AND(A729="2021-03", ISNA(MATCH(B729, _xlfn._xlws.FILTER(B:B, A:A="2021-04"), 0))), "Left", "Ativo")</f>
        <v>Ativo</v>
      </c>
    </row>
    <row r="730" spans="1:6" x14ac:dyDescent="0.25">
      <c r="A730" t="s">
        <v>1528</v>
      </c>
      <c r="B730" t="s">
        <v>729</v>
      </c>
      <c r="C730" s="10" t="str" cm="1">
        <f t="array" ref="C730">IF(AND(A730="2020-12", ISNA(MATCH(B730, _xlfn._xlws.FILTER(B:B, A:A="2021-01"), 0))), "Left", "Ativo")</f>
        <v>Ativo</v>
      </c>
      <c r="D730" s="10" t="str" cm="1">
        <f t="array" ref="D730">IF(AND(A730="2021-01", ISNA(MATCH(B730, _xlfn._xlws.FILTER(B:B, A:A="2021-02"), 0))), "Left", "Ativo")</f>
        <v>Ativo</v>
      </c>
      <c r="E730" s="10" t="str" cm="1">
        <f t="array" ref="E730">IF(AND(A730="2021-02", ISNA(MATCH(B730, _xlfn._xlws.FILTER(B:B, A:A="2021-03"), 0))), "Left", "Ativo")</f>
        <v>Ativo</v>
      </c>
      <c r="F730" s="12" t="str" cm="1">
        <f t="array" ref="F730">IF(AND(A730="2021-03", ISNA(MATCH(B730, _xlfn._xlws.FILTER(B:B, A:A="2021-04"), 0))), "Left", "Ativo")</f>
        <v>Ativo</v>
      </c>
    </row>
    <row r="731" spans="1:6" x14ac:dyDescent="0.25">
      <c r="A731" t="s">
        <v>1528</v>
      </c>
      <c r="B731" t="s">
        <v>730</v>
      </c>
      <c r="C731" s="10" t="str" cm="1">
        <f t="array" ref="C731">IF(AND(A731="2020-12", ISNA(MATCH(B731, _xlfn._xlws.FILTER(B:B, A:A="2021-01"), 0))), "Left", "Ativo")</f>
        <v>Ativo</v>
      </c>
      <c r="D731" s="10" t="str" cm="1">
        <f t="array" ref="D731">IF(AND(A731="2021-01", ISNA(MATCH(B731, _xlfn._xlws.FILTER(B:B, A:A="2021-02"), 0))), "Left", "Ativo")</f>
        <v>Ativo</v>
      </c>
      <c r="E731" s="10" t="str" cm="1">
        <f t="array" ref="E731">IF(AND(A731="2021-02", ISNA(MATCH(B731, _xlfn._xlws.FILTER(B:B, A:A="2021-03"), 0))), "Left", "Ativo")</f>
        <v>Ativo</v>
      </c>
      <c r="F731" s="12" t="str" cm="1">
        <f t="array" ref="F731">IF(AND(A731="2021-03", ISNA(MATCH(B731, _xlfn._xlws.FILTER(B:B, A:A="2021-04"), 0))), "Left", "Ativo")</f>
        <v>Ativo</v>
      </c>
    </row>
    <row r="732" spans="1:6" x14ac:dyDescent="0.25">
      <c r="A732" t="s">
        <v>1528</v>
      </c>
      <c r="B732" t="s">
        <v>731</v>
      </c>
      <c r="C732" s="10" t="str" cm="1">
        <f t="array" ref="C732">IF(AND(A732="2020-12", ISNA(MATCH(B732, _xlfn._xlws.FILTER(B:B, A:A="2021-01"), 0))), "Left", "Ativo")</f>
        <v>Ativo</v>
      </c>
      <c r="D732" s="10" t="str" cm="1">
        <f t="array" ref="D732">IF(AND(A732="2021-01", ISNA(MATCH(B732, _xlfn._xlws.FILTER(B:B, A:A="2021-02"), 0))), "Left", "Ativo")</f>
        <v>Ativo</v>
      </c>
      <c r="E732" s="10" t="str" cm="1">
        <f t="array" ref="E732">IF(AND(A732="2021-02", ISNA(MATCH(B732, _xlfn._xlws.FILTER(B:B, A:A="2021-03"), 0))), "Left", "Ativo")</f>
        <v>Ativo</v>
      </c>
      <c r="F732" s="12" t="str" cm="1">
        <f t="array" ref="F732">IF(AND(A732="2021-03", ISNA(MATCH(B732, _xlfn._xlws.FILTER(B:B, A:A="2021-04"), 0))), "Left", "Ativo")</f>
        <v>Ativo</v>
      </c>
    </row>
    <row r="733" spans="1:6" x14ac:dyDescent="0.25">
      <c r="A733" t="s">
        <v>1528</v>
      </c>
      <c r="B733" t="s">
        <v>732</v>
      </c>
      <c r="C733" s="10" t="str" cm="1">
        <f t="array" ref="C733">IF(AND(A733="2020-12", ISNA(MATCH(B733, _xlfn._xlws.FILTER(B:B, A:A="2021-01"), 0))), "Left", "Ativo")</f>
        <v>Ativo</v>
      </c>
      <c r="D733" s="10" t="str" cm="1">
        <f t="array" ref="D733">IF(AND(A733="2021-01", ISNA(MATCH(B733, _xlfn._xlws.FILTER(B:B, A:A="2021-02"), 0))), "Left", "Ativo")</f>
        <v>Ativo</v>
      </c>
      <c r="E733" s="10" t="str" cm="1">
        <f t="array" ref="E733">IF(AND(A733="2021-02", ISNA(MATCH(B733, _xlfn._xlws.FILTER(B:B, A:A="2021-03"), 0))), "Left", "Ativo")</f>
        <v>Ativo</v>
      </c>
      <c r="F733" s="12" t="str" cm="1">
        <f t="array" ref="F733">IF(AND(A733="2021-03", ISNA(MATCH(B733, _xlfn._xlws.FILTER(B:B, A:A="2021-04"), 0))), "Left", "Ativo")</f>
        <v>Ativo</v>
      </c>
    </row>
    <row r="734" spans="1:6" x14ac:dyDescent="0.25">
      <c r="A734" t="s">
        <v>1528</v>
      </c>
      <c r="B734" t="s">
        <v>733</v>
      </c>
      <c r="C734" s="10" t="str" cm="1">
        <f t="array" ref="C734">IF(AND(A734="2020-12", ISNA(MATCH(B734, _xlfn._xlws.FILTER(B:B, A:A="2021-01"), 0))), "Left", "Ativo")</f>
        <v>Ativo</v>
      </c>
      <c r="D734" s="10" t="str" cm="1">
        <f t="array" ref="D734">IF(AND(A734="2021-01", ISNA(MATCH(B734, _xlfn._xlws.FILTER(B:B, A:A="2021-02"), 0))), "Left", "Ativo")</f>
        <v>Ativo</v>
      </c>
      <c r="E734" s="10" t="str" cm="1">
        <f t="array" ref="E734">IF(AND(A734="2021-02", ISNA(MATCH(B734, _xlfn._xlws.FILTER(B:B, A:A="2021-03"), 0))), "Left", "Ativo")</f>
        <v>Ativo</v>
      </c>
      <c r="F734" s="12" t="str" cm="1">
        <f t="array" ref="F734">IF(AND(A734="2021-03", ISNA(MATCH(B734, _xlfn._xlws.FILTER(B:B, A:A="2021-04"), 0))), "Left", "Ativo")</f>
        <v>Ativo</v>
      </c>
    </row>
    <row r="735" spans="1:6" x14ac:dyDescent="0.25">
      <c r="A735" t="s">
        <v>1528</v>
      </c>
      <c r="B735" t="s">
        <v>734</v>
      </c>
      <c r="C735" s="10" t="str" cm="1">
        <f t="array" ref="C735">IF(AND(A735="2020-12", ISNA(MATCH(B735, _xlfn._xlws.FILTER(B:B, A:A="2021-01"), 0))), "Left", "Ativo")</f>
        <v>Ativo</v>
      </c>
      <c r="D735" s="10" t="str" cm="1">
        <f t="array" ref="D735">IF(AND(A735="2021-01", ISNA(MATCH(B735, _xlfn._xlws.FILTER(B:B, A:A="2021-02"), 0))), "Left", "Ativo")</f>
        <v>Ativo</v>
      </c>
      <c r="E735" s="10" t="str" cm="1">
        <f t="array" ref="E735">IF(AND(A735="2021-02", ISNA(MATCH(B735, _xlfn._xlws.FILTER(B:B, A:A="2021-03"), 0))), "Left", "Ativo")</f>
        <v>Ativo</v>
      </c>
      <c r="F735" s="12" t="str" cm="1">
        <f t="array" ref="F735">IF(AND(A735="2021-03", ISNA(MATCH(B735, _xlfn._xlws.FILTER(B:B, A:A="2021-04"), 0))), "Left", "Ativo")</f>
        <v>Ativo</v>
      </c>
    </row>
    <row r="736" spans="1:6" x14ac:dyDescent="0.25">
      <c r="A736" t="s">
        <v>1528</v>
      </c>
      <c r="B736" t="s">
        <v>735</v>
      </c>
      <c r="C736" s="10" t="str" cm="1">
        <f t="array" ref="C736">IF(AND(A736="2020-12", ISNA(MATCH(B736, _xlfn._xlws.FILTER(B:B, A:A="2021-01"), 0))), "Left", "Ativo")</f>
        <v>Ativo</v>
      </c>
      <c r="D736" s="10" t="str" cm="1">
        <f t="array" ref="D736">IF(AND(A736="2021-01", ISNA(MATCH(B736, _xlfn._xlws.FILTER(B:B, A:A="2021-02"), 0))), "Left", "Ativo")</f>
        <v>Ativo</v>
      </c>
      <c r="E736" s="10" t="str" cm="1">
        <f t="array" ref="E736">IF(AND(A736="2021-02", ISNA(MATCH(B736, _xlfn._xlws.FILTER(B:B, A:A="2021-03"), 0))), "Left", "Ativo")</f>
        <v>Ativo</v>
      </c>
      <c r="F736" s="12" t="str" cm="1">
        <f t="array" ref="F736">IF(AND(A736="2021-03", ISNA(MATCH(B736, _xlfn._xlws.FILTER(B:B, A:A="2021-04"), 0))), "Left", "Ativo")</f>
        <v>Ativo</v>
      </c>
    </row>
    <row r="737" spans="1:6" x14ac:dyDescent="0.25">
      <c r="A737" t="s">
        <v>1528</v>
      </c>
      <c r="B737" t="s">
        <v>736</v>
      </c>
      <c r="C737" s="10" t="str" cm="1">
        <f t="array" ref="C737">IF(AND(A737="2020-12", ISNA(MATCH(B737, _xlfn._xlws.FILTER(B:B, A:A="2021-01"), 0))), "Left", "Ativo")</f>
        <v>Ativo</v>
      </c>
      <c r="D737" s="10" t="str" cm="1">
        <f t="array" ref="D737">IF(AND(A737="2021-01", ISNA(MATCH(B737, _xlfn._xlws.FILTER(B:B, A:A="2021-02"), 0))), "Left", "Ativo")</f>
        <v>Ativo</v>
      </c>
      <c r="E737" s="10" t="str" cm="1">
        <f t="array" ref="E737">IF(AND(A737="2021-02", ISNA(MATCH(B737, _xlfn._xlws.FILTER(B:B, A:A="2021-03"), 0))), "Left", "Ativo")</f>
        <v>Ativo</v>
      </c>
      <c r="F737" s="12" t="str" cm="1">
        <f t="array" ref="F737">IF(AND(A737="2021-03", ISNA(MATCH(B737, _xlfn._xlws.FILTER(B:B, A:A="2021-04"), 0))), "Left", "Ativo")</f>
        <v>Ativo</v>
      </c>
    </row>
    <row r="738" spans="1:6" x14ac:dyDescent="0.25">
      <c r="A738" t="s">
        <v>1528</v>
      </c>
      <c r="B738" t="s">
        <v>737</v>
      </c>
      <c r="C738" s="10" t="str" cm="1">
        <f t="array" ref="C738">IF(AND(A738="2020-12", ISNA(MATCH(B738, _xlfn._xlws.FILTER(B:B, A:A="2021-01"), 0))), "Left", "Ativo")</f>
        <v>Ativo</v>
      </c>
      <c r="D738" s="10" t="str" cm="1">
        <f t="array" ref="D738">IF(AND(A738="2021-01", ISNA(MATCH(B738, _xlfn._xlws.FILTER(B:B, A:A="2021-02"), 0))), "Left", "Ativo")</f>
        <v>Ativo</v>
      </c>
      <c r="E738" s="10" t="str" cm="1">
        <f t="array" ref="E738">IF(AND(A738="2021-02", ISNA(MATCH(B738, _xlfn._xlws.FILTER(B:B, A:A="2021-03"), 0))), "Left", "Ativo")</f>
        <v>Ativo</v>
      </c>
      <c r="F738" s="12" t="str" cm="1">
        <f t="array" ref="F738">IF(AND(A738="2021-03", ISNA(MATCH(B738, _xlfn._xlws.FILTER(B:B, A:A="2021-04"), 0))), "Left", "Ativo")</f>
        <v>Ativo</v>
      </c>
    </row>
    <row r="739" spans="1:6" x14ac:dyDescent="0.25">
      <c r="A739" t="s">
        <v>1528</v>
      </c>
      <c r="B739" t="s">
        <v>738</v>
      </c>
      <c r="C739" s="10" t="str" cm="1">
        <f t="array" ref="C739">IF(AND(A739="2020-12", ISNA(MATCH(B739, _xlfn._xlws.FILTER(B:B, A:A="2021-01"), 0))), "Left", "Ativo")</f>
        <v>Ativo</v>
      </c>
      <c r="D739" s="10" t="str" cm="1">
        <f t="array" ref="D739">IF(AND(A739="2021-01", ISNA(MATCH(B739, _xlfn._xlws.FILTER(B:B, A:A="2021-02"), 0))), "Left", "Ativo")</f>
        <v>Ativo</v>
      </c>
      <c r="E739" s="10" t="str" cm="1">
        <f t="array" ref="E739">IF(AND(A739="2021-02", ISNA(MATCH(B739, _xlfn._xlws.FILTER(B:B, A:A="2021-03"), 0))), "Left", "Ativo")</f>
        <v>Ativo</v>
      </c>
      <c r="F739" s="12" t="str" cm="1">
        <f t="array" ref="F739">IF(AND(A739="2021-03", ISNA(MATCH(B739, _xlfn._xlws.FILTER(B:B, A:A="2021-04"), 0))), "Left", "Ativo")</f>
        <v>Ativo</v>
      </c>
    </row>
    <row r="740" spans="1:6" x14ac:dyDescent="0.25">
      <c r="A740" t="s">
        <v>1528</v>
      </c>
      <c r="B740" t="s">
        <v>739</v>
      </c>
      <c r="C740" s="10" t="str" cm="1">
        <f t="array" ref="C740">IF(AND(A740="2020-12", ISNA(MATCH(B740, _xlfn._xlws.FILTER(B:B, A:A="2021-01"), 0))), "Left", "Ativo")</f>
        <v>Ativo</v>
      </c>
      <c r="D740" s="10" t="str" cm="1">
        <f t="array" ref="D740">IF(AND(A740="2021-01", ISNA(MATCH(B740, _xlfn._xlws.FILTER(B:B, A:A="2021-02"), 0))), "Left", "Ativo")</f>
        <v>Ativo</v>
      </c>
      <c r="E740" s="10" t="str" cm="1">
        <f t="array" ref="E740">IF(AND(A740="2021-02", ISNA(MATCH(B740, _xlfn._xlws.FILTER(B:B, A:A="2021-03"), 0))), "Left", "Ativo")</f>
        <v>Ativo</v>
      </c>
      <c r="F740" s="12" t="str" cm="1">
        <f t="array" ref="F740">IF(AND(A740="2021-03", ISNA(MATCH(B740, _xlfn._xlws.FILTER(B:B, A:A="2021-04"), 0))), "Left", "Ativo")</f>
        <v>Ativo</v>
      </c>
    </row>
    <row r="741" spans="1:6" x14ac:dyDescent="0.25">
      <c r="A741" t="s">
        <v>1528</v>
      </c>
      <c r="B741" t="s">
        <v>740</v>
      </c>
      <c r="C741" s="10" t="str" cm="1">
        <f t="array" ref="C741">IF(AND(A741="2020-12", ISNA(MATCH(B741, _xlfn._xlws.FILTER(B:B, A:A="2021-01"), 0))), "Left", "Ativo")</f>
        <v>Ativo</v>
      </c>
      <c r="D741" s="10" t="str" cm="1">
        <f t="array" ref="D741">IF(AND(A741="2021-01", ISNA(MATCH(B741, _xlfn._xlws.FILTER(B:B, A:A="2021-02"), 0))), "Left", "Ativo")</f>
        <v>Ativo</v>
      </c>
      <c r="E741" s="10" t="str" cm="1">
        <f t="array" ref="E741">IF(AND(A741="2021-02", ISNA(MATCH(B741, _xlfn._xlws.FILTER(B:B, A:A="2021-03"), 0))), "Left", "Ativo")</f>
        <v>Ativo</v>
      </c>
      <c r="F741" s="12" t="str" cm="1">
        <f t="array" ref="F741">IF(AND(A741="2021-03", ISNA(MATCH(B741, _xlfn._xlws.FILTER(B:B, A:A="2021-04"), 0))), "Left", "Ativo")</f>
        <v>Ativo</v>
      </c>
    </row>
    <row r="742" spans="1:6" x14ac:dyDescent="0.25">
      <c r="A742" t="s">
        <v>1528</v>
      </c>
      <c r="B742" t="s">
        <v>741</v>
      </c>
      <c r="C742" s="10" t="str" cm="1">
        <f t="array" ref="C742">IF(AND(A742="2020-12", ISNA(MATCH(B742, _xlfn._xlws.FILTER(B:B, A:A="2021-01"), 0))), "Left", "Ativo")</f>
        <v>Ativo</v>
      </c>
      <c r="D742" s="10" t="str" cm="1">
        <f t="array" ref="D742">IF(AND(A742="2021-01", ISNA(MATCH(B742, _xlfn._xlws.FILTER(B:B, A:A="2021-02"), 0))), "Left", "Ativo")</f>
        <v>Ativo</v>
      </c>
      <c r="E742" s="10" t="str" cm="1">
        <f t="array" ref="E742">IF(AND(A742="2021-02", ISNA(MATCH(B742, _xlfn._xlws.FILTER(B:B, A:A="2021-03"), 0))), "Left", "Ativo")</f>
        <v>Ativo</v>
      </c>
      <c r="F742" s="12" t="str" cm="1">
        <f t="array" ref="F742">IF(AND(A742="2021-03", ISNA(MATCH(B742, _xlfn._xlws.FILTER(B:B, A:A="2021-04"), 0))), "Left", "Ativo")</f>
        <v>Ativo</v>
      </c>
    </row>
    <row r="743" spans="1:6" x14ac:dyDescent="0.25">
      <c r="A743" t="s">
        <v>1528</v>
      </c>
      <c r="B743" t="s">
        <v>742</v>
      </c>
      <c r="C743" s="10" t="str" cm="1">
        <f t="array" ref="C743">IF(AND(A743="2020-12", ISNA(MATCH(B743, _xlfn._xlws.FILTER(B:B, A:A="2021-01"), 0))), "Left", "Ativo")</f>
        <v>Ativo</v>
      </c>
      <c r="D743" s="10" t="str" cm="1">
        <f t="array" ref="D743">IF(AND(A743="2021-01", ISNA(MATCH(B743, _xlfn._xlws.FILTER(B:B, A:A="2021-02"), 0))), "Left", "Ativo")</f>
        <v>Ativo</v>
      </c>
      <c r="E743" s="10" t="str" cm="1">
        <f t="array" ref="E743">IF(AND(A743="2021-02", ISNA(MATCH(B743, _xlfn._xlws.FILTER(B:B, A:A="2021-03"), 0))), "Left", "Ativo")</f>
        <v>Ativo</v>
      </c>
      <c r="F743" s="12" t="str" cm="1">
        <f t="array" ref="F743">IF(AND(A743="2021-03", ISNA(MATCH(B743, _xlfn._xlws.FILTER(B:B, A:A="2021-04"), 0))), "Left", "Ativo")</f>
        <v>Ativo</v>
      </c>
    </row>
    <row r="744" spans="1:6" x14ac:dyDescent="0.25">
      <c r="A744" t="s">
        <v>1528</v>
      </c>
      <c r="B744" t="s">
        <v>743</v>
      </c>
      <c r="C744" s="10" t="str" cm="1">
        <f t="array" ref="C744">IF(AND(A744="2020-12", ISNA(MATCH(B744, _xlfn._xlws.FILTER(B:B, A:A="2021-01"), 0))), "Left", "Ativo")</f>
        <v>Ativo</v>
      </c>
      <c r="D744" s="10" t="str" cm="1">
        <f t="array" ref="D744">IF(AND(A744="2021-01", ISNA(MATCH(B744, _xlfn._xlws.FILTER(B:B, A:A="2021-02"), 0))), "Left", "Ativo")</f>
        <v>Ativo</v>
      </c>
      <c r="E744" s="10" t="str" cm="1">
        <f t="array" ref="E744">IF(AND(A744="2021-02", ISNA(MATCH(B744, _xlfn._xlws.FILTER(B:B, A:A="2021-03"), 0))), "Left", "Ativo")</f>
        <v>Ativo</v>
      </c>
      <c r="F744" s="12" t="str" cm="1">
        <f t="array" ref="F744">IF(AND(A744="2021-03", ISNA(MATCH(B744, _xlfn._xlws.FILTER(B:B, A:A="2021-04"), 0))), "Left", "Ativo")</f>
        <v>Ativo</v>
      </c>
    </row>
    <row r="745" spans="1:6" x14ac:dyDescent="0.25">
      <c r="A745" t="s">
        <v>1528</v>
      </c>
      <c r="B745" t="s">
        <v>744</v>
      </c>
      <c r="C745" s="10" t="str" cm="1">
        <f t="array" ref="C745">IF(AND(A745="2020-12", ISNA(MATCH(B745, _xlfn._xlws.FILTER(B:B, A:A="2021-01"), 0))), "Left", "Ativo")</f>
        <v>Ativo</v>
      </c>
      <c r="D745" s="10" t="str" cm="1">
        <f t="array" ref="D745">IF(AND(A745="2021-01", ISNA(MATCH(B745, _xlfn._xlws.FILTER(B:B, A:A="2021-02"), 0))), "Left", "Ativo")</f>
        <v>Ativo</v>
      </c>
      <c r="E745" s="10" t="str" cm="1">
        <f t="array" ref="E745">IF(AND(A745="2021-02", ISNA(MATCH(B745, _xlfn._xlws.FILTER(B:B, A:A="2021-03"), 0))), "Left", "Ativo")</f>
        <v>Ativo</v>
      </c>
      <c r="F745" s="12" t="str" cm="1">
        <f t="array" ref="F745">IF(AND(A745="2021-03", ISNA(MATCH(B745, _xlfn._xlws.FILTER(B:B, A:A="2021-04"), 0))), "Left", "Ativo")</f>
        <v>Ativo</v>
      </c>
    </row>
    <row r="746" spans="1:6" x14ac:dyDescent="0.25">
      <c r="A746" t="s">
        <v>1528</v>
      </c>
      <c r="B746" t="s">
        <v>745</v>
      </c>
      <c r="C746" s="10" t="str" cm="1">
        <f t="array" ref="C746">IF(AND(A746="2020-12", ISNA(MATCH(B746, _xlfn._xlws.FILTER(B:B, A:A="2021-01"), 0))), "Left", "Ativo")</f>
        <v>Ativo</v>
      </c>
      <c r="D746" s="10" t="str" cm="1">
        <f t="array" ref="D746">IF(AND(A746="2021-01", ISNA(MATCH(B746, _xlfn._xlws.FILTER(B:B, A:A="2021-02"), 0))), "Left", "Ativo")</f>
        <v>Ativo</v>
      </c>
      <c r="E746" s="10" t="str" cm="1">
        <f t="array" ref="E746">IF(AND(A746="2021-02", ISNA(MATCH(B746, _xlfn._xlws.FILTER(B:B, A:A="2021-03"), 0))), "Left", "Ativo")</f>
        <v>Ativo</v>
      </c>
      <c r="F746" s="12" t="str" cm="1">
        <f t="array" ref="F746">IF(AND(A746="2021-03", ISNA(MATCH(B746, _xlfn._xlws.FILTER(B:B, A:A="2021-04"), 0))), "Left", "Ativo")</f>
        <v>Ativo</v>
      </c>
    </row>
    <row r="747" spans="1:6" x14ac:dyDescent="0.25">
      <c r="A747" t="s">
        <v>1528</v>
      </c>
      <c r="B747" t="s">
        <v>746</v>
      </c>
      <c r="C747" s="10" t="str" cm="1">
        <f t="array" ref="C747">IF(AND(A747="2020-12", ISNA(MATCH(B747, _xlfn._xlws.FILTER(B:B, A:A="2021-01"), 0))), "Left", "Ativo")</f>
        <v>Ativo</v>
      </c>
      <c r="D747" s="10" t="str" cm="1">
        <f t="array" ref="D747">IF(AND(A747="2021-01", ISNA(MATCH(B747, _xlfn._xlws.FILTER(B:B, A:A="2021-02"), 0))), "Left", "Ativo")</f>
        <v>Ativo</v>
      </c>
      <c r="E747" s="10" t="str" cm="1">
        <f t="array" ref="E747">IF(AND(A747="2021-02", ISNA(MATCH(B747, _xlfn._xlws.FILTER(B:B, A:A="2021-03"), 0))), "Left", "Ativo")</f>
        <v>Ativo</v>
      </c>
      <c r="F747" s="12" t="str" cm="1">
        <f t="array" ref="F747">IF(AND(A747="2021-03", ISNA(MATCH(B747, _xlfn._xlws.FILTER(B:B, A:A="2021-04"), 0))), "Left", "Ativo")</f>
        <v>Ativo</v>
      </c>
    </row>
    <row r="748" spans="1:6" x14ac:dyDescent="0.25">
      <c r="A748" t="s">
        <v>1528</v>
      </c>
      <c r="B748" t="s">
        <v>747</v>
      </c>
      <c r="C748" s="10" t="str" cm="1">
        <f t="array" ref="C748">IF(AND(A748="2020-12", ISNA(MATCH(B748, _xlfn._xlws.FILTER(B:B, A:A="2021-01"), 0))), "Left", "Ativo")</f>
        <v>Ativo</v>
      </c>
      <c r="D748" s="10" t="str" cm="1">
        <f t="array" ref="D748">IF(AND(A748="2021-01", ISNA(MATCH(B748, _xlfn._xlws.FILTER(B:B, A:A="2021-02"), 0))), "Left", "Ativo")</f>
        <v>Ativo</v>
      </c>
      <c r="E748" s="10" t="str" cm="1">
        <f t="array" ref="E748">IF(AND(A748="2021-02", ISNA(MATCH(B748, _xlfn._xlws.FILTER(B:B, A:A="2021-03"), 0))), "Left", "Ativo")</f>
        <v>Ativo</v>
      </c>
      <c r="F748" s="12" t="str" cm="1">
        <f t="array" ref="F748">IF(AND(A748="2021-03", ISNA(MATCH(B748, _xlfn._xlws.FILTER(B:B, A:A="2021-04"), 0))), "Left", "Ativo")</f>
        <v>Ativo</v>
      </c>
    </row>
    <row r="749" spans="1:6" x14ac:dyDescent="0.25">
      <c r="A749" t="s">
        <v>1528</v>
      </c>
      <c r="B749" t="s">
        <v>748</v>
      </c>
      <c r="C749" s="10" t="str" cm="1">
        <f t="array" ref="C749">IF(AND(A749="2020-12", ISNA(MATCH(B749, _xlfn._xlws.FILTER(B:B, A:A="2021-01"), 0))), "Left", "Ativo")</f>
        <v>Ativo</v>
      </c>
      <c r="D749" s="10" t="str" cm="1">
        <f t="array" ref="D749">IF(AND(A749="2021-01", ISNA(MATCH(B749, _xlfn._xlws.FILTER(B:B, A:A="2021-02"), 0))), "Left", "Ativo")</f>
        <v>Ativo</v>
      </c>
      <c r="E749" s="10" t="str" cm="1">
        <f t="array" ref="E749">IF(AND(A749="2021-02", ISNA(MATCH(B749, _xlfn._xlws.FILTER(B:B, A:A="2021-03"), 0))), "Left", "Ativo")</f>
        <v>Ativo</v>
      </c>
      <c r="F749" s="12" t="str" cm="1">
        <f t="array" ref="F749">IF(AND(A749="2021-03", ISNA(MATCH(B749, _xlfn._xlws.FILTER(B:B, A:A="2021-04"), 0))), "Left", "Ativo")</f>
        <v>Ativo</v>
      </c>
    </row>
    <row r="750" spans="1:6" x14ac:dyDescent="0.25">
      <c r="A750" t="s">
        <v>1528</v>
      </c>
      <c r="B750" t="s">
        <v>749</v>
      </c>
      <c r="C750" s="10" t="str" cm="1">
        <f t="array" ref="C750">IF(AND(A750="2020-12", ISNA(MATCH(B750, _xlfn._xlws.FILTER(B:B, A:A="2021-01"), 0))), "Left", "Ativo")</f>
        <v>Ativo</v>
      </c>
      <c r="D750" s="10" t="str" cm="1">
        <f t="array" ref="D750">IF(AND(A750="2021-01", ISNA(MATCH(B750, _xlfn._xlws.FILTER(B:B, A:A="2021-02"), 0))), "Left", "Ativo")</f>
        <v>Ativo</v>
      </c>
      <c r="E750" s="10" t="str" cm="1">
        <f t="array" ref="E750">IF(AND(A750="2021-02", ISNA(MATCH(B750, _xlfn._xlws.FILTER(B:B, A:A="2021-03"), 0))), "Left", "Ativo")</f>
        <v>Ativo</v>
      </c>
      <c r="F750" s="12" t="str" cm="1">
        <f t="array" ref="F750">IF(AND(A750="2021-03", ISNA(MATCH(B750, _xlfn._xlws.FILTER(B:B, A:A="2021-04"), 0))), "Left", "Ativo")</f>
        <v>Ativo</v>
      </c>
    </row>
    <row r="751" spans="1:6" x14ac:dyDescent="0.25">
      <c r="A751" t="s">
        <v>1528</v>
      </c>
      <c r="B751" t="s">
        <v>750</v>
      </c>
      <c r="C751" s="10" t="str" cm="1">
        <f t="array" ref="C751">IF(AND(A751="2020-12", ISNA(MATCH(B751, _xlfn._xlws.FILTER(B:B, A:A="2021-01"), 0))), "Left", "Ativo")</f>
        <v>Ativo</v>
      </c>
      <c r="D751" s="10" t="str" cm="1">
        <f t="array" ref="D751">IF(AND(A751="2021-01", ISNA(MATCH(B751, _xlfn._xlws.FILTER(B:B, A:A="2021-02"), 0))), "Left", "Ativo")</f>
        <v>Ativo</v>
      </c>
      <c r="E751" s="10" t="str" cm="1">
        <f t="array" ref="E751">IF(AND(A751="2021-02", ISNA(MATCH(B751, _xlfn._xlws.FILTER(B:B, A:A="2021-03"), 0))), "Left", "Ativo")</f>
        <v>Ativo</v>
      </c>
      <c r="F751" s="12" t="str" cm="1">
        <f t="array" ref="F751">IF(AND(A751="2021-03", ISNA(MATCH(B751, _xlfn._xlws.FILTER(B:B, A:A="2021-04"), 0))), "Left", "Ativo")</f>
        <v>Ativo</v>
      </c>
    </row>
    <row r="752" spans="1:6" x14ac:dyDescent="0.25">
      <c r="A752" t="s">
        <v>1528</v>
      </c>
      <c r="B752" t="s">
        <v>751</v>
      </c>
      <c r="C752" s="10" t="str" cm="1">
        <f t="array" ref="C752">IF(AND(A752="2020-12", ISNA(MATCH(B752, _xlfn._xlws.FILTER(B:B, A:A="2021-01"), 0))), "Left", "Ativo")</f>
        <v>Ativo</v>
      </c>
      <c r="D752" s="10" t="str" cm="1">
        <f t="array" ref="D752">IF(AND(A752="2021-01", ISNA(MATCH(B752, _xlfn._xlws.FILTER(B:B, A:A="2021-02"), 0))), "Left", "Ativo")</f>
        <v>Ativo</v>
      </c>
      <c r="E752" s="10" t="str" cm="1">
        <f t="array" ref="E752">IF(AND(A752="2021-02", ISNA(MATCH(B752, _xlfn._xlws.FILTER(B:B, A:A="2021-03"), 0))), "Left", "Ativo")</f>
        <v>Ativo</v>
      </c>
      <c r="F752" s="12" t="str" cm="1">
        <f t="array" ref="F752">IF(AND(A752="2021-03", ISNA(MATCH(B752, _xlfn._xlws.FILTER(B:B, A:A="2021-04"), 0))), "Left", "Ativo")</f>
        <v>Ativo</v>
      </c>
    </row>
    <row r="753" spans="1:6" x14ac:dyDescent="0.25">
      <c r="A753" t="s">
        <v>1528</v>
      </c>
      <c r="B753" t="s">
        <v>752</v>
      </c>
      <c r="C753" s="10" t="str" cm="1">
        <f t="array" ref="C753">IF(AND(A753="2020-12", ISNA(MATCH(B753, _xlfn._xlws.FILTER(B:B, A:A="2021-01"), 0))), "Left", "Ativo")</f>
        <v>Ativo</v>
      </c>
      <c r="D753" s="10" t="str" cm="1">
        <f t="array" ref="D753">IF(AND(A753="2021-01", ISNA(MATCH(B753, _xlfn._xlws.FILTER(B:B, A:A="2021-02"), 0))), "Left", "Ativo")</f>
        <v>Ativo</v>
      </c>
      <c r="E753" s="10" t="str" cm="1">
        <f t="array" ref="E753">IF(AND(A753="2021-02", ISNA(MATCH(B753, _xlfn._xlws.FILTER(B:B, A:A="2021-03"), 0))), "Left", "Ativo")</f>
        <v>Ativo</v>
      </c>
      <c r="F753" s="12" t="str" cm="1">
        <f t="array" ref="F753">IF(AND(A753="2021-03", ISNA(MATCH(B753, _xlfn._xlws.FILTER(B:B, A:A="2021-04"), 0))), "Left", "Ativo")</f>
        <v>Ativo</v>
      </c>
    </row>
    <row r="754" spans="1:6" x14ac:dyDescent="0.25">
      <c r="A754" t="s">
        <v>1528</v>
      </c>
      <c r="B754" t="s">
        <v>753</v>
      </c>
      <c r="C754" s="10" t="str" cm="1">
        <f t="array" ref="C754">IF(AND(A754="2020-12", ISNA(MATCH(B754, _xlfn._xlws.FILTER(B:B, A:A="2021-01"), 0))), "Left", "Ativo")</f>
        <v>Ativo</v>
      </c>
      <c r="D754" s="10" t="str" cm="1">
        <f t="array" ref="D754">IF(AND(A754="2021-01", ISNA(MATCH(B754, _xlfn._xlws.FILTER(B:B, A:A="2021-02"), 0))), "Left", "Ativo")</f>
        <v>Ativo</v>
      </c>
      <c r="E754" s="10" t="str" cm="1">
        <f t="array" ref="E754">IF(AND(A754="2021-02", ISNA(MATCH(B754, _xlfn._xlws.FILTER(B:B, A:A="2021-03"), 0))), "Left", "Ativo")</f>
        <v>Ativo</v>
      </c>
      <c r="F754" s="12" t="str" cm="1">
        <f t="array" ref="F754">IF(AND(A754="2021-03", ISNA(MATCH(B754, _xlfn._xlws.FILTER(B:B, A:A="2021-04"), 0))), "Left", "Ativo")</f>
        <v>Ativo</v>
      </c>
    </row>
    <row r="755" spans="1:6" x14ac:dyDescent="0.25">
      <c r="A755" t="s">
        <v>1528</v>
      </c>
      <c r="B755" t="s">
        <v>754</v>
      </c>
      <c r="C755" s="10" t="str" cm="1">
        <f t="array" ref="C755">IF(AND(A755="2020-12", ISNA(MATCH(B755, _xlfn._xlws.FILTER(B:B, A:A="2021-01"), 0))), "Left", "Ativo")</f>
        <v>Ativo</v>
      </c>
      <c r="D755" s="10" t="str" cm="1">
        <f t="array" ref="D755">IF(AND(A755="2021-01", ISNA(MATCH(B755, _xlfn._xlws.FILTER(B:B, A:A="2021-02"), 0))), "Left", "Ativo")</f>
        <v>Ativo</v>
      </c>
      <c r="E755" s="10" t="str" cm="1">
        <f t="array" ref="E755">IF(AND(A755="2021-02", ISNA(MATCH(B755, _xlfn._xlws.FILTER(B:B, A:A="2021-03"), 0))), "Left", "Ativo")</f>
        <v>Ativo</v>
      </c>
      <c r="F755" s="12" t="str" cm="1">
        <f t="array" ref="F755">IF(AND(A755="2021-03", ISNA(MATCH(B755, _xlfn._xlws.FILTER(B:B, A:A="2021-04"), 0))), "Left", "Ativo")</f>
        <v>Ativo</v>
      </c>
    </row>
    <row r="756" spans="1:6" x14ac:dyDescent="0.25">
      <c r="A756" t="s">
        <v>1528</v>
      </c>
      <c r="B756" t="s">
        <v>755</v>
      </c>
      <c r="C756" s="10" t="str" cm="1">
        <f t="array" ref="C756">IF(AND(A756="2020-12", ISNA(MATCH(B756, _xlfn._xlws.FILTER(B:B, A:A="2021-01"), 0))), "Left", "Ativo")</f>
        <v>Left</v>
      </c>
      <c r="D756" s="10" t="str" cm="1">
        <f t="array" ref="D756">IF(AND(A756="2021-01", ISNA(MATCH(B756, _xlfn._xlws.FILTER(B:B, A:A="2021-02"), 0))), "Left", "Ativo")</f>
        <v>Ativo</v>
      </c>
      <c r="E756" s="10" t="str" cm="1">
        <f t="array" ref="E756">IF(AND(A756="2021-02", ISNA(MATCH(B756, _xlfn._xlws.FILTER(B:B, A:A="2021-03"), 0))), "Left", "Ativo")</f>
        <v>Ativo</v>
      </c>
      <c r="F756" s="12" t="str" cm="1">
        <f t="array" ref="F756">IF(AND(A756="2021-03", ISNA(MATCH(B756, _xlfn._xlws.FILTER(B:B, A:A="2021-04"), 0))), "Left", "Ativo")</f>
        <v>Ativo</v>
      </c>
    </row>
    <row r="757" spans="1:6" x14ac:dyDescent="0.25">
      <c r="A757" t="s">
        <v>1528</v>
      </c>
      <c r="B757" t="s">
        <v>756</v>
      </c>
      <c r="C757" s="10" t="str" cm="1">
        <f t="array" ref="C757">IF(AND(A757="2020-12", ISNA(MATCH(B757, _xlfn._xlws.FILTER(B:B, A:A="2021-01"), 0))), "Left", "Ativo")</f>
        <v>Ativo</v>
      </c>
      <c r="D757" s="10" t="str" cm="1">
        <f t="array" ref="D757">IF(AND(A757="2021-01", ISNA(MATCH(B757, _xlfn._xlws.FILTER(B:B, A:A="2021-02"), 0))), "Left", "Ativo")</f>
        <v>Ativo</v>
      </c>
      <c r="E757" s="10" t="str" cm="1">
        <f t="array" ref="E757">IF(AND(A757="2021-02", ISNA(MATCH(B757, _xlfn._xlws.FILTER(B:B, A:A="2021-03"), 0))), "Left", "Ativo")</f>
        <v>Ativo</v>
      </c>
      <c r="F757" s="12" t="str" cm="1">
        <f t="array" ref="F757">IF(AND(A757="2021-03", ISNA(MATCH(B757, _xlfn._xlws.FILTER(B:B, A:A="2021-04"), 0))), "Left", "Ativo")</f>
        <v>Ativo</v>
      </c>
    </row>
    <row r="758" spans="1:6" x14ac:dyDescent="0.25">
      <c r="A758" t="s">
        <v>1528</v>
      </c>
      <c r="B758" t="s">
        <v>757</v>
      </c>
      <c r="C758" s="10" t="str" cm="1">
        <f t="array" ref="C758">IF(AND(A758="2020-12", ISNA(MATCH(B758, _xlfn._xlws.FILTER(B:B, A:A="2021-01"), 0))), "Left", "Ativo")</f>
        <v>Ativo</v>
      </c>
      <c r="D758" s="10" t="str" cm="1">
        <f t="array" ref="D758">IF(AND(A758="2021-01", ISNA(MATCH(B758, _xlfn._xlws.FILTER(B:B, A:A="2021-02"), 0))), "Left", "Ativo")</f>
        <v>Ativo</v>
      </c>
      <c r="E758" s="10" t="str" cm="1">
        <f t="array" ref="E758">IF(AND(A758="2021-02", ISNA(MATCH(B758, _xlfn._xlws.FILTER(B:B, A:A="2021-03"), 0))), "Left", "Ativo")</f>
        <v>Ativo</v>
      </c>
      <c r="F758" s="12" t="str" cm="1">
        <f t="array" ref="F758">IF(AND(A758="2021-03", ISNA(MATCH(B758, _xlfn._xlws.FILTER(B:B, A:A="2021-04"), 0))), "Left", "Ativo")</f>
        <v>Ativo</v>
      </c>
    </row>
    <row r="759" spans="1:6" x14ac:dyDescent="0.25">
      <c r="A759" t="s">
        <v>1528</v>
      </c>
      <c r="B759" t="s">
        <v>758</v>
      </c>
      <c r="C759" s="10" t="str" cm="1">
        <f t="array" ref="C759">IF(AND(A759="2020-12", ISNA(MATCH(B759, _xlfn._xlws.FILTER(B:B, A:A="2021-01"), 0))), "Left", "Ativo")</f>
        <v>Left</v>
      </c>
      <c r="D759" s="10" t="str" cm="1">
        <f t="array" ref="D759">IF(AND(A759="2021-01", ISNA(MATCH(B759, _xlfn._xlws.FILTER(B:B, A:A="2021-02"), 0))), "Left", "Ativo")</f>
        <v>Ativo</v>
      </c>
      <c r="E759" s="10" t="str" cm="1">
        <f t="array" ref="E759">IF(AND(A759="2021-02", ISNA(MATCH(B759, _xlfn._xlws.FILTER(B:B, A:A="2021-03"), 0))), "Left", "Ativo")</f>
        <v>Ativo</v>
      </c>
      <c r="F759" s="12" t="str" cm="1">
        <f t="array" ref="F759">IF(AND(A759="2021-03", ISNA(MATCH(B759, _xlfn._xlws.FILTER(B:B, A:A="2021-04"), 0))), "Left", "Ativo")</f>
        <v>Ativo</v>
      </c>
    </row>
    <row r="760" spans="1:6" x14ac:dyDescent="0.25">
      <c r="A760" t="s">
        <v>1528</v>
      </c>
      <c r="B760" t="s">
        <v>759</v>
      </c>
      <c r="C760" s="10" t="str" cm="1">
        <f t="array" ref="C760">IF(AND(A760="2020-12", ISNA(MATCH(B760, _xlfn._xlws.FILTER(B:B, A:A="2021-01"), 0))), "Left", "Ativo")</f>
        <v>Ativo</v>
      </c>
      <c r="D760" s="10" t="str" cm="1">
        <f t="array" ref="D760">IF(AND(A760="2021-01", ISNA(MATCH(B760, _xlfn._xlws.FILTER(B:B, A:A="2021-02"), 0))), "Left", "Ativo")</f>
        <v>Ativo</v>
      </c>
      <c r="E760" s="10" t="str" cm="1">
        <f t="array" ref="E760">IF(AND(A760="2021-02", ISNA(MATCH(B760, _xlfn._xlws.FILTER(B:B, A:A="2021-03"), 0))), "Left", "Ativo")</f>
        <v>Ativo</v>
      </c>
      <c r="F760" s="12" t="str" cm="1">
        <f t="array" ref="F760">IF(AND(A760="2021-03", ISNA(MATCH(B760, _xlfn._xlws.FILTER(B:B, A:A="2021-04"), 0))), "Left", "Ativo")</f>
        <v>Ativo</v>
      </c>
    </row>
    <row r="761" spans="1:6" x14ac:dyDescent="0.25">
      <c r="A761" t="s">
        <v>1528</v>
      </c>
      <c r="B761" t="s">
        <v>760</v>
      </c>
      <c r="C761" s="10" t="str" cm="1">
        <f t="array" ref="C761">IF(AND(A761="2020-12", ISNA(MATCH(B761, _xlfn._xlws.FILTER(B:B, A:A="2021-01"), 0))), "Left", "Ativo")</f>
        <v>Left</v>
      </c>
      <c r="D761" s="10" t="str" cm="1">
        <f t="array" ref="D761">IF(AND(A761="2021-01", ISNA(MATCH(B761, _xlfn._xlws.FILTER(B:B, A:A="2021-02"), 0))), "Left", "Ativo")</f>
        <v>Ativo</v>
      </c>
      <c r="E761" s="10" t="str" cm="1">
        <f t="array" ref="E761">IF(AND(A761="2021-02", ISNA(MATCH(B761, _xlfn._xlws.FILTER(B:B, A:A="2021-03"), 0))), "Left", "Ativo")</f>
        <v>Ativo</v>
      </c>
      <c r="F761" s="12" t="str" cm="1">
        <f t="array" ref="F761">IF(AND(A761="2021-03", ISNA(MATCH(B761, _xlfn._xlws.FILTER(B:B, A:A="2021-04"), 0))), "Left", "Ativo")</f>
        <v>Ativo</v>
      </c>
    </row>
    <row r="762" spans="1:6" x14ac:dyDescent="0.25">
      <c r="A762" t="s">
        <v>1528</v>
      </c>
      <c r="B762" t="s">
        <v>761</v>
      </c>
      <c r="C762" s="10" t="str" cm="1">
        <f t="array" ref="C762">IF(AND(A762="2020-12", ISNA(MATCH(B762, _xlfn._xlws.FILTER(B:B, A:A="2021-01"), 0))), "Left", "Ativo")</f>
        <v>Left</v>
      </c>
      <c r="D762" s="10" t="str" cm="1">
        <f t="array" ref="D762">IF(AND(A762="2021-01", ISNA(MATCH(B762, _xlfn._xlws.FILTER(B:B, A:A="2021-02"), 0))), "Left", "Ativo")</f>
        <v>Ativo</v>
      </c>
      <c r="E762" s="10" t="str" cm="1">
        <f t="array" ref="E762">IF(AND(A762="2021-02", ISNA(MATCH(B762, _xlfn._xlws.FILTER(B:B, A:A="2021-03"), 0))), "Left", "Ativo")</f>
        <v>Ativo</v>
      </c>
      <c r="F762" s="12" t="str" cm="1">
        <f t="array" ref="F762">IF(AND(A762="2021-03", ISNA(MATCH(B762, _xlfn._xlws.FILTER(B:B, A:A="2021-04"), 0))), "Left", "Ativo")</f>
        <v>Ativo</v>
      </c>
    </row>
    <row r="763" spans="1:6" x14ac:dyDescent="0.25">
      <c r="A763" t="s">
        <v>1528</v>
      </c>
      <c r="B763" t="s">
        <v>762</v>
      </c>
      <c r="C763" s="10" t="str" cm="1">
        <f t="array" ref="C763">IF(AND(A763="2020-12", ISNA(MATCH(B763, _xlfn._xlws.FILTER(B:B, A:A="2021-01"), 0))), "Left", "Ativo")</f>
        <v>Ativo</v>
      </c>
      <c r="D763" s="10" t="str" cm="1">
        <f t="array" ref="D763">IF(AND(A763="2021-01", ISNA(MATCH(B763, _xlfn._xlws.FILTER(B:B, A:A="2021-02"), 0))), "Left", "Ativo")</f>
        <v>Ativo</v>
      </c>
      <c r="E763" s="10" t="str" cm="1">
        <f t="array" ref="E763">IF(AND(A763="2021-02", ISNA(MATCH(B763, _xlfn._xlws.FILTER(B:B, A:A="2021-03"), 0))), "Left", "Ativo")</f>
        <v>Ativo</v>
      </c>
      <c r="F763" s="12" t="str" cm="1">
        <f t="array" ref="F763">IF(AND(A763="2021-03", ISNA(MATCH(B763, _xlfn._xlws.FILTER(B:B, A:A="2021-04"), 0))), "Left", "Ativo")</f>
        <v>Ativo</v>
      </c>
    </row>
    <row r="764" spans="1:6" x14ac:dyDescent="0.25">
      <c r="A764" t="s">
        <v>1528</v>
      </c>
      <c r="B764" t="s">
        <v>763</v>
      </c>
      <c r="C764" s="10" t="str" cm="1">
        <f t="array" ref="C764">IF(AND(A764="2020-12", ISNA(MATCH(B764, _xlfn._xlws.FILTER(B:B, A:A="2021-01"), 0))), "Left", "Ativo")</f>
        <v>Ativo</v>
      </c>
      <c r="D764" s="10" t="str" cm="1">
        <f t="array" ref="D764">IF(AND(A764="2021-01", ISNA(MATCH(B764, _xlfn._xlws.FILTER(B:B, A:A="2021-02"), 0))), "Left", "Ativo")</f>
        <v>Ativo</v>
      </c>
      <c r="E764" s="10" t="str" cm="1">
        <f t="array" ref="E764">IF(AND(A764="2021-02", ISNA(MATCH(B764, _xlfn._xlws.FILTER(B:B, A:A="2021-03"), 0))), "Left", "Ativo")</f>
        <v>Ativo</v>
      </c>
      <c r="F764" s="12" t="str" cm="1">
        <f t="array" ref="F764">IF(AND(A764="2021-03", ISNA(MATCH(B764, _xlfn._xlws.FILTER(B:B, A:A="2021-04"), 0))), "Left", "Ativo")</f>
        <v>Ativo</v>
      </c>
    </row>
    <row r="765" spans="1:6" x14ac:dyDescent="0.25">
      <c r="A765" t="s">
        <v>1528</v>
      </c>
      <c r="B765" t="s">
        <v>764</v>
      </c>
      <c r="C765" s="10" t="str" cm="1">
        <f t="array" ref="C765">IF(AND(A765="2020-12", ISNA(MATCH(B765, _xlfn._xlws.FILTER(B:B, A:A="2021-01"), 0))), "Left", "Ativo")</f>
        <v>Ativo</v>
      </c>
      <c r="D765" s="10" t="str" cm="1">
        <f t="array" ref="D765">IF(AND(A765="2021-01", ISNA(MATCH(B765, _xlfn._xlws.FILTER(B:B, A:A="2021-02"), 0))), "Left", "Ativo")</f>
        <v>Ativo</v>
      </c>
      <c r="E765" s="10" t="str" cm="1">
        <f t="array" ref="E765">IF(AND(A765="2021-02", ISNA(MATCH(B765, _xlfn._xlws.FILTER(B:B, A:A="2021-03"), 0))), "Left", "Ativo")</f>
        <v>Ativo</v>
      </c>
      <c r="F765" s="12" t="str" cm="1">
        <f t="array" ref="F765">IF(AND(A765="2021-03", ISNA(MATCH(B765, _xlfn._xlws.FILTER(B:B, A:A="2021-04"), 0))), "Left", "Ativo")</f>
        <v>Ativo</v>
      </c>
    </row>
    <row r="766" spans="1:6" x14ac:dyDescent="0.25">
      <c r="A766" t="s">
        <v>1528</v>
      </c>
      <c r="B766" t="s">
        <v>765</v>
      </c>
      <c r="C766" s="10" t="str" cm="1">
        <f t="array" ref="C766">IF(AND(A766="2020-12", ISNA(MATCH(B766, _xlfn._xlws.FILTER(B:B, A:A="2021-01"), 0))), "Left", "Ativo")</f>
        <v>Ativo</v>
      </c>
      <c r="D766" s="10" t="str" cm="1">
        <f t="array" ref="D766">IF(AND(A766="2021-01", ISNA(MATCH(B766, _xlfn._xlws.FILTER(B:B, A:A="2021-02"), 0))), "Left", "Ativo")</f>
        <v>Ativo</v>
      </c>
      <c r="E766" s="10" t="str" cm="1">
        <f t="array" ref="E766">IF(AND(A766="2021-02", ISNA(MATCH(B766, _xlfn._xlws.FILTER(B:B, A:A="2021-03"), 0))), "Left", "Ativo")</f>
        <v>Ativo</v>
      </c>
      <c r="F766" s="12" t="str" cm="1">
        <f t="array" ref="F766">IF(AND(A766="2021-03", ISNA(MATCH(B766, _xlfn._xlws.FILTER(B:B, A:A="2021-04"), 0))), "Left", "Ativo")</f>
        <v>Ativo</v>
      </c>
    </row>
    <row r="767" spans="1:6" x14ac:dyDescent="0.25">
      <c r="A767" t="s">
        <v>1528</v>
      </c>
      <c r="B767" t="s">
        <v>766</v>
      </c>
      <c r="C767" s="10" t="str" cm="1">
        <f t="array" ref="C767">IF(AND(A767="2020-12", ISNA(MATCH(B767, _xlfn._xlws.FILTER(B:B, A:A="2021-01"), 0))), "Left", "Ativo")</f>
        <v>Ativo</v>
      </c>
      <c r="D767" s="10" t="str" cm="1">
        <f t="array" ref="D767">IF(AND(A767="2021-01", ISNA(MATCH(B767, _xlfn._xlws.FILTER(B:B, A:A="2021-02"), 0))), "Left", "Ativo")</f>
        <v>Ativo</v>
      </c>
      <c r="E767" s="10" t="str" cm="1">
        <f t="array" ref="E767">IF(AND(A767="2021-02", ISNA(MATCH(B767, _xlfn._xlws.FILTER(B:B, A:A="2021-03"), 0))), "Left", "Ativo")</f>
        <v>Ativo</v>
      </c>
      <c r="F767" s="12" t="str" cm="1">
        <f t="array" ref="F767">IF(AND(A767="2021-03", ISNA(MATCH(B767, _xlfn._xlws.FILTER(B:B, A:A="2021-04"), 0))), "Left", "Ativo")</f>
        <v>Ativo</v>
      </c>
    </row>
    <row r="768" spans="1:6" x14ac:dyDescent="0.25">
      <c r="A768" t="s">
        <v>1528</v>
      </c>
      <c r="B768" t="s">
        <v>767</v>
      </c>
      <c r="C768" s="10" t="str" cm="1">
        <f t="array" ref="C768">IF(AND(A768="2020-12", ISNA(MATCH(B768, _xlfn._xlws.FILTER(B:B, A:A="2021-01"), 0))), "Left", "Ativo")</f>
        <v>Ativo</v>
      </c>
      <c r="D768" s="10" t="str" cm="1">
        <f t="array" ref="D768">IF(AND(A768="2021-01", ISNA(MATCH(B768, _xlfn._xlws.FILTER(B:B, A:A="2021-02"), 0))), "Left", "Ativo")</f>
        <v>Ativo</v>
      </c>
      <c r="E768" s="10" t="str" cm="1">
        <f t="array" ref="E768">IF(AND(A768="2021-02", ISNA(MATCH(B768, _xlfn._xlws.FILTER(B:B, A:A="2021-03"), 0))), "Left", "Ativo")</f>
        <v>Ativo</v>
      </c>
      <c r="F768" s="12" t="str" cm="1">
        <f t="array" ref="F768">IF(AND(A768="2021-03", ISNA(MATCH(B768, _xlfn._xlws.FILTER(B:B, A:A="2021-04"), 0))), "Left", "Ativo")</f>
        <v>Ativo</v>
      </c>
    </row>
    <row r="769" spans="1:6" x14ac:dyDescent="0.25">
      <c r="A769" t="s">
        <v>1528</v>
      </c>
      <c r="B769" t="s">
        <v>768</v>
      </c>
      <c r="C769" s="10" t="str" cm="1">
        <f t="array" ref="C769">IF(AND(A769="2020-12", ISNA(MATCH(B769, _xlfn._xlws.FILTER(B:B, A:A="2021-01"), 0))), "Left", "Ativo")</f>
        <v>Ativo</v>
      </c>
      <c r="D769" s="10" t="str" cm="1">
        <f t="array" ref="D769">IF(AND(A769="2021-01", ISNA(MATCH(B769, _xlfn._xlws.FILTER(B:B, A:A="2021-02"), 0))), "Left", "Ativo")</f>
        <v>Ativo</v>
      </c>
      <c r="E769" s="10" t="str" cm="1">
        <f t="array" ref="E769">IF(AND(A769="2021-02", ISNA(MATCH(B769, _xlfn._xlws.FILTER(B:B, A:A="2021-03"), 0))), "Left", "Ativo")</f>
        <v>Ativo</v>
      </c>
      <c r="F769" s="12" t="str" cm="1">
        <f t="array" ref="F769">IF(AND(A769="2021-03", ISNA(MATCH(B769, _xlfn._xlws.FILTER(B:B, A:A="2021-04"), 0))), "Left", "Ativo")</f>
        <v>Ativo</v>
      </c>
    </row>
    <row r="770" spans="1:6" x14ac:dyDescent="0.25">
      <c r="A770" t="s">
        <v>1528</v>
      </c>
      <c r="B770" t="s">
        <v>769</v>
      </c>
      <c r="C770" s="10" t="str" cm="1">
        <f t="array" ref="C770">IF(AND(A770="2020-12", ISNA(MATCH(B770, _xlfn._xlws.FILTER(B:B, A:A="2021-01"), 0))), "Left", "Ativo")</f>
        <v>Ativo</v>
      </c>
      <c r="D770" s="10" t="str" cm="1">
        <f t="array" ref="D770">IF(AND(A770="2021-01", ISNA(MATCH(B770, _xlfn._xlws.FILTER(B:B, A:A="2021-02"), 0))), "Left", "Ativo")</f>
        <v>Ativo</v>
      </c>
      <c r="E770" s="10" t="str" cm="1">
        <f t="array" ref="E770">IF(AND(A770="2021-02", ISNA(MATCH(B770, _xlfn._xlws.FILTER(B:B, A:A="2021-03"), 0))), "Left", "Ativo")</f>
        <v>Ativo</v>
      </c>
      <c r="F770" s="12" t="str" cm="1">
        <f t="array" ref="F770">IF(AND(A770="2021-03", ISNA(MATCH(B770, _xlfn._xlws.FILTER(B:B, A:A="2021-04"), 0))), "Left", "Ativo")</f>
        <v>Ativo</v>
      </c>
    </row>
    <row r="771" spans="1:6" x14ac:dyDescent="0.25">
      <c r="A771" t="s">
        <v>1528</v>
      </c>
      <c r="B771" t="s">
        <v>770</v>
      </c>
      <c r="C771" s="10" t="str" cm="1">
        <f t="array" ref="C771">IF(AND(A771="2020-12", ISNA(MATCH(B771, _xlfn._xlws.FILTER(B:B, A:A="2021-01"), 0))), "Left", "Ativo")</f>
        <v>Ativo</v>
      </c>
      <c r="D771" s="10" t="str" cm="1">
        <f t="array" ref="D771">IF(AND(A771="2021-01", ISNA(MATCH(B771, _xlfn._xlws.FILTER(B:B, A:A="2021-02"), 0))), "Left", "Ativo")</f>
        <v>Ativo</v>
      </c>
      <c r="E771" s="10" t="str" cm="1">
        <f t="array" ref="E771">IF(AND(A771="2021-02", ISNA(MATCH(B771, _xlfn._xlws.FILTER(B:B, A:A="2021-03"), 0))), "Left", "Ativo")</f>
        <v>Ativo</v>
      </c>
      <c r="F771" s="12" t="str" cm="1">
        <f t="array" ref="F771">IF(AND(A771="2021-03", ISNA(MATCH(B771, _xlfn._xlws.FILTER(B:B, A:A="2021-04"), 0))), "Left", "Ativo")</f>
        <v>Ativo</v>
      </c>
    </row>
    <row r="772" spans="1:6" x14ac:dyDescent="0.25">
      <c r="A772" t="s">
        <v>1528</v>
      </c>
      <c r="B772" t="s">
        <v>771</v>
      </c>
      <c r="C772" s="10" t="str" cm="1">
        <f t="array" ref="C772">IF(AND(A772="2020-12", ISNA(MATCH(B772, _xlfn._xlws.FILTER(B:B, A:A="2021-01"), 0))), "Left", "Ativo")</f>
        <v>Ativo</v>
      </c>
      <c r="D772" s="10" t="str" cm="1">
        <f t="array" ref="D772">IF(AND(A772="2021-01", ISNA(MATCH(B772, _xlfn._xlws.FILTER(B:B, A:A="2021-02"), 0))), "Left", "Ativo")</f>
        <v>Ativo</v>
      </c>
      <c r="E772" s="10" t="str" cm="1">
        <f t="array" ref="E772">IF(AND(A772="2021-02", ISNA(MATCH(B772, _xlfn._xlws.FILTER(B:B, A:A="2021-03"), 0))), "Left", "Ativo")</f>
        <v>Ativo</v>
      </c>
      <c r="F772" s="12" t="str" cm="1">
        <f t="array" ref="F772">IF(AND(A772="2021-03", ISNA(MATCH(B772, _xlfn._xlws.FILTER(B:B, A:A="2021-04"), 0))), "Left", "Ativo")</f>
        <v>Ativo</v>
      </c>
    </row>
    <row r="773" spans="1:6" x14ac:dyDescent="0.25">
      <c r="A773" t="s">
        <v>1528</v>
      </c>
      <c r="B773" t="s">
        <v>772</v>
      </c>
      <c r="C773" s="10" t="str" cm="1">
        <f t="array" ref="C773">IF(AND(A773="2020-12", ISNA(MATCH(B773, _xlfn._xlws.FILTER(B:B, A:A="2021-01"), 0))), "Left", "Ativo")</f>
        <v>Ativo</v>
      </c>
      <c r="D773" s="10" t="str" cm="1">
        <f t="array" ref="D773">IF(AND(A773="2021-01", ISNA(MATCH(B773, _xlfn._xlws.FILTER(B:B, A:A="2021-02"), 0))), "Left", "Ativo")</f>
        <v>Ativo</v>
      </c>
      <c r="E773" s="10" t="str" cm="1">
        <f t="array" ref="E773">IF(AND(A773="2021-02", ISNA(MATCH(B773, _xlfn._xlws.FILTER(B:B, A:A="2021-03"), 0))), "Left", "Ativo")</f>
        <v>Ativo</v>
      </c>
      <c r="F773" s="12" t="str" cm="1">
        <f t="array" ref="F773">IF(AND(A773="2021-03", ISNA(MATCH(B773, _xlfn._xlws.FILTER(B:B, A:A="2021-04"), 0))), "Left", "Ativo")</f>
        <v>Ativo</v>
      </c>
    </row>
    <row r="774" spans="1:6" x14ac:dyDescent="0.25">
      <c r="A774" t="s">
        <v>1528</v>
      </c>
      <c r="B774" t="s">
        <v>773</v>
      </c>
      <c r="C774" s="10" t="str" cm="1">
        <f t="array" ref="C774">IF(AND(A774="2020-12", ISNA(MATCH(B774, _xlfn._xlws.FILTER(B:B, A:A="2021-01"), 0))), "Left", "Ativo")</f>
        <v>Ativo</v>
      </c>
      <c r="D774" s="10" t="str" cm="1">
        <f t="array" ref="D774">IF(AND(A774="2021-01", ISNA(MATCH(B774, _xlfn._xlws.FILTER(B:B, A:A="2021-02"), 0))), "Left", "Ativo")</f>
        <v>Ativo</v>
      </c>
      <c r="E774" s="10" t="str" cm="1">
        <f t="array" ref="E774">IF(AND(A774="2021-02", ISNA(MATCH(B774, _xlfn._xlws.FILTER(B:B, A:A="2021-03"), 0))), "Left", "Ativo")</f>
        <v>Ativo</v>
      </c>
      <c r="F774" s="12" t="str" cm="1">
        <f t="array" ref="F774">IF(AND(A774="2021-03", ISNA(MATCH(B774, _xlfn._xlws.FILTER(B:B, A:A="2021-04"), 0))), "Left", "Ativo")</f>
        <v>Ativo</v>
      </c>
    </row>
    <row r="775" spans="1:6" x14ac:dyDescent="0.25">
      <c r="A775" t="s">
        <v>1528</v>
      </c>
      <c r="B775" t="s">
        <v>774</v>
      </c>
      <c r="C775" s="10" t="str" cm="1">
        <f t="array" ref="C775">IF(AND(A775="2020-12", ISNA(MATCH(B775, _xlfn._xlws.FILTER(B:B, A:A="2021-01"), 0))), "Left", "Ativo")</f>
        <v>Ativo</v>
      </c>
      <c r="D775" s="10" t="str" cm="1">
        <f t="array" ref="D775">IF(AND(A775="2021-01", ISNA(MATCH(B775, _xlfn._xlws.FILTER(B:B, A:A="2021-02"), 0))), "Left", "Ativo")</f>
        <v>Ativo</v>
      </c>
      <c r="E775" s="10" t="str" cm="1">
        <f t="array" ref="E775">IF(AND(A775="2021-02", ISNA(MATCH(B775, _xlfn._xlws.FILTER(B:B, A:A="2021-03"), 0))), "Left", "Ativo")</f>
        <v>Ativo</v>
      </c>
      <c r="F775" s="12" t="str" cm="1">
        <f t="array" ref="F775">IF(AND(A775="2021-03", ISNA(MATCH(B775, _xlfn._xlws.FILTER(B:B, A:A="2021-04"), 0))), "Left", "Ativo")</f>
        <v>Ativo</v>
      </c>
    </row>
    <row r="776" spans="1:6" x14ac:dyDescent="0.25">
      <c r="A776" t="s">
        <v>1528</v>
      </c>
      <c r="B776" t="s">
        <v>775</v>
      </c>
      <c r="C776" s="10" t="str" cm="1">
        <f t="array" ref="C776">IF(AND(A776="2020-12", ISNA(MATCH(B776, _xlfn._xlws.FILTER(B:B, A:A="2021-01"), 0))), "Left", "Ativo")</f>
        <v>Ativo</v>
      </c>
      <c r="D776" s="10" t="str" cm="1">
        <f t="array" ref="D776">IF(AND(A776="2021-01", ISNA(MATCH(B776, _xlfn._xlws.FILTER(B:B, A:A="2021-02"), 0))), "Left", "Ativo")</f>
        <v>Ativo</v>
      </c>
      <c r="E776" s="10" t="str" cm="1">
        <f t="array" ref="E776">IF(AND(A776="2021-02", ISNA(MATCH(B776, _xlfn._xlws.FILTER(B:B, A:A="2021-03"), 0))), "Left", "Ativo")</f>
        <v>Ativo</v>
      </c>
      <c r="F776" s="12" t="str" cm="1">
        <f t="array" ref="F776">IF(AND(A776="2021-03", ISNA(MATCH(B776, _xlfn._xlws.FILTER(B:B, A:A="2021-04"), 0))), "Left", "Ativo")</f>
        <v>Ativo</v>
      </c>
    </row>
    <row r="777" spans="1:6" x14ac:dyDescent="0.25">
      <c r="A777" t="s">
        <v>1528</v>
      </c>
      <c r="B777" t="s">
        <v>776</v>
      </c>
      <c r="C777" s="10" t="str" cm="1">
        <f t="array" ref="C777">IF(AND(A777="2020-12", ISNA(MATCH(B777, _xlfn._xlws.FILTER(B:B, A:A="2021-01"), 0))), "Left", "Ativo")</f>
        <v>Ativo</v>
      </c>
      <c r="D777" s="10" t="str" cm="1">
        <f t="array" ref="D777">IF(AND(A777="2021-01", ISNA(MATCH(B777, _xlfn._xlws.FILTER(B:B, A:A="2021-02"), 0))), "Left", "Ativo")</f>
        <v>Ativo</v>
      </c>
      <c r="E777" s="10" t="str" cm="1">
        <f t="array" ref="E777">IF(AND(A777="2021-02", ISNA(MATCH(B777, _xlfn._xlws.FILTER(B:B, A:A="2021-03"), 0))), "Left", "Ativo")</f>
        <v>Ativo</v>
      </c>
      <c r="F777" s="12" t="str" cm="1">
        <f t="array" ref="F777">IF(AND(A777="2021-03", ISNA(MATCH(B777, _xlfn._xlws.FILTER(B:B, A:A="2021-04"), 0))), "Left", "Ativo")</f>
        <v>Ativo</v>
      </c>
    </row>
    <row r="778" spans="1:6" x14ac:dyDescent="0.25">
      <c r="A778" t="s">
        <v>1528</v>
      </c>
      <c r="B778" t="s">
        <v>777</v>
      </c>
      <c r="C778" s="10" t="str" cm="1">
        <f t="array" ref="C778">IF(AND(A778="2020-12", ISNA(MATCH(B778, _xlfn._xlws.FILTER(B:B, A:A="2021-01"), 0))), "Left", "Ativo")</f>
        <v>Ativo</v>
      </c>
      <c r="D778" s="10" t="str" cm="1">
        <f t="array" ref="D778">IF(AND(A778="2021-01", ISNA(MATCH(B778, _xlfn._xlws.FILTER(B:B, A:A="2021-02"), 0))), "Left", "Ativo")</f>
        <v>Ativo</v>
      </c>
      <c r="E778" s="10" t="str" cm="1">
        <f t="array" ref="E778">IF(AND(A778="2021-02", ISNA(MATCH(B778, _xlfn._xlws.FILTER(B:B, A:A="2021-03"), 0))), "Left", "Ativo")</f>
        <v>Ativo</v>
      </c>
      <c r="F778" s="12" t="str" cm="1">
        <f t="array" ref="F778">IF(AND(A778="2021-03", ISNA(MATCH(B778, _xlfn._xlws.FILTER(B:B, A:A="2021-04"), 0))), "Left", "Ativo")</f>
        <v>Ativo</v>
      </c>
    </row>
    <row r="779" spans="1:6" x14ac:dyDescent="0.25">
      <c r="A779" t="s">
        <v>1528</v>
      </c>
      <c r="B779" t="s">
        <v>778</v>
      </c>
      <c r="C779" s="10" t="str" cm="1">
        <f t="array" ref="C779">IF(AND(A779="2020-12", ISNA(MATCH(B779, _xlfn._xlws.FILTER(B:B, A:A="2021-01"), 0))), "Left", "Ativo")</f>
        <v>Ativo</v>
      </c>
      <c r="D779" s="10" t="str" cm="1">
        <f t="array" ref="D779">IF(AND(A779="2021-01", ISNA(MATCH(B779, _xlfn._xlws.FILTER(B:B, A:A="2021-02"), 0))), "Left", "Ativo")</f>
        <v>Ativo</v>
      </c>
      <c r="E779" s="10" t="str" cm="1">
        <f t="array" ref="E779">IF(AND(A779="2021-02", ISNA(MATCH(B779, _xlfn._xlws.FILTER(B:B, A:A="2021-03"), 0))), "Left", "Ativo")</f>
        <v>Ativo</v>
      </c>
      <c r="F779" s="12" t="str" cm="1">
        <f t="array" ref="F779">IF(AND(A779="2021-03", ISNA(MATCH(B779, _xlfn._xlws.FILTER(B:B, A:A="2021-04"), 0))), "Left", "Ativo")</f>
        <v>Ativo</v>
      </c>
    </row>
    <row r="780" spans="1:6" x14ac:dyDescent="0.25">
      <c r="A780" t="s">
        <v>1528</v>
      </c>
      <c r="B780" t="s">
        <v>779</v>
      </c>
      <c r="C780" s="10" t="str" cm="1">
        <f t="array" ref="C780">IF(AND(A780="2020-12", ISNA(MATCH(B780, _xlfn._xlws.FILTER(B:B, A:A="2021-01"), 0))), "Left", "Ativo")</f>
        <v>Ativo</v>
      </c>
      <c r="D780" s="10" t="str" cm="1">
        <f t="array" ref="D780">IF(AND(A780="2021-01", ISNA(MATCH(B780, _xlfn._xlws.FILTER(B:B, A:A="2021-02"), 0))), "Left", "Ativo")</f>
        <v>Ativo</v>
      </c>
      <c r="E780" s="10" t="str" cm="1">
        <f t="array" ref="E780">IF(AND(A780="2021-02", ISNA(MATCH(B780, _xlfn._xlws.FILTER(B:B, A:A="2021-03"), 0))), "Left", "Ativo")</f>
        <v>Ativo</v>
      </c>
      <c r="F780" s="12" t="str" cm="1">
        <f t="array" ref="F780">IF(AND(A780="2021-03", ISNA(MATCH(B780, _xlfn._xlws.FILTER(B:B, A:A="2021-04"), 0))), "Left", "Ativo")</f>
        <v>Ativo</v>
      </c>
    </row>
    <row r="781" spans="1:6" x14ac:dyDescent="0.25">
      <c r="A781" t="s">
        <v>1528</v>
      </c>
      <c r="B781" t="s">
        <v>780</v>
      </c>
      <c r="C781" s="10" t="str" cm="1">
        <f t="array" ref="C781">IF(AND(A781="2020-12", ISNA(MATCH(B781, _xlfn._xlws.FILTER(B:B, A:A="2021-01"), 0))), "Left", "Ativo")</f>
        <v>Ativo</v>
      </c>
      <c r="D781" s="10" t="str" cm="1">
        <f t="array" ref="D781">IF(AND(A781="2021-01", ISNA(MATCH(B781, _xlfn._xlws.FILTER(B:B, A:A="2021-02"), 0))), "Left", "Ativo")</f>
        <v>Ativo</v>
      </c>
      <c r="E781" s="10" t="str" cm="1">
        <f t="array" ref="E781">IF(AND(A781="2021-02", ISNA(MATCH(B781, _xlfn._xlws.FILTER(B:B, A:A="2021-03"), 0))), "Left", "Ativo")</f>
        <v>Ativo</v>
      </c>
      <c r="F781" s="12" t="str" cm="1">
        <f t="array" ref="F781">IF(AND(A781="2021-03", ISNA(MATCH(B781, _xlfn._xlws.FILTER(B:B, A:A="2021-04"), 0))), "Left", "Ativo")</f>
        <v>Ativo</v>
      </c>
    </row>
    <row r="782" spans="1:6" x14ac:dyDescent="0.25">
      <c r="A782" t="s">
        <v>1528</v>
      </c>
      <c r="B782" t="s">
        <v>781</v>
      </c>
      <c r="C782" s="10" t="str" cm="1">
        <f t="array" ref="C782">IF(AND(A782="2020-12", ISNA(MATCH(B782, _xlfn._xlws.FILTER(B:B, A:A="2021-01"), 0))), "Left", "Ativo")</f>
        <v>Ativo</v>
      </c>
      <c r="D782" s="10" t="str" cm="1">
        <f t="array" ref="D782">IF(AND(A782="2021-01", ISNA(MATCH(B782, _xlfn._xlws.FILTER(B:B, A:A="2021-02"), 0))), "Left", "Ativo")</f>
        <v>Ativo</v>
      </c>
      <c r="E782" s="10" t="str" cm="1">
        <f t="array" ref="E782">IF(AND(A782="2021-02", ISNA(MATCH(B782, _xlfn._xlws.FILTER(B:B, A:A="2021-03"), 0))), "Left", "Ativo")</f>
        <v>Ativo</v>
      </c>
      <c r="F782" s="12" t="str" cm="1">
        <f t="array" ref="F782">IF(AND(A782="2021-03", ISNA(MATCH(B782, _xlfn._xlws.FILTER(B:B, A:A="2021-04"), 0))), "Left", "Ativo")</f>
        <v>Ativo</v>
      </c>
    </row>
    <row r="783" spans="1:6" x14ac:dyDescent="0.25">
      <c r="A783" t="s">
        <v>1528</v>
      </c>
      <c r="B783" t="s">
        <v>782</v>
      </c>
      <c r="C783" s="10" t="str" cm="1">
        <f t="array" ref="C783">IF(AND(A783="2020-12", ISNA(MATCH(B783, _xlfn._xlws.FILTER(B:B, A:A="2021-01"), 0))), "Left", "Ativo")</f>
        <v>Ativo</v>
      </c>
      <c r="D783" s="10" t="str" cm="1">
        <f t="array" ref="D783">IF(AND(A783="2021-01", ISNA(MATCH(B783, _xlfn._xlws.FILTER(B:B, A:A="2021-02"), 0))), "Left", "Ativo")</f>
        <v>Ativo</v>
      </c>
      <c r="E783" s="10" t="str" cm="1">
        <f t="array" ref="E783">IF(AND(A783="2021-02", ISNA(MATCH(B783, _xlfn._xlws.FILTER(B:B, A:A="2021-03"), 0))), "Left", "Ativo")</f>
        <v>Ativo</v>
      </c>
      <c r="F783" s="12" t="str" cm="1">
        <f t="array" ref="F783">IF(AND(A783="2021-03", ISNA(MATCH(B783, _xlfn._xlws.FILTER(B:B, A:A="2021-04"), 0))), "Left", "Ativo")</f>
        <v>Ativo</v>
      </c>
    </row>
    <row r="784" spans="1:6" x14ac:dyDescent="0.25">
      <c r="A784" t="s">
        <v>1528</v>
      </c>
      <c r="B784" t="s">
        <v>783</v>
      </c>
      <c r="C784" s="10" t="str" cm="1">
        <f t="array" ref="C784">IF(AND(A784="2020-12", ISNA(MATCH(B784, _xlfn._xlws.FILTER(B:B, A:A="2021-01"), 0))), "Left", "Ativo")</f>
        <v>Ativo</v>
      </c>
      <c r="D784" s="10" t="str" cm="1">
        <f t="array" ref="D784">IF(AND(A784="2021-01", ISNA(MATCH(B784, _xlfn._xlws.FILTER(B:B, A:A="2021-02"), 0))), "Left", "Ativo")</f>
        <v>Ativo</v>
      </c>
      <c r="E784" s="10" t="str" cm="1">
        <f t="array" ref="E784">IF(AND(A784="2021-02", ISNA(MATCH(B784, _xlfn._xlws.FILTER(B:B, A:A="2021-03"), 0))), "Left", "Ativo")</f>
        <v>Ativo</v>
      </c>
      <c r="F784" s="12" t="str" cm="1">
        <f t="array" ref="F784">IF(AND(A784="2021-03", ISNA(MATCH(B784, _xlfn._xlws.FILTER(B:B, A:A="2021-04"), 0))), "Left", "Ativo")</f>
        <v>Ativo</v>
      </c>
    </row>
    <row r="785" spans="1:6" x14ac:dyDescent="0.25">
      <c r="A785" t="s">
        <v>1528</v>
      </c>
      <c r="B785" t="s">
        <v>784</v>
      </c>
      <c r="C785" s="10" t="str" cm="1">
        <f t="array" ref="C785">IF(AND(A785="2020-12", ISNA(MATCH(B785, _xlfn._xlws.FILTER(B:B, A:A="2021-01"), 0))), "Left", "Ativo")</f>
        <v>Ativo</v>
      </c>
      <c r="D785" s="10" t="str" cm="1">
        <f t="array" ref="D785">IF(AND(A785="2021-01", ISNA(MATCH(B785, _xlfn._xlws.FILTER(B:B, A:A="2021-02"), 0))), "Left", "Ativo")</f>
        <v>Ativo</v>
      </c>
      <c r="E785" s="10" t="str" cm="1">
        <f t="array" ref="E785">IF(AND(A785="2021-02", ISNA(MATCH(B785, _xlfn._xlws.FILTER(B:B, A:A="2021-03"), 0))), "Left", "Ativo")</f>
        <v>Ativo</v>
      </c>
      <c r="F785" s="12" t="str" cm="1">
        <f t="array" ref="F785">IF(AND(A785="2021-03", ISNA(MATCH(B785, _xlfn._xlws.FILTER(B:B, A:A="2021-04"), 0))), "Left", "Ativo")</f>
        <v>Ativo</v>
      </c>
    </row>
    <row r="786" spans="1:6" x14ac:dyDescent="0.25">
      <c r="A786" t="s">
        <v>1528</v>
      </c>
      <c r="B786" t="s">
        <v>785</v>
      </c>
      <c r="C786" s="10" t="str" cm="1">
        <f t="array" ref="C786">IF(AND(A786="2020-12", ISNA(MATCH(B786, _xlfn._xlws.FILTER(B:B, A:A="2021-01"), 0))), "Left", "Ativo")</f>
        <v>Ativo</v>
      </c>
      <c r="D786" s="10" t="str" cm="1">
        <f t="array" ref="D786">IF(AND(A786="2021-01", ISNA(MATCH(B786, _xlfn._xlws.FILTER(B:B, A:A="2021-02"), 0))), "Left", "Ativo")</f>
        <v>Ativo</v>
      </c>
      <c r="E786" s="10" t="str" cm="1">
        <f t="array" ref="E786">IF(AND(A786="2021-02", ISNA(MATCH(B786, _xlfn._xlws.FILTER(B:B, A:A="2021-03"), 0))), "Left", "Ativo")</f>
        <v>Ativo</v>
      </c>
      <c r="F786" s="12" t="str" cm="1">
        <f t="array" ref="F786">IF(AND(A786="2021-03", ISNA(MATCH(B786, _xlfn._xlws.FILTER(B:B, A:A="2021-04"), 0))), "Left", "Ativo")</f>
        <v>Ativo</v>
      </c>
    </row>
    <row r="787" spans="1:6" x14ac:dyDescent="0.25">
      <c r="A787" t="s">
        <v>1528</v>
      </c>
      <c r="B787" t="s">
        <v>786</v>
      </c>
      <c r="C787" s="10" t="str" cm="1">
        <f t="array" ref="C787">IF(AND(A787="2020-12", ISNA(MATCH(B787, _xlfn._xlws.FILTER(B:B, A:A="2021-01"), 0))), "Left", "Ativo")</f>
        <v>Ativo</v>
      </c>
      <c r="D787" s="10" t="str" cm="1">
        <f t="array" ref="D787">IF(AND(A787="2021-01", ISNA(MATCH(B787, _xlfn._xlws.FILTER(B:B, A:A="2021-02"), 0))), "Left", "Ativo")</f>
        <v>Ativo</v>
      </c>
      <c r="E787" s="10" t="str" cm="1">
        <f t="array" ref="E787">IF(AND(A787="2021-02", ISNA(MATCH(B787, _xlfn._xlws.FILTER(B:B, A:A="2021-03"), 0))), "Left", "Ativo")</f>
        <v>Ativo</v>
      </c>
      <c r="F787" s="12" t="str" cm="1">
        <f t="array" ref="F787">IF(AND(A787="2021-03", ISNA(MATCH(B787, _xlfn._xlws.FILTER(B:B, A:A="2021-04"), 0))), "Left", "Ativo")</f>
        <v>Ativo</v>
      </c>
    </row>
    <row r="788" spans="1:6" x14ac:dyDescent="0.25">
      <c r="A788" t="s">
        <v>1528</v>
      </c>
      <c r="B788" t="s">
        <v>787</v>
      </c>
      <c r="C788" s="10" t="str" cm="1">
        <f t="array" ref="C788">IF(AND(A788="2020-12", ISNA(MATCH(B788, _xlfn._xlws.FILTER(B:B, A:A="2021-01"), 0))), "Left", "Ativo")</f>
        <v>Ativo</v>
      </c>
      <c r="D788" s="10" t="str" cm="1">
        <f t="array" ref="D788">IF(AND(A788="2021-01", ISNA(MATCH(B788, _xlfn._xlws.FILTER(B:B, A:A="2021-02"), 0))), "Left", "Ativo")</f>
        <v>Ativo</v>
      </c>
      <c r="E788" s="10" t="str" cm="1">
        <f t="array" ref="E788">IF(AND(A788="2021-02", ISNA(MATCH(B788, _xlfn._xlws.FILTER(B:B, A:A="2021-03"), 0))), "Left", "Ativo")</f>
        <v>Ativo</v>
      </c>
      <c r="F788" s="12" t="str" cm="1">
        <f t="array" ref="F788">IF(AND(A788="2021-03", ISNA(MATCH(B788, _xlfn._xlws.FILTER(B:B, A:A="2021-04"), 0))), "Left", "Ativo")</f>
        <v>Ativo</v>
      </c>
    </row>
    <row r="789" spans="1:6" x14ac:dyDescent="0.25">
      <c r="A789" t="s">
        <v>1528</v>
      </c>
      <c r="B789" t="s">
        <v>788</v>
      </c>
      <c r="C789" s="10" t="str" cm="1">
        <f t="array" ref="C789">IF(AND(A789="2020-12", ISNA(MATCH(B789, _xlfn._xlws.FILTER(B:B, A:A="2021-01"), 0))), "Left", "Ativo")</f>
        <v>Ativo</v>
      </c>
      <c r="D789" s="10" t="str" cm="1">
        <f t="array" ref="D789">IF(AND(A789="2021-01", ISNA(MATCH(B789, _xlfn._xlws.FILTER(B:B, A:A="2021-02"), 0))), "Left", "Ativo")</f>
        <v>Ativo</v>
      </c>
      <c r="E789" s="10" t="str" cm="1">
        <f t="array" ref="E789">IF(AND(A789="2021-02", ISNA(MATCH(B789, _xlfn._xlws.FILTER(B:B, A:A="2021-03"), 0))), "Left", "Ativo")</f>
        <v>Ativo</v>
      </c>
      <c r="F789" s="12" t="str" cm="1">
        <f t="array" ref="F789">IF(AND(A789="2021-03", ISNA(MATCH(B789, _xlfn._xlws.FILTER(B:B, A:A="2021-04"), 0))), "Left", "Ativo")</f>
        <v>Ativo</v>
      </c>
    </row>
    <row r="790" spans="1:6" x14ac:dyDescent="0.25">
      <c r="A790" t="s">
        <v>1528</v>
      </c>
      <c r="B790" t="s">
        <v>789</v>
      </c>
      <c r="C790" s="10" t="str" cm="1">
        <f t="array" ref="C790">IF(AND(A790="2020-12", ISNA(MATCH(B790, _xlfn._xlws.FILTER(B:B, A:A="2021-01"), 0))), "Left", "Ativo")</f>
        <v>Ativo</v>
      </c>
      <c r="D790" s="10" t="str" cm="1">
        <f t="array" ref="D790">IF(AND(A790="2021-01", ISNA(MATCH(B790, _xlfn._xlws.FILTER(B:B, A:A="2021-02"), 0))), "Left", "Ativo")</f>
        <v>Ativo</v>
      </c>
      <c r="E790" s="10" t="str" cm="1">
        <f t="array" ref="E790">IF(AND(A790="2021-02", ISNA(MATCH(B790, _xlfn._xlws.FILTER(B:B, A:A="2021-03"), 0))), "Left", "Ativo")</f>
        <v>Ativo</v>
      </c>
      <c r="F790" s="12" t="str" cm="1">
        <f t="array" ref="F790">IF(AND(A790="2021-03", ISNA(MATCH(B790, _xlfn._xlws.FILTER(B:B, A:A="2021-04"), 0))), "Left", "Ativo")</f>
        <v>Ativo</v>
      </c>
    </row>
    <row r="791" spans="1:6" x14ac:dyDescent="0.25">
      <c r="A791" t="s">
        <v>1528</v>
      </c>
      <c r="B791" t="s">
        <v>790</v>
      </c>
      <c r="C791" s="10" t="str" cm="1">
        <f t="array" ref="C791">IF(AND(A791="2020-12", ISNA(MATCH(B791, _xlfn._xlws.FILTER(B:B, A:A="2021-01"), 0))), "Left", "Ativo")</f>
        <v>Ativo</v>
      </c>
      <c r="D791" s="10" t="str" cm="1">
        <f t="array" ref="D791">IF(AND(A791="2021-01", ISNA(MATCH(B791, _xlfn._xlws.FILTER(B:B, A:A="2021-02"), 0))), "Left", "Ativo")</f>
        <v>Ativo</v>
      </c>
      <c r="E791" s="10" t="str" cm="1">
        <f t="array" ref="E791">IF(AND(A791="2021-02", ISNA(MATCH(B791, _xlfn._xlws.FILTER(B:B, A:A="2021-03"), 0))), "Left", "Ativo")</f>
        <v>Ativo</v>
      </c>
      <c r="F791" s="12" t="str" cm="1">
        <f t="array" ref="F791">IF(AND(A791="2021-03", ISNA(MATCH(B791, _xlfn._xlws.FILTER(B:B, A:A="2021-04"), 0))), "Left", "Ativo")</f>
        <v>Ativo</v>
      </c>
    </row>
    <row r="792" spans="1:6" x14ac:dyDescent="0.25">
      <c r="A792" t="s">
        <v>1528</v>
      </c>
      <c r="B792" t="s">
        <v>791</v>
      </c>
      <c r="C792" s="10" t="str" cm="1">
        <f t="array" ref="C792">IF(AND(A792="2020-12", ISNA(MATCH(B792, _xlfn._xlws.FILTER(B:B, A:A="2021-01"), 0))), "Left", "Ativo")</f>
        <v>Ativo</v>
      </c>
      <c r="D792" s="10" t="str" cm="1">
        <f t="array" ref="D792">IF(AND(A792="2021-01", ISNA(MATCH(B792, _xlfn._xlws.FILTER(B:B, A:A="2021-02"), 0))), "Left", "Ativo")</f>
        <v>Ativo</v>
      </c>
      <c r="E792" s="10" t="str" cm="1">
        <f t="array" ref="E792">IF(AND(A792="2021-02", ISNA(MATCH(B792, _xlfn._xlws.FILTER(B:B, A:A="2021-03"), 0))), "Left", "Ativo")</f>
        <v>Ativo</v>
      </c>
      <c r="F792" s="12" t="str" cm="1">
        <f t="array" ref="F792">IF(AND(A792="2021-03", ISNA(MATCH(B792, _xlfn._xlws.FILTER(B:B, A:A="2021-04"), 0))), "Left", "Ativo")</f>
        <v>Ativo</v>
      </c>
    </row>
    <row r="793" spans="1:6" x14ac:dyDescent="0.25">
      <c r="A793" t="s">
        <v>1528</v>
      </c>
      <c r="B793" t="s">
        <v>792</v>
      </c>
      <c r="C793" s="10" t="str" cm="1">
        <f t="array" ref="C793">IF(AND(A793="2020-12", ISNA(MATCH(B793, _xlfn._xlws.FILTER(B:B, A:A="2021-01"), 0))), "Left", "Ativo")</f>
        <v>Ativo</v>
      </c>
      <c r="D793" s="10" t="str" cm="1">
        <f t="array" ref="D793">IF(AND(A793="2021-01", ISNA(MATCH(B793, _xlfn._xlws.FILTER(B:B, A:A="2021-02"), 0))), "Left", "Ativo")</f>
        <v>Ativo</v>
      </c>
      <c r="E793" s="10" t="str" cm="1">
        <f t="array" ref="E793">IF(AND(A793="2021-02", ISNA(MATCH(B793, _xlfn._xlws.FILTER(B:B, A:A="2021-03"), 0))), "Left", "Ativo")</f>
        <v>Ativo</v>
      </c>
      <c r="F793" s="12" t="str" cm="1">
        <f t="array" ref="F793">IF(AND(A793="2021-03", ISNA(MATCH(B793, _xlfn._xlws.FILTER(B:B, A:A="2021-04"), 0))), "Left", "Ativo")</f>
        <v>Ativo</v>
      </c>
    </row>
    <row r="794" spans="1:6" x14ac:dyDescent="0.25">
      <c r="A794" t="s">
        <v>1528</v>
      </c>
      <c r="B794" t="s">
        <v>793</v>
      </c>
      <c r="C794" s="10" t="str" cm="1">
        <f t="array" ref="C794">IF(AND(A794="2020-12", ISNA(MATCH(B794, _xlfn._xlws.FILTER(B:B, A:A="2021-01"), 0))), "Left", "Ativo")</f>
        <v>Ativo</v>
      </c>
      <c r="D794" s="10" t="str" cm="1">
        <f t="array" ref="D794">IF(AND(A794="2021-01", ISNA(MATCH(B794, _xlfn._xlws.FILTER(B:B, A:A="2021-02"), 0))), "Left", "Ativo")</f>
        <v>Ativo</v>
      </c>
      <c r="E794" s="10" t="str" cm="1">
        <f t="array" ref="E794">IF(AND(A794="2021-02", ISNA(MATCH(B794, _xlfn._xlws.FILTER(B:B, A:A="2021-03"), 0))), "Left", "Ativo")</f>
        <v>Ativo</v>
      </c>
      <c r="F794" s="12" t="str" cm="1">
        <f t="array" ref="F794">IF(AND(A794="2021-03", ISNA(MATCH(B794, _xlfn._xlws.FILTER(B:B, A:A="2021-04"), 0))), "Left", "Ativo")</f>
        <v>Ativo</v>
      </c>
    </row>
    <row r="795" spans="1:6" x14ac:dyDescent="0.25">
      <c r="A795" t="s">
        <v>1528</v>
      </c>
      <c r="B795" t="s">
        <v>794</v>
      </c>
      <c r="C795" s="10" t="str" cm="1">
        <f t="array" ref="C795">IF(AND(A795="2020-12", ISNA(MATCH(B795, _xlfn._xlws.FILTER(B:B, A:A="2021-01"), 0))), "Left", "Ativo")</f>
        <v>Ativo</v>
      </c>
      <c r="D795" s="10" t="str" cm="1">
        <f t="array" ref="D795">IF(AND(A795="2021-01", ISNA(MATCH(B795, _xlfn._xlws.FILTER(B:B, A:A="2021-02"), 0))), "Left", "Ativo")</f>
        <v>Ativo</v>
      </c>
      <c r="E795" s="10" t="str" cm="1">
        <f t="array" ref="E795">IF(AND(A795="2021-02", ISNA(MATCH(B795, _xlfn._xlws.FILTER(B:B, A:A="2021-03"), 0))), "Left", "Ativo")</f>
        <v>Ativo</v>
      </c>
      <c r="F795" s="12" t="str" cm="1">
        <f t="array" ref="F795">IF(AND(A795="2021-03", ISNA(MATCH(B795, _xlfn._xlws.FILTER(B:B, A:A="2021-04"), 0))), "Left", "Ativo")</f>
        <v>Ativo</v>
      </c>
    </row>
    <row r="796" spans="1:6" x14ac:dyDescent="0.25">
      <c r="A796" t="s">
        <v>1528</v>
      </c>
      <c r="B796" t="s">
        <v>795</v>
      </c>
      <c r="C796" s="10" t="str" cm="1">
        <f t="array" ref="C796">IF(AND(A796="2020-12", ISNA(MATCH(B796, _xlfn._xlws.FILTER(B:B, A:A="2021-01"), 0))), "Left", "Ativo")</f>
        <v>Ativo</v>
      </c>
      <c r="D796" s="10" t="str" cm="1">
        <f t="array" ref="D796">IF(AND(A796="2021-01", ISNA(MATCH(B796, _xlfn._xlws.FILTER(B:B, A:A="2021-02"), 0))), "Left", "Ativo")</f>
        <v>Ativo</v>
      </c>
      <c r="E796" s="10" t="str" cm="1">
        <f t="array" ref="E796">IF(AND(A796="2021-02", ISNA(MATCH(B796, _xlfn._xlws.FILTER(B:B, A:A="2021-03"), 0))), "Left", "Ativo")</f>
        <v>Ativo</v>
      </c>
      <c r="F796" s="12" t="str" cm="1">
        <f t="array" ref="F796">IF(AND(A796="2021-03", ISNA(MATCH(B796, _xlfn._xlws.FILTER(B:B, A:A="2021-04"), 0))), "Left", "Ativo")</f>
        <v>Ativo</v>
      </c>
    </row>
    <row r="797" spans="1:6" x14ac:dyDescent="0.25">
      <c r="A797" t="s">
        <v>1528</v>
      </c>
      <c r="B797" t="s">
        <v>796</v>
      </c>
      <c r="C797" s="10" t="str" cm="1">
        <f t="array" ref="C797">IF(AND(A797="2020-12", ISNA(MATCH(B797, _xlfn._xlws.FILTER(B:B, A:A="2021-01"), 0))), "Left", "Ativo")</f>
        <v>Ativo</v>
      </c>
      <c r="D797" s="10" t="str" cm="1">
        <f t="array" ref="D797">IF(AND(A797="2021-01", ISNA(MATCH(B797, _xlfn._xlws.FILTER(B:B, A:A="2021-02"), 0))), "Left", "Ativo")</f>
        <v>Ativo</v>
      </c>
      <c r="E797" s="10" t="str" cm="1">
        <f t="array" ref="E797">IF(AND(A797="2021-02", ISNA(MATCH(B797, _xlfn._xlws.FILTER(B:B, A:A="2021-03"), 0))), "Left", "Ativo")</f>
        <v>Ativo</v>
      </c>
      <c r="F797" s="12" t="str" cm="1">
        <f t="array" ref="F797">IF(AND(A797="2021-03", ISNA(MATCH(B797, _xlfn._xlws.FILTER(B:B, A:A="2021-04"), 0))), "Left", "Ativo")</f>
        <v>Ativo</v>
      </c>
    </row>
    <row r="798" spans="1:6" x14ac:dyDescent="0.25">
      <c r="A798" t="s">
        <v>1528</v>
      </c>
      <c r="B798" t="s">
        <v>797</v>
      </c>
      <c r="C798" s="10" t="str" cm="1">
        <f t="array" ref="C798">IF(AND(A798="2020-12", ISNA(MATCH(B798, _xlfn._xlws.FILTER(B:B, A:A="2021-01"), 0))), "Left", "Ativo")</f>
        <v>Ativo</v>
      </c>
      <c r="D798" s="10" t="str" cm="1">
        <f t="array" ref="D798">IF(AND(A798="2021-01", ISNA(MATCH(B798, _xlfn._xlws.FILTER(B:B, A:A="2021-02"), 0))), "Left", "Ativo")</f>
        <v>Ativo</v>
      </c>
      <c r="E798" s="10" t="str" cm="1">
        <f t="array" ref="E798">IF(AND(A798="2021-02", ISNA(MATCH(B798, _xlfn._xlws.FILTER(B:B, A:A="2021-03"), 0))), "Left", "Ativo")</f>
        <v>Ativo</v>
      </c>
      <c r="F798" s="12" t="str" cm="1">
        <f t="array" ref="F798">IF(AND(A798="2021-03", ISNA(MATCH(B798, _xlfn._xlws.FILTER(B:B, A:A="2021-04"), 0))), "Left", "Ativo")</f>
        <v>Ativo</v>
      </c>
    </row>
    <row r="799" spans="1:6" x14ac:dyDescent="0.25">
      <c r="A799" t="s">
        <v>1528</v>
      </c>
      <c r="B799" t="s">
        <v>798</v>
      </c>
      <c r="C799" s="10" t="str" cm="1">
        <f t="array" ref="C799">IF(AND(A799="2020-12", ISNA(MATCH(B799, _xlfn._xlws.FILTER(B:B, A:A="2021-01"), 0))), "Left", "Ativo")</f>
        <v>Ativo</v>
      </c>
      <c r="D799" s="10" t="str" cm="1">
        <f t="array" ref="D799">IF(AND(A799="2021-01", ISNA(MATCH(B799, _xlfn._xlws.FILTER(B:B, A:A="2021-02"), 0))), "Left", "Ativo")</f>
        <v>Ativo</v>
      </c>
      <c r="E799" s="10" t="str" cm="1">
        <f t="array" ref="E799">IF(AND(A799="2021-02", ISNA(MATCH(B799, _xlfn._xlws.FILTER(B:B, A:A="2021-03"), 0))), "Left", "Ativo")</f>
        <v>Ativo</v>
      </c>
      <c r="F799" s="12" t="str" cm="1">
        <f t="array" ref="F799">IF(AND(A799="2021-03", ISNA(MATCH(B799, _xlfn._xlws.FILTER(B:B, A:A="2021-04"), 0))), "Left", "Ativo")</f>
        <v>Ativo</v>
      </c>
    </row>
    <row r="800" spans="1:6" x14ac:dyDescent="0.25">
      <c r="A800" t="s">
        <v>1528</v>
      </c>
      <c r="B800" t="s">
        <v>799</v>
      </c>
      <c r="C800" s="10" t="str" cm="1">
        <f t="array" ref="C800">IF(AND(A800="2020-12", ISNA(MATCH(B800, _xlfn._xlws.FILTER(B:B, A:A="2021-01"), 0))), "Left", "Ativo")</f>
        <v>Ativo</v>
      </c>
      <c r="D800" s="10" t="str" cm="1">
        <f t="array" ref="D800">IF(AND(A800="2021-01", ISNA(MATCH(B800, _xlfn._xlws.FILTER(B:B, A:A="2021-02"), 0))), "Left", "Ativo")</f>
        <v>Ativo</v>
      </c>
      <c r="E800" s="10" t="str" cm="1">
        <f t="array" ref="E800">IF(AND(A800="2021-02", ISNA(MATCH(B800, _xlfn._xlws.FILTER(B:B, A:A="2021-03"), 0))), "Left", "Ativo")</f>
        <v>Ativo</v>
      </c>
      <c r="F800" s="12" t="str" cm="1">
        <f t="array" ref="F800">IF(AND(A800="2021-03", ISNA(MATCH(B800, _xlfn._xlws.FILTER(B:B, A:A="2021-04"), 0))), "Left", "Ativo")</f>
        <v>Ativo</v>
      </c>
    </row>
    <row r="801" spans="1:6" x14ac:dyDescent="0.25">
      <c r="A801" t="s">
        <v>1528</v>
      </c>
      <c r="B801" t="s">
        <v>800</v>
      </c>
      <c r="C801" s="10" t="str" cm="1">
        <f t="array" ref="C801">IF(AND(A801="2020-12", ISNA(MATCH(B801, _xlfn._xlws.FILTER(B:B, A:A="2021-01"), 0))), "Left", "Ativo")</f>
        <v>Ativo</v>
      </c>
      <c r="D801" s="10" t="str" cm="1">
        <f t="array" ref="D801">IF(AND(A801="2021-01", ISNA(MATCH(B801, _xlfn._xlws.FILTER(B:B, A:A="2021-02"), 0))), "Left", "Ativo")</f>
        <v>Ativo</v>
      </c>
      <c r="E801" s="10" t="str" cm="1">
        <f t="array" ref="E801">IF(AND(A801="2021-02", ISNA(MATCH(B801, _xlfn._xlws.FILTER(B:B, A:A="2021-03"), 0))), "Left", "Ativo")</f>
        <v>Ativo</v>
      </c>
      <c r="F801" s="12" t="str" cm="1">
        <f t="array" ref="F801">IF(AND(A801="2021-03", ISNA(MATCH(B801, _xlfn._xlws.FILTER(B:B, A:A="2021-04"), 0))), "Left", "Ativo")</f>
        <v>Ativo</v>
      </c>
    </row>
    <row r="802" spans="1:6" x14ac:dyDescent="0.25">
      <c r="A802" t="s">
        <v>1528</v>
      </c>
      <c r="B802" t="s">
        <v>801</v>
      </c>
      <c r="C802" s="10" t="str" cm="1">
        <f t="array" ref="C802">IF(AND(A802="2020-12", ISNA(MATCH(B802, _xlfn._xlws.FILTER(B:B, A:A="2021-01"), 0))), "Left", "Ativo")</f>
        <v>Ativo</v>
      </c>
      <c r="D802" s="10" t="str" cm="1">
        <f t="array" ref="D802">IF(AND(A802="2021-01", ISNA(MATCH(B802, _xlfn._xlws.FILTER(B:B, A:A="2021-02"), 0))), "Left", "Ativo")</f>
        <v>Ativo</v>
      </c>
      <c r="E802" s="10" t="str" cm="1">
        <f t="array" ref="E802">IF(AND(A802="2021-02", ISNA(MATCH(B802, _xlfn._xlws.FILTER(B:B, A:A="2021-03"), 0))), "Left", "Ativo")</f>
        <v>Ativo</v>
      </c>
      <c r="F802" s="12" t="str" cm="1">
        <f t="array" ref="F802">IF(AND(A802="2021-03", ISNA(MATCH(B802, _xlfn._xlws.FILTER(B:B, A:A="2021-04"), 0))), "Left", "Ativo")</f>
        <v>Ativo</v>
      </c>
    </row>
    <row r="803" spans="1:6" x14ac:dyDescent="0.25">
      <c r="A803" t="s">
        <v>1528</v>
      </c>
      <c r="B803" t="s">
        <v>802</v>
      </c>
      <c r="C803" s="10" t="str" cm="1">
        <f t="array" ref="C803">IF(AND(A803="2020-12", ISNA(MATCH(B803, _xlfn._xlws.FILTER(B:B, A:A="2021-01"), 0))), "Left", "Ativo")</f>
        <v>Ativo</v>
      </c>
      <c r="D803" s="10" t="str" cm="1">
        <f t="array" ref="D803">IF(AND(A803="2021-01", ISNA(MATCH(B803, _xlfn._xlws.FILTER(B:B, A:A="2021-02"), 0))), "Left", "Ativo")</f>
        <v>Ativo</v>
      </c>
      <c r="E803" s="10" t="str" cm="1">
        <f t="array" ref="E803">IF(AND(A803="2021-02", ISNA(MATCH(B803, _xlfn._xlws.FILTER(B:B, A:A="2021-03"), 0))), "Left", "Ativo")</f>
        <v>Ativo</v>
      </c>
      <c r="F803" s="12" t="str" cm="1">
        <f t="array" ref="F803">IF(AND(A803="2021-03", ISNA(MATCH(B803, _xlfn._xlws.FILTER(B:B, A:A="2021-04"), 0))), "Left", "Ativo")</f>
        <v>Ativo</v>
      </c>
    </row>
    <row r="804" spans="1:6" x14ac:dyDescent="0.25">
      <c r="A804" t="s">
        <v>1528</v>
      </c>
      <c r="B804" t="s">
        <v>803</v>
      </c>
      <c r="C804" s="10" t="str" cm="1">
        <f t="array" ref="C804">IF(AND(A804="2020-12", ISNA(MATCH(B804, _xlfn._xlws.FILTER(B:B, A:A="2021-01"), 0))), "Left", "Ativo")</f>
        <v>Ativo</v>
      </c>
      <c r="D804" s="10" t="str" cm="1">
        <f t="array" ref="D804">IF(AND(A804="2021-01", ISNA(MATCH(B804, _xlfn._xlws.FILTER(B:B, A:A="2021-02"), 0))), "Left", "Ativo")</f>
        <v>Ativo</v>
      </c>
      <c r="E804" s="10" t="str" cm="1">
        <f t="array" ref="E804">IF(AND(A804="2021-02", ISNA(MATCH(B804, _xlfn._xlws.FILTER(B:B, A:A="2021-03"), 0))), "Left", "Ativo")</f>
        <v>Ativo</v>
      </c>
      <c r="F804" s="12" t="str" cm="1">
        <f t="array" ref="F804">IF(AND(A804="2021-03", ISNA(MATCH(B804, _xlfn._xlws.FILTER(B:B, A:A="2021-04"), 0))), "Left", "Ativo")</f>
        <v>Ativo</v>
      </c>
    </row>
    <row r="805" spans="1:6" x14ac:dyDescent="0.25">
      <c r="A805" t="s">
        <v>1528</v>
      </c>
      <c r="B805" t="s">
        <v>804</v>
      </c>
      <c r="C805" s="10" t="str" cm="1">
        <f t="array" ref="C805">IF(AND(A805="2020-12", ISNA(MATCH(B805, _xlfn._xlws.FILTER(B:B, A:A="2021-01"), 0))), "Left", "Ativo")</f>
        <v>Ativo</v>
      </c>
      <c r="D805" s="10" t="str" cm="1">
        <f t="array" ref="D805">IF(AND(A805="2021-01", ISNA(MATCH(B805, _xlfn._xlws.FILTER(B:B, A:A="2021-02"), 0))), "Left", "Ativo")</f>
        <v>Ativo</v>
      </c>
      <c r="E805" s="10" t="str" cm="1">
        <f t="array" ref="E805">IF(AND(A805="2021-02", ISNA(MATCH(B805, _xlfn._xlws.FILTER(B:B, A:A="2021-03"), 0))), "Left", "Ativo")</f>
        <v>Ativo</v>
      </c>
      <c r="F805" s="12" t="str" cm="1">
        <f t="array" ref="F805">IF(AND(A805="2021-03", ISNA(MATCH(B805, _xlfn._xlws.FILTER(B:B, A:A="2021-04"), 0))), "Left", "Ativo")</f>
        <v>Ativo</v>
      </c>
    </row>
    <row r="806" spans="1:6" x14ac:dyDescent="0.25">
      <c r="A806" t="s">
        <v>1528</v>
      </c>
      <c r="B806" t="s">
        <v>805</v>
      </c>
      <c r="C806" s="10" t="str" cm="1">
        <f t="array" ref="C806">IF(AND(A806="2020-12", ISNA(MATCH(B806, _xlfn._xlws.FILTER(B:B, A:A="2021-01"), 0))), "Left", "Ativo")</f>
        <v>Ativo</v>
      </c>
      <c r="D806" s="10" t="str" cm="1">
        <f t="array" ref="D806">IF(AND(A806="2021-01", ISNA(MATCH(B806, _xlfn._xlws.FILTER(B:B, A:A="2021-02"), 0))), "Left", "Ativo")</f>
        <v>Ativo</v>
      </c>
      <c r="E806" s="10" t="str" cm="1">
        <f t="array" ref="E806">IF(AND(A806="2021-02", ISNA(MATCH(B806, _xlfn._xlws.FILTER(B:B, A:A="2021-03"), 0))), "Left", "Ativo")</f>
        <v>Ativo</v>
      </c>
      <c r="F806" s="12" t="str" cm="1">
        <f t="array" ref="F806">IF(AND(A806="2021-03", ISNA(MATCH(B806, _xlfn._xlws.FILTER(B:B, A:A="2021-04"), 0))), "Left", "Ativo")</f>
        <v>Ativo</v>
      </c>
    </row>
    <row r="807" spans="1:6" x14ac:dyDescent="0.25">
      <c r="A807" t="s">
        <v>1528</v>
      </c>
      <c r="B807" t="s">
        <v>806</v>
      </c>
      <c r="C807" s="10" t="str" cm="1">
        <f t="array" ref="C807">IF(AND(A807="2020-12", ISNA(MATCH(B807, _xlfn._xlws.FILTER(B:B, A:A="2021-01"), 0))), "Left", "Ativo")</f>
        <v>Ativo</v>
      </c>
      <c r="D807" s="10" t="str" cm="1">
        <f t="array" ref="D807">IF(AND(A807="2021-01", ISNA(MATCH(B807, _xlfn._xlws.FILTER(B:B, A:A="2021-02"), 0))), "Left", "Ativo")</f>
        <v>Ativo</v>
      </c>
      <c r="E807" s="10" t="str" cm="1">
        <f t="array" ref="E807">IF(AND(A807="2021-02", ISNA(MATCH(B807, _xlfn._xlws.FILTER(B:B, A:A="2021-03"), 0))), "Left", "Ativo")</f>
        <v>Ativo</v>
      </c>
      <c r="F807" s="12" t="str" cm="1">
        <f t="array" ref="F807">IF(AND(A807="2021-03", ISNA(MATCH(B807, _xlfn._xlws.FILTER(B:B, A:A="2021-04"), 0))), "Left", "Ativo")</f>
        <v>Ativo</v>
      </c>
    </row>
    <row r="808" spans="1:6" x14ac:dyDescent="0.25">
      <c r="A808" t="s">
        <v>1528</v>
      </c>
      <c r="B808" t="s">
        <v>807</v>
      </c>
      <c r="C808" s="10" t="str" cm="1">
        <f t="array" ref="C808">IF(AND(A808="2020-12", ISNA(MATCH(B808, _xlfn._xlws.FILTER(B:B, A:A="2021-01"), 0))), "Left", "Ativo")</f>
        <v>Ativo</v>
      </c>
      <c r="D808" s="10" t="str" cm="1">
        <f t="array" ref="D808">IF(AND(A808="2021-01", ISNA(MATCH(B808, _xlfn._xlws.FILTER(B:B, A:A="2021-02"), 0))), "Left", "Ativo")</f>
        <v>Ativo</v>
      </c>
      <c r="E808" s="10" t="str" cm="1">
        <f t="array" ref="E808">IF(AND(A808="2021-02", ISNA(MATCH(B808, _xlfn._xlws.FILTER(B:B, A:A="2021-03"), 0))), "Left", "Ativo")</f>
        <v>Ativo</v>
      </c>
      <c r="F808" s="12" t="str" cm="1">
        <f t="array" ref="F808">IF(AND(A808="2021-03", ISNA(MATCH(B808, _xlfn._xlws.FILTER(B:B, A:A="2021-04"), 0))), "Left", "Ativo")</f>
        <v>Ativo</v>
      </c>
    </row>
    <row r="809" spans="1:6" x14ac:dyDescent="0.25">
      <c r="A809" t="s">
        <v>1528</v>
      </c>
      <c r="B809" t="s">
        <v>808</v>
      </c>
      <c r="C809" s="10" t="str" cm="1">
        <f t="array" ref="C809">IF(AND(A809="2020-12", ISNA(MATCH(B809, _xlfn._xlws.FILTER(B:B, A:A="2021-01"), 0))), "Left", "Ativo")</f>
        <v>Ativo</v>
      </c>
      <c r="D809" s="10" t="str" cm="1">
        <f t="array" ref="D809">IF(AND(A809="2021-01", ISNA(MATCH(B809, _xlfn._xlws.FILTER(B:B, A:A="2021-02"), 0))), "Left", "Ativo")</f>
        <v>Ativo</v>
      </c>
      <c r="E809" s="10" t="str" cm="1">
        <f t="array" ref="E809">IF(AND(A809="2021-02", ISNA(MATCH(B809, _xlfn._xlws.FILTER(B:B, A:A="2021-03"), 0))), "Left", "Ativo")</f>
        <v>Ativo</v>
      </c>
      <c r="F809" s="12" t="str" cm="1">
        <f t="array" ref="F809">IF(AND(A809="2021-03", ISNA(MATCH(B809, _xlfn._xlws.FILTER(B:B, A:A="2021-04"), 0))), "Left", "Ativo")</f>
        <v>Ativo</v>
      </c>
    </row>
    <row r="810" spans="1:6" x14ac:dyDescent="0.25">
      <c r="A810" t="s">
        <v>1528</v>
      </c>
      <c r="B810" t="s">
        <v>809</v>
      </c>
      <c r="C810" s="10" t="str" cm="1">
        <f t="array" ref="C810">IF(AND(A810="2020-12", ISNA(MATCH(B810, _xlfn._xlws.FILTER(B:B, A:A="2021-01"), 0))), "Left", "Ativo")</f>
        <v>Ativo</v>
      </c>
      <c r="D810" s="10" t="str" cm="1">
        <f t="array" ref="D810">IF(AND(A810="2021-01", ISNA(MATCH(B810, _xlfn._xlws.FILTER(B:B, A:A="2021-02"), 0))), "Left", "Ativo")</f>
        <v>Ativo</v>
      </c>
      <c r="E810" s="10" t="str" cm="1">
        <f t="array" ref="E810">IF(AND(A810="2021-02", ISNA(MATCH(B810, _xlfn._xlws.FILTER(B:B, A:A="2021-03"), 0))), "Left", "Ativo")</f>
        <v>Ativo</v>
      </c>
      <c r="F810" s="12" t="str" cm="1">
        <f t="array" ref="F810">IF(AND(A810="2021-03", ISNA(MATCH(B810, _xlfn._xlws.FILTER(B:B, A:A="2021-04"), 0))), "Left", "Ativo")</f>
        <v>Ativo</v>
      </c>
    </row>
    <row r="811" spans="1:6" x14ac:dyDescent="0.25">
      <c r="A811" t="s">
        <v>1528</v>
      </c>
      <c r="B811" t="s">
        <v>810</v>
      </c>
      <c r="C811" s="10" t="str" cm="1">
        <f t="array" ref="C811">IF(AND(A811="2020-12", ISNA(MATCH(B811, _xlfn._xlws.FILTER(B:B, A:A="2021-01"), 0))), "Left", "Ativo")</f>
        <v>Ativo</v>
      </c>
      <c r="D811" s="10" t="str" cm="1">
        <f t="array" ref="D811">IF(AND(A811="2021-01", ISNA(MATCH(B811, _xlfn._xlws.FILTER(B:B, A:A="2021-02"), 0))), "Left", "Ativo")</f>
        <v>Ativo</v>
      </c>
      <c r="E811" s="10" t="str" cm="1">
        <f t="array" ref="E811">IF(AND(A811="2021-02", ISNA(MATCH(B811, _xlfn._xlws.FILTER(B:B, A:A="2021-03"), 0))), "Left", "Ativo")</f>
        <v>Ativo</v>
      </c>
      <c r="F811" s="12" t="str" cm="1">
        <f t="array" ref="F811">IF(AND(A811="2021-03", ISNA(MATCH(B811, _xlfn._xlws.FILTER(B:B, A:A="2021-04"), 0))), "Left", "Ativo")</f>
        <v>Ativo</v>
      </c>
    </row>
    <row r="812" spans="1:6" x14ac:dyDescent="0.25">
      <c r="A812" t="s">
        <v>1528</v>
      </c>
      <c r="B812" t="s">
        <v>811</v>
      </c>
      <c r="C812" s="10" t="str" cm="1">
        <f t="array" ref="C812">IF(AND(A812="2020-12", ISNA(MATCH(B812, _xlfn._xlws.FILTER(B:B, A:A="2021-01"), 0))), "Left", "Ativo")</f>
        <v>Ativo</v>
      </c>
      <c r="D812" s="10" t="str" cm="1">
        <f t="array" ref="D812">IF(AND(A812="2021-01", ISNA(MATCH(B812, _xlfn._xlws.FILTER(B:B, A:A="2021-02"), 0))), "Left", "Ativo")</f>
        <v>Ativo</v>
      </c>
      <c r="E812" s="10" t="str" cm="1">
        <f t="array" ref="E812">IF(AND(A812="2021-02", ISNA(MATCH(B812, _xlfn._xlws.FILTER(B:B, A:A="2021-03"), 0))), "Left", "Ativo")</f>
        <v>Ativo</v>
      </c>
      <c r="F812" s="12" t="str" cm="1">
        <f t="array" ref="F812">IF(AND(A812="2021-03", ISNA(MATCH(B812, _xlfn._xlws.FILTER(B:B, A:A="2021-04"), 0))), "Left", "Ativo")</f>
        <v>Ativo</v>
      </c>
    </row>
    <row r="813" spans="1:6" x14ac:dyDescent="0.25">
      <c r="A813" t="s">
        <v>1528</v>
      </c>
      <c r="B813" t="s">
        <v>812</v>
      </c>
      <c r="C813" s="10" t="str" cm="1">
        <f t="array" ref="C813">IF(AND(A813="2020-12", ISNA(MATCH(B813, _xlfn._xlws.FILTER(B:B, A:A="2021-01"), 0))), "Left", "Ativo")</f>
        <v>Ativo</v>
      </c>
      <c r="D813" s="10" t="str" cm="1">
        <f t="array" ref="D813">IF(AND(A813="2021-01", ISNA(MATCH(B813, _xlfn._xlws.FILTER(B:B, A:A="2021-02"), 0))), "Left", "Ativo")</f>
        <v>Ativo</v>
      </c>
      <c r="E813" s="10" t="str" cm="1">
        <f t="array" ref="E813">IF(AND(A813="2021-02", ISNA(MATCH(B813, _xlfn._xlws.FILTER(B:B, A:A="2021-03"), 0))), "Left", "Ativo")</f>
        <v>Ativo</v>
      </c>
      <c r="F813" s="12" t="str" cm="1">
        <f t="array" ref="F813">IF(AND(A813="2021-03", ISNA(MATCH(B813, _xlfn._xlws.FILTER(B:B, A:A="2021-04"), 0))), "Left", "Ativo")</f>
        <v>Ativo</v>
      </c>
    </row>
    <row r="814" spans="1:6" x14ac:dyDescent="0.25">
      <c r="A814" t="s">
        <v>1528</v>
      </c>
      <c r="B814" t="s">
        <v>813</v>
      </c>
      <c r="C814" s="10" t="str" cm="1">
        <f t="array" ref="C814">IF(AND(A814="2020-12", ISNA(MATCH(B814, _xlfn._xlws.FILTER(B:B, A:A="2021-01"), 0))), "Left", "Ativo")</f>
        <v>Ativo</v>
      </c>
      <c r="D814" s="10" t="str" cm="1">
        <f t="array" ref="D814">IF(AND(A814="2021-01", ISNA(MATCH(B814, _xlfn._xlws.FILTER(B:B, A:A="2021-02"), 0))), "Left", "Ativo")</f>
        <v>Ativo</v>
      </c>
      <c r="E814" s="10" t="str" cm="1">
        <f t="array" ref="E814">IF(AND(A814="2021-02", ISNA(MATCH(B814, _xlfn._xlws.FILTER(B:B, A:A="2021-03"), 0))), "Left", "Ativo")</f>
        <v>Ativo</v>
      </c>
      <c r="F814" s="12" t="str" cm="1">
        <f t="array" ref="F814">IF(AND(A814="2021-03", ISNA(MATCH(B814, _xlfn._xlws.FILTER(B:B, A:A="2021-04"), 0))), "Left", "Ativo")</f>
        <v>Ativo</v>
      </c>
    </row>
    <row r="815" spans="1:6" x14ac:dyDescent="0.25">
      <c r="A815" t="s">
        <v>1528</v>
      </c>
      <c r="B815" t="s">
        <v>814</v>
      </c>
      <c r="C815" s="10" t="str" cm="1">
        <f t="array" ref="C815">IF(AND(A815="2020-12", ISNA(MATCH(B815, _xlfn._xlws.FILTER(B:B, A:A="2021-01"), 0))), "Left", "Ativo")</f>
        <v>Ativo</v>
      </c>
      <c r="D815" s="10" t="str" cm="1">
        <f t="array" ref="D815">IF(AND(A815="2021-01", ISNA(MATCH(B815, _xlfn._xlws.FILTER(B:B, A:A="2021-02"), 0))), "Left", "Ativo")</f>
        <v>Ativo</v>
      </c>
      <c r="E815" s="10" t="str" cm="1">
        <f t="array" ref="E815">IF(AND(A815="2021-02", ISNA(MATCH(B815, _xlfn._xlws.FILTER(B:B, A:A="2021-03"), 0))), "Left", "Ativo")</f>
        <v>Ativo</v>
      </c>
      <c r="F815" s="12" t="str" cm="1">
        <f t="array" ref="F815">IF(AND(A815="2021-03", ISNA(MATCH(B815, _xlfn._xlws.FILTER(B:B, A:A="2021-04"), 0))), "Left", "Ativo")</f>
        <v>Ativo</v>
      </c>
    </row>
    <row r="816" spans="1:6" x14ac:dyDescent="0.25">
      <c r="A816" t="s">
        <v>1528</v>
      </c>
      <c r="B816" t="s">
        <v>815</v>
      </c>
      <c r="C816" s="10" t="str" cm="1">
        <f t="array" ref="C816">IF(AND(A816="2020-12", ISNA(MATCH(B816, _xlfn._xlws.FILTER(B:B, A:A="2021-01"), 0))), "Left", "Ativo")</f>
        <v>Ativo</v>
      </c>
      <c r="D816" s="10" t="str" cm="1">
        <f t="array" ref="D816">IF(AND(A816="2021-01", ISNA(MATCH(B816, _xlfn._xlws.FILTER(B:B, A:A="2021-02"), 0))), "Left", "Ativo")</f>
        <v>Ativo</v>
      </c>
      <c r="E816" s="10" t="str" cm="1">
        <f t="array" ref="E816">IF(AND(A816="2021-02", ISNA(MATCH(B816, _xlfn._xlws.FILTER(B:B, A:A="2021-03"), 0))), "Left", "Ativo")</f>
        <v>Ativo</v>
      </c>
      <c r="F816" s="12" t="str" cm="1">
        <f t="array" ref="F816">IF(AND(A816="2021-03", ISNA(MATCH(B816, _xlfn._xlws.FILTER(B:B, A:A="2021-04"), 0))), "Left", "Ativo")</f>
        <v>Ativo</v>
      </c>
    </row>
    <row r="817" spans="1:6" x14ac:dyDescent="0.25">
      <c r="A817" t="s">
        <v>1528</v>
      </c>
      <c r="B817" t="s">
        <v>816</v>
      </c>
      <c r="C817" s="10" t="str" cm="1">
        <f t="array" ref="C817">IF(AND(A817="2020-12", ISNA(MATCH(B817, _xlfn._xlws.FILTER(B:B, A:A="2021-01"), 0))), "Left", "Ativo")</f>
        <v>Ativo</v>
      </c>
      <c r="D817" s="10" t="str" cm="1">
        <f t="array" ref="D817">IF(AND(A817="2021-01", ISNA(MATCH(B817, _xlfn._xlws.FILTER(B:B, A:A="2021-02"), 0))), "Left", "Ativo")</f>
        <v>Ativo</v>
      </c>
      <c r="E817" s="10" t="str" cm="1">
        <f t="array" ref="E817">IF(AND(A817="2021-02", ISNA(MATCH(B817, _xlfn._xlws.FILTER(B:B, A:A="2021-03"), 0))), "Left", "Ativo")</f>
        <v>Ativo</v>
      </c>
      <c r="F817" s="12" t="str" cm="1">
        <f t="array" ref="F817">IF(AND(A817="2021-03", ISNA(MATCH(B817, _xlfn._xlws.FILTER(B:B, A:A="2021-04"), 0))), "Left", "Ativo")</f>
        <v>Ativo</v>
      </c>
    </row>
    <row r="818" spans="1:6" x14ac:dyDescent="0.25">
      <c r="A818" t="s">
        <v>1528</v>
      </c>
      <c r="B818" t="s">
        <v>817</v>
      </c>
      <c r="C818" s="10" t="str" cm="1">
        <f t="array" ref="C818">IF(AND(A818="2020-12", ISNA(MATCH(B818, _xlfn._xlws.FILTER(B:B, A:A="2021-01"), 0))), "Left", "Ativo")</f>
        <v>Ativo</v>
      </c>
      <c r="D818" s="10" t="str" cm="1">
        <f t="array" ref="D818">IF(AND(A818="2021-01", ISNA(MATCH(B818, _xlfn._xlws.FILTER(B:B, A:A="2021-02"), 0))), "Left", "Ativo")</f>
        <v>Ativo</v>
      </c>
      <c r="E818" s="10" t="str" cm="1">
        <f t="array" ref="E818">IF(AND(A818="2021-02", ISNA(MATCH(B818, _xlfn._xlws.FILTER(B:B, A:A="2021-03"), 0))), "Left", "Ativo")</f>
        <v>Ativo</v>
      </c>
      <c r="F818" s="12" t="str" cm="1">
        <f t="array" ref="F818">IF(AND(A818="2021-03", ISNA(MATCH(B818, _xlfn._xlws.FILTER(B:B, A:A="2021-04"), 0))), "Left", "Ativo")</f>
        <v>Ativo</v>
      </c>
    </row>
    <row r="819" spans="1:6" x14ac:dyDescent="0.25">
      <c r="A819" t="s">
        <v>1528</v>
      </c>
      <c r="B819" t="s">
        <v>818</v>
      </c>
      <c r="C819" s="10" t="str" cm="1">
        <f t="array" ref="C819">IF(AND(A819="2020-12", ISNA(MATCH(B819, _xlfn._xlws.FILTER(B:B, A:A="2021-01"), 0))), "Left", "Ativo")</f>
        <v>Ativo</v>
      </c>
      <c r="D819" s="10" t="str" cm="1">
        <f t="array" ref="D819">IF(AND(A819="2021-01", ISNA(MATCH(B819, _xlfn._xlws.FILTER(B:B, A:A="2021-02"), 0))), "Left", "Ativo")</f>
        <v>Ativo</v>
      </c>
      <c r="E819" s="10" t="str" cm="1">
        <f t="array" ref="E819">IF(AND(A819="2021-02", ISNA(MATCH(B819, _xlfn._xlws.FILTER(B:B, A:A="2021-03"), 0))), "Left", "Ativo")</f>
        <v>Ativo</v>
      </c>
      <c r="F819" s="12" t="str" cm="1">
        <f t="array" ref="F819">IF(AND(A819="2021-03", ISNA(MATCH(B819, _xlfn._xlws.FILTER(B:B, A:A="2021-04"), 0))), "Left", "Ativo")</f>
        <v>Ativo</v>
      </c>
    </row>
    <row r="820" spans="1:6" x14ac:dyDescent="0.25">
      <c r="A820" t="s">
        <v>1528</v>
      </c>
      <c r="B820" t="s">
        <v>819</v>
      </c>
      <c r="C820" s="10" t="str" cm="1">
        <f t="array" ref="C820">IF(AND(A820="2020-12", ISNA(MATCH(B820, _xlfn._xlws.FILTER(B:B, A:A="2021-01"), 0))), "Left", "Ativo")</f>
        <v>Ativo</v>
      </c>
      <c r="D820" s="10" t="str" cm="1">
        <f t="array" ref="D820">IF(AND(A820="2021-01", ISNA(MATCH(B820, _xlfn._xlws.FILTER(B:B, A:A="2021-02"), 0))), "Left", "Ativo")</f>
        <v>Ativo</v>
      </c>
      <c r="E820" s="10" t="str" cm="1">
        <f t="array" ref="E820">IF(AND(A820="2021-02", ISNA(MATCH(B820, _xlfn._xlws.FILTER(B:B, A:A="2021-03"), 0))), "Left", "Ativo")</f>
        <v>Ativo</v>
      </c>
      <c r="F820" s="12" t="str" cm="1">
        <f t="array" ref="F820">IF(AND(A820="2021-03", ISNA(MATCH(B820, _xlfn._xlws.FILTER(B:B, A:A="2021-04"), 0))), "Left", "Ativo")</f>
        <v>Ativo</v>
      </c>
    </row>
    <row r="821" spans="1:6" x14ac:dyDescent="0.25">
      <c r="A821" t="s">
        <v>1528</v>
      </c>
      <c r="B821" t="s">
        <v>820</v>
      </c>
      <c r="C821" s="10" t="str" cm="1">
        <f t="array" ref="C821">IF(AND(A821="2020-12", ISNA(MATCH(B821, _xlfn._xlws.FILTER(B:B, A:A="2021-01"), 0))), "Left", "Ativo")</f>
        <v>Ativo</v>
      </c>
      <c r="D821" s="10" t="str" cm="1">
        <f t="array" ref="D821">IF(AND(A821="2021-01", ISNA(MATCH(B821, _xlfn._xlws.FILTER(B:B, A:A="2021-02"), 0))), "Left", "Ativo")</f>
        <v>Ativo</v>
      </c>
      <c r="E821" s="10" t="str" cm="1">
        <f t="array" ref="E821">IF(AND(A821="2021-02", ISNA(MATCH(B821, _xlfn._xlws.FILTER(B:B, A:A="2021-03"), 0))), "Left", "Ativo")</f>
        <v>Ativo</v>
      </c>
      <c r="F821" s="12" t="str" cm="1">
        <f t="array" ref="F821">IF(AND(A821="2021-03", ISNA(MATCH(B821, _xlfn._xlws.FILTER(B:B, A:A="2021-04"), 0))), "Left", "Ativo")</f>
        <v>Ativo</v>
      </c>
    </row>
    <row r="822" spans="1:6" x14ac:dyDescent="0.25">
      <c r="A822" t="s">
        <v>1528</v>
      </c>
      <c r="B822" t="s">
        <v>821</v>
      </c>
      <c r="C822" s="10" t="str" cm="1">
        <f t="array" ref="C822">IF(AND(A822="2020-12", ISNA(MATCH(B822, _xlfn._xlws.FILTER(B:B, A:A="2021-01"), 0))), "Left", "Ativo")</f>
        <v>Ativo</v>
      </c>
      <c r="D822" s="10" t="str" cm="1">
        <f t="array" ref="D822">IF(AND(A822="2021-01", ISNA(MATCH(B822, _xlfn._xlws.FILTER(B:B, A:A="2021-02"), 0))), "Left", "Ativo")</f>
        <v>Ativo</v>
      </c>
      <c r="E822" s="10" t="str" cm="1">
        <f t="array" ref="E822">IF(AND(A822="2021-02", ISNA(MATCH(B822, _xlfn._xlws.FILTER(B:B, A:A="2021-03"), 0))), "Left", "Ativo")</f>
        <v>Ativo</v>
      </c>
      <c r="F822" s="12" t="str" cm="1">
        <f t="array" ref="F822">IF(AND(A822="2021-03", ISNA(MATCH(B822, _xlfn._xlws.FILTER(B:B, A:A="2021-04"), 0))), "Left", "Ativo")</f>
        <v>Ativo</v>
      </c>
    </row>
    <row r="823" spans="1:6" x14ac:dyDescent="0.25">
      <c r="A823" t="s">
        <v>1528</v>
      </c>
      <c r="B823" t="s">
        <v>822</v>
      </c>
      <c r="C823" s="10" t="str" cm="1">
        <f t="array" ref="C823">IF(AND(A823="2020-12", ISNA(MATCH(B823, _xlfn._xlws.FILTER(B:B, A:A="2021-01"), 0))), "Left", "Ativo")</f>
        <v>Ativo</v>
      </c>
      <c r="D823" s="10" t="str" cm="1">
        <f t="array" ref="D823">IF(AND(A823="2021-01", ISNA(MATCH(B823, _xlfn._xlws.FILTER(B:B, A:A="2021-02"), 0))), "Left", "Ativo")</f>
        <v>Ativo</v>
      </c>
      <c r="E823" s="10" t="str" cm="1">
        <f t="array" ref="E823">IF(AND(A823="2021-02", ISNA(MATCH(B823, _xlfn._xlws.FILTER(B:B, A:A="2021-03"), 0))), "Left", "Ativo")</f>
        <v>Ativo</v>
      </c>
      <c r="F823" s="12" t="str" cm="1">
        <f t="array" ref="F823">IF(AND(A823="2021-03", ISNA(MATCH(B823, _xlfn._xlws.FILTER(B:B, A:A="2021-04"), 0))), "Left", "Ativo")</f>
        <v>Ativo</v>
      </c>
    </row>
    <row r="824" spans="1:6" x14ac:dyDescent="0.25">
      <c r="A824" t="s">
        <v>1528</v>
      </c>
      <c r="B824" t="s">
        <v>823</v>
      </c>
      <c r="C824" s="10" t="str" cm="1">
        <f t="array" ref="C824">IF(AND(A824="2020-12", ISNA(MATCH(B824, _xlfn._xlws.FILTER(B:B, A:A="2021-01"), 0))), "Left", "Ativo")</f>
        <v>Ativo</v>
      </c>
      <c r="D824" s="10" t="str" cm="1">
        <f t="array" ref="D824">IF(AND(A824="2021-01", ISNA(MATCH(B824, _xlfn._xlws.FILTER(B:B, A:A="2021-02"), 0))), "Left", "Ativo")</f>
        <v>Ativo</v>
      </c>
      <c r="E824" s="10" t="str" cm="1">
        <f t="array" ref="E824">IF(AND(A824="2021-02", ISNA(MATCH(B824, _xlfn._xlws.FILTER(B:B, A:A="2021-03"), 0))), "Left", "Ativo")</f>
        <v>Ativo</v>
      </c>
      <c r="F824" s="12" t="str" cm="1">
        <f t="array" ref="F824">IF(AND(A824="2021-03", ISNA(MATCH(B824, _xlfn._xlws.FILTER(B:B, A:A="2021-04"), 0))), "Left", "Ativo")</f>
        <v>Ativo</v>
      </c>
    </row>
    <row r="825" spans="1:6" x14ac:dyDescent="0.25">
      <c r="A825" t="s">
        <v>1528</v>
      </c>
      <c r="B825" t="s">
        <v>824</v>
      </c>
      <c r="C825" s="10" t="str" cm="1">
        <f t="array" ref="C825">IF(AND(A825="2020-12", ISNA(MATCH(B825, _xlfn._xlws.FILTER(B:B, A:A="2021-01"), 0))), "Left", "Ativo")</f>
        <v>Ativo</v>
      </c>
      <c r="D825" s="10" t="str" cm="1">
        <f t="array" ref="D825">IF(AND(A825="2021-01", ISNA(MATCH(B825, _xlfn._xlws.FILTER(B:B, A:A="2021-02"), 0))), "Left", "Ativo")</f>
        <v>Ativo</v>
      </c>
      <c r="E825" s="10" t="str" cm="1">
        <f t="array" ref="E825">IF(AND(A825="2021-02", ISNA(MATCH(B825, _xlfn._xlws.FILTER(B:B, A:A="2021-03"), 0))), "Left", "Ativo")</f>
        <v>Ativo</v>
      </c>
      <c r="F825" s="12" t="str" cm="1">
        <f t="array" ref="F825">IF(AND(A825="2021-03", ISNA(MATCH(B825, _xlfn._xlws.FILTER(B:B, A:A="2021-04"), 0))), "Left", "Ativo")</f>
        <v>Ativo</v>
      </c>
    </row>
    <row r="826" spans="1:6" x14ac:dyDescent="0.25">
      <c r="A826" t="s">
        <v>1528</v>
      </c>
      <c r="B826" t="s">
        <v>825</v>
      </c>
      <c r="C826" s="10" t="str" cm="1">
        <f t="array" ref="C826">IF(AND(A826="2020-12", ISNA(MATCH(B826, _xlfn._xlws.FILTER(B:B, A:A="2021-01"), 0))), "Left", "Ativo")</f>
        <v>Ativo</v>
      </c>
      <c r="D826" s="10" t="str" cm="1">
        <f t="array" ref="D826">IF(AND(A826="2021-01", ISNA(MATCH(B826, _xlfn._xlws.FILTER(B:B, A:A="2021-02"), 0))), "Left", "Ativo")</f>
        <v>Ativo</v>
      </c>
      <c r="E826" s="10" t="str" cm="1">
        <f t="array" ref="E826">IF(AND(A826="2021-02", ISNA(MATCH(B826, _xlfn._xlws.FILTER(B:B, A:A="2021-03"), 0))), "Left", "Ativo")</f>
        <v>Ativo</v>
      </c>
      <c r="F826" s="12" t="str" cm="1">
        <f t="array" ref="F826">IF(AND(A826="2021-03", ISNA(MATCH(B826, _xlfn._xlws.FILTER(B:B, A:A="2021-04"), 0))), "Left", "Ativo")</f>
        <v>Ativo</v>
      </c>
    </row>
    <row r="827" spans="1:6" x14ac:dyDescent="0.25">
      <c r="A827" t="s">
        <v>1528</v>
      </c>
      <c r="B827" t="s">
        <v>826</v>
      </c>
      <c r="C827" s="10" t="str" cm="1">
        <f t="array" ref="C827">IF(AND(A827="2020-12", ISNA(MATCH(B827, _xlfn._xlws.FILTER(B:B, A:A="2021-01"), 0))), "Left", "Ativo")</f>
        <v>Ativo</v>
      </c>
      <c r="D827" s="10" t="str" cm="1">
        <f t="array" ref="D827">IF(AND(A827="2021-01", ISNA(MATCH(B827, _xlfn._xlws.FILTER(B:B, A:A="2021-02"), 0))), "Left", "Ativo")</f>
        <v>Ativo</v>
      </c>
      <c r="E827" s="10" t="str" cm="1">
        <f t="array" ref="E827">IF(AND(A827="2021-02", ISNA(MATCH(B827, _xlfn._xlws.FILTER(B:B, A:A="2021-03"), 0))), "Left", "Ativo")</f>
        <v>Ativo</v>
      </c>
      <c r="F827" s="12" t="str" cm="1">
        <f t="array" ref="F827">IF(AND(A827="2021-03", ISNA(MATCH(B827, _xlfn._xlws.FILTER(B:B, A:A="2021-04"), 0))), "Left", "Ativo")</f>
        <v>Ativo</v>
      </c>
    </row>
    <row r="828" spans="1:6" x14ac:dyDescent="0.25">
      <c r="A828" t="s">
        <v>1528</v>
      </c>
      <c r="B828" t="s">
        <v>827</v>
      </c>
      <c r="C828" s="10" t="str" cm="1">
        <f t="array" ref="C828">IF(AND(A828="2020-12", ISNA(MATCH(B828, _xlfn._xlws.FILTER(B:B, A:A="2021-01"), 0))), "Left", "Ativo")</f>
        <v>Ativo</v>
      </c>
      <c r="D828" s="10" t="str" cm="1">
        <f t="array" ref="D828">IF(AND(A828="2021-01", ISNA(MATCH(B828, _xlfn._xlws.FILTER(B:B, A:A="2021-02"), 0))), "Left", "Ativo")</f>
        <v>Ativo</v>
      </c>
      <c r="E828" s="10" t="str" cm="1">
        <f t="array" ref="E828">IF(AND(A828="2021-02", ISNA(MATCH(B828, _xlfn._xlws.FILTER(B:B, A:A="2021-03"), 0))), "Left", "Ativo")</f>
        <v>Ativo</v>
      </c>
      <c r="F828" s="12" t="str" cm="1">
        <f t="array" ref="F828">IF(AND(A828="2021-03", ISNA(MATCH(B828, _xlfn._xlws.FILTER(B:B, A:A="2021-04"), 0))), "Left", "Ativo")</f>
        <v>Ativo</v>
      </c>
    </row>
    <row r="829" spans="1:6" x14ac:dyDescent="0.25">
      <c r="A829" t="s">
        <v>1528</v>
      </c>
      <c r="B829" t="s">
        <v>828</v>
      </c>
      <c r="C829" s="10" t="str" cm="1">
        <f t="array" ref="C829">IF(AND(A829="2020-12", ISNA(MATCH(B829, _xlfn._xlws.FILTER(B:B, A:A="2021-01"), 0))), "Left", "Ativo")</f>
        <v>Ativo</v>
      </c>
      <c r="D829" s="10" t="str" cm="1">
        <f t="array" ref="D829">IF(AND(A829="2021-01", ISNA(MATCH(B829, _xlfn._xlws.FILTER(B:B, A:A="2021-02"), 0))), "Left", "Ativo")</f>
        <v>Ativo</v>
      </c>
      <c r="E829" s="10" t="str" cm="1">
        <f t="array" ref="E829">IF(AND(A829="2021-02", ISNA(MATCH(B829, _xlfn._xlws.FILTER(B:B, A:A="2021-03"), 0))), "Left", "Ativo")</f>
        <v>Ativo</v>
      </c>
      <c r="F829" s="12" t="str" cm="1">
        <f t="array" ref="F829">IF(AND(A829="2021-03", ISNA(MATCH(B829, _xlfn._xlws.FILTER(B:B, A:A="2021-04"), 0))), "Left", "Ativo")</f>
        <v>Ativo</v>
      </c>
    </row>
    <row r="830" spans="1:6" x14ac:dyDescent="0.25">
      <c r="A830" t="s">
        <v>1528</v>
      </c>
      <c r="B830" t="s">
        <v>829</v>
      </c>
      <c r="C830" s="10" t="str" cm="1">
        <f t="array" ref="C830">IF(AND(A830="2020-12", ISNA(MATCH(B830, _xlfn._xlws.FILTER(B:B, A:A="2021-01"), 0))), "Left", "Ativo")</f>
        <v>Ativo</v>
      </c>
      <c r="D830" s="10" t="str" cm="1">
        <f t="array" ref="D830">IF(AND(A830="2021-01", ISNA(MATCH(B830, _xlfn._xlws.FILTER(B:B, A:A="2021-02"), 0))), "Left", "Ativo")</f>
        <v>Ativo</v>
      </c>
      <c r="E830" s="10" t="str" cm="1">
        <f t="array" ref="E830">IF(AND(A830="2021-02", ISNA(MATCH(B830, _xlfn._xlws.FILTER(B:B, A:A="2021-03"), 0))), "Left", "Ativo")</f>
        <v>Ativo</v>
      </c>
      <c r="F830" s="12" t="str" cm="1">
        <f t="array" ref="F830">IF(AND(A830="2021-03", ISNA(MATCH(B830, _xlfn._xlws.FILTER(B:B, A:A="2021-04"), 0))), "Left", "Ativo")</f>
        <v>Ativo</v>
      </c>
    </row>
    <row r="831" spans="1:6" x14ac:dyDescent="0.25">
      <c r="A831" t="s">
        <v>1528</v>
      </c>
      <c r="B831" t="s">
        <v>830</v>
      </c>
      <c r="C831" s="10" t="str" cm="1">
        <f t="array" ref="C831">IF(AND(A831="2020-12", ISNA(MATCH(B831, _xlfn._xlws.FILTER(B:B, A:A="2021-01"), 0))), "Left", "Ativo")</f>
        <v>Ativo</v>
      </c>
      <c r="D831" s="10" t="str" cm="1">
        <f t="array" ref="D831">IF(AND(A831="2021-01", ISNA(MATCH(B831, _xlfn._xlws.FILTER(B:B, A:A="2021-02"), 0))), "Left", "Ativo")</f>
        <v>Ativo</v>
      </c>
      <c r="E831" s="10" t="str" cm="1">
        <f t="array" ref="E831">IF(AND(A831="2021-02", ISNA(MATCH(B831, _xlfn._xlws.FILTER(B:B, A:A="2021-03"), 0))), "Left", "Ativo")</f>
        <v>Ativo</v>
      </c>
      <c r="F831" s="12" t="str" cm="1">
        <f t="array" ref="F831">IF(AND(A831="2021-03", ISNA(MATCH(B831, _xlfn._xlws.FILTER(B:B, A:A="2021-04"), 0))), "Left", "Ativo")</f>
        <v>Ativo</v>
      </c>
    </row>
    <row r="832" spans="1:6" x14ac:dyDescent="0.25">
      <c r="A832" t="s">
        <v>1528</v>
      </c>
      <c r="B832" t="s">
        <v>831</v>
      </c>
      <c r="C832" s="10" t="str" cm="1">
        <f t="array" ref="C832">IF(AND(A832="2020-12", ISNA(MATCH(B832, _xlfn._xlws.FILTER(B:B, A:A="2021-01"), 0))), "Left", "Ativo")</f>
        <v>Ativo</v>
      </c>
      <c r="D832" s="10" t="str" cm="1">
        <f t="array" ref="D832">IF(AND(A832="2021-01", ISNA(MATCH(B832, _xlfn._xlws.FILTER(B:B, A:A="2021-02"), 0))), "Left", "Ativo")</f>
        <v>Ativo</v>
      </c>
      <c r="E832" s="10" t="str" cm="1">
        <f t="array" ref="E832">IF(AND(A832="2021-02", ISNA(MATCH(B832, _xlfn._xlws.FILTER(B:B, A:A="2021-03"), 0))), "Left", "Ativo")</f>
        <v>Ativo</v>
      </c>
      <c r="F832" s="12" t="str" cm="1">
        <f t="array" ref="F832">IF(AND(A832="2021-03", ISNA(MATCH(B832, _xlfn._xlws.FILTER(B:B, A:A="2021-04"), 0))), "Left", "Ativo")</f>
        <v>Ativo</v>
      </c>
    </row>
    <row r="833" spans="1:6" x14ac:dyDescent="0.25">
      <c r="A833" t="s">
        <v>1528</v>
      </c>
      <c r="B833" t="s">
        <v>832</v>
      </c>
      <c r="C833" s="10" t="str" cm="1">
        <f t="array" ref="C833">IF(AND(A833="2020-12", ISNA(MATCH(B833, _xlfn._xlws.FILTER(B:B, A:A="2021-01"), 0))), "Left", "Ativo")</f>
        <v>Ativo</v>
      </c>
      <c r="D833" s="10" t="str" cm="1">
        <f t="array" ref="D833">IF(AND(A833="2021-01", ISNA(MATCH(B833, _xlfn._xlws.FILTER(B:B, A:A="2021-02"), 0))), "Left", "Ativo")</f>
        <v>Ativo</v>
      </c>
      <c r="E833" s="10" t="str" cm="1">
        <f t="array" ref="E833">IF(AND(A833="2021-02", ISNA(MATCH(B833, _xlfn._xlws.FILTER(B:B, A:A="2021-03"), 0))), "Left", "Ativo")</f>
        <v>Ativo</v>
      </c>
      <c r="F833" s="12" t="str" cm="1">
        <f t="array" ref="F833">IF(AND(A833="2021-03", ISNA(MATCH(B833, _xlfn._xlws.FILTER(B:B, A:A="2021-04"), 0))), "Left", "Ativo")</f>
        <v>Ativo</v>
      </c>
    </row>
    <row r="834" spans="1:6" x14ac:dyDescent="0.25">
      <c r="A834" t="s">
        <v>1528</v>
      </c>
      <c r="B834" t="s">
        <v>833</v>
      </c>
      <c r="C834" s="10" t="str" cm="1">
        <f t="array" ref="C834">IF(AND(A834="2020-12", ISNA(MATCH(B834, _xlfn._xlws.FILTER(B:B, A:A="2021-01"), 0))), "Left", "Ativo")</f>
        <v>Ativo</v>
      </c>
      <c r="D834" s="10" t="str" cm="1">
        <f t="array" ref="D834">IF(AND(A834="2021-01", ISNA(MATCH(B834, _xlfn._xlws.FILTER(B:B, A:A="2021-02"), 0))), "Left", "Ativo")</f>
        <v>Ativo</v>
      </c>
      <c r="E834" s="10" t="str" cm="1">
        <f t="array" ref="E834">IF(AND(A834="2021-02", ISNA(MATCH(B834, _xlfn._xlws.FILTER(B:B, A:A="2021-03"), 0))), "Left", "Ativo")</f>
        <v>Ativo</v>
      </c>
      <c r="F834" s="12" t="str" cm="1">
        <f t="array" ref="F834">IF(AND(A834="2021-03", ISNA(MATCH(B834, _xlfn._xlws.FILTER(B:B, A:A="2021-04"), 0))), "Left", "Ativo")</f>
        <v>Ativo</v>
      </c>
    </row>
    <row r="835" spans="1:6" x14ac:dyDescent="0.25">
      <c r="A835" t="s">
        <v>1528</v>
      </c>
      <c r="B835" t="s">
        <v>834</v>
      </c>
      <c r="C835" s="10" t="str" cm="1">
        <f t="array" ref="C835">IF(AND(A835="2020-12", ISNA(MATCH(B835, _xlfn._xlws.FILTER(B:B, A:A="2021-01"), 0))), "Left", "Ativo")</f>
        <v>Ativo</v>
      </c>
      <c r="D835" s="10" t="str" cm="1">
        <f t="array" ref="D835">IF(AND(A835="2021-01", ISNA(MATCH(B835, _xlfn._xlws.FILTER(B:B, A:A="2021-02"), 0))), "Left", "Ativo")</f>
        <v>Ativo</v>
      </c>
      <c r="E835" s="10" t="str" cm="1">
        <f t="array" ref="E835">IF(AND(A835="2021-02", ISNA(MATCH(B835, _xlfn._xlws.FILTER(B:B, A:A="2021-03"), 0))), "Left", "Ativo")</f>
        <v>Ativo</v>
      </c>
      <c r="F835" s="12" t="str" cm="1">
        <f t="array" ref="F835">IF(AND(A835="2021-03", ISNA(MATCH(B835, _xlfn._xlws.FILTER(B:B, A:A="2021-04"), 0))), "Left", "Ativo")</f>
        <v>Ativo</v>
      </c>
    </row>
    <row r="836" spans="1:6" x14ac:dyDescent="0.25">
      <c r="A836" t="s">
        <v>1528</v>
      </c>
      <c r="B836" t="s">
        <v>835</v>
      </c>
      <c r="C836" s="10" t="str" cm="1">
        <f t="array" ref="C836">IF(AND(A836="2020-12", ISNA(MATCH(B836, _xlfn._xlws.FILTER(B:B, A:A="2021-01"), 0))), "Left", "Ativo")</f>
        <v>Ativo</v>
      </c>
      <c r="D836" s="10" t="str" cm="1">
        <f t="array" ref="D836">IF(AND(A836="2021-01", ISNA(MATCH(B836, _xlfn._xlws.FILTER(B:B, A:A="2021-02"), 0))), "Left", "Ativo")</f>
        <v>Ativo</v>
      </c>
      <c r="E836" s="10" t="str" cm="1">
        <f t="array" ref="E836">IF(AND(A836="2021-02", ISNA(MATCH(B836, _xlfn._xlws.FILTER(B:B, A:A="2021-03"), 0))), "Left", "Ativo")</f>
        <v>Ativo</v>
      </c>
      <c r="F836" s="12" t="str" cm="1">
        <f t="array" ref="F836">IF(AND(A836="2021-03", ISNA(MATCH(B836, _xlfn._xlws.FILTER(B:B, A:A="2021-04"), 0))), "Left", "Ativo")</f>
        <v>Ativo</v>
      </c>
    </row>
    <row r="837" spans="1:6" x14ac:dyDescent="0.25">
      <c r="A837" t="s">
        <v>1528</v>
      </c>
      <c r="B837" t="s">
        <v>836</v>
      </c>
      <c r="C837" s="10" t="str" cm="1">
        <f t="array" ref="C837">IF(AND(A837="2020-12", ISNA(MATCH(B837, _xlfn._xlws.FILTER(B:B, A:A="2021-01"), 0))), "Left", "Ativo")</f>
        <v>Ativo</v>
      </c>
      <c r="D837" s="10" t="str" cm="1">
        <f t="array" ref="D837">IF(AND(A837="2021-01", ISNA(MATCH(B837, _xlfn._xlws.FILTER(B:B, A:A="2021-02"), 0))), "Left", "Ativo")</f>
        <v>Ativo</v>
      </c>
      <c r="E837" s="10" t="str" cm="1">
        <f t="array" ref="E837">IF(AND(A837="2021-02", ISNA(MATCH(B837, _xlfn._xlws.FILTER(B:B, A:A="2021-03"), 0))), "Left", "Ativo")</f>
        <v>Ativo</v>
      </c>
      <c r="F837" s="12" t="str" cm="1">
        <f t="array" ref="F837">IF(AND(A837="2021-03", ISNA(MATCH(B837, _xlfn._xlws.FILTER(B:B, A:A="2021-04"), 0))), "Left", "Ativo")</f>
        <v>Ativo</v>
      </c>
    </row>
    <row r="838" spans="1:6" x14ac:dyDescent="0.25">
      <c r="A838" t="s">
        <v>1528</v>
      </c>
      <c r="B838" t="s">
        <v>837</v>
      </c>
      <c r="C838" s="10" t="str" cm="1">
        <f t="array" ref="C838">IF(AND(A838="2020-12", ISNA(MATCH(B838, _xlfn._xlws.FILTER(B:B, A:A="2021-01"), 0))), "Left", "Ativo")</f>
        <v>Ativo</v>
      </c>
      <c r="D838" s="10" t="str" cm="1">
        <f t="array" ref="D838">IF(AND(A838="2021-01", ISNA(MATCH(B838, _xlfn._xlws.FILTER(B:B, A:A="2021-02"), 0))), "Left", "Ativo")</f>
        <v>Ativo</v>
      </c>
      <c r="E838" s="10" t="str" cm="1">
        <f t="array" ref="E838">IF(AND(A838="2021-02", ISNA(MATCH(B838, _xlfn._xlws.FILTER(B:B, A:A="2021-03"), 0))), "Left", "Ativo")</f>
        <v>Ativo</v>
      </c>
      <c r="F838" s="12" t="str" cm="1">
        <f t="array" ref="F838">IF(AND(A838="2021-03", ISNA(MATCH(B838, _xlfn._xlws.FILTER(B:B, A:A="2021-04"), 0))), "Left", "Ativo")</f>
        <v>Ativo</v>
      </c>
    </row>
    <row r="839" spans="1:6" x14ac:dyDescent="0.25">
      <c r="A839" t="s">
        <v>1528</v>
      </c>
      <c r="B839" t="s">
        <v>838</v>
      </c>
      <c r="C839" s="10" t="str" cm="1">
        <f t="array" ref="C839">IF(AND(A839="2020-12", ISNA(MATCH(B839, _xlfn._xlws.FILTER(B:B, A:A="2021-01"), 0))), "Left", "Ativo")</f>
        <v>Ativo</v>
      </c>
      <c r="D839" s="10" t="str" cm="1">
        <f t="array" ref="D839">IF(AND(A839="2021-01", ISNA(MATCH(B839, _xlfn._xlws.FILTER(B:B, A:A="2021-02"), 0))), "Left", "Ativo")</f>
        <v>Ativo</v>
      </c>
      <c r="E839" s="10" t="str" cm="1">
        <f t="array" ref="E839">IF(AND(A839="2021-02", ISNA(MATCH(B839, _xlfn._xlws.FILTER(B:B, A:A="2021-03"), 0))), "Left", "Ativo")</f>
        <v>Ativo</v>
      </c>
      <c r="F839" s="12" t="str" cm="1">
        <f t="array" ref="F839">IF(AND(A839="2021-03", ISNA(MATCH(B839, _xlfn._xlws.FILTER(B:B, A:A="2021-04"), 0))), "Left", "Ativo")</f>
        <v>Ativo</v>
      </c>
    </row>
    <row r="840" spans="1:6" x14ac:dyDescent="0.25">
      <c r="A840" t="s">
        <v>1528</v>
      </c>
      <c r="B840" t="s">
        <v>839</v>
      </c>
      <c r="C840" s="10" t="str" cm="1">
        <f t="array" ref="C840">IF(AND(A840="2020-12", ISNA(MATCH(B840, _xlfn._xlws.FILTER(B:B, A:A="2021-01"), 0))), "Left", "Ativo")</f>
        <v>Ativo</v>
      </c>
      <c r="D840" s="10" t="str" cm="1">
        <f t="array" ref="D840">IF(AND(A840="2021-01", ISNA(MATCH(B840, _xlfn._xlws.FILTER(B:B, A:A="2021-02"), 0))), "Left", "Ativo")</f>
        <v>Ativo</v>
      </c>
      <c r="E840" s="10" t="str" cm="1">
        <f t="array" ref="E840">IF(AND(A840="2021-02", ISNA(MATCH(B840, _xlfn._xlws.FILTER(B:B, A:A="2021-03"), 0))), "Left", "Ativo")</f>
        <v>Ativo</v>
      </c>
      <c r="F840" s="12" t="str" cm="1">
        <f t="array" ref="F840">IF(AND(A840="2021-03", ISNA(MATCH(B840, _xlfn._xlws.FILTER(B:B, A:A="2021-04"), 0))), "Left", "Ativo")</f>
        <v>Ativo</v>
      </c>
    </row>
    <row r="841" spans="1:6" x14ac:dyDescent="0.25">
      <c r="A841" t="s">
        <v>1528</v>
      </c>
      <c r="B841" t="s">
        <v>840</v>
      </c>
      <c r="C841" s="10" t="str" cm="1">
        <f t="array" ref="C841">IF(AND(A841="2020-12", ISNA(MATCH(B841, _xlfn._xlws.FILTER(B:B, A:A="2021-01"), 0))), "Left", "Ativo")</f>
        <v>Ativo</v>
      </c>
      <c r="D841" s="10" t="str" cm="1">
        <f t="array" ref="D841">IF(AND(A841="2021-01", ISNA(MATCH(B841, _xlfn._xlws.FILTER(B:B, A:A="2021-02"), 0))), "Left", "Ativo")</f>
        <v>Ativo</v>
      </c>
      <c r="E841" s="10" t="str" cm="1">
        <f t="array" ref="E841">IF(AND(A841="2021-02", ISNA(MATCH(B841, _xlfn._xlws.FILTER(B:B, A:A="2021-03"), 0))), "Left", "Ativo")</f>
        <v>Ativo</v>
      </c>
      <c r="F841" s="12" t="str" cm="1">
        <f t="array" ref="F841">IF(AND(A841="2021-03", ISNA(MATCH(B841, _xlfn._xlws.FILTER(B:B, A:A="2021-04"), 0))), "Left", "Ativo")</f>
        <v>Ativo</v>
      </c>
    </row>
    <row r="842" spans="1:6" x14ac:dyDescent="0.25">
      <c r="A842" t="s">
        <v>1528</v>
      </c>
      <c r="B842" t="s">
        <v>841</v>
      </c>
      <c r="C842" s="10" t="str" cm="1">
        <f t="array" ref="C842">IF(AND(A842="2020-12", ISNA(MATCH(B842, _xlfn._xlws.FILTER(B:B, A:A="2021-01"), 0))), "Left", "Ativo")</f>
        <v>Ativo</v>
      </c>
      <c r="D842" s="10" t="str" cm="1">
        <f t="array" ref="D842">IF(AND(A842="2021-01", ISNA(MATCH(B842, _xlfn._xlws.FILTER(B:B, A:A="2021-02"), 0))), "Left", "Ativo")</f>
        <v>Ativo</v>
      </c>
      <c r="E842" s="10" t="str" cm="1">
        <f t="array" ref="E842">IF(AND(A842="2021-02", ISNA(MATCH(B842, _xlfn._xlws.FILTER(B:B, A:A="2021-03"), 0))), "Left", "Ativo")</f>
        <v>Ativo</v>
      </c>
      <c r="F842" s="12" t="str" cm="1">
        <f t="array" ref="F842">IF(AND(A842="2021-03", ISNA(MATCH(B842, _xlfn._xlws.FILTER(B:B, A:A="2021-04"), 0))), "Left", "Ativo")</f>
        <v>Ativo</v>
      </c>
    </row>
    <row r="843" spans="1:6" x14ac:dyDescent="0.25">
      <c r="A843" t="s">
        <v>1528</v>
      </c>
      <c r="B843" t="s">
        <v>842</v>
      </c>
      <c r="C843" s="10" t="str" cm="1">
        <f t="array" ref="C843">IF(AND(A843="2020-12", ISNA(MATCH(B843, _xlfn._xlws.FILTER(B:B, A:A="2021-01"), 0))), "Left", "Ativo")</f>
        <v>Ativo</v>
      </c>
      <c r="D843" s="10" t="str" cm="1">
        <f t="array" ref="D843">IF(AND(A843="2021-01", ISNA(MATCH(B843, _xlfn._xlws.FILTER(B:B, A:A="2021-02"), 0))), "Left", "Ativo")</f>
        <v>Ativo</v>
      </c>
      <c r="E843" s="10" t="str" cm="1">
        <f t="array" ref="E843">IF(AND(A843="2021-02", ISNA(MATCH(B843, _xlfn._xlws.FILTER(B:B, A:A="2021-03"), 0))), "Left", "Ativo")</f>
        <v>Ativo</v>
      </c>
      <c r="F843" s="12" t="str" cm="1">
        <f t="array" ref="F843">IF(AND(A843="2021-03", ISNA(MATCH(B843, _xlfn._xlws.FILTER(B:B, A:A="2021-04"), 0))), "Left", "Ativo")</f>
        <v>Ativo</v>
      </c>
    </row>
    <row r="844" spans="1:6" x14ac:dyDescent="0.25">
      <c r="A844" t="s">
        <v>1528</v>
      </c>
      <c r="B844" t="s">
        <v>843</v>
      </c>
      <c r="C844" s="10" t="str" cm="1">
        <f t="array" ref="C844">IF(AND(A844="2020-12", ISNA(MATCH(B844, _xlfn._xlws.FILTER(B:B, A:A="2021-01"), 0))), "Left", "Ativo")</f>
        <v>Ativo</v>
      </c>
      <c r="D844" s="10" t="str" cm="1">
        <f t="array" ref="D844">IF(AND(A844="2021-01", ISNA(MATCH(B844, _xlfn._xlws.FILTER(B:B, A:A="2021-02"), 0))), "Left", "Ativo")</f>
        <v>Ativo</v>
      </c>
      <c r="E844" s="10" t="str" cm="1">
        <f t="array" ref="E844">IF(AND(A844="2021-02", ISNA(MATCH(B844, _xlfn._xlws.FILTER(B:B, A:A="2021-03"), 0))), "Left", "Ativo")</f>
        <v>Ativo</v>
      </c>
      <c r="F844" s="12" t="str" cm="1">
        <f t="array" ref="F844">IF(AND(A844="2021-03", ISNA(MATCH(B844, _xlfn._xlws.FILTER(B:B, A:A="2021-04"), 0))), "Left", "Ativo")</f>
        <v>Ativo</v>
      </c>
    </row>
    <row r="845" spans="1:6" x14ac:dyDescent="0.25">
      <c r="A845" t="s">
        <v>1528</v>
      </c>
      <c r="B845" t="s">
        <v>844</v>
      </c>
      <c r="C845" s="10" t="str" cm="1">
        <f t="array" ref="C845">IF(AND(A845="2020-12", ISNA(MATCH(B845, _xlfn._xlws.FILTER(B:B, A:A="2021-01"), 0))), "Left", "Ativo")</f>
        <v>Ativo</v>
      </c>
      <c r="D845" s="10" t="str" cm="1">
        <f t="array" ref="D845">IF(AND(A845="2021-01", ISNA(MATCH(B845, _xlfn._xlws.FILTER(B:B, A:A="2021-02"), 0))), "Left", "Ativo")</f>
        <v>Ativo</v>
      </c>
      <c r="E845" s="10" t="str" cm="1">
        <f t="array" ref="E845">IF(AND(A845="2021-02", ISNA(MATCH(B845, _xlfn._xlws.FILTER(B:B, A:A="2021-03"), 0))), "Left", "Ativo")</f>
        <v>Ativo</v>
      </c>
      <c r="F845" s="12" t="str" cm="1">
        <f t="array" ref="F845">IF(AND(A845="2021-03", ISNA(MATCH(B845, _xlfn._xlws.FILTER(B:B, A:A="2021-04"), 0))), "Left", "Ativo")</f>
        <v>Ativo</v>
      </c>
    </row>
    <row r="846" spans="1:6" x14ac:dyDescent="0.25">
      <c r="A846" t="s">
        <v>1528</v>
      </c>
      <c r="B846" t="s">
        <v>845</v>
      </c>
      <c r="C846" s="10" t="str" cm="1">
        <f t="array" ref="C846">IF(AND(A846="2020-12", ISNA(MATCH(B846, _xlfn._xlws.FILTER(B:B, A:A="2021-01"), 0))), "Left", "Ativo")</f>
        <v>Ativo</v>
      </c>
      <c r="D846" s="10" t="str" cm="1">
        <f t="array" ref="D846">IF(AND(A846="2021-01", ISNA(MATCH(B846, _xlfn._xlws.FILTER(B:B, A:A="2021-02"), 0))), "Left", "Ativo")</f>
        <v>Ativo</v>
      </c>
      <c r="E846" s="10" t="str" cm="1">
        <f t="array" ref="E846">IF(AND(A846="2021-02", ISNA(MATCH(B846, _xlfn._xlws.FILTER(B:B, A:A="2021-03"), 0))), "Left", "Ativo")</f>
        <v>Ativo</v>
      </c>
      <c r="F846" s="12" t="str" cm="1">
        <f t="array" ref="F846">IF(AND(A846="2021-03", ISNA(MATCH(B846, _xlfn._xlws.FILTER(B:B, A:A="2021-04"), 0))), "Left", "Ativo")</f>
        <v>Ativo</v>
      </c>
    </row>
    <row r="847" spans="1:6" x14ac:dyDescent="0.25">
      <c r="A847" t="s">
        <v>1528</v>
      </c>
      <c r="B847" t="s">
        <v>846</v>
      </c>
      <c r="C847" s="10" t="str" cm="1">
        <f t="array" ref="C847">IF(AND(A847="2020-12", ISNA(MATCH(B847, _xlfn._xlws.FILTER(B:B, A:A="2021-01"), 0))), "Left", "Ativo")</f>
        <v>Ativo</v>
      </c>
      <c r="D847" s="10" t="str" cm="1">
        <f t="array" ref="D847">IF(AND(A847="2021-01", ISNA(MATCH(B847, _xlfn._xlws.FILTER(B:B, A:A="2021-02"), 0))), "Left", "Ativo")</f>
        <v>Ativo</v>
      </c>
      <c r="E847" s="10" t="str" cm="1">
        <f t="array" ref="E847">IF(AND(A847="2021-02", ISNA(MATCH(B847, _xlfn._xlws.FILTER(B:B, A:A="2021-03"), 0))), "Left", "Ativo")</f>
        <v>Ativo</v>
      </c>
      <c r="F847" s="12" t="str" cm="1">
        <f t="array" ref="F847">IF(AND(A847="2021-03", ISNA(MATCH(B847, _xlfn._xlws.FILTER(B:B, A:A="2021-04"), 0))), "Left", "Ativo")</f>
        <v>Ativo</v>
      </c>
    </row>
    <row r="848" spans="1:6" x14ac:dyDescent="0.25">
      <c r="A848" t="s">
        <v>1528</v>
      </c>
      <c r="B848" t="s">
        <v>847</v>
      </c>
      <c r="C848" s="10" t="str" cm="1">
        <f t="array" ref="C848">IF(AND(A848="2020-12", ISNA(MATCH(B848, _xlfn._xlws.FILTER(B:B, A:A="2021-01"), 0))), "Left", "Ativo")</f>
        <v>Ativo</v>
      </c>
      <c r="D848" s="10" t="str" cm="1">
        <f t="array" ref="D848">IF(AND(A848="2021-01", ISNA(MATCH(B848, _xlfn._xlws.FILTER(B:B, A:A="2021-02"), 0))), "Left", "Ativo")</f>
        <v>Ativo</v>
      </c>
      <c r="E848" s="10" t="str" cm="1">
        <f t="array" ref="E848">IF(AND(A848="2021-02", ISNA(MATCH(B848, _xlfn._xlws.FILTER(B:B, A:A="2021-03"), 0))), "Left", "Ativo")</f>
        <v>Ativo</v>
      </c>
      <c r="F848" s="12" t="str" cm="1">
        <f t="array" ref="F848">IF(AND(A848="2021-03", ISNA(MATCH(B848, _xlfn._xlws.FILTER(B:B, A:A="2021-04"), 0))), "Left", "Ativo")</f>
        <v>Ativo</v>
      </c>
    </row>
    <row r="849" spans="1:6" x14ac:dyDescent="0.25">
      <c r="A849" t="s">
        <v>1528</v>
      </c>
      <c r="B849" t="s">
        <v>848</v>
      </c>
      <c r="C849" s="10" t="str" cm="1">
        <f t="array" ref="C849">IF(AND(A849="2020-12", ISNA(MATCH(B849, _xlfn._xlws.FILTER(B:B, A:A="2021-01"), 0))), "Left", "Ativo")</f>
        <v>Ativo</v>
      </c>
      <c r="D849" s="10" t="str" cm="1">
        <f t="array" ref="D849">IF(AND(A849="2021-01", ISNA(MATCH(B849, _xlfn._xlws.FILTER(B:B, A:A="2021-02"), 0))), "Left", "Ativo")</f>
        <v>Ativo</v>
      </c>
      <c r="E849" s="10" t="str" cm="1">
        <f t="array" ref="E849">IF(AND(A849="2021-02", ISNA(MATCH(B849, _xlfn._xlws.FILTER(B:B, A:A="2021-03"), 0))), "Left", "Ativo")</f>
        <v>Ativo</v>
      </c>
      <c r="F849" s="12" t="str" cm="1">
        <f t="array" ref="F849">IF(AND(A849="2021-03", ISNA(MATCH(B849, _xlfn._xlws.FILTER(B:B, A:A="2021-04"), 0))), "Left", "Ativo")</f>
        <v>Ativo</v>
      </c>
    </row>
    <row r="850" spans="1:6" x14ac:dyDescent="0.25">
      <c r="A850" t="s">
        <v>1528</v>
      </c>
      <c r="B850" t="s">
        <v>849</v>
      </c>
      <c r="C850" s="10" t="str" cm="1">
        <f t="array" ref="C850">IF(AND(A850="2020-12", ISNA(MATCH(B850, _xlfn._xlws.FILTER(B:B, A:A="2021-01"), 0))), "Left", "Ativo")</f>
        <v>Ativo</v>
      </c>
      <c r="D850" s="10" t="str" cm="1">
        <f t="array" ref="D850">IF(AND(A850="2021-01", ISNA(MATCH(B850, _xlfn._xlws.FILTER(B:B, A:A="2021-02"), 0))), "Left", "Ativo")</f>
        <v>Ativo</v>
      </c>
      <c r="E850" s="10" t="str" cm="1">
        <f t="array" ref="E850">IF(AND(A850="2021-02", ISNA(MATCH(B850, _xlfn._xlws.FILTER(B:B, A:A="2021-03"), 0))), "Left", "Ativo")</f>
        <v>Ativo</v>
      </c>
      <c r="F850" s="12" t="str" cm="1">
        <f t="array" ref="F850">IF(AND(A850="2021-03", ISNA(MATCH(B850, _xlfn._xlws.FILTER(B:B, A:A="2021-04"), 0))), "Left", "Ativo")</f>
        <v>Ativo</v>
      </c>
    </row>
    <row r="851" spans="1:6" x14ac:dyDescent="0.25">
      <c r="A851" t="s">
        <v>1528</v>
      </c>
      <c r="B851" t="s">
        <v>850</v>
      </c>
      <c r="C851" s="10" t="str" cm="1">
        <f t="array" ref="C851">IF(AND(A851="2020-12", ISNA(MATCH(B851, _xlfn._xlws.FILTER(B:B, A:A="2021-01"), 0))), "Left", "Ativo")</f>
        <v>Ativo</v>
      </c>
      <c r="D851" s="10" t="str" cm="1">
        <f t="array" ref="D851">IF(AND(A851="2021-01", ISNA(MATCH(B851, _xlfn._xlws.FILTER(B:B, A:A="2021-02"), 0))), "Left", "Ativo")</f>
        <v>Ativo</v>
      </c>
      <c r="E851" s="10" t="str" cm="1">
        <f t="array" ref="E851">IF(AND(A851="2021-02", ISNA(MATCH(B851, _xlfn._xlws.FILTER(B:B, A:A="2021-03"), 0))), "Left", "Ativo")</f>
        <v>Ativo</v>
      </c>
      <c r="F851" s="12" t="str" cm="1">
        <f t="array" ref="F851">IF(AND(A851="2021-03", ISNA(MATCH(B851, _xlfn._xlws.FILTER(B:B, A:A="2021-04"), 0))), "Left", "Ativo")</f>
        <v>Ativo</v>
      </c>
    </row>
    <row r="852" spans="1:6" x14ac:dyDescent="0.25">
      <c r="A852" t="s">
        <v>1528</v>
      </c>
      <c r="B852" t="s">
        <v>851</v>
      </c>
      <c r="C852" s="10" t="str" cm="1">
        <f t="array" ref="C852">IF(AND(A852="2020-12", ISNA(MATCH(B852, _xlfn._xlws.FILTER(B:B, A:A="2021-01"), 0))), "Left", "Ativo")</f>
        <v>Ativo</v>
      </c>
      <c r="D852" s="10" t="str" cm="1">
        <f t="array" ref="D852">IF(AND(A852="2021-01", ISNA(MATCH(B852, _xlfn._xlws.FILTER(B:B, A:A="2021-02"), 0))), "Left", "Ativo")</f>
        <v>Ativo</v>
      </c>
      <c r="E852" s="10" t="str" cm="1">
        <f t="array" ref="E852">IF(AND(A852="2021-02", ISNA(MATCH(B852, _xlfn._xlws.FILTER(B:B, A:A="2021-03"), 0))), "Left", "Ativo")</f>
        <v>Ativo</v>
      </c>
      <c r="F852" s="12" t="str" cm="1">
        <f t="array" ref="F852">IF(AND(A852="2021-03", ISNA(MATCH(B852, _xlfn._xlws.FILTER(B:B, A:A="2021-04"), 0))), "Left", "Ativo")</f>
        <v>Ativo</v>
      </c>
    </row>
    <row r="853" spans="1:6" x14ac:dyDescent="0.25">
      <c r="A853" t="s">
        <v>1528</v>
      </c>
      <c r="B853" t="s">
        <v>852</v>
      </c>
      <c r="C853" s="10" t="str" cm="1">
        <f t="array" ref="C853">IF(AND(A853="2020-12", ISNA(MATCH(B853, _xlfn._xlws.FILTER(B:B, A:A="2021-01"), 0))), "Left", "Ativo")</f>
        <v>Ativo</v>
      </c>
      <c r="D853" s="10" t="str" cm="1">
        <f t="array" ref="D853">IF(AND(A853="2021-01", ISNA(MATCH(B853, _xlfn._xlws.FILTER(B:B, A:A="2021-02"), 0))), "Left", "Ativo")</f>
        <v>Ativo</v>
      </c>
      <c r="E853" s="10" t="str" cm="1">
        <f t="array" ref="E853">IF(AND(A853="2021-02", ISNA(MATCH(B853, _xlfn._xlws.FILTER(B:B, A:A="2021-03"), 0))), "Left", "Ativo")</f>
        <v>Ativo</v>
      </c>
      <c r="F853" s="12" t="str" cm="1">
        <f t="array" ref="F853">IF(AND(A853="2021-03", ISNA(MATCH(B853, _xlfn._xlws.FILTER(B:B, A:A="2021-04"), 0))), "Left", "Ativo")</f>
        <v>Ativo</v>
      </c>
    </row>
    <row r="854" spans="1:6" x14ac:dyDescent="0.25">
      <c r="A854" t="s">
        <v>1528</v>
      </c>
      <c r="B854" t="s">
        <v>853</v>
      </c>
      <c r="C854" s="10" t="str" cm="1">
        <f t="array" ref="C854">IF(AND(A854="2020-12", ISNA(MATCH(B854, _xlfn._xlws.FILTER(B:B, A:A="2021-01"), 0))), "Left", "Ativo")</f>
        <v>Ativo</v>
      </c>
      <c r="D854" s="10" t="str" cm="1">
        <f t="array" ref="D854">IF(AND(A854="2021-01", ISNA(MATCH(B854, _xlfn._xlws.FILTER(B:B, A:A="2021-02"), 0))), "Left", "Ativo")</f>
        <v>Ativo</v>
      </c>
      <c r="E854" s="10" t="str" cm="1">
        <f t="array" ref="E854">IF(AND(A854="2021-02", ISNA(MATCH(B854, _xlfn._xlws.FILTER(B:B, A:A="2021-03"), 0))), "Left", "Ativo")</f>
        <v>Ativo</v>
      </c>
      <c r="F854" s="12" t="str" cm="1">
        <f t="array" ref="F854">IF(AND(A854="2021-03", ISNA(MATCH(B854, _xlfn._xlws.FILTER(B:B, A:A="2021-04"), 0))), "Left", "Ativo")</f>
        <v>Ativo</v>
      </c>
    </row>
    <row r="855" spans="1:6" x14ac:dyDescent="0.25">
      <c r="A855" t="s">
        <v>1528</v>
      </c>
      <c r="B855" t="s">
        <v>854</v>
      </c>
      <c r="C855" s="10" t="str" cm="1">
        <f t="array" ref="C855">IF(AND(A855="2020-12", ISNA(MATCH(B855, _xlfn._xlws.FILTER(B:B, A:A="2021-01"), 0))), "Left", "Ativo")</f>
        <v>Ativo</v>
      </c>
      <c r="D855" s="10" t="str" cm="1">
        <f t="array" ref="D855">IF(AND(A855="2021-01", ISNA(MATCH(B855, _xlfn._xlws.FILTER(B:B, A:A="2021-02"), 0))), "Left", "Ativo")</f>
        <v>Ativo</v>
      </c>
      <c r="E855" s="10" t="str" cm="1">
        <f t="array" ref="E855">IF(AND(A855="2021-02", ISNA(MATCH(B855, _xlfn._xlws.FILTER(B:B, A:A="2021-03"), 0))), "Left", "Ativo")</f>
        <v>Ativo</v>
      </c>
      <c r="F855" s="12" t="str" cm="1">
        <f t="array" ref="F855">IF(AND(A855="2021-03", ISNA(MATCH(B855, _xlfn._xlws.FILTER(B:B, A:A="2021-04"), 0))), "Left", "Ativo")</f>
        <v>Ativo</v>
      </c>
    </row>
    <row r="856" spans="1:6" x14ac:dyDescent="0.25">
      <c r="A856" t="s">
        <v>1528</v>
      </c>
      <c r="B856" t="s">
        <v>855</v>
      </c>
      <c r="C856" s="10" t="str" cm="1">
        <f t="array" ref="C856">IF(AND(A856="2020-12", ISNA(MATCH(B856, _xlfn._xlws.FILTER(B:B, A:A="2021-01"), 0))), "Left", "Ativo")</f>
        <v>Ativo</v>
      </c>
      <c r="D856" s="10" t="str" cm="1">
        <f t="array" ref="D856">IF(AND(A856="2021-01", ISNA(MATCH(B856, _xlfn._xlws.FILTER(B:B, A:A="2021-02"), 0))), "Left", "Ativo")</f>
        <v>Ativo</v>
      </c>
      <c r="E856" s="10" t="str" cm="1">
        <f t="array" ref="E856">IF(AND(A856="2021-02", ISNA(MATCH(B856, _xlfn._xlws.FILTER(B:B, A:A="2021-03"), 0))), "Left", "Ativo")</f>
        <v>Ativo</v>
      </c>
      <c r="F856" s="12" t="str" cm="1">
        <f t="array" ref="F856">IF(AND(A856="2021-03", ISNA(MATCH(B856, _xlfn._xlws.FILTER(B:B, A:A="2021-04"), 0))), "Left", "Ativo")</f>
        <v>Ativo</v>
      </c>
    </row>
    <row r="857" spans="1:6" x14ac:dyDescent="0.25">
      <c r="A857" t="s">
        <v>1528</v>
      </c>
      <c r="B857" t="s">
        <v>856</v>
      </c>
      <c r="C857" s="10" t="str" cm="1">
        <f t="array" ref="C857">IF(AND(A857="2020-12", ISNA(MATCH(B857, _xlfn._xlws.FILTER(B:B, A:A="2021-01"), 0))), "Left", "Ativo")</f>
        <v>Ativo</v>
      </c>
      <c r="D857" s="10" t="str" cm="1">
        <f t="array" ref="D857">IF(AND(A857="2021-01", ISNA(MATCH(B857, _xlfn._xlws.FILTER(B:B, A:A="2021-02"), 0))), "Left", "Ativo")</f>
        <v>Ativo</v>
      </c>
      <c r="E857" s="10" t="str" cm="1">
        <f t="array" ref="E857">IF(AND(A857="2021-02", ISNA(MATCH(B857, _xlfn._xlws.FILTER(B:B, A:A="2021-03"), 0))), "Left", "Ativo")</f>
        <v>Ativo</v>
      </c>
      <c r="F857" s="12" t="str" cm="1">
        <f t="array" ref="F857">IF(AND(A857="2021-03", ISNA(MATCH(B857, _xlfn._xlws.FILTER(B:B, A:A="2021-04"), 0))), "Left", "Ativo")</f>
        <v>Ativo</v>
      </c>
    </row>
    <row r="858" spans="1:6" x14ac:dyDescent="0.25">
      <c r="A858" t="s">
        <v>1528</v>
      </c>
      <c r="B858" t="s">
        <v>857</v>
      </c>
      <c r="C858" s="10" t="str" cm="1">
        <f t="array" ref="C858">IF(AND(A858="2020-12", ISNA(MATCH(B858, _xlfn._xlws.FILTER(B:B, A:A="2021-01"), 0))), "Left", "Ativo")</f>
        <v>Ativo</v>
      </c>
      <c r="D858" s="10" t="str" cm="1">
        <f t="array" ref="D858">IF(AND(A858="2021-01", ISNA(MATCH(B858, _xlfn._xlws.FILTER(B:B, A:A="2021-02"), 0))), "Left", "Ativo")</f>
        <v>Ativo</v>
      </c>
      <c r="E858" s="10" t="str" cm="1">
        <f t="array" ref="E858">IF(AND(A858="2021-02", ISNA(MATCH(B858, _xlfn._xlws.FILTER(B:B, A:A="2021-03"), 0))), "Left", "Ativo")</f>
        <v>Ativo</v>
      </c>
      <c r="F858" s="12" t="str" cm="1">
        <f t="array" ref="F858">IF(AND(A858="2021-03", ISNA(MATCH(B858, _xlfn._xlws.FILTER(B:B, A:A="2021-04"), 0))), "Left", "Ativo")</f>
        <v>Ativo</v>
      </c>
    </row>
    <row r="859" spans="1:6" x14ac:dyDescent="0.25">
      <c r="A859" t="s">
        <v>1528</v>
      </c>
      <c r="B859" t="s">
        <v>858</v>
      </c>
      <c r="C859" s="10" t="str" cm="1">
        <f t="array" ref="C859">IF(AND(A859="2020-12", ISNA(MATCH(B859, _xlfn._xlws.FILTER(B:B, A:A="2021-01"), 0))), "Left", "Ativo")</f>
        <v>Ativo</v>
      </c>
      <c r="D859" s="10" t="str" cm="1">
        <f t="array" ref="D859">IF(AND(A859="2021-01", ISNA(MATCH(B859, _xlfn._xlws.FILTER(B:B, A:A="2021-02"), 0))), "Left", "Ativo")</f>
        <v>Ativo</v>
      </c>
      <c r="E859" s="10" t="str" cm="1">
        <f t="array" ref="E859">IF(AND(A859="2021-02", ISNA(MATCH(B859, _xlfn._xlws.FILTER(B:B, A:A="2021-03"), 0))), "Left", "Ativo")</f>
        <v>Ativo</v>
      </c>
      <c r="F859" s="12" t="str" cm="1">
        <f t="array" ref="F859">IF(AND(A859="2021-03", ISNA(MATCH(B859, _xlfn._xlws.FILTER(B:B, A:A="2021-04"), 0))), "Left", "Ativo")</f>
        <v>Ativo</v>
      </c>
    </row>
    <row r="860" spans="1:6" x14ac:dyDescent="0.25">
      <c r="A860" t="s">
        <v>1528</v>
      </c>
      <c r="B860" t="s">
        <v>859</v>
      </c>
      <c r="C860" s="10" t="str" cm="1">
        <f t="array" ref="C860">IF(AND(A860="2020-12", ISNA(MATCH(B860, _xlfn._xlws.FILTER(B:B, A:A="2021-01"), 0))), "Left", "Ativo")</f>
        <v>Ativo</v>
      </c>
      <c r="D860" s="10" t="str" cm="1">
        <f t="array" ref="D860">IF(AND(A860="2021-01", ISNA(MATCH(B860, _xlfn._xlws.FILTER(B:B, A:A="2021-02"), 0))), "Left", "Ativo")</f>
        <v>Ativo</v>
      </c>
      <c r="E860" s="10" t="str" cm="1">
        <f t="array" ref="E860">IF(AND(A860="2021-02", ISNA(MATCH(B860, _xlfn._xlws.FILTER(B:B, A:A="2021-03"), 0))), "Left", "Ativo")</f>
        <v>Ativo</v>
      </c>
      <c r="F860" s="12" t="str" cm="1">
        <f t="array" ref="F860">IF(AND(A860="2021-03", ISNA(MATCH(B860, _xlfn._xlws.FILTER(B:B, A:A="2021-04"), 0))), "Left", "Ativo")</f>
        <v>Ativo</v>
      </c>
    </row>
    <row r="861" spans="1:6" x14ac:dyDescent="0.25">
      <c r="A861" t="s">
        <v>1528</v>
      </c>
      <c r="B861" t="s">
        <v>860</v>
      </c>
      <c r="C861" s="10" t="str" cm="1">
        <f t="array" ref="C861">IF(AND(A861="2020-12", ISNA(MATCH(B861, _xlfn._xlws.FILTER(B:B, A:A="2021-01"), 0))), "Left", "Ativo")</f>
        <v>Ativo</v>
      </c>
      <c r="D861" s="10" t="str" cm="1">
        <f t="array" ref="D861">IF(AND(A861="2021-01", ISNA(MATCH(B861, _xlfn._xlws.FILTER(B:B, A:A="2021-02"), 0))), "Left", "Ativo")</f>
        <v>Ativo</v>
      </c>
      <c r="E861" s="10" t="str" cm="1">
        <f t="array" ref="E861">IF(AND(A861="2021-02", ISNA(MATCH(B861, _xlfn._xlws.FILTER(B:B, A:A="2021-03"), 0))), "Left", "Ativo")</f>
        <v>Ativo</v>
      </c>
      <c r="F861" s="12" t="str" cm="1">
        <f t="array" ref="F861">IF(AND(A861="2021-03", ISNA(MATCH(B861, _xlfn._xlws.FILTER(B:B, A:A="2021-04"), 0))), "Left", "Ativo")</f>
        <v>Ativo</v>
      </c>
    </row>
    <row r="862" spans="1:6" x14ac:dyDescent="0.25">
      <c r="A862" t="s">
        <v>1528</v>
      </c>
      <c r="B862" t="s">
        <v>861</v>
      </c>
      <c r="C862" s="10" t="str" cm="1">
        <f t="array" ref="C862">IF(AND(A862="2020-12", ISNA(MATCH(B862, _xlfn._xlws.FILTER(B:B, A:A="2021-01"), 0))), "Left", "Ativo")</f>
        <v>Ativo</v>
      </c>
      <c r="D862" s="10" t="str" cm="1">
        <f t="array" ref="D862">IF(AND(A862="2021-01", ISNA(MATCH(B862, _xlfn._xlws.FILTER(B:B, A:A="2021-02"), 0))), "Left", "Ativo")</f>
        <v>Ativo</v>
      </c>
      <c r="E862" s="10" t="str" cm="1">
        <f t="array" ref="E862">IF(AND(A862="2021-02", ISNA(MATCH(B862, _xlfn._xlws.FILTER(B:B, A:A="2021-03"), 0))), "Left", "Ativo")</f>
        <v>Ativo</v>
      </c>
      <c r="F862" s="12" t="str" cm="1">
        <f t="array" ref="F862">IF(AND(A862="2021-03", ISNA(MATCH(B862, _xlfn._xlws.FILTER(B:B, A:A="2021-04"), 0))), "Left", "Ativo")</f>
        <v>Ativo</v>
      </c>
    </row>
    <row r="863" spans="1:6" x14ac:dyDescent="0.25">
      <c r="A863" t="s">
        <v>1528</v>
      </c>
      <c r="B863" t="s">
        <v>862</v>
      </c>
      <c r="C863" s="10" t="str" cm="1">
        <f t="array" ref="C863">IF(AND(A863="2020-12", ISNA(MATCH(B863, _xlfn._xlws.FILTER(B:B, A:A="2021-01"), 0))), "Left", "Ativo")</f>
        <v>Ativo</v>
      </c>
      <c r="D863" s="10" t="str" cm="1">
        <f t="array" ref="D863">IF(AND(A863="2021-01", ISNA(MATCH(B863, _xlfn._xlws.FILTER(B:B, A:A="2021-02"), 0))), "Left", "Ativo")</f>
        <v>Ativo</v>
      </c>
      <c r="E863" s="10" t="str" cm="1">
        <f t="array" ref="E863">IF(AND(A863="2021-02", ISNA(MATCH(B863, _xlfn._xlws.FILTER(B:B, A:A="2021-03"), 0))), "Left", "Ativo")</f>
        <v>Ativo</v>
      </c>
      <c r="F863" s="12" t="str" cm="1">
        <f t="array" ref="F863">IF(AND(A863="2021-03", ISNA(MATCH(B863, _xlfn._xlws.FILTER(B:B, A:A="2021-04"), 0))), "Left", "Ativo")</f>
        <v>Ativo</v>
      </c>
    </row>
    <row r="864" spans="1:6" x14ac:dyDescent="0.25">
      <c r="A864" t="s">
        <v>1528</v>
      </c>
      <c r="B864" t="s">
        <v>863</v>
      </c>
      <c r="C864" s="10" t="str" cm="1">
        <f t="array" ref="C864">IF(AND(A864="2020-12", ISNA(MATCH(B864, _xlfn._xlws.FILTER(B:B, A:A="2021-01"), 0))), "Left", "Ativo")</f>
        <v>Ativo</v>
      </c>
      <c r="D864" s="10" t="str" cm="1">
        <f t="array" ref="D864">IF(AND(A864="2021-01", ISNA(MATCH(B864, _xlfn._xlws.FILTER(B:B, A:A="2021-02"), 0))), "Left", "Ativo")</f>
        <v>Ativo</v>
      </c>
      <c r="E864" s="10" t="str" cm="1">
        <f t="array" ref="E864">IF(AND(A864="2021-02", ISNA(MATCH(B864, _xlfn._xlws.FILTER(B:B, A:A="2021-03"), 0))), "Left", "Ativo")</f>
        <v>Ativo</v>
      </c>
      <c r="F864" s="12" t="str" cm="1">
        <f t="array" ref="F864">IF(AND(A864="2021-03", ISNA(MATCH(B864, _xlfn._xlws.FILTER(B:B, A:A="2021-04"), 0))), "Left", "Ativo")</f>
        <v>Ativo</v>
      </c>
    </row>
    <row r="865" spans="1:6" x14ac:dyDescent="0.25">
      <c r="A865" t="s">
        <v>1528</v>
      </c>
      <c r="B865" t="s">
        <v>864</v>
      </c>
      <c r="C865" s="10" t="str" cm="1">
        <f t="array" ref="C865">IF(AND(A865="2020-12", ISNA(MATCH(B865, _xlfn._xlws.FILTER(B:B, A:A="2021-01"), 0))), "Left", "Ativo")</f>
        <v>Ativo</v>
      </c>
      <c r="D865" s="10" t="str" cm="1">
        <f t="array" ref="D865">IF(AND(A865="2021-01", ISNA(MATCH(B865, _xlfn._xlws.FILTER(B:B, A:A="2021-02"), 0))), "Left", "Ativo")</f>
        <v>Ativo</v>
      </c>
      <c r="E865" s="10" t="str" cm="1">
        <f t="array" ref="E865">IF(AND(A865="2021-02", ISNA(MATCH(B865, _xlfn._xlws.FILTER(B:B, A:A="2021-03"), 0))), "Left", "Ativo")</f>
        <v>Ativo</v>
      </c>
      <c r="F865" s="12" t="str" cm="1">
        <f t="array" ref="F865">IF(AND(A865="2021-03", ISNA(MATCH(B865, _xlfn._xlws.FILTER(B:B, A:A="2021-04"), 0))), "Left", "Ativo")</f>
        <v>Ativo</v>
      </c>
    </row>
    <row r="866" spans="1:6" x14ac:dyDescent="0.25">
      <c r="A866" t="s">
        <v>1528</v>
      </c>
      <c r="B866" t="s">
        <v>865</v>
      </c>
      <c r="C866" s="10" t="str" cm="1">
        <f t="array" ref="C866">IF(AND(A866="2020-12", ISNA(MATCH(B866, _xlfn._xlws.FILTER(B:B, A:A="2021-01"), 0))), "Left", "Ativo")</f>
        <v>Ativo</v>
      </c>
      <c r="D866" s="10" t="str" cm="1">
        <f t="array" ref="D866">IF(AND(A866="2021-01", ISNA(MATCH(B866, _xlfn._xlws.FILTER(B:B, A:A="2021-02"), 0))), "Left", "Ativo")</f>
        <v>Ativo</v>
      </c>
      <c r="E866" s="10" t="str" cm="1">
        <f t="array" ref="E866">IF(AND(A866="2021-02", ISNA(MATCH(B866, _xlfn._xlws.FILTER(B:B, A:A="2021-03"), 0))), "Left", "Ativo")</f>
        <v>Ativo</v>
      </c>
      <c r="F866" s="12" t="str" cm="1">
        <f t="array" ref="F866">IF(AND(A866="2021-03", ISNA(MATCH(B866, _xlfn._xlws.FILTER(B:B, A:A="2021-04"), 0))), "Left", "Ativo")</f>
        <v>Ativo</v>
      </c>
    </row>
    <row r="867" spans="1:6" x14ac:dyDescent="0.25">
      <c r="A867" t="s">
        <v>1528</v>
      </c>
      <c r="B867" t="s">
        <v>866</v>
      </c>
      <c r="C867" s="10" t="str" cm="1">
        <f t="array" ref="C867">IF(AND(A867="2020-12", ISNA(MATCH(B867, _xlfn._xlws.FILTER(B:B, A:A="2021-01"), 0))), "Left", "Ativo")</f>
        <v>Ativo</v>
      </c>
      <c r="D867" s="10" t="str" cm="1">
        <f t="array" ref="D867">IF(AND(A867="2021-01", ISNA(MATCH(B867, _xlfn._xlws.FILTER(B:B, A:A="2021-02"), 0))), "Left", "Ativo")</f>
        <v>Ativo</v>
      </c>
      <c r="E867" s="10" t="str" cm="1">
        <f t="array" ref="E867">IF(AND(A867="2021-02", ISNA(MATCH(B867, _xlfn._xlws.FILTER(B:B, A:A="2021-03"), 0))), "Left", "Ativo")</f>
        <v>Ativo</v>
      </c>
      <c r="F867" s="12" t="str" cm="1">
        <f t="array" ref="F867">IF(AND(A867="2021-03", ISNA(MATCH(B867, _xlfn._xlws.FILTER(B:B, A:A="2021-04"), 0))), "Left", "Ativo")</f>
        <v>Ativo</v>
      </c>
    </row>
    <row r="868" spans="1:6" x14ac:dyDescent="0.25">
      <c r="A868" t="s">
        <v>1528</v>
      </c>
      <c r="B868" t="s">
        <v>867</v>
      </c>
      <c r="C868" s="10" t="str" cm="1">
        <f t="array" ref="C868">IF(AND(A868="2020-12", ISNA(MATCH(B868, _xlfn._xlws.FILTER(B:B, A:A="2021-01"), 0))), "Left", "Ativo")</f>
        <v>Ativo</v>
      </c>
      <c r="D868" s="10" t="str" cm="1">
        <f t="array" ref="D868">IF(AND(A868="2021-01", ISNA(MATCH(B868, _xlfn._xlws.FILTER(B:B, A:A="2021-02"), 0))), "Left", "Ativo")</f>
        <v>Ativo</v>
      </c>
      <c r="E868" s="10" t="str" cm="1">
        <f t="array" ref="E868">IF(AND(A868="2021-02", ISNA(MATCH(B868, _xlfn._xlws.FILTER(B:B, A:A="2021-03"), 0))), "Left", "Ativo")</f>
        <v>Ativo</v>
      </c>
      <c r="F868" s="12" t="str" cm="1">
        <f t="array" ref="F868">IF(AND(A868="2021-03", ISNA(MATCH(B868, _xlfn._xlws.FILTER(B:B, A:A="2021-04"), 0))), "Left", "Ativo")</f>
        <v>Ativo</v>
      </c>
    </row>
    <row r="869" spans="1:6" x14ac:dyDescent="0.25">
      <c r="A869" t="s">
        <v>1528</v>
      </c>
      <c r="B869" t="s">
        <v>868</v>
      </c>
      <c r="C869" s="10" t="str" cm="1">
        <f t="array" ref="C869">IF(AND(A869="2020-12", ISNA(MATCH(B869, _xlfn._xlws.FILTER(B:B, A:A="2021-01"), 0))), "Left", "Ativo")</f>
        <v>Ativo</v>
      </c>
      <c r="D869" s="10" t="str" cm="1">
        <f t="array" ref="D869">IF(AND(A869="2021-01", ISNA(MATCH(B869, _xlfn._xlws.FILTER(B:B, A:A="2021-02"), 0))), "Left", "Ativo")</f>
        <v>Ativo</v>
      </c>
      <c r="E869" s="10" t="str" cm="1">
        <f t="array" ref="E869">IF(AND(A869="2021-02", ISNA(MATCH(B869, _xlfn._xlws.FILTER(B:B, A:A="2021-03"), 0))), "Left", "Ativo")</f>
        <v>Ativo</v>
      </c>
      <c r="F869" s="12" t="str" cm="1">
        <f t="array" ref="F869">IF(AND(A869="2021-03", ISNA(MATCH(B869, _xlfn._xlws.FILTER(B:B, A:A="2021-04"), 0))), "Left", "Ativo")</f>
        <v>Ativo</v>
      </c>
    </row>
    <row r="870" spans="1:6" x14ac:dyDescent="0.25">
      <c r="A870" t="s">
        <v>1528</v>
      </c>
      <c r="B870" t="s">
        <v>869</v>
      </c>
      <c r="C870" s="10" t="str" cm="1">
        <f t="array" ref="C870">IF(AND(A870="2020-12", ISNA(MATCH(B870, _xlfn._xlws.FILTER(B:B, A:A="2021-01"), 0))), "Left", "Ativo")</f>
        <v>Ativo</v>
      </c>
      <c r="D870" s="10" t="str" cm="1">
        <f t="array" ref="D870">IF(AND(A870="2021-01", ISNA(MATCH(B870, _xlfn._xlws.FILTER(B:B, A:A="2021-02"), 0))), "Left", "Ativo")</f>
        <v>Ativo</v>
      </c>
      <c r="E870" s="10" t="str" cm="1">
        <f t="array" ref="E870">IF(AND(A870="2021-02", ISNA(MATCH(B870, _xlfn._xlws.FILTER(B:B, A:A="2021-03"), 0))), "Left", "Ativo")</f>
        <v>Ativo</v>
      </c>
      <c r="F870" s="12" t="str" cm="1">
        <f t="array" ref="F870">IF(AND(A870="2021-03", ISNA(MATCH(B870, _xlfn._xlws.FILTER(B:B, A:A="2021-04"), 0))), "Left", "Ativo")</f>
        <v>Ativo</v>
      </c>
    </row>
    <row r="871" spans="1:6" x14ac:dyDescent="0.25">
      <c r="A871" t="s">
        <v>1528</v>
      </c>
      <c r="B871" t="s">
        <v>870</v>
      </c>
      <c r="C871" s="10" t="str" cm="1">
        <f t="array" ref="C871">IF(AND(A871="2020-12", ISNA(MATCH(B871, _xlfn._xlws.FILTER(B:B, A:A="2021-01"), 0))), "Left", "Ativo")</f>
        <v>Ativo</v>
      </c>
      <c r="D871" s="10" t="str" cm="1">
        <f t="array" ref="D871">IF(AND(A871="2021-01", ISNA(MATCH(B871, _xlfn._xlws.FILTER(B:B, A:A="2021-02"), 0))), "Left", "Ativo")</f>
        <v>Ativo</v>
      </c>
      <c r="E871" s="10" t="str" cm="1">
        <f t="array" ref="E871">IF(AND(A871="2021-02", ISNA(MATCH(B871, _xlfn._xlws.FILTER(B:B, A:A="2021-03"), 0))), "Left", "Ativo")</f>
        <v>Ativo</v>
      </c>
      <c r="F871" s="12" t="str" cm="1">
        <f t="array" ref="F871">IF(AND(A871="2021-03", ISNA(MATCH(B871, _xlfn._xlws.FILTER(B:B, A:A="2021-04"), 0))), "Left", "Ativo")</f>
        <v>Ativo</v>
      </c>
    </row>
    <row r="872" spans="1:6" x14ac:dyDescent="0.25">
      <c r="A872" t="s">
        <v>1528</v>
      </c>
      <c r="B872" t="s">
        <v>871</v>
      </c>
      <c r="C872" s="10" t="str" cm="1">
        <f t="array" ref="C872">IF(AND(A872="2020-12", ISNA(MATCH(B872, _xlfn._xlws.FILTER(B:B, A:A="2021-01"), 0))), "Left", "Ativo")</f>
        <v>Ativo</v>
      </c>
      <c r="D872" s="10" t="str" cm="1">
        <f t="array" ref="D872">IF(AND(A872="2021-01", ISNA(MATCH(B872, _xlfn._xlws.FILTER(B:B, A:A="2021-02"), 0))), "Left", "Ativo")</f>
        <v>Ativo</v>
      </c>
      <c r="E872" s="10" t="str" cm="1">
        <f t="array" ref="E872">IF(AND(A872="2021-02", ISNA(MATCH(B872, _xlfn._xlws.FILTER(B:B, A:A="2021-03"), 0))), "Left", "Ativo")</f>
        <v>Ativo</v>
      </c>
      <c r="F872" s="12" t="str" cm="1">
        <f t="array" ref="F872">IF(AND(A872="2021-03", ISNA(MATCH(B872, _xlfn._xlws.FILTER(B:B, A:A="2021-04"), 0))), "Left", "Ativo")</f>
        <v>Ativo</v>
      </c>
    </row>
    <row r="873" spans="1:6" x14ac:dyDescent="0.25">
      <c r="A873" t="s">
        <v>1528</v>
      </c>
      <c r="B873" t="s">
        <v>872</v>
      </c>
      <c r="C873" s="10" t="str" cm="1">
        <f t="array" ref="C873">IF(AND(A873="2020-12", ISNA(MATCH(B873, _xlfn._xlws.FILTER(B:B, A:A="2021-01"), 0))), "Left", "Ativo")</f>
        <v>Ativo</v>
      </c>
      <c r="D873" s="10" t="str" cm="1">
        <f t="array" ref="D873">IF(AND(A873="2021-01", ISNA(MATCH(B873, _xlfn._xlws.FILTER(B:B, A:A="2021-02"), 0))), "Left", "Ativo")</f>
        <v>Ativo</v>
      </c>
      <c r="E873" s="10" t="str" cm="1">
        <f t="array" ref="E873">IF(AND(A873="2021-02", ISNA(MATCH(B873, _xlfn._xlws.FILTER(B:B, A:A="2021-03"), 0))), "Left", "Ativo")</f>
        <v>Ativo</v>
      </c>
      <c r="F873" s="12" t="str" cm="1">
        <f t="array" ref="F873">IF(AND(A873="2021-03", ISNA(MATCH(B873, _xlfn._xlws.FILTER(B:B, A:A="2021-04"), 0))), "Left", "Ativo")</f>
        <v>Ativo</v>
      </c>
    </row>
    <row r="874" spans="1:6" x14ac:dyDescent="0.25">
      <c r="A874" t="s">
        <v>1528</v>
      </c>
      <c r="B874" t="s">
        <v>873</v>
      </c>
      <c r="C874" s="10" t="str" cm="1">
        <f t="array" ref="C874">IF(AND(A874="2020-12", ISNA(MATCH(B874, _xlfn._xlws.FILTER(B:B, A:A="2021-01"), 0))), "Left", "Ativo")</f>
        <v>Ativo</v>
      </c>
      <c r="D874" s="10" t="str" cm="1">
        <f t="array" ref="D874">IF(AND(A874="2021-01", ISNA(MATCH(B874, _xlfn._xlws.FILTER(B:B, A:A="2021-02"), 0))), "Left", "Ativo")</f>
        <v>Ativo</v>
      </c>
      <c r="E874" s="10" t="str" cm="1">
        <f t="array" ref="E874">IF(AND(A874="2021-02", ISNA(MATCH(B874, _xlfn._xlws.FILTER(B:B, A:A="2021-03"), 0))), "Left", "Ativo")</f>
        <v>Ativo</v>
      </c>
      <c r="F874" s="12" t="str" cm="1">
        <f t="array" ref="F874">IF(AND(A874="2021-03", ISNA(MATCH(B874, _xlfn._xlws.FILTER(B:B, A:A="2021-04"), 0))), "Left", "Ativo")</f>
        <v>Ativo</v>
      </c>
    </row>
    <row r="875" spans="1:6" x14ac:dyDescent="0.25">
      <c r="A875" t="s">
        <v>1528</v>
      </c>
      <c r="B875" t="s">
        <v>874</v>
      </c>
      <c r="C875" s="10" t="str" cm="1">
        <f t="array" ref="C875">IF(AND(A875="2020-12", ISNA(MATCH(B875, _xlfn._xlws.FILTER(B:B, A:A="2021-01"), 0))), "Left", "Ativo")</f>
        <v>Ativo</v>
      </c>
      <c r="D875" s="10" t="str" cm="1">
        <f t="array" ref="D875">IF(AND(A875="2021-01", ISNA(MATCH(B875, _xlfn._xlws.FILTER(B:B, A:A="2021-02"), 0))), "Left", "Ativo")</f>
        <v>Ativo</v>
      </c>
      <c r="E875" s="10" t="str" cm="1">
        <f t="array" ref="E875">IF(AND(A875="2021-02", ISNA(MATCH(B875, _xlfn._xlws.FILTER(B:B, A:A="2021-03"), 0))), "Left", "Ativo")</f>
        <v>Ativo</v>
      </c>
      <c r="F875" s="12" t="str" cm="1">
        <f t="array" ref="F875">IF(AND(A875="2021-03", ISNA(MATCH(B875, _xlfn._xlws.FILTER(B:B, A:A="2021-04"), 0))), "Left", "Ativo")</f>
        <v>Ativo</v>
      </c>
    </row>
    <row r="876" spans="1:6" x14ac:dyDescent="0.25">
      <c r="A876" t="s">
        <v>1528</v>
      </c>
      <c r="B876" t="s">
        <v>875</v>
      </c>
      <c r="C876" s="10" t="str" cm="1">
        <f t="array" ref="C876">IF(AND(A876="2020-12", ISNA(MATCH(B876, _xlfn._xlws.FILTER(B:B, A:A="2021-01"), 0))), "Left", "Ativo")</f>
        <v>Ativo</v>
      </c>
      <c r="D876" s="10" t="str" cm="1">
        <f t="array" ref="D876">IF(AND(A876="2021-01", ISNA(MATCH(B876, _xlfn._xlws.FILTER(B:B, A:A="2021-02"), 0))), "Left", "Ativo")</f>
        <v>Ativo</v>
      </c>
      <c r="E876" s="10" t="str" cm="1">
        <f t="array" ref="E876">IF(AND(A876="2021-02", ISNA(MATCH(B876, _xlfn._xlws.FILTER(B:B, A:A="2021-03"), 0))), "Left", "Ativo")</f>
        <v>Ativo</v>
      </c>
      <c r="F876" s="12" t="str" cm="1">
        <f t="array" ref="F876">IF(AND(A876="2021-03", ISNA(MATCH(B876, _xlfn._xlws.FILTER(B:B, A:A="2021-04"), 0))), "Left", "Ativo")</f>
        <v>Ativo</v>
      </c>
    </row>
    <row r="877" spans="1:6" x14ac:dyDescent="0.25">
      <c r="A877" t="s">
        <v>1528</v>
      </c>
      <c r="B877" t="s">
        <v>876</v>
      </c>
      <c r="C877" s="10" t="str" cm="1">
        <f t="array" ref="C877">IF(AND(A877="2020-12", ISNA(MATCH(B877, _xlfn._xlws.FILTER(B:B, A:A="2021-01"), 0))), "Left", "Ativo")</f>
        <v>Ativo</v>
      </c>
      <c r="D877" s="10" t="str" cm="1">
        <f t="array" ref="D877">IF(AND(A877="2021-01", ISNA(MATCH(B877, _xlfn._xlws.FILTER(B:B, A:A="2021-02"), 0))), "Left", "Ativo")</f>
        <v>Ativo</v>
      </c>
      <c r="E877" s="10" t="str" cm="1">
        <f t="array" ref="E877">IF(AND(A877="2021-02", ISNA(MATCH(B877, _xlfn._xlws.FILTER(B:B, A:A="2021-03"), 0))), "Left", "Ativo")</f>
        <v>Ativo</v>
      </c>
      <c r="F877" s="12" t="str" cm="1">
        <f t="array" ref="F877">IF(AND(A877="2021-03", ISNA(MATCH(B877, _xlfn._xlws.FILTER(B:B, A:A="2021-04"), 0))), "Left", "Ativo")</f>
        <v>Ativo</v>
      </c>
    </row>
    <row r="878" spans="1:6" x14ac:dyDescent="0.25">
      <c r="A878" t="s">
        <v>1528</v>
      </c>
      <c r="B878" t="s">
        <v>877</v>
      </c>
      <c r="C878" s="10" t="str" cm="1">
        <f t="array" ref="C878">IF(AND(A878="2020-12", ISNA(MATCH(B878, _xlfn._xlws.FILTER(B:B, A:A="2021-01"), 0))), "Left", "Ativo")</f>
        <v>Ativo</v>
      </c>
      <c r="D878" s="10" t="str" cm="1">
        <f t="array" ref="D878">IF(AND(A878="2021-01", ISNA(MATCH(B878, _xlfn._xlws.FILTER(B:B, A:A="2021-02"), 0))), "Left", "Ativo")</f>
        <v>Ativo</v>
      </c>
      <c r="E878" s="10" t="str" cm="1">
        <f t="array" ref="E878">IF(AND(A878="2021-02", ISNA(MATCH(B878, _xlfn._xlws.FILTER(B:B, A:A="2021-03"), 0))), "Left", "Ativo")</f>
        <v>Ativo</v>
      </c>
      <c r="F878" s="12" t="str" cm="1">
        <f t="array" ref="F878">IF(AND(A878="2021-03", ISNA(MATCH(B878, _xlfn._xlws.FILTER(B:B, A:A="2021-04"), 0))), "Left", "Ativo")</f>
        <v>Ativo</v>
      </c>
    </row>
    <row r="879" spans="1:6" x14ac:dyDescent="0.25">
      <c r="A879" t="s">
        <v>1528</v>
      </c>
      <c r="B879" t="s">
        <v>878</v>
      </c>
      <c r="C879" s="10" t="str" cm="1">
        <f t="array" ref="C879">IF(AND(A879="2020-12", ISNA(MATCH(B879, _xlfn._xlws.FILTER(B:B, A:A="2021-01"), 0))), "Left", "Ativo")</f>
        <v>Ativo</v>
      </c>
      <c r="D879" s="10" t="str" cm="1">
        <f t="array" ref="D879">IF(AND(A879="2021-01", ISNA(MATCH(B879, _xlfn._xlws.FILTER(B:B, A:A="2021-02"), 0))), "Left", "Ativo")</f>
        <v>Ativo</v>
      </c>
      <c r="E879" s="10" t="str" cm="1">
        <f t="array" ref="E879">IF(AND(A879="2021-02", ISNA(MATCH(B879, _xlfn._xlws.FILTER(B:B, A:A="2021-03"), 0))), "Left", "Ativo")</f>
        <v>Ativo</v>
      </c>
      <c r="F879" s="12" t="str" cm="1">
        <f t="array" ref="F879">IF(AND(A879="2021-03", ISNA(MATCH(B879, _xlfn._xlws.FILTER(B:B, A:A="2021-04"), 0))), "Left", "Ativo")</f>
        <v>Ativo</v>
      </c>
    </row>
    <row r="880" spans="1:6" x14ac:dyDescent="0.25">
      <c r="A880" t="s">
        <v>1528</v>
      </c>
      <c r="B880" t="s">
        <v>879</v>
      </c>
      <c r="C880" s="10" t="str" cm="1">
        <f t="array" ref="C880">IF(AND(A880="2020-12", ISNA(MATCH(B880, _xlfn._xlws.FILTER(B:B, A:A="2021-01"), 0))), "Left", "Ativo")</f>
        <v>Ativo</v>
      </c>
      <c r="D880" s="10" t="str" cm="1">
        <f t="array" ref="D880">IF(AND(A880="2021-01", ISNA(MATCH(B880, _xlfn._xlws.FILTER(B:B, A:A="2021-02"), 0))), "Left", "Ativo")</f>
        <v>Ativo</v>
      </c>
      <c r="E880" s="10" t="str" cm="1">
        <f t="array" ref="E880">IF(AND(A880="2021-02", ISNA(MATCH(B880, _xlfn._xlws.FILTER(B:B, A:A="2021-03"), 0))), "Left", "Ativo")</f>
        <v>Ativo</v>
      </c>
      <c r="F880" s="12" t="str" cm="1">
        <f t="array" ref="F880">IF(AND(A880="2021-03", ISNA(MATCH(B880, _xlfn._xlws.FILTER(B:B, A:A="2021-04"), 0))), "Left", "Ativo")</f>
        <v>Ativo</v>
      </c>
    </row>
    <row r="881" spans="1:6" x14ac:dyDescent="0.25">
      <c r="A881" t="s">
        <v>1528</v>
      </c>
      <c r="B881" t="s">
        <v>880</v>
      </c>
      <c r="C881" s="10" t="str" cm="1">
        <f t="array" ref="C881">IF(AND(A881="2020-12", ISNA(MATCH(B881, _xlfn._xlws.FILTER(B:B, A:A="2021-01"), 0))), "Left", "Ativo")</f>
        <v>Ativo</v>
      </c>
      <c r="D881" s="10" t="str" cm="1">
        <f t="array" ref="D881">IF(AND(A881="2021-01", ISNA(MATCH(B881, _xlfn._xlws.FILTER(B:B, A:A="2021-02"), 0))), "Left", "Ativo")</f>
        <v>Ativo</v>
      </c>
      <c r="E881" s="10" t="str" cm="1">
        <f t="array" ref="E881">IF(AND(A881="2021-02", ISNA(MATCH(B881, _xlfn._xlws.FILTER(B:B, A:A="2021-03"), 0))), "Left", "Ativo")</f>
        <v>Ativo</v>
      </c>
      <c r="F881" s="12" t="str" cm="1">
        <f t="array" ref="F881">IF(AND(A881="2021-03", ISNA(MATCH(B881, _xlfn._xlws.FILTER(B:B, A:A="2021-04"), 0))), "Left", "Ativo")</f>
        <v>Ativo</v>
      </c>
    </row>
    <row r="882" spans="1:6" x14ac:dyDescent="0.25">
      <c r="A882" t="s">
        <v>1528</v>
      </c>
      <c r="B882" t="s">
        <v>881</v>
      </c>
      <c r="C882" s="10" t="str" cm="1">
        <f t="array" ref="C882">IF(AND(A882="2020-12", ISNA(MATCH(B882, _xlfn._xlws.FILTER(B:B, A:A="2021-01"), 0))), "Left", "Ativo")</f>
        <v>Ativo</v>
      </c>
      <c r="D882" s="10" t="str" cm="1">
        <f t="array" ref="D882">IF(AND(A882="2021-01", ISNA(MATCH(B882, _xlfn._xlws.FILTER(B:B, A:A="2021-02"), 0))), "Left", "Ativo")</f>
        <v>Ativo</v>
      </c>
      <c r="E882" s="10" t="str" cm="1">
        <f t="array" ref="E882">IF(AND(A882="2021-02", ISNA(MATCH(B882, _xlfn._xlws.FILTER(B:B, A:A="2021-03"), 0))), "Left", "Ativo")</f>
        <v>Ativo</v>
      </c>
      <c r="F882" s="12" t="str" cm="1">
        <f t="array" ref="F882">IF(AND(A882="2021-03", ISNA(MATCH(B882, _xlfn._xlws.FILTER(B:B, A:A="2021-04"), 0))), "Left", "Ativo")</f>
        <v>Ativo</v>
      </c>
    </row>
    <row r="883" spans="1:6" x14ac:dyDescent="0.25">
      <c r="A883" t="s">
        <v>1528</v>
      </c>
      <c r="B883" t="s">
        <v>882</v>
      </c>
      <c r="C883" s="10" t="str" cm="1">
        <f t="array" ref="C883">IF(AND(A883="2020-12", ISNA(MATCH(B883, _xlfn._xlws.FILTER(B:B, A:A="2021-01"), 0))), "Left", "Ativo")</f>
        <v>Ativo</v>
      </c>
      <c r="D883" s="10" t="str" cm="1">
        <f t="array" ref="D883">IF(AND(A883="2021-01", ISNA(MATCH(B883, _xlfn._xlws.FILTER(B:B, A:A="2021-02"), 0))), "Left", "Ativo")</f>
        <v>Ativo</v>
      </c>
      <c r="E883" s="10" t="str" cm="1">
        <f t="array" ref="E883">IF(AND(A883="2021-02", ISNA(MATCH(B883, _xlfn._xlws.FILTER(B:B, A:A="2021-03"), 0))), "Left", "Ativo")</f>
        <v>Ativo</v>
      </c>
      <c r="F883" s="12" t="str" cm="1">
        <f t="array" ref="F883">IF(AND(A883="2021-03", ISNA(MATCH(B883, _xlfn._xlws.FILTER(B:B, A:A="2021-04"), 0))), "Left", "Ativo")</f>
        <v>Ativo</v>
      </c>
    </row>
    <row r="884" spans="1:6" x14ac:dyDescent="0.25">
      <c r="A884" t="s">
        <v>1528</v>
      </c>
      <c r="B884" t="s">
        <v>883</v>
      </c>
      <c r="C884" s="10" t="str" cm="1">
        <f t="array" ref="C884">IF(AND(A884="2020-12", ISNA(MATCH(B884, _xlfn._xlws.FILTER(B:B, A:A="2021-01"), 0))), "Left", "Ativo")</f>
        <v>Ativo</v>
      </c>
      <c r="D884" s="10" t="str" cm="1">
        <f t="array" ref="D884">IF(AND(A884="2021-01", ISNA(MATCH(B884, _xlfn._xlws.FILTER(B:B, A:A="2021-02"), 0))), "Left", "Ativo")</f>
        <v>Ativo</v>
      </c>
      <c r="E884" s="10" t="str" cm="1">
        <f t="array" ref="E884">IF(AND(A884="2021-02", ISNA(MATCH(B884, _xlfn._xlws.FILTER(B:B, A:A="2021-03"), 0))), "Left", "Ativo")</f>
        <v>Ativo</v>
      </c>
      <c r="F884" s="12" t="str" cm="1">
        <f t="array" ref="F884">IF(AND(A884="2021-03", ISNA(MATCH(B884, _xlfn._xlws.FILTER(B:B, A:A="2021-04"), 0))), "Left", "Ativo")</f>
        <v>Ativo</v>
      </c>
    </row>
    <row r="885" spans="1:6" x14ac:dyDescent="0.25">
      <c r="A885" t="s">
        <v>1528</v>
      </c>
      <c r="B885" t="s">
        <v>884</v>
      </c>
      <c r="C885" s="10" t="str" cm="1">
        <f t="array" ref="C885">IF(AND(A885="2020-12", ISNA(MATCH(B885, _xlfn._xlws.FILTER(B:B, A:A="2021-01"), 0))), "Left", "Ativo")</f>
        <v>Ativo</v>
      </c>
      <c r="D885" s="10" t="str" cm="1">
        <f t="array" ref="D885">IF(AND(A885="2021-01", ISNA(MATCH(B885, _xlfn._xlws.FILTER(B:B, A:A="2021-02"), 0))), "Left", "Ativo")</f>
        <v>Ativo</v>
      </c>
      <c r="E885" s="10" t="str" cm="1">
        <f t="array" ref="E885">IF(AND(A885="2021-02", ISNA(MATCH(B885, _xlfn._xlws.FILTER(B:B, A:A="2021-03"), 0))), "Left", "Ativo")</f>
        <v>Ativo</v>
      </c>
      <c r="F885" s="12" t="str" cm="1">
        <f t="array" ref="F885">IF(AND(A885="2021-03", ISNA(MATCH(B885, _xlfn._xlws.FILTER(B:B, A:A="2021-04"), 0))), "Left", "Ativo")</f>
        <v>Ativo</v>
      </c>
    </row>
    <row r="886" spans="1:6" x14ac:dyDescent="0.25">
      <c r="A886" t="s">
        <v>1528</v>
      </c>
      <c r="B886" t="s">
        <v>885</v>
      </c>
      <c r="C886" s="10" t="str" cm="1">
        <f t="array" ref="C886">IF(AND(A886="2020-12", ISNA(MATCH(B886, _xlfn._xlws.FILTER(B:B, A:A="2021-01"), 0))), "Left", "Ativo")</f>
        <v>Ativo</v>
      </c>
      <c r="D886" s="10" t="str" cm="1">
        <f t="array" ref="D886">IF(AND(A886="2021-01", ISNA(MATCH(B886, _xlfn._xlws.FILTER(B:B, A:A="2021-02"), 0))), "Left", "Ativo")</f>
        <v>Ativo</v>
      </c>
      <c r="E886" s="10" t="str" cm="1">
        <f t="array" ref="E886">IF(AND(A886="2021-02", ISNA(MATCH(B886, _xlfn._xlws.FILTER(B:B, A:A="2021-03"), 0))), "Left", "Ativo")</f>
        <v>Ativo</v>
      </c>
      <c r="F886" s="12" t="str" cm="1">
        <f t="array" ref="F886">IF(AND(A886="2021-03", ISNA(MATCH(B886, _xlfn._xlws.FILTER(B:B, A:A="2021-04"), 0))), "Left", "Ativo")</f>
        <v>Ativo</v>
      </c>
    </row>
    <row r="887" spans="1:6" x14ac:dyDescent="0.25">
      <c r="A887" t="s">
        <v>1528</v>
      </c>
      <c r="B887" t="s">
        <v>886</v>
      </c>
      <c r="C887" s="10" t="str" cm="1">
        <f t="array" ref="C887">IF(AND(A887="2020-12", ISNA(MATCH(B887, _xlfn._xlws.FILTER(B:B, A:A="2021-01"), 0))), "Left", "Ativo")</f>
        <v>Ativo</v>
      </c>
      <c r="D887" s="10" t="str" cm="1">
        <f t="array" ref="D887">IF(AND(A887="2021-01", ISNA(MATCH(B887, _xlfn._xlws.FILTER(B:B, A:A="2021-02"), 0))), "Left", "Ativo")</f>
        <v>Ativo</v>
      </c>
      <c r="E887" s="10" t="str" cm="1">
        <f t="array" ref="E887">IF(AND(A887="2021-02", ISNA(MATCH(B887, _xlfn._xlws.FILTER(B:B, A:A="2021-03"), 0))), "Left", "Ativo")</f>
        <v>Ativo</v>
      </c>
      <c r="F887" s="12" t="str" cm="1">
        <f t="array" ref="F887">IF(AND(A887="2021-03", ISNA(MATCH(B887, _xlfn._xlws.FILTER(B:B, A:A="2021-04"), 0))), "Left", "Ativo")</f>
        <v>Ativo</v>
      </c>
    </row>
    <row r="888" spans="1:6" x14ac:dyDescent="0.25">
      <c r="A888" t="s">
        <v>1528</v>
      </c>
      <c r="B888" t="s">
        <v>887</v>
      </c>
      <c r="C888" s="10" t="str" cm="1">
        <f t="array" ref="C888">IF(AND(A888="2020-12", ISNA(MATCH(B888, _xlfn._xlws.FILTER(B:B, A:A="2021-01"), 0))), "Left", "Ativo")</f>
        <v>Ativo</v>
      </c>
      <c r="D888" s="10" t="str" cm="1">
        <f t="array" ref="D888">IF(AND(A888="2021-01", ISNA(MATCH(B888, _xlfn._xlws.FILTER(B:B, A:A="2021-02"), 0))), "Left", "Ativo")</f>
        <v>Ativo</v>
      </c>
      <c r="E888" s="10" t="str" cm="1">
        <f t="array" ref="E888">IF(AND(A888="2021-02", ISNA(MATCH(B888, _xlfn._xlws.FILTER(B:B, A:A="2021-03"), 0))), "Left", "Ativo")</f>
        <v>Ativo</v>
      </c>
      <c r="F888" s="12" t="str" cm="1">
        <f t="array" ref="F888">IF(AND(A888="2021-03", ISNA(MATCH(B888, _xlfn._xlws.FILTER(B:B, A:A="2021-04"), 0))), "Left", "Ativo")</f>
        <v>Ativo</v>
      </c>
    </row>
    <row r="889" spans="1:6" x14ac:dyDescent="0.25">
      <c r="A889" t="s">
        <v>1528</v>
      </c>
      <c r="B889" t="s">
        <v>888</v>
      </c>
      <c r="C889" s="10" t="str" cm="1">
        <f t="array" ref="C889">IF(AND(A889="2020-12", ISNA(MATCH(B889, _xlfn._xlws.FILTER(B:B, A:A="2021-01"), 0))), "Left", "Ativo")</f>
        <v>Ativo</v>
      </c>
      <c r="D889" s="10" t="str" cm="1">
        <f t="array" ref="D889">IF(AND(A889="2021-01", ISNA(MATCH(B889, _xlfn._xlws.FILTER(B:B, A:A="2021-02"), 0))), "Left", "Ativo")</f>
        <v>Ativo</v>
      </c>
      <c r="E889" s="10" t="str" cm="1">
        <f t="array" ref="E889">IF(AND(A889="2021-02", ISNA(MATCH(B889, _xlfn._xlws.FILTER(B:B, A:A="2021-03"), 0))), "Left", "Ativo")</f>
        <v>Ativo</v>
      </c>
      <c r="F889" s="12" t="str" cm="1">
        <f t="array" ref="F889">IF(AND(A889="2021-03", ISNA(MATCH(B889, _xlfn._xlws.FILTER(B:B, A:A="2021-04"), 0))), "Left", "Ativo")</f>
        <v>Ativo</v>
      </c>
    </row>
    <row r="890" spans="1:6" x14ac:dyDescent="0.25">
      <c r="A890" t="s">
        <v>1528</v>
      </c>
      <c r="B890" t="s">
        <v>889</v>
      </c>
      <c r="C890" s="10" t="str" cm="1">
        <f t="array" ref="C890">IF(AND(A890="2020-12", ISNA(MATCH(B890, _xlfn._xlws.FILTER(B:B, A:A="2021-01"), 0))), "Left", "Ativo")</f>
        <v>Ativo</v>
      </c>
      <c r="D890" s="10" t="str" cm="1">
        <f t="array" ref="D890">IF(AND(A890="2021-01", ISNA(MATCH(B890, _xlfn._xlws.FILTER(B:B, A:A="2021-02"), 0))), "Left", "Ativo")</f>
        <v>Ativo</v>
      </c>
      <c r="E890" s="10" t="str" cm="1">
        <f t="array" ref="E890">IF(AND(A890="2021-02", ISNA(MATCH(B890, _xlfn._xlws.FILTER(B:B, A:A="2021-03"), 0))), "Left", "Ativo")</f>
        <v>Ativo</v>
      </c>
      <c r="F890" s="12" t="str" cm="1">
        <f t="array" ref="F890">IF(AND(A890="2021-03", ISNA(MATCH(B890, _xlfn._xlws.FILTER(B:B, A:A="2021-04"), 0))), "Left", "Ativo")</f>
        <v>Ativo</v>
      </c>
    </row>
    <row r="891" spans="1:6" x14ac:dyDescent="0.25">
      <c r="A891" t="s">
        <v>1528</v>
      </c>
      <c r="B891" t="s">
        <v>890</v>
      </c>
      <c r="C891" s="10" t="str" cm="1">
        <f t="array" ref="C891">IF(AND(A891="2020-12", ISNA(MATCH(B891, _xlfn._xlws.FILTER(B:B, A:A="2021-01"), 0))), "Left", "Ativo")</f>
        <v>Ativo</v>
      </c>
      <c r="D891" s="10" t="str" cm="1">
        <f t="array" ref="D891">IF(AND(A891="2021-01", ISNA(MATCH(B891, _xlfn._xlws.FILTER(B:B, A:A="2021-02"), 0))), "Left", "Ativo")</f>
        <v>Ativo</v>
      </c>
      <c r="E891" s="10" t="str" cm="1">
        <f t="array" ref="E891">IF(AND(A891="2021-02", ISNA(MATCH(B891, _xlfn._xlws.FILTER(B:B, A:A="2021-03"), 0))), "Left", "Ativo")</f>
        <v>Ativo</v>
      </c>
      <c r="F891" s="12" t="str" cm="1">
        <f t="array" ref="F891">IF(AND(A891="2021-03", ISNA(MATCH(B891, _xlfn._xlws.FILTER(B:B, A:A="2021-04"), 0))), "Left", "Ativo")</f>
        <v>Ativo</v>
      </c>
    </row>
    <row r="892" spans="1:6" x14ac:dyDescent="0.25">
      <c r="A892" t="s">
        <v>1528</v>
      </c>
      <c r="B892" t="s">
        <v>891</v>
      </c>
      <c r="C892" s="10" t="str" cm="1">
        <f t="array" ref="C892">IF(AND(A892="2020-12", ISNA(MATCH(B892, _xlfn._xlws.FILTER(B:B, A:A="2021-01"), 0))), "Left", "Ativo")</f>
        <v>Ativo</v>
      </c>
      <c r="D892" s="10" t="str" cm="1">
        <f t="array" ref="D892">IF(AND(A892="2021-01", ISNA(MATCH(B892, _xlfn._xlws.FILTER(B:B, A:A="2021-02"), 0))), "Left", "Ativo")</f>
        <v>Ativo</v>
      </c>
      <c r="E892" s="10" t="str" cm="1">
        <f t="array" ref="E892">IF(AND(A892="2021-02", ISNA(MATCH(B892, _xlfn._xlws.FILTER(B:B, A:A="2021-03"), 0))), "Left", "Ativo")</f>
        <v>Ativo</v>
      </c>
      <c r="F892" s="12" t="str" cm="1">
        <f t="array" ref="F892">IF(AND(A892="2021-03", ISNA(MATCH(B892, _xlfn._xlws.FILTER(B:B, A:A="2021-04"), 0))), "Left", "Ativo")</f>
        <v>Ativo</v>
      </c>
    </row>
    <row r="893" spans="1:6" x14ac:dyDescent="0.25">
      <c r="A893" t="s">
        <v>1528</v>
      </c>
      <c r="B893" t="s">
        <v>892</v>
      </c>
      <c r="C893" s="10" t="str" cm="1">
        <f t="array" ref="C893">IF(AND(A893="2020-12", ISNA(MATCH(B893, _xlfn._xlws.FILTER(B:B, A:A="2021-01"), 0))), "Left", "Ativo")</f>
        <v>Ativo</v>
      </c>
      <c r="D893" s="10" t="str" cm="1">
        <f t="array" ref="D893">IF(AND(A893="2021-01", ISNA(MATCH(B893, _xlfn._xlws.FILTER(B:B, A:A="2021-02"), 0))), "Left", "Ativo")</f>
        <v>Ativo</v>
      </c>
      <c r="E893" s="10" t="str" cm="1">
        <f t="array" ref="E893">IF(AND(A893="2021-02", ISNA(MATCH(B893, _xlfn._xlws.FILTER(B:B, A:A="2021-03"), 0))), "Left", "Ativo")</f>
        <v>Ativo</v>
      </c>
      <c r="F893" s="12" t="str" cm="1">
        <f t="array" ref="F893">IF(AND(A893="2021-03", ISNA(MATCH(B893, _xlfn._xlws.FILTER(B:B, A:A="2021-04"), 0))), "Left", "Ativo")</f>
        <v>Ativo</v>
      </c>
    </row>
    <row r="894" spans="1:6" x14ac:dyDescent="0.25">
      <c r="A894" t="s">
        <v>1528</v>
      </c>
      <c r="B894" t="s">
        <v>893</v>
      </c>
      <c r="C894" s="10" t="str" cm="1">
        <f t="array" ref="C894">IF(AND(A894="2020-12", ISNA(MATCH(B894, _xlfn._xlws.FILTER(B:B, A:A="2021-01"), 0))), "Left", "Ativo")</f>
        <v>Ativo</v>
      </c>
      <c r="D894" s="10" t="str" cm="1">
        <f t="array" ref="D894">IF(AND(A894="2021-01", ISNA(MATCH(B894, _xlfn._xlws.FILTER(B:B, A:A="2021-02"), 0))), "Left", "Ativo")</f>
        <v>Ativo</v>
      </c>
      <c r="E894" s="10" t="str" cm="1">
        <f t="array" ref="E894">IF(AND(A894="2021-02", ISNA(MATCH(B894, _xlfn._xlws.FILTER(B:B, A:A="2021-03"), 0))), "Left", "Ativo")</f>
        <v>Ativo</v>
      </c>
      <c r="F894" s="12" t="str" cm="1">
        <f t="array" ref="F894">IF(AND(A894="2021-03", ISNA(MATCH(B894, _xlfn._xlws.FILTER(B:B, A:A="2021-04"), 0))), "Left", "Ativo")</f>
        <v>Ativo</v>
      </c>
    </row>
    <row r="895" spans="1:6" x14ac:dyDescent="0.25">
      <c r="A895" t="s">
        <v>1528</v>
      </c>
      <c r="B895" t="s">
        <v>894</v>
      </c>
      <c r="C895" s="10" t="str" cm="1">
        <f t="array" ref="C895">IF(AND(A895="2020-12", ISNA(MATCH(B895, _xlfn._xlws.FILTER(B:B, A:A="2021-01"), 0))), "Left", "Ativo")</f>
        <v>Ativo</v>
      </c>
      <c r="D895" s="10" t="str" cm="1">
        <f t="array" ref="D895">IF(AND(A895="2021-01", ISNA(MATCH(B895, _xlfn._xlws.FILTER(B:B, A:A="2021-02"), 0))), "Left", "Ativo")</f>
        <v>Ativo</v>
      </c>
      <c r="E895" s="10" t="str" cm="1">
        <f t="array" ref="E895">IF(AND(A895="2021-02", ISNA(MATCH(B895, _xlfn._xlws.FILTER(B:B, A:A="2021-03"), 0))), "Left", "Ativo")</f>
        <v>Ativo</v>
      </c>
      <c r="F895" s="12" t="str" cm="1">
        <f t="array" ref="F895">IF(AND(A895="2021-03", ISNA(MATCH(B895, _xlfn._xlws.FILTER(B:B, A:A="2021-04"), 0))), "Left", "Ativo")</f>
        <v>Ativo</v>
      </c>
    </row>
    <row r="896" spans="1:6" x14ac:dyDescent="0.25">
      <c r="A896" t="s">
        <v>1528</v>
      </c>
      <c r="B896" t="s">
        <v>895</v>
      </c>
      <c r="C896" s="10" t="str" cm="1">
        <f t="array" ref="C896">IF(AND(A896="2020-12", ISNA(MATCH(B896, _xlfn._xlws.FILTER(B:B, A:A="2021-01"), 0))), "Left", "Ativo")</f>
        <v>Ativo</v>
      </c>
      <c r="D896" s="10" t="str" cm="1">
        <f t="array" ref="D896">IF(AND(A896="2021-01", ISNA(MATCH(B896, _xlfn._xlws.FILTER(B:B, A:A="2021-02"), 0))), "Left", "Ativo")</f>
        <v>Ativo</v>
      </c>
      <c r="E896" s="10" t="str" cm="1">
        <f t="array" ref="E896">IF(AND(A896="2021-02", ISNA(MATCH(B896, _xlfn._xlws.FILTER(B:B, A:A="2021-03"), 0))), "Left", "Ativo")</f>
        <v>Ativo</v>
      </c>
      <c r="F896" s="12" t="str" cm="1">
        <f t="array" ref="F896">IF(AND(A896="2021-03", ISNA(MATCH(B896, _xlfn._xlws.FILTER(B:B, A:A="2021-04"), 0))), "Left", "Ativo")</f>
        <v>Ativo</v>
      </c>
    </row>
    <row r="897" spans="1:6" x14ac:dyDescent="0.25">
      <c r="A897" t="s">
        <v>1528</v>
      </c>
      <c r="B897" t="s">
        <v>896</v>
      </c>
      <c r="C897" s="10" t="str" cm="1">
        <f t="array" ref="C897">IF(AND(A897="2020-12", ISNA(MATCH(B897, _xlfn._xlws.FILTER(B:B, A:A="2021-01"), 0))), "Left", "Ativo")</f>
        <v>Ativo</v>
      </c>
      <c r="D897" s="10" t="str" cm="1">
        <f t="array" ref="D897">IF(AND(A897="2021-01", ISNA(MATCH(B897, _xlfn._xlws.FILTER(B:B, A:A="2021-02"), 0))), "Left", "Ativo")</f>
        <v>Ativo</v>
      </c>
      <c r="E897" s="10" t="str" cm="1">
        <f t="array" ref="E897">IF(AND(A897="2021-02", ISNA(MATCH(B897, _xlfn._xlws.FILTER(B:B, A:A="2021-03"), 0))), "Left", "Ativo")</f>
        <v>Ativo</v>
      </c>
      <c r="F897" s="12" t="str" cm="1">
        <f t="array" ref="F897">IF(AND(A897="2021-03", ISNA(MATCH(B897, _xlfn._xlws.FILTER(B:B, A:A="2021-04"), 0))), "Left", "Ativo")</f>
        <v>Ativo</v>
      </c>
    </row>
    <row r="898" spans="1:6" x14ac:dyDescent="0.25">
      <c r="A898" t="s">
        <v>1528</v>
      </c>
      <c r="B898" t="s">
        <v>897</v>
      </c>
      <c r="C898" s="10" t="str" cm="1">
        <f t="array" ref="C898">IF(AND(A898="2020-12", ISNA(MATCH(B898, _xlfn._xlws.FILTER(B:B, A:A="2021-01"), 0))), "Left", "Ativo")</f>
        <v>Ativo</v>
      </c>
      <c r="D898" s="10" t="str" cm="1">
        <f t="array" ref="D898">IF(AND(A898="2021-01", ISNA(MATCH(B898, _xlfn._xlws.FILTER(B:B, A:A="2021-02"), 0))), "Left", "Ativo")</f>
        <v>Ativo</v>
      </c>
      <c r="E898" s="10" t="str" cm="1">
        <f t="array" ref="E898">IF(AND(A898="2021-02", ISNA(MATCH(B898, _xlfn._xlws.FILTER(B:B, A:A="2021-03"), 0))), "Left", "Ativo")</f>
        <v>Ativo</v>
      </c>
      <c r="F898" s="12" t="str" cm="1">
        <f t="array" ref="F898">IF(AND(A898="2021-03", ISNA(MATCH(B898, _xlfn._xlws.FILTER(B:B, A:A="2021-04"), 0))), "Left", "Ativo")</f>
        <v>Ativo</v>
      </c>
    </row>
    <row r="899" spans="1:6" x14ac:dyDescent="0.25">
      <c r="A899" t="s">
        <v>1528</v>
      </c>
      <c r="B899" t="s">
        <v>898</v>
      </c>
      <c r="C899" s="10" t="str" cm="1">
        <f t="array" ref="C899">IF(AND(A899="2020-12", ISNA(MATCH(B899, _xlfn._xlws.FILTER(B:B, A:A="2021-01"), 0))), "Left", "Ativo")</f>
        <v>Ativo</v>
      </c>
      <c r="D899" s="10" t="str" cm="1">
        <f t="array" ref="D899">IF(AND(A899="2021-01", ISNA(MATCH(B899, _xlfn._xlws.FILTER(B:B, A:A="2021-02"), 0))), "Left", "Ativo")</f>
        <v>Ativo</v>
      </c>
      <c r="E899" s="10" t="str" cm="1">
        <f t="array" ref="E899">IF(AND(A899="2021-02", ISNA(MATCH(B899, _xlfn._xlws.FILTER(B:B, A:A="2021-03"), 0))), "Left", "Ativo")</f>
        <v>Ativo</v>
      </c>
      <c r="F899" s="12" t="str" cm="1">
        <f t="array" ref="F899">IF(AND(A899="2021-03", ISNA(MATCH(B899, _xlfn._xlws.FILTER(B:B, A:A="2021-04"), 0))), "Left", "Ativo")</f>
        <v>Ativo</v>
      </c>
    </row>
    <row r="900" spans="1:6" x14ac:dyDescent="0.25">
      <c r="A900" t="s">
        <v>1528</v>
      </c>
      <c r="B900" t="s">
        <v>899</v>
      </c>
      <c r="C900" s="10" t="str" cm="1">
        <f t="array" ref="C900">IF(AND(A900="2020-12", ISNA(MATCH(B900, _xlfn._xlws.FILTER(B:B, A:A="2021-01"), 0))), "Left", "Ativo")</f>
        <v>Ativo</v>
      </c>
      <c r="D900" s="10" t="str" cm="1">
        <f t="array" ref="D900">IF(AND(A900="2021-01", ISNA(MATCH(B900, _xlfn._xlws.FILTER(B:B, A:A="2021-02"), 0))), "Left", "Ativo")</f>
        <v>Ativo</v>
      </c>
      <c r="E900" s="10" t="str" cm="1">
        <f t="array" ref="E900">IF(AND(A900="2021-02", ISNA(MATCH(B900, _xlfn._xlws.FILTER(B:B, A:A="2021-03"), 0))), "Left", "Ativo")</f>
        <v>Ativo</v>
      </c>
      <c r="F900" s="12" t="str" cm="1">
        <f t="array" ref="F900">IF(AND(A900="2021-03", ISNA(MATCH(B900, _xlfn._xlws.FILTER(B:B, A:A="2021-04"), 0))), "Left", "Ativo")</f>
        <v>Ativo</v>
      </c>
    </row>
    <row r="901" spans="1:6" x14ac:dyDescent="0.25">
      <c r="A901" t="s">
        <v>1528</v>
      </c>
      <c r="B901" t="s">
        <v>900</v>
      </c>
      <c r="C901" s="10" t="str" cm="1">
        <f t="array" ref="C901">IF(AND(A901="2020-12", ISNA(MATCH(B901, _xlfn._xlws.FILTER(B:B, A:A="2021-01"), 0))), "Left", "Ativo")</f>
        <v>Ativo</v>
      </c>
      <c r="D901" s="10" t="str" cm="1">
        <f t="array" ref="D901">IF(AND(A901="2021-01", ISNA(MATCH(B901, _xlfn._xlws.FILTER(B:B, A:A="2021-02"), 0))), "Left", "Ativo")</f>
        <v>Ativo</v>
      </c>
      <c r="E901" s="10" t="str" cm="1">
        <f t="array" ref="E901">IF(AND(A901="2021-02", ISNA(MATCH(B901, _xlfn._xlws.FILTER(B:B, A:A="2021-03"), 0))), "Left", "Ativo")</f>
        <v>Ativo</v>
      </c>
      <c r="F901" s="12" t="str" cm="1">
        <f t="array" ref="F901">IF(AND(A901="2021-03", ISNA(MATCH(B901, _xlfn._xlws.FILTER(B:B, A:A="2021-04"), 0))), "Left", "Ativo")</f>
        <v>Ativo</v>
      </c>
    </row>
    <row r="902" spans="1:6" x14ac:dyDescent="0.25">
      <c r="A902" t="s">
        <v>1528</v>
      </c>
      <c r="B902" t="s">
        <v>901</v>
      </c>
      <c r="C902" s="10" t="str" cm="1">
        <f t="array" ref="C902">IF(AND(A902="2020-12", ISNA(MATCH(B902, _xlfn._xlws.FILTER(B:B, A:A="2021-01"), 0))), "Left", "Ativo")</f>
        <v>Ativo</v>
      </c>
      <c r="D902" s="10" t="str" cm="1">
        <f t="array" ref="D902">IF(AND(A902="2021-01", ISNA(MATCH(B902, _xlfn._xlws.FILTER(B:B, A:A="2021-02"), 0))), "Left", "Ativo")</f>
        <v>Ativo</v>
      </c>
      <c r="E902" s="10" t="str" cm="1">
        <f t="array" ref="E902">IF(AND(A902="2021-02", ISNA(MATCH(B902, _xlfn._xlws.FILTER(B:B, A:A="2021-03"), 0))), "Left", "Ativo")</f>
        <v>Ativo</v>
      </c>
      <c r="F902" s="12" t="str" cm="1">
        <f t="array" ref="F902">IF(AND(A902="2021-03", ISNA(MATCH(B902, _xlfn._xlws.FILTER(B:B, A:A="2021-04"), 0))), "Left", "Ativo")</f>
        <v>Ativo</v>
      </c>
    </row>
    <row r="903" spans="1:6" x14ac:dyDescent="0.25">
      <c r="A903" t="s">
        <v>1528</v>
      </c>
      <c r="B903" t="s">
        <v>902</v>
      </c>
      <c r="C903" s="10" t="str" cm="1">
        <f t="array" ref="C903">IF(AND(A903="2020-12", ISNA(MATCH(B903, _xlfn._xlws.FILTER(B:B, A:A="2021-01"), 0))), "Left", "Ativo")</f>
        <v>Ativo</v>
      </c>
      <c r="D903" s="10" t="str" cm="1">
        <f t="array" ref="D903">IF(AND(A903="2021-01", ISNA(MATCH(B903, _xlfn._xlws.FILTER(B:B, A:A="2021-02"), 0))), "Left", "Ativo")</f>
        <v>Ativo</v>
      </c>
      <c r="E903" s="10" t="str" cm="1">
        <f t="array" ref="E903">IF(AND(A903="2021-02", ISNA(MATCH(B903, _xlfn._xlws.FILTER(B:B, A:A="2021-03"), 0))), "Left", "Ativo")</f>
        <v>Ativo</v>
      </c>
      <c r="F903" s="12" t="str" cm="1">
        <f t="array" ref="F903">IF(AND(A903="2021-03", ISNA(MATCH(B903, _xlfn._xlws.FILTER(B:B, A:A="2021-04"), 0))), "Left", "Ativo")</f>
        <v>Ativo</v>
      </c>
    </row>
    <row r="904" spans="1:6" x14ac:dyDescent="0.25">
      <c r="A904" t="s">
        <v>1528</v>
      </c>
      <c r="B904" t="s">
        <v>903</v>
      </c>
      <c r="C904" s="10" t="str" cm="1">
        <f t="array" ref="C904">IF(AND(A904="2020-12", ISNA(MATCH(B904, _xlfn._xlws.FILTER(B:B, A:A="2021-01"), 0))), "Left", "Ativo")</f>
        <v>Ativo</v>
      </c>
      <c r="D904" s="10" t="str" cm="1">
        <f t="array" ref="D904">IF(AND(A904="2021-01", ISNA(MATCH(B904, _xlfn._xlws.FILTER(B:B, A:A="2021-02"), 0))), "Left", "Ativo")</f>
        <v>Ativo</v>
      </c>
      <c r="E904" s="10" t="str" cm="1">
        <f t="array" ref="E904">IF(AND(A904="2021-02", ISNA(MATCH(B904, _xlfn._xlws.FILTER(B:B, A:A="2021-03"), 0))), "Left", "Ativo")</f>
        <v>Ativo</v>
      </c>
      <c r="F904" s="12" t="str" cm="1">
        <f t="array" ref="F904">IF(AND(A904="2021-03", ISNA(MATCH(B904, _xlfn._xlws.FILTER(B:B, A:A="2021-04"), 0))), "Left", "Ativo")</f>
        <v>Ativo</v>
      </c>
    </row>
    <row r="905" spans="1:6" x14ac:dyDescent="0.25">
      <c r="A905" t="s">
        <v>1528</v>
      </c>
      <c r="B905" t="s">
        <v>904</v>
      </c>
      <c r="C905" s="10" t="str" cm="1">
        <f t="array" ref="C905">IF(AND(A905="2020-12", ISNA(MATCH(B905, _xlfn._xlws.FILTER(B:B, A:A="2021-01"), 0))), "Left", "Ativo")</f>
        <v>Ativo</v>
      </c>
      <c r="D905" s="10" t="str" cm="1">
        <f t="array" ref="D905">IF(AND(A905="2021-01", ISNA(MATCH(B905, _xlfn._xlws.FILTER(B:B, A:A="2021-02"), 0))), "Left", "Ativo")</f>
        <v>Ativo</v>
      </c>
      <c r="E905" s="10" t="str" cm="1">
        <f t="array" ref="E905">IF(AND(A905="2021-02", ISNA(MATCH(B905, _xlfn._xlws.FILTER(B:B, A:A="2021-03"), 0))), "Left", "Ativo")</f>
        <v>Ativo</v>
      </c>
      <c r="F905" s="12" t="str" cm="1">
        <f t="array" ref="F905">IF(AND(A905="2021-03", ISNA(MATCH(B905, _xlfn._xlws.FILTER(B:B, A:A="2021-04"), 0))), "Left", "Ativo")</f>
        <v>Ativo</v>
      </c>
    </row>
    <row r="906" spans="1:6" x14ac:dyDescent="0.25">
      <c r="A906" t="s">
        <v>1528</v>
      </c>
      <c r="B906" t="s">
        <v>905</v>
      </c>
      <c r="C906" s="10" t="str" cm="1">
        <f t="array" ref="C906">IF(AND(A906="2020-12", ISNA(MATCH(B906, _xlfn._xlws.FILTER(B:B, A:A="2021-01"), 0))), "Left", "Ativo")</f>
        <v>Ativo</v>
      </c>
      <c r="D906" s="10" t="str" cm="1">
        <f t="array" ref="D906">IF(AND(A906="2021-01", ISNA(MATCH(B906, _xlfn._xlws.FILTER(B:B, A:A="2021-02"), 0))), "Left", "Ativo")</f>
        <v>Ativo</v>
      </c>
      <c r="E906" s="10" t="str" cm="1">
        <f t="array" ref="E906">IF(AND(A906="2021-02", ISNA(MATCH(B906, _xlfn._xlws.FILTER(B:B, A:A="2021-03"), 0))), "Left", "Ativo")</f>
        <v>Ativo</v>
      </c>
      <c r="F906" s="12" t="str" cm="1">
        <f t="array" ref="F906">IF(AND(A906="2021-03", ISNA(MATCH(B906, _xlfn._xlws.FILTER(B:B, A:A="2021-04"), 0))), "Left", "Ativo")</f>
        <v>Ativo</v>
      </c>
    </row>
    <row r="907" spans="1:6" x14ac:dyDescent="0.25">
      <c r="A907" t="s">
        <v>1528</v>
      </c>
      <c r="B907" t="s">
        <v>906</v>
      </c>
      <c r="C907" s="10" t="str" cm="1">
        <f t="array" ref="C907">IF(AND(A907="2020-12", ISNA(MATCH(B907, _xlfn._xlws.FILTER(B:B, A:A="2021-01"), 0))), "Left", "Ativo")</f>
        <v>Ativo</v>
      </c>
      <c r="D907" s="10" t="str" cm="1">
        <f t="array" ref="D907">IF(AND(A907="2021-01", ISNA(MATCH(B907, _xlfn._xlws.FILTER(B:B, A:A="2021-02"), 0))), "Left", "Ativo")</f>
        <v>Ativo</v>
      </c>
      <c r="E907" s="10" t="str" cm="1">
        <f t="array" ref="E907">IF(AND(A907="2021-02", ISNA(MATCH(B907, _xlfn._xlws.FILTER(B:B, A:A="2021-03"), 0))), "Left", "Ativo")</f>
        <v>Ativo</v>
      </c>
      <c r="F907" s="12" t="str" cm="1">
        <f t="array" ref="F907">IF(AND(A907="2021-03", ISNA(MATCH(B907, _xlfn._xlws.FILTER(B:B, A:A="2021-04"), 0))), "Left", "Ativo")</f>
        <v>Ativo</v>
      </c>
    </row>
    <row r="908" spans="1:6" x14ac:dyDescent="0.25">
      <c r="A908" t="s">
        <v>1528</v>
      </c>
      <c r="B908" t="s">
        <v>907</v>
      </c>
      <c r="C908" s="10" t="str" cm="1">
        <f t="array" ref="C908">IF(AND(A908="2020-12", ISNA(MATCH(B908, _xlfn._xlws.FILTER(B:B, A:A="2021-01"), 0))), "Left", "Ativo")</f>
        <v>Ativo</v>
      </c>
      <c r="D908" s="10" t="str" cm="1">
        <f t="array" ref="D908">IF(AND(A908="2021-01", ISNA(MATCH(B908, _xlfn._xlws.FILTER(B:B, A:A="2021-02"), 0))), "Left", "Ativo")</f>
        <v>Ativo</v>
      </c>
      <c r="E908" s="10" t="str" cm="1">
        <f t="array" ref="E908">IF(AND(A908="2021-02", ISNA(MATCH(B908, _xlfn._xlws.FILTER(B:B, A:A="2021-03"), 0))), "Left", "Ativo")</f>
        <v>Ativo</v>
      </c>
      <c r="F908" s="12" t="str" cm="1">
        <f t="array" ref="F908">IF(AND(A908="2021-03", ISNA(MATCH(B908, _xlfn._xlws.FILTER(B:B, A:A="2021-04"), 0))), "Left", "Ativo")</f>
        <v>Ativo</v>
      </c>
    </row>
    <row r="909" spans="1:6" x14ac:dyDescent="0.25">
      <c r="A909" t="s">
        <v>1528</v>
      </c>
      <c r="B909" t="s">
        <v>908</v>
      </c>
      <c r="C909" s="10" t="str" cm="1">
        <f t="array" ref="C909">IF(AND(A909="2020-12", ISNA(MATCH(B909, _xlfn._xlws.FILTER(B:B, A:A="2021-01"), 0))), "Left", "Ativo")</f>
        <v>Ativo</v>
      </c>
      <c r="D909" s="10" t="str" cm="1">
        <f t="array" ref="D909">IF(AND(A909="2021-01", ISNA(MATCH(B909, _xlfn._xlws.FILTER(B:B, A:A="2021-02"), 0))), "Left", "Ativo")</f>
        <v>Ativo</v>
      </c>
      <c r="E909" s="10" t="str" cm="1">
        <f t="array" ref="E909">IF(AND(A909="2021-02", ISNA(MATCH(B909, _xlfn._xlws.FILTER(B:B, A:A="2021-03"), 0))), "Left", "Ativo")</f>
        <v>Ativo</v>
      </c>
      <c r="F909" s="12" t="str" cm="1">
        <f t="array" ref="F909">IF(AND(A909="2021-03", ISNA(MATCH(B909, _xlfn._xlws.FILTER(B:B, A:A="2021-04"), 0))), "Left", "Ativo")</f>
        <v>Ativo</v>
      </c>
    </row>
    <row r="910" spans="1:6" x14ac:dyDescent="0.25">
      <c r="A910" t="s">
        <v>1528</v>
      </c>
      <c r="B910" t="s">
        <v>909</v>
      </c>
      <c r="C910" s="10" t="str" cm="1">
        <f t="array" ref="C910">IF(AND(A910="2020-12", ISNA(MATCH(B910, _xlfn._xlws.FILTER(B:B, A:A="2021-01"), 0))), "Left", "Ativo")</f>
        <v>Ativo</v>
      </c>
      <c r="D910" s="10" t="str" cm="1">
        <f t="array" ref="D910">IF(AND(A910="2021-01", ISNA(MATCH(B910, _xlfn._xlws.FILTER(B:B, A:A="2021-02"), 0))), "Left", "Ativo")</f>
        <v>Ativo</v>
      </c>
      <c r="E910" s="10" t="str" cm="1">
        <f t="array" ref="E910">IF(AND(A910="2021-02", ISNA(MATCH(B910, _xlfn._xlws.FILTER(B:B, A:A="2021-03"), 0))), "Left", "Ativo")</f>
        <v>Ativo</v>
      </c>
      <c r="F910" s="12" t="str" cm="1">
        <f t="array" ref="F910">IF(AND(A910="2021-03", ISNA(MATCH(B910, _xlfn._xlws.FILTER(B:B, A:A="2021-04"), 0))), "Left", "Ativo")</f>
        <v>Ativo</v>
      </c>
    </row>
    <row r="911" spans="1:6" x14ac:dyDescent="0.25">
      <c r="A911" t="s">
        <v>1528</v>
      </c>
      <c r="B911" t="s">
        <v>910</v>
      </c>
      <c r="C911" s="10" t="str" cm="1">
        <f t="array" ref="C911">IF(AND(A911="2020-12", ISNA(MATCH(B911, _xlfn._xlws.FILTER(B:B, A:A="2021-01"), 0))), "Left", "Ativo")</f>
        <v>Ativo</v>
      </c>
      <c r="D911" s="10" t="str" cm="1">
        <f t="array" ref="D911">IF(AND(A911="2021-01", ISNA(MATCH(B911, _xlfn._xlws.FILTER(B:B, A:A="2021-02"), 0))), "Left", "Ativo")</f>
        <v>Ativo</v>
      </c>
      <c r="E911" s="10" t="str" cm="1">
        <f t="array" ref="E911">IF(AND(A911="2021-02", ISNA(MATCH(B911, _xlfn._xlws.FILTER(B:B, A:A="2021-03"), 0))), "Left", "Ativo")</f>
        <v>Ativo</v>
      </c>
      <c r="F911" s="12" t="str" cm="1">
        <f t="array" ref="F911">IF(AND(A911="2021-03", ISNA(MATCH(B911, _xlfn._xlws.FILTER(B:B, A:A="2021-04"), 0))), "Left", "Ativo")</f>
        <v>Ativo</v>
      </c>
    </row>
    <row r="912" spans="1:6" x14ac:dyDescent="0.25">
      <c r="A912" t="s">
        <v>1528</v>
      </c>
      <c r="B912" t="s">
        <v>911</v>
      </c>
      <c r="C912" s="10" t="str" cm="1">
        <f t="array" ref="C912">IF(AND(A912="2020-12", ISNA(MATCH(B912, _xlfn._xlws.FILTER(B:B, A:A="2021-01"), 0))), "Left", "Ativo")</f>
        <v>Ativo</v>
      </c>
      <c r="D912" s="10" t="str" cm="1">
        <f t="array" ref="D912">IF(AND(A912="2021-01", ISNA(MATCH(B912, _xlfn._xlws.FILTER(B:B, A:A="2021-02"), 0))), "Left", "Ativo")</f>
        <v>Ativo</v>
      </c>
      <c r="E912" s="10" t="str" cm="1">
        <f t="array" ref="E912">IF(AND(A912="2021-02", ISNA(MATCH(B912, _xlfn._xlws.FILTER(B:B, A:A="2021-03"), 0))), "Left", "Ativo")</f>
        <v>Ativo</v>
      </c>
      <c r="F912" s="12" t="str" cm="1">
        <f t="array" ref="F912">IF(AND(A912="2021-03", ISNA(MATCH(B912, _xlfn._xlws.FILTER(B:B, A:A="2021-04"), 0))), "Left", "Ativo")</f>
        <v>Ativo</v>
      </c>
    </row>
    <row r="913" spans="1:6" x14ac:dyDescent="0.25">
      <c r="A913" t="s">
        <v>1528</v>
      </c>
      <c r="B913" t="s">
        <v>912</v>
      </c>
      <c r="C913" s="10" t="str" cm="1">
        <f t="array" ref="C913">IF(AND(A913="2020-12", ISNA(MATCH(B913, _xlfn._xlws.FILTER(B:B, A:A="2021-01"), 0))), "Left", "Ativo")</f>
        <v>Ativo</v>
      </c>
      <c r="D913" s="10" t="str" cm="1">
        <f t="array" ref="D913">IF(AND(A913="2021-01", ISNA(MATCH(B913, _xlfn._xlws.FILTER(B:B, A:A="2021-02"), 0))), "Left", "Ativo")</f>
        <v>Ativo</v>
      </c>
      <c r="E913" s="10" t="str" cm="1">
        <f t="array" ref="E913">IF(AND(A913="2021-02", ISNA(MATCH(B913, _xlfn._xlws.FILTER(B:B, A:A="2021-03"), 0))), "Left", "Ativo")</f>
        <v>Ativo</v>
      </c>
      <c r="F913" s="12" t="str" cm="1">
        <f t="array" ref="F913">IF(AND(A913="2021-03", ISNA(MATCH(B913, _xlfn._xlws.FILTER(B:B, A:A="2021-04"), 0))), "Left", "Ativo")</f>
        <v>Ativo</v>
      </c>
    </row>
    <row r="914" spans="1:6" x14ac:dyDescent="0.25">
      <c r="A914" t="s">
        <v>1528</v>
      </c>
      <c r="B914" t="s">
        <v>913</v>
      </c>
      <c r="C914" s="10" t="str" cm="1">
        <f t="array" ref="C914">IF(AND(A914="2020-12", ISNA(MATCH(B914, _xlfn._xlws.FILTER(B:B, A:A="2021-01"), 0))), "Left", "Ativo")</f>
        <v>Ativo</v>
      </c>
      <c r="D914" s="10" t="str" cm="1">
        <f t="array" ref="D914">IF(AND(A914="2021-01", ISNA(MATCH(B914, _xlfn._xlws.FILTER(B:B, A:A="2021-02"), 0))), "Left", "Ativo")</f>
        <v>Ativo</v>
      </c>
      <c r="E914" s="10" t="str" cm="1">
        <f t="array" ref="E914">IF(AND(A914="2021-02", ISNA(MATCH(B914, _xlfn._xlws.FILTER(B:B, A:A="2021-03"), 0))), "Left", "Ativo")</f>
        <v>Ativo</v>
      </c>
      <c r="F914" s="12" t="str" cm="1">
        <f t="array" ref="F914">IF(AND(A914="2021-03", ISNA(MATCH(B914, _xlfn._xlws.FILTER(B:B, A:A="2021-04"), 0))), "Left", "Ativo")</f>
        <v>Ativo</v>
      </c>
    </row>
    <row r="915" spans="1:6" x14ac:dyDescent="0.25">
      <c r="A915" t="s">
        <v>1528</v>
      </c>
      <c r="B915" t="s">
        <v>914</v>
      </c>
      <c r="C915" s="10" t="str" cm="1">
        <f t="array" ref="C915">IF(AND(A915="2020-12", ISNA(MATCH(B915, _xlfn._xlws.FILTER(B:B, A:A="2021-01"), 0))), "Left", "Ativo")</f>
        <v>Ativo</v>
      </c>
      <c r="D915" s="10" t="str" cm="1">
        <f t="array" ref="D915">IF(AND(A915="2021-01", ISNA(MATCH(B915, _xlfn._xlws.FILTER(B:B, A:A="2021-02"), 0))), "Left", "Ativo")</f>
        <v>Ativo</v>
      </c>
      <c r="E915" s="10" t="str" cm="1">
        <f t="array" ref="E915">IF(AND(A915="2021-02", ISNA(MATCH(B915, _xlfn._xlws.FILTER(B:B, A:A="2021-03"), 0))), "Left", "Ativo")</f>
        <v>Ativo</v>
      </c>
      <c r="F915" s="12" t="str" cm="1">
        <f t="array" ref="F915">IF(AND(A915="2021-03", ISNA(MATCH(B915, _xlfn._xlws.FILTER(B:B, A:A="2021-04"), 0))), "Left", "Ativo")</f>
        <v>Ativo</v>
      </c>
    </row>
    <row r="916" spans="1:6" x14ac:dyDescent="0.25">
      <c r="A916" t="s">
        <v>1528</v>
      </c>
      <c r="B916" t="s">
        <v>915</v>
      </c>
      <c r="C916" s="10" t="str" cm="1">
        <f t="array" ref="C916">IF(AND(A916="2020-12", ISNA(MATCH(B916, _xlfn._xlws.FILTER(B:B, A:A="2021-01"), 0))), "Left", "Ativo")</f>
        <v>Ativo</v>
      </c>
      <c r="D916" s="10" t="str" cm="1">
        <f t="array" ref="D916">IF(AND(A916="2021-01", ISNA(MATCH(B916, _xlfn._xlws.FILTER(B:B, A:A="2021-02"), 0))), "Left", "Ativo")</f>
        <v>Ativo</v>
      </c>
      <c r="E916" s="10" t="str" cm="1">
        <f t="array" ref="E916">IF(AND(A916="2021-02", ISNA(MATCH(B916, _xlfn._xlws.FILTER(B:B, A:A="2021-03"), 0))), "Left", "Ativo")</f>
        <v>Ativo</v>
      </c>
      <c r="F916" s="12" t="str" cm="1">
        <f t="array" ref="F916">IF(AND(A916="2021-03", ISNA(MATCH(B916, _xlfn._xlws.FILTER(B:B, A:A="2021-04"), 0))), "Left", "Ativo")</f>
        <v>Ativo</v>
      </c>
    </row>
    <row r="917" spans="1:6" x14ac:dyDescent="0.25">
      <c r="A917" t="s">
        <v>1528</v>
      </c>
      <c r="B917" t="s">
        <v>916</v>
      </c>
      <c r="C917" s="10" t="str" cm="1">
        <f t="array" ref="C917">IF(AND(A917="2020-12", ISNA(MATCH(B917, _xlfn._xlws.FILTER(B:B, A:A="2021-01"), 0))), "Left", "Ativo")</f>
        <v>Ativo</v>
      </c>
      <c r="D917" s="10" t="str" cm="1">
        <f t="array" ref="D917">IF(AND(A917="2021-01", ISNA(MATCH(B917, _xlfn._xlws.FILTER(B:B, A:A="2021-02"), 0))), "Left", "Ativo")</f>
        <v>Ativo</v>
      </c>
      <c r="E917" s="10" t="str" cm="1">
        <f t="array" ref="E917">IF(AND(A917="2021-02", ISNA(MATCH(B917, _xlfn._xlws.FILTER(B:B, A:A="2021-03"), 0))), "Left", "Ativo")</f>
        <v>Ativo</v>
      </c>
      <c r="F917" s="12" t="str" cm="1">
        <f t="array" ref="F917">IF(AND(A917="2021-03", ISNA(MATCH(B917, _xlfn._xlws.FILTER(B:B, A:A="2021-04"), 0))), "Left", "Ativo")</f>
        <v>Ativo</v>
      </c>
    </row>
    <row r="918" spans="1:6" x14ac:dyDescent="0.25">
      <c r="A918" t="s">
        <v>1528</v>
      </c>
      <c r="B918" t="s">
        <v>917</v>
      </c>
      <c r="C918" s="10" t="str" cm="1">
        <f t="array" ref="C918">IF(AND(A918="2020-12", ISNA(MATCH(B918, _xlfn._xlws.FILTER(B:B, A:A="2021-01"), 0))), "Left", "Ativo")</f>
        <v>Ativo</v>
      </c>
      <c r="D918" s="10" t="str" cm="1">
        <f t="array" ref="D918">IF(AND(A918="2021-01", ISNA(MATCH(B918, _xlfn._xlws.FILTER(B:B, A:A="2021-02"), 0))), "Left", "Ativo")</f>
        <v>Ativo</v>
      </c>
      <c r="E918" s="10" t="str" cm="1">
        <f t="array" ref="E918">IF(AND(A918="2021-02", ISNA(MATCH(B918, _xlfn._xlws.FILTER(B:B, A:A="2021-03"), 0))), "Left", "Ativo")</f>
        <v>Ativo</v>
      </c>
      <c r="F918" s="12" t="str" cm="1">
        <f t="array" ref="F918">IF(AND(A918="2021-03", ISNA(MATCH(B918, _xlfn._xlws.FILTER(B:B, A:A="2021-04"), 0))), "Left", "Ativo")</f>
        <v>Ativo</v>
      </c>
    </row>
    <row r="919" spans="1:6" x14ac:dyDescent="0.25">
      <c r="A919" t="s">
        <v>1528</v>
      </c>
      <c r="B919" t="s">
        <v>918</v>
      </c>
      <c r="C919" s="10" t="str" cm="1">
        <f t="array" ref="C919">IF(AND(A919="2020-12", ISNA(MATCH(B919, _xlfn._xlws.FILTER(B:B, A:A="2021-01"), 0))), "Left", "Ativo")</f>
        <v>Ativo</v>
      </c>
      <c r="D919" s="10" t="str" cm="1">
        <f t="array" ref="D919">IF(AND(A919="2021-01", ISNA(MATCH(B919, _xlfn._xlws.FILTER(B:B, A:A="2021-02"), 0))), "Left", "Ativo")</f>
        <v>Ativo</v>
      </c>
      <c r="E919" s="10" t="str" cm="1">
        <f t="array" ref="E919">IF(AND(A919="2021-02", ISNA(MATCH(B919, _xlfn._xlws.FILTER(B:B, A:A="2021-03"), 0))), "Left", "Ativo")</f>
        <v>Ativo</v>
      </c>
      <c r="F919" s="12" t="str" cm="1">
        <f t="array" ref="F919">IF(AND(A919="2021-03", ISNA(MATCH(B919, _xlfn._xlws.FILTER(B:B, A:A="2021-04"), 0))), "Left", "Ativo")</f>
        <v>Ativo</v>
      </c>
    </row>
    <row r="920" spans="1:6" x14ac:dyDescent="0.25">
      <c r="A920" t="s">
        <v>1528</v>
      </c>
      <c r="B920" t="s">
        <v>919</v>
      </c>
      <c r="C920" s="10" t="str" cm="1">
        <f t="array" ref="C920">IF(AND(A920="2020-12", ISNA(MATCH(B920, _xlfn._xlws.FILTER(B:B, A:A="2021-01"), 0))), "Left", "Ativo")</f>
        <v>Ativo</v>
      </c>
      <c r="D920" s="10" t="str" cm="1">
        <f t="array" ref="D920">IF(AND(A920="2021-01", ISNA(MATCH(B920, _xlfn._xlws.FILTER(B:B, A:A="2021-02"), 0))), "Left", "Ativo")</f>
        <v>Ativo</v>
      </c>
      <c r="E920" s="10" t="str" cm="1">
        <f t="array" ref="E920">IF(AND(A920="2021-02", ISNA(MATCH(B920, _xlfn._xlws.FILTER(B:B, A:A="2021-03"), 0))), "Left", "Ativo")</f>
        <v>Ativo</v>
      </c>
      <c r="F920" s="12" t="str" cm="1">
        <f t="array" ref="F920">IF(AND(A920="2021-03", ISNA(MATCH(B920, _xlfn._xlws.FILTER(B:B, A:A="2021-04"), 0))), "Left", "Ativo")</f>
        <v>Ativo</v>
      </c>
    </row>
    <row r="921" spans="1:6" x14ac:dyDescent="0.25">
      <c r="A921" t="s">
        <v>1528</v>
      </c>
      <c r="B921" t="s">
        <v>920</v>
      </c>
      <c r="C921" s="10" t="str" cm="1">
        <f t="array" ref="C921">IF(AND(A921="2020-12", ISNA(MATCH(B921, _xlfn._xlws.FILTER(B:B, A:A="2021-01"), 0))), "Left", "Ativo")</f>
        <v>Ativo</v>
      </c>
      <c r="D921" s="10" t="str" cm="1">
        <f t="array" ref="D921">IF(AND(A921="2021-01", ISNA(MATCH(B921, _xlfn._xlws.FILTER(B:B, A:A="2021-02"), 0))), "Left", "Ativo")</f>
        <v>Ativo</v>
      </c>
      <c r="E921" s="10" t="str" cm="1">
        <f t="array" ref="E921">IF(AND(A921="2021-02", ISNA(MATCH(B921, _xlfn._xlws.FILTER(B:B, A:A="2021-03"), 0))), "Left", "Ativo")</f>
        <v>Ativo</v>
      </c>
      <c r="F921" s="12" t="str" cm="1">
        <f t="array" ref="F921">IF(AND(A921="2021-03", ISNA(MATCH(B921, _xlfn._xlws.FILTER(B:B, A:A="2021-04"), 0))), "Left", "Ativo")</f>
        <v>Ativo</v>
      </c>
    </row>
    <row r="922" spans="1:6" x14ac:dyDescent="0.25">
      <c r="A922" t="s">
        <v>1528</v>
      </c>
      <c r="B922" t="s">
        <v>921</v>
      </c>
      <c r="C922" s="10" t="str" cm="1">
        <f t="array" ref="C922">IF(AND(A922="2020-12", ISNA(MATCH(B922, _xlfn._xlws.FILTER(B:B, A:A="2021-01"), 0))), "Left", "Ativo")</f>
        <v>Ativo</v>
      </c>
      <c r="D922" s="10" t="str" cm="1">
        <f t="array" ref="D922">IF(AND(A922="2021-01", ISNA(MATCH(B922, _xlfn._xlws.FILTER(B:B, A:A="2021-02"), 0))), "Left", "Ativo")</f>
        <v>Ativo</v>
      </c>
      <c r="E922" s="10" t="str" cm="1">
        <f t="array" ref="E922">IF(AND(A922="2021-02", ISNA(MATCH(B922, _xlfn._xlws.FILTER(B:B, A:A="2021-03"), 0))), "Left", "Ativo")</f>
        <v>Ativo</v>
      </c>
      <c r="F922" s="12" t="str" cm="1">
        <f t="array" ref="F922">IF(AND(A922="2021-03", ISNA(MATCH(B922, _xlfn._xlws.FILTER(B:B, A:A="2021-04"), 0))), "Left", "Ativo")</f>
        <v>Ativo</v>
      </c>
    </row>
    <row r="923" spans="1:6" x14ac:dyDescent="0.25">
      <c r="A923" t="s">
        <v>1528</v>
      </c>
      <c r="B923" t="s">
        <v>922</v>
      </c>
      <c r="C923" s="10" t="str" cm="1">
        <f t="array" ref="C923">IF(AND(A923="2020-12", ISNA(MATCH(B923, _xlfn._xlws.FILTER(B:B, A:A="2021-01"), 0))), "Left", "Ativo")</f>
        <v>Ativo</v>
      </c>
      <c r="D923" s="10" t="str" cm="1">
        <f t="array" ref="D923">IF(AND(A923="2021-01", ISNA(MATCH(B923, _xlfn._xlws.FILTER(B:B, A:A="2021-02"), 0))), "Left", "Ativo")</f>
        <v>Ativo</v>
      </c>
      <c r="E923" s="10" t="str" cm="1">
        <f t="array" ref="E923">IF(AND(A923="2021-02", ISNA(MATCH(B923, _xlfn._xlws.FILTER(B:B, A:A="2021-03"), 0))), "Left", "Ativo")</f>
        <v>Ativo</v>
      </c>
      <c r="F923" s="12" t="str" cm="1">
        <f t="array" ref="F923">IF(AND(A923="2021-03", ISNA(MATCH(B923, _xlfn._xlws.FILTER(B:B, A:A="2021-04"), 0))), "Left", "Ativo")</f>
        <v>Ativo</v>
      </c>
    </row>
    <row r="924" spans="1:6" x14ac:dyDescent="0.25">
      <c r="A924" t="s">
        <v>1528</v>
      </c>
      <c r="B924" t="s">
        <v>923</v>
      </c>
      <c r="C924" s="10" t="str" cm="1">
        <f t="array" ref="C924">IF(AND(A924="2020-12", ISNA(MATCH(B924, _xlfn._xlws.FILTER(B:B, A:A="2021-01"), 0))), "Left", "Ativo")</f>
        <v>Ativo</v>
      </c>
      <c r="D924" s="10" t="str" cm="1">
        <f t="array" ref="D924">IF(AND(A924="2021-01", ISNA(MATCH(B924, _xlfn._xlws.FILTER(B:B, A:A="2021-02"), 0))), "Left", "Ativo")</f>
        <v>Ativo</v>
      </c>
      <c r="E924" s="10" t="str" cm="1">
        <f t="array" ref="E924">IF(AND(A924="2021-02", ISNA(MATCH(B924, _xlfn._xlws.FILTER(B:B, A:A="2021-03"), 0))), "Left", "Ativo")</f>
        <v>Ativo</v>
      </c>
      <c r="F924" s="12" t="str" cm="1">
        <f t="array" ref="F924">IF(AND(A924="2021-03", ISNA(MATCH(B924, _xlfn._xlws.FILTER(B:B, A:A="2021-04"), 0))), "Left", "Ativo")</f>
        <v>Ativo</v>
      </c>
    </row>
    <row r="925" spans="1:6" x14ac:dyDescent="0.25">
      <c r="A925" t="s">
        <v>1528</v>
      </c>
      <c r="B925" t="s">
        <v>924</v>
      </c>
      <c r="C925" s="10" t="str" cm="1">
        <f t="array" ref="C925">IF(AND(A925="2020-12", ISNA(MATCH(B925, _xlfn._xlws.FILTER(B:B, A:A="2021-01"), 0))), "Left", "Ativo")</f>
        <v>Ativo</v>
      </c>
      <c r="D925" s="10" t="str" cm="1">
        <f t="array" ref="D925">IF(AND(A925="2021-01", ISNA(MATCH(B925, _xlfn._xlws.FILTER(B:B, A:A="2021-02"), 0))), "Left", "Ativo")</f>
        <v>Ativo</v>
      </c>
      <c r="E925" s="10" t="str" cm="1">
        <f t="array" ref="E925">IF(AND(A925="2021-02", ISNA(MATCH(B925, _xlfn._xlws.FILTER(B:B, A:A="2021-03"), 0))), "Left", "Ativo")</f>
        <v>Ativo</v>
      </c>
      <c r="F925" s="12" t="str" cm="1">
        <f t="array" ref="F925">IF(AND(A925="2021-03", ISNA(MATCH(B925, _xlfn._xlws.FILTER(B:B, A:A="2021-04"), 0))), "Left", "Ativo")</f>
        <v>Ativo</v>
      </c>
    </row>
    <row r="926" spans="1:6" x14ac:dyDescent="0.25">
      <c r="A926" t="s">
        <v>1528</v>
      </c>
      <c r="B926" t="s">
        <v>925</v>
      </c>
      <c r="C926" s="10" t="str" cm="1">
        <f t="array" ref="C926">IF(AND(A926="2020-12", ISNA(MATCH(B926, _xlfn._xlws.FILTER(B:B, A:A="2021-01"), 0))), "Left", "Ativo")</f>
        <v>Ativo</v>
      </c>
      <c r="D926" s="10" t="str" cm="1">
        <f t="array" ref="D926">IF(AND(A926="2021-01", ISNA(MATCH(B926, _xlfn._xlws.FILTER(B:B, A:A="2021-02"), 0))), "Left", "Ativo")</f>
        <v>Ativo</v>
      </c>
      <c r="E926" s="10" t="str" cm="1">
        <f t="array" ref="E926">IF(AND(A926="2021-02", ISNA(MATCH(B926, _xlfn._xlws.FILTER(B:B, A:A="2021-03"), 0))), "Left", "Ativo")</f>
        <v>Ativo</v>
      </c>
      <c r="F926" s="12" t="str" cm="1">
        <f t="array" ref="F926">IF(AND(A926="2021-03", ISNA(MATCH(B926, _xlfn._xlws.FILTER(B:B, A:A="2021-04"), 0))), "Left", "Ativo")</f>
        <v>Ativo</v>
      </c>
    </row>
    <row r="927" spans="1:6" x14ac:dyDescent="0.25">
      <c r="A927" t="s">
        <v>1528</v>
      </c>
      <c r="B927" t="s">
        <v>926</v>
      </c>
      <c r="C927" s="10" t="str" cm="1">
        <f t="array" ref="C927">IF(AND(A927="2020-12", ISNA(MATCH(B927, _xlfn._xlws.FILTER(B:B, A:A="2021-01"), 0))), "Left", "Ativo")</f>
        <v>Ativo</v>
      </c>
      <c r="D927" s="10" t="str" cm="1">
        <f t="array" ref="D927">IF(AND(A927="2021-01", ISNA(MATCH(B927, _xlfn._xlws.FILTER(B:B, A:A="2021-02"), 0))), "Left", "Ativo")</f>
        <v>Ativo</v>
      </c>
      <c r="E927" s="10" t="str" cm="1">
        <f t="array" ref="E927">IF(AND(A927="2021-02", ISNA(MATCH(B927, _xlfn._xlws.FILTER(B:B, A:A="2021-03"), 0))), "Left", "Ativo")</f>
        <v>Ativo</v>
      </c>
      <c r="F927" s="12" t="str" cm="1">
        <f t="array" ref="F927">IF(AND(A927="2021-03", ISNA(MATCH(B927, _xlfn._xlws.FILTER(B:B, A:A="2021-04"), 0))), "Left", "Ativo")</f>
        <v>Ativo</v>
      </c>
    </row>
    <row r="928" spans="1:6" x14ac:dyDescent="0.25">
      <c r="A928" t="s">
        <v>1528</v>
      </c>
      <c r="B928" t="s">
        <v>927</v>
      </c>
      <c r="C928" s="10" t="str" cm="1">
        <f t="array" ref="C928">IF(AND(A928="2020-12", ISNA(MATCH(B928, _xlfn._xlws.FILTER(B:B, A:A="2021-01"), 0))), "Left", "Ativo")</f>
        <v>Ativo</v>
      </c>
      <c r="D928" s="10" t="str" cm="1">
        <f t="array" ref="D928">IF(AND(A928="2021-01", ISNA(MATCH(B928, _xlfn._xlws.FILTER(B:B, A:A="2021-02"), 0))), "Left", "Ativo")</f>
        <v>Ativo</v>
      </c>
      <c r="E928" s="10" t="str" cm="1">
        <f t="array" ref="E928">IF(AND(A928="2021-02", ISNA(MATCH(B928, _xlfn._xlws.FILTER(B:B, A:A="2021-03"), 0))), "Left", "Ativo")</f>
        <v>Ativo</v>
      </c>
      <c r="F928" s="12" t="str" cm="1">
        <f t="array" ref="F928">IF(AND(A928="2021-03", ISNA(MATCH(B928, _xlfn._xlws.FILTER(B:B, A:A="2021-04"), 0))), "Left", "Ativo")</f>
        <v>Ativo</v>
      </c>
    </row>
    <row r="929" spans="1:6" x14ac:dyDescent="0.25">
      <c r="A929" t="s">
        <v>1528</v>
      </c>
      <c r="B929" t="s">
        <v>928</v>
      </c>
      <c r="C929" s="10" t="str" cm="1">
        <f t="array" ref="C929">IF(AND(A929="2020-12", ISNA(MATCH(B929, _xlfn._xlws.FILTER(B:B, A:A="2021-01"), 0))), "Left", "Ativo")</f>
        <v>Ativo</v>
      </c>
      <c r="D929" s="10" t="str" cm="1">
        <f t="array" ref="D929">IF(AND(A929="2021-01", ISNA(MATCH(B929, _xlfn._xlws.FILTER(B:B, A:A="2021-02"), 0))), "Left", "Ativo")</f>
        <v>Ativo</v>
      </c>
      <c r="E929" s="10" t="str" cm="1">
        <f t="array" ref="E929">IF(AND(A929="2021-02", ISNA(MATCH(B929, _xlfn._xlws.FILTER(B:B, A:A="2021-03"), 0))), "Left", "Ativo")</f>
        <v>Ativo</v>
      </c>
      <c r="F929" s="12" t="str" cm="1">
        <f t="array" ref="F929">IF(AND(A929="2021-03", ISNA(MATCH(B929, _xlfn._xlws.FILTER(B:B, A:A="2021-04"), 0))), "Left", "Ativo")</f>
        <v>Ativo</v>
      </c>
    </row>
    <row r="930" spans="1:6" x14ac:dyDescent="0.25">
      <c r="A930" t="s">
        <v>1528</v>
      </c>
      <c r="B930" t="s">
        <v>929</v>
      </c>
      <c r="C930" s="10" t="str" cm="1">
        <f t="array" ref="C930">IF(AND(A930="2020-12", ISNA(MATCH(B930, _xlfn._xlws.FILTER(B:B, A:A="2021-01"), 0))), "Left", "Ativo")</f>
        <v>Ativo</v>
      </c>
      <c r="D930" s="10" t="str" cm="1">
        <f t="array" ref="D930">IF(AND(A930="2021-01", ISNA(MATCH(B930, _xlfn._xlws.FILTER(B:B, A:A="2021-02"), 0))), "Left", "Ativo")</f>
        <v>Ativo</v>
      </c>
      <c r="E930" s="10" t="str" cm="1">
        <f t="array" ref="E930">IF(AND(A930="2021-02", ISNA(MATCH(B930, _xlfn._xlws.FILTER(B:B, A:A="2021-03"), 0))), "Left", "Ativo")</f>
        <v>Ativo</v>
      </c>
      <c r="F930" s="12" t="str" cm="1">
        <f t="array" ref="F930">IF(AND(A930="2021-03", ISNA(MATCH(B930, _xlfn._xlws.FILTER(B:B, A:A="2021-04"), 0))), "Left", "Ativo")</f>
        <v>Ativo</v>
      </c>
    </row>
    <row r="931" spans="1:6" x14ac:dyDescent="0.25">
      <c r="A931" t="s">
        <v>1528</v>
      </c>
      <c r="B931" t="s">
        <v>930</v>
      </c>
      <c r="C931" s="10" t="str" cm="1">
        <f t="array" ref="C931">IF(AND(A931="2020-12", ISNA(MATCH(B931, _xlfn._xlws.FILTER(B:B, A:A="2021-01"), 0))), "Left", "Ativo")</f>
        <v>Ativo</v>
      </c>
      <c r="D931" s="10" t="str" cm="1">
        <f t="array" ref="D931">IF(AND(A931="2021-01", ISNA(MATCH(B931, _xlfn._xlws.FILTER(B:B, A:A="2021-02"), 0))), "Left", "Ativo")</f>
        <v>Ativo</v>
      </c>
      <c r="E931" s="10" t="str" cm="1">
        <f t="array" ref="E931">IF(AND(A931="2021-02", ISNA(MATCH(B931, _xlfn._xlws.FILTER(B:B, A:A="2021-03"), 0))), "Left", "Ativo")</f>
        <v>Ativo</v>
      </c>
      <c r="F931" s="12" t="str" cm="1">
        <f t="array" ref="F931">IF(AND(A931="2021-03", ISNA(MATCH(B931, _xlfn._xlws.FILTER(B:B, A:A="2021-04"), 0))), "Left", "Ativo")</f>
        <v>Ativo</v>
      </c>
    </row>
    <row r="932" spans="1:6" x14ac:dyDescent="0.25">
      <c r="A932" t="s">
        <v>1528</v>
      </c>
      <c r="B932" t="s">
        <v>931</v>
      </c>
      <c r="C932" s="10" t="str" cm="1">
        <f t="array" ref="C932">IF(AND(A932="2020-12", ISNA(MATCH(B932, _xlfn._xlws.FILTER(B:B, A:A="2021-01"), 0))), "Left", "Ativo")</f>
        <v>Ativo</v>
      </c>
      <c r="D932" s="10" t="str" cm="1">
        <f t="array" ref="D932">IF(AND(A932="2021-01", ISNA(MATCH(B932, _xlfn._xlws.FILTER(B:B, A:A="2021-02"), 0))), "Left", "Ativo")</f>
        <v>Ativo</v>
      </c>
      <c r="E932" s="10" t="str" cm="1">
        <f t="array" ref="E932">IF(AND(A932="2021-02", ISNA(MATCH(B932, _xlfn._xlws.FILTER(B:B, A:A="2021-03"), 0))), "Left", "Ativo")</f>
        <v>Ativo</v>
      </c>
      <c r="F932" s="12" t="str" cm="1">
        <f t="array" ref="F932">IF(AND(A932="2021-03", ISNA(MATCH(B932, _xlfn._xlws.FILTER(B:B, A:A="2021-04"), 0))), "Left", "Ativo")</f>
        <v>Ativo</v>
      </c>
    </row>
    <row r="933" spans="1:6" x14ac:dyDescent="0.25">
      <c r="A933" t="s">
        <v>1528</v>
      </c>
      <c r="B933" t="s">
        <v>932</v>
      </c>
      <c r="C933" s="10" t="str" cm="1">
        <f t="array" ref="C933">IF(AND(A933="2020-12", ISNA(MATCH(B933, _xlfn._xlws.FILTER(B:B, A:A="2021-01"), 0))), "Left", "Ativo")</f>
        <v>Ativo</v>
      </c>
      <c r="D933" s="10" t="str" cm="1">
        <f t="array" ref="D933">IF(AND(A933="2021-01", ISNA(MATCH(B933, _xlfn._xlws.FILTER(B:B, A:A="2021-02"), 0))), "Left", "Ativo")</f>
        <v>Ativo</v>
      </c>
      <c r="E933" s="10" t="str" cm="1">
        <f t="array" ref="E933">IF(AND(A933="2021-02", ISNA(MATCH(B933, _xlfn._xlws.FILTER(B:B, A:A="2021-03"), 0))), "Left", "Ativo")</f>
        <v>Ativo</v>
      </c>
      <c r="F933" s="12" t="str" cm="1">
        <f t="array" ref="F933">IF(AND(A933="2021-03", ISNA(MATCH(B933, _xlfn._xlws.FILTER(B:B, A:A="2021-04"), 0))), "Left", "Ativo")</f>
        <v>Ativo</v>
      </c>
    </row>
    <row r="934" spans="1:6" x14ac:dyDescent="0.25">
      <c r="A934" t="s">
        <v>1528</v>
      </c>
      <c r="B934" t="s">
        <v>933</v>
      </c>
      <c r="C934" s="10" t="str" cm="1">
        <f t="array" ref="C934">IF(AND(A934="2020-12", ISNA(MATCH(B934, _xlfn._xlws.FILTER(B:B, A:A="2021-01"), 0))), "Left", "Ativo")</f>
        <v>Ativo</v>
      </c>
      <c r="D934" s="10" t="str" cm="1">
        <f t="array" ref="D934">IF(AND(A934="2021-01", ISNA(MATCH(B934, _xlfn._xlws.FILTER(B:B, A:A="2021-02"), 0))), "Left", "Ativo")</f>
        <v>Ativo</v>
      </c>
      <c r="E934" s="10" t="str" cm="1">
        <f t="array" ref="E934">IF(AND(A934="2021-02", ISNA(MATCH(B934, _xlfn._xlws.FILTER(B:B, A:A="2021-03"), 0))), "Left", "Ativo")</f>
        <v>Ativo</v>
      </c>
      <c r="F934" s="12" t="str" cm="1">
        <f t="array" ref="F934">IF(AND(A934="2021-03", ISNA(MATCH(B934, _xlfn._xlws.FILTER(B:B, A:A="2021-04"), 0))), "Left", "Ativo")</f>
        <v>Ativo</v>
      </c>
    </row>
    <row r="935" spans="1:6" x14ac:dyDescent="0.25">
      <c r="A935" t="s">
        <v>1528</v>
      </c>
      <c r="B935" t="s">
        <v>934</v>
      </c>
      <c r="C935" s="10" t="str" cm="1">
        <f t="array" ref="C935">IF(AND(A935="2020-12", ISNA(MATCH(B935, _xlfn._xlws.FILTER(B:B, A:A="2021-01"), 0))), "Left", "Ativo")</f>
        <v>Ativo</v>
      </c>
      <c r="D935" s="10" t="str" cm="1">
        <f t="array" ref="D935">IF(AND(A935="2021-01", ISNA(MATCH(B935, _xlfn._xlws.FILTER(B:B, A:A="2021-02"), 0))), "Left", "Ativo")</f>
        <v>Ativo</v>
      </c>
      <c r="E935" s="10" t="str" cm="1">
        <f t="array" ref="E935">IF(AND(A935="2021-02", ISNA(MATCH(B935, _xlfn._xlws.FILTER(B:B, A:A="2021-03"), 0))), "Left", "Ativo")</f>
        <v>Ativo</v>
      </c>
      <c r="F935" s="12" t="str" cm="1">
        <f t="array" ref="F935">IF(AND(A935="2021-03", ISNA(MATCH(B935, _xlfn._xlws.FILTER(B:B, A:A="2021-04"), 0))), "Left", "Ativo")</f>
        <v>Ativo</v>
      </c>
    </row>
    <row r="936" spans="1:6" x14ac:dyDescent="0.25">
      <c r="A936" t="s">
        <v>1528</v>
      </c>
      <c r="B936" t="s">
        <v>935</v>
      </c>
      <c r="C936" s="10" t="str" cm="1">
        <f t="array" ref="C936">IF(AND(A936="2020-12", ISNA(MATCH(B936, _xlfn._xlws.FILTER(B:B, A:A="2021-01"), 0))), "Left", "Ativo")</f>
        <v>Ativo</v>
      </c>
      <c r="D936" s="10" t="str" cm="1">
        <f t="array" ref="D936">IF(AND(A936="2021-01", ISNA(MATCH(B936, _xlfn._xlws.FILTER(B:B, A:A="2021-02"), 0))), "Left", "Ativo")</f>
        <v>Ativo</v>
      </c>
      <c r="E936" s="10" t="str" cm="1">
        <f t="array" ref="E936">IF(AND(A936="2021-02", ISNA(MATCH(B936, _xlfn._xlws.FILTER(B:B, A:A="2021-03"), 0))), "Left", "Ativo")</f>
        <v>Ativo</v>
      </c>
      <c r="F936" s="12" t="str" cm="1">
        <f t="array" ref="F936">IF(AND(A936="2021-03", ISNA(MATCH(B936, _xlfn._xlws.FILTER(B:B, A:A="2021-04"), 0))), "Left", "Ativo")</f>
        <v>Ativo</v>
      </c>
    </row>
    <row r="937" spans="1:6" x14ac:dyDescent="0.25">
      <c r="A937" t="s">
        <v>1528</v>
      </c>
      <c r="B937" t="s">
        <v>936</v>
      </c>
      <c r="C937" s="10" t="str" cm="1">
        <f t="array" ref="C937">IF(AND(A937="2020-12", ISNA(MATCH(B937, _xlfn._xlws.FILTER(B:B, A:A="2021-01"), 0))), "Left", "Ativo")</f>
        <v>Ativo</v>
      </c>
      <c r="D937" s="10" t="str" cm="1">
        <f t="array" ref="D937">IF(AND(A937="2021-01", ISNA(MATCH(B937, _xlfn._xlws.FILTER(B:B, A:A="2021-02"), 0))), "Left", "Ativo")</f>
        <v>Ativo</v>
      </c>
      <c r="E937" s="10" t="str" cm="1">
        <f t="array" ref="E937">IF(AND(A937="2021-02", ISNA(MATCH(B937, _xlfn._xlws.FILTER(B:B, A:A="2021-03"), 0))), "Left", "Ativo")</f>
        <v>Ativo</v>
      </c>
      <c r="F937" s="12" t="str" cm="1">
        <f t="array" ref="F937">IF(AND(A937="2021-03", ISNA(MATCH(B937, _xlfn._xlws.FILTER(B:B, A:A="2021-04"), 0))), "Left", "Ativo")</f>
        <v>Ativo</v>
      </c>
    </row>
    <row r="938" spans="1:6" x14ac:dyDescent="0.25">
      <c r="A938" t="s">
        <v>1528</v>
      </c>
      <c r="B938" t="s">
        <v>937</v>
      </c>
      <c r="C938" s="10" t="str" cm="1">
        <f t="array" ref="C938">IF(AND(A938="2020-12", ISNA(MATCH(B938, _xlfn._xlws.FILTER(B:B, A:A="2021-01"), 0))), "Left", "Ativo")</f>
        <v>Ativo</v>
      </c>
      <c r="D938" s="10" t="str" cm="1">
        <f t="array" ref="D938">IF(AND(A938="2021-01", ISNA(MATCH(B938, _xlfn._xlws.FILTER(B:B, A:A="2021-02"), 0))), "Left", "Ativo")</f>
        <v>Ativo</v>
      </c>
      <c r="E938" s="10" t="str" cm="1">
        <f t="array" ref="E938">IF(AND(A938="2021-02", ISNA(MATCH(B938, _xlfn._xlws.FILTER(B:B, A:A="2021-03"), 0))), "Left", "Ativo")</f>
        <v>Ativo</v>
      </c>
      <c r="F938" s="12" t="str" cm="1">
        <f t="array" ref="F938">IF(AND(A938="2021-03", ISNA(MATCH(B938, _xlfn._xlws.FILTER(B:B, A:A="2021-04"), 0))), "Left", "Ativo")</f>
        <v>Ativo</v>
      </c>
    </row>
    <row r="939" spans="1:6" x14ac:dyDescent="0.25">
      <c r="A939" t="s">
        <v>1528</v>
      </c>
      <c r="B939" t="s">
        <v>938</v>
      </c>
      <c r="C939" s="10" t="str" cm="1">
        <f t="array" ref="C939">IF(AND(A939="2020-12", ISNA(MATCH(B939, _xlfn._xlws.FILTER(B:B, A:A="2021-01"), 0))), "Left", "Ativo")</f>
        <v>Ativo</v>
      </c>
      <c r="D939" s="10" t="str" cm="1">
        <f t="array" ref="D939">IF(AND(A939="2021-01", ISNA(MATCH(B939, _xlfn._xlws.FILTER(B:B, A:A="2021-02"), 0))), "Left", "Ativo")</f>
        <v>Ativo</v>
      </c>
      <c r="E939" s="10" t="str" cm="1">
        <f t="array" ref="E939">IF(AND(A939="2021-02", ISNA(MATCH(B939, _xlfn._xlws.FILTER(B:B, A:A="2021-03"), 0))), "Left", "Ativo")</f>
        <v>Ativo</v>
      </c>
      <c r="F939" s="12" t="str" cm="1">
        <f t="array" ref="F939">IF(AND(A939="2021-03", ISNA(MATCH(B939, _xlfn._xlws.FILTER(B:B, A:A="2021-04"), 0))), "Left", "Ativo")</f>
        <v>Ativo</v>
      </c>
    </row>
    <row r="940" spans="1:6" x14ac:dyDescent="0.25">
      <c r="A940" t="s">
        <v>1528</v>
      </c>
      <c r="B940" t="s">
        <v>939</v>
      </c>
      <c r="C940" s="10" t="str" cm="1">
        <f t="array" ref="C940">IF(AND(A940="2020-12", ISNA(MATCH(B940, _xlfn._xlws.FILTER(B:B, A:A="2021-01"), 0))), "Left", "Ativo")</f>
        <v>Ativo</v>
      </c>
      <c r="D940" s="10" t="str" cm="1">
        <f t="array" ref="D940">IF(AND(A940="2021-01", ISNA(MATCH(B940, _xlfn._xlws.FILTER(B:B, A:A="2021-02"), 0))), "Left", "Ativo")</f>
        <v>Ativo</v>
      </c>
      <c r="E940" s="10" t="str" cm="1">
        <f t="array" ref="E940">IF(AND(A940="2021-02", ISNA(MATCH(B940, _xlfn._xlws.FILTER(B:B, A:A="2021-03"), 0))), "Left", "Ativo")</f>
        <v>Ativo</v>
      </c>
      <c r="F940" s="12" t="str" cm="1">
        <f t="array" ref="F940">IF(AND(A940="2021-03", ISNA(MATCH(B940, _xlfn._xlws.FILTER(B:B, A:A="2021-04"), 0))), "Left", "Ativo")</f>
        <v>Ativo</v>
      </c>
    </row>
    <row r="941" spans="1:6" x14ac:dyDescent="0.25">
      <c r="A941" t="s">
        <v>1528</v>
      </c>
      <c r="B941" t="s">
        <v>940</v>
      </c>
      <c r="C941" s="10" t="str" cm="1">
        <f t="array" ref="C941">IF(AND(A941="2020-12", ISNA(MATCH(B941, _xlfn._xlws.FILTER(B:B, A:A="2021-01"), 0))), "Left", "Ativo")</f>
        <v>Ativo</v>
      </c>
      <c r="D941" s="10" t="str" cm="1">
        <f t="array" ref="D941">IF(AND(A941="2021-01", ISNA(MATCH(B941, _xlfn._xlws.FILTER(B:B, A:A="2021-02"), 0))), "Left", "Ativo")</f>
        <v>Ativo</v>
      </c>
      <c r="E941" s="10" t="str" cm="1">
        <f t="array" ref="E941">IF(AND(A941="2021-02", ISNA(MATCH(B941, _xlfn._xlws.FILTER(B:B, A:A="2021-03"), 0))), "Left", "Ativo")</f>
        <v>Ativo</v>
      </c>
      <c r="F941" s="12" t="str" cm="1">
        <f t="array" ref="F941">IF(AND(A941="2021-03", ISNA(MATCH(B941, _xlfn._xlws.FILTER(B:B, A:A="2021-04"), 0))), "Left", "Ativo")</f>
        <v>Ativo</v>
      </c>
    </row>
    <row r="942" spans="1:6" x14ac:dyDescent="0.25">
      <c r="A942" t="s">
        <v>1529</v>
      </c>
      <c r="B942" t="s">
        <v>1</v>
      </c>
      <c r="C942" s="10" t="str" cm="1">
        <f t="array" ref="C942">IF(AND(A942="2020-12", ISNA(MATCH(B942, _xlfn._xlws.FILTER(B:B, A:A="2021-01"), 0))), "Left", "Ativo")</f>
        <v>Ativo</v>
      </c>
      <c r="D942" s="10" t="str" cm="1">
        <f t="array" ref="D942">IF(AND(A942="2021-01", ISNA(MATCH(B942, _xlfn._xlws.FILTER(B:B, A:A="2021-02"), 0))), "Left", "Ativo")</f>
        <v>Left</v>
      </c>
      <c r="E942" s="10" t="str" cm="1">
        <f t="array" ref="E942">IF(AND(A942="2021-02", ISNA(MATCH(B942, _xlfn._xlws.FILTER(B:B, A:A="2021-03"), 0))), "Left", "Ativo")</f>
        <v>Ativo</v>
      </c>
      <c r="F942" s="12" t="str" cm="1">
        <f t="array" ref="F942">IF(AND(A942="2021-03", ISNA(MATCH(B942, _xlfn._xlws.FILTER(B:B, A:A="2021-04"), 0))), "Left", "Ativo")</f>
        <v>Ativo</v>
      </c>
    </row>
    <row r="943" spans="1:6" x14ac:dyDescent="0.25">
      <c r="A943" t="s">
        <v>1529</v>
      </c>
      <c r="B943" t="s">
        <v>2</v>
      </c>
      <c r="C943" s="10" t="str" cm="1">
        <f t="array" ref="C943">IF(AND(A943="2020-12", ISNA(MATCH(B943, _xlfn._xlws.FILTER(B:B, A:A="2021-01"), 0))), "Left", "Ativo")</f>
        <v>Ativo</v>
      </c>
      <c r="D943" s="10" t="str" cm="1">
        <f t="array" ref="D943">IF(AND(A943="2021-01", ISNA(MATCH(B943, _xlfn._xlws.FILTER(B:B, A:A="2021-02"), 0))), "Left", "Ativo")</f>
        <v>Left</v>
      </c>
      <c r="E943" s="10" t="str" cm="1">
        <f t="array" ref="E943">IF(AND(A943="2021-02", ISNA(MATCH(B943, _xlfn._xlws.FILTER(B:B, A:A="2021-03"), 0))), "Left", "Ativo")</f>
        <v>Ativo</v>
      </c>
      <c r="F943" s="12" t="str" cm="1">
        <f t="array" ref="F943">IF(AND(A943="2021-03", ISNA(MATCH(B943, _xlfn._xlws.FILTER(B:B, A:A="2021-04"), 0))), "Left", "Ativo")</f>
        <v>Ativo</v>
      </c>
    </row>
    <row r="944" spans="1:6" x14ac:dyDescent="0.25">
      <c r="A944" t="s">
        <v>1529</v>
      </c>
      <c r="B944" t="s">
        <v>4</v>
      </c>
      <c r="C944" s="10" t="str" cm="1">
        <f t="array" ref="C944">IF(AND(A944="2020-12", ISNA(MATCH(B944, _xlfn._xlws.FILTER(B:B, A:A="2021-01"), 0))), "Left", "Ativo")</f>
        <v>Ativo</v>
      </c>
      <c r="D944" s="10" t="str" cm="1">
        <f t="array" ref="D944">IF(AND(A944="2021-01", ISNA(MATCH(B944, _xlfn._xlws.FILTER(B:B, A:A="2021-02"), 0))), "Left", "Ativo")</f>
        <v>Left</v>
      </c>
      <c r="E944" s="10" t="str" cm="1">
        <f t="array" ref="E944">IF(AND(A944="2021-02", ISNA(MATCH(B944, _xlfn._xlws.FILTER(B:B, A:A="2021-03"), 0))), "Left", "Ativo")</f>
        <v>Ativo</v>
      </c>
      <c r="F944" s="12" t="str" cm="1">
        <f t="array" ref="F944">IF(AND(A944="2021-03", ISNA(MATCH(B944, _xlfn._xlws.FILTER(B:B, A:A="2021-04"), 0))), "Left", "Ativo")</f>
        <v>Ativo</v>
      </c>
    </row>
    <row r="945" spans="1:6" x14ac:dyDescent="0.25">
      <c r="A945" t="s">
        <v>1529</v>
      </c>
      <c r="B945" t="s">
        <v>5</v>
      </c>
      <c r="C945" s="10" t="str" cm="1">
        <f t="array" ref="C945">IF(AND(A945="2020-12", ISNA(MATCH(B945, _xlfn._xlws.FILTER(B:B, A:A="2021-01"), 0))), "Left", "Ativo")</f>
        <v>Ativo</v>
      </c>
      <c r="D945" s="10" t="str" cm="1">
        <f t="array" ref="D945">IF(AND(A945="2021-01", ISNA(MATCH(B945, _xlfn._xlws.FILTER(B:B, A:A="2021-02"), 0))), "Left", "Ativo")</f>
        <v>Left</v>
      </c>
      <c r="E945" s="10" t="str" cm="1">
        <f t="array" ref="E945">IF(AND(A945="2021-02", ISNA(MATCH(B945, _xlfn._xlws.FILTER(B:B, A:A="2021-03"), 0))), "Left", "Ativo")</f>
        <v>Ativo</v>
      </c>
      <c r="F945" s="12" t="str" cm="1">
        <f t="array" ref="F945">IF(AND(A945="2021-03", ISNA(MATCH(B945, _xlfn._xlws.FILTER(B:B, A:A="2021-04"), 0))), "Left", "Ativo")</f>
        <v>Ativo</v>
      </c>
    </row>
    <row r="946" spans="1:6" x14ac:dyDescent="0.25">
      <c r="A946" t="s">
        <v>1529</v>
      </c>
      <c r="B946" t="s">
        <v>7</v>
      </c>
      <c r="C946" s="10" t="str" cm="1">
        <f t="array" ref="C946">IF(AND(A946="2020-12", ISNA(MATCH(B946, _xlfn._xlws.FILTER(B:B, A:A="2021-01"), 0))), "Left", "Ativo")</f>
        <v>Ativo</v>
      </c>
      <c r="D946" s="10" t="str" cm="1">
        <f t="array" ref="D946">IF(AND(A946="2021-01", ISNA(MATCH(B946, _xlfn._xlws.FILTER(B:B, A:A="2021-02"), 0))), "Left", "Ativo")</f>
        <v>Left</v>
      </c>
      <c r="E946" s="10" t="str" cm="1">
        <f t="array" ref="E946">IF(AND(A946="2021-02", ISNA(MATCH(B946, _xlfn._xlws.FILTER(B:B, A:A="2021-03"), 0))), "Left", "Ativo")</f>
        <v>Ativo</v>
      </c>
      <c r="F946" s="12" t="str" cm="1">
        <f t="array" ref="F946">IF(AND(A946="2021-03", ISNA(MATCH(B946, _xlfn._xlws.FILTER(B:B, A:A="2021-04"), 0))), "Left", "Ativo")</f>
        <v>Ativo</v>
      </c>
    </row>
    <row r="947" spans="1:6" x14ac:dyDescent="0.25">
      <c r="A947" t="s">
        <v>1529</v>
      </c>
      <c r="B947" t="s">
        <v>10</v>
      </c>
      <c r="C947" s="10" t="str" cm="1">
        <f t="array" ref="C947">IF(AND(A947="2020-12", ISNA(MATCH(B947, _xlfn._xlws.FILTER(B:B, A:A="2021-01"), 0))), "Left", "Ativo")</f>
        <v>Ativo</v>
      </c>
      <c r="D947" s="10" t="str" cm="1">
        <f t="array" ref="D947">IF(AND(A947="2021-01", ISNA(MATCH(B947, _xlfn._xlws.FILTER(B:B, A:A="2021-02"), 0))), "Left", "Ativo")</f>
        <v>Left</v>
      </c>
      <c r="E947" s="10" t="str" cm="1">
        <f t="array" ref="E947">IF(AND(A947="2021-02", ISNA(MATCH(B947, _xlfn._xlws.FILTER(B:B, A:A="2021-03"), 0))), "Left", "Ativo")</f>
        <v>Ativo</v>
      </c>
      <c r="F947" s="12" t="str" cm="1">
        <f t="array" ref="F947">IF(AND(A947="2021-03", ISNA(MATCH(B947, _xlfn._xlws.FILTER(B:B, A:A="2021-04"), 0))), "Left", "Ativo")</f>
        <v>Ativo</v>
      </c>
    </row>
    <row r="948" spans="1:6" x14ac:dyDescent="0.25">
      <c r="A948" t="s">
        <v>1529</v>
      </c>
      <c r="B948" t="s">
        <v>941</v>
      </c>
      <c r="C948" s="10" t="str" cm="1">
        <f t="array" ref="C948">IF(AND(A948="2020-12", ISNA(MATCH(B948, _xlfn._xlws.FILTER(B:B, A:A="2021-01"), 0))), "Left", "Ativo")</f>
        <v>Ativo</v>
      </c>
      <c r="D948" s="10" t="str" cm="1">
        <f t="array" ref="D948">IF(AND(A948="2021-01", ISNA(MATCH(B948, _xlfn._xlws.FILTER(B:B, A:A="2021-02"), 0))), "Left", "Ativo")</f>
        <v>Left</v>
      </c>
      <c r="E948" s="10" t="str" cm="1">
        <f t="array" ref="E948">IF(AND(A948="2021-02", ISNA(MATCH(B948, _xlfn._xlws.FILTER(B:B, A:A="2021-03"), 0))), "Left", "Ativo")</f>
        <v>Ativo</v>
      </c>
      <c r="F948" s="12" t="str" cm="1">
        <f t="array" ref="F948">IF(AND(A948="2021-03", ISNA(MATCH(B948, _xlfn._xlws.FILTER(B:B, A:A="2021-04"), 0))), "Left", "Ativo")</f>
        <v>Ativo</v>
      </c>
    </row>
    <row r="949" spans="1:6" x14ac:dyDescent="0.25">
      <c r="A949" t="s">
        <v>1529</v>
      </c>
      <c r="B949" t="s">
        <v>942</v>
      </c>
      <c r="C949" s="10" t="str" cm="1">
        <f t="array" ref="C949">IF(AND(A949="2020-12", ISNA(MATCH(B949, _xlfn._xlws.FILTER(B:B, A:A="2021-01"), 0))), "Left", "Ativo")</f>
        <v>Ativo</v>
      </c>
      <c r="D949" s="10" t="str" cm="1">
        <f t="array" ref="D949">IF(AND(A949="2021-01", ISNA(MATCH(B949, _xlfn._xlws.FILTER(B:B, A:A="2021-02"), 0))), "Left", "Ativo")</f>
        <v>Left</v>
      </c>
      <c r="E949" s="10" t="str" cm="1">
        <f t="array" ref="E949">IF(AND(A949="2021-02", ISNA(MATCH(B949, _xlfn._xlws.FILTER(B:B, A:A="2021-03"), 0))), "Left", "Ativo")</f>
        <v>Ativo</v>
      </c>
      <c r="F949" s="12" t="str" cm="1">
        <f t="array" ref="F949">IF(AND(A949="2021-03", ISNA(MATCH(B949, _xlfn._xlws.FILTER(B:B, A:A="2021-04"), 0))), "Left", "Ativo")</f>
        <v>Ativo</v>
      </c>
    </row>
    <row r="950" spans="1:6" x14ac:dyDescent="0.25">
      <c r="A950" t="s">
        <v>1529</v>
      </c>
      <c r="B950" t="s">
        <v>943</v>
      </c>
      <c r="C950" s="10" t="str" cm="1">
        <f t="array" ref="C950">IF(AND(A950="2020-12", ISNA(MATCH(B950, _xlfn._xlws.FILTER(B:B, A:A="2021-01"), 0))), "Left", "Ativo")</f>
        <v>Ativo</v>
      </c>
      <c r="D950" s="10" t="str" cm="1">
        <f t="array" ref="D950">IF(AND(A950="2021-01", ISNA(MATCH(B950, _xlfn._xlws.FILTER(B:B, A:A="2021-02"), 0))), "Left", "Ativo")</f>
        <v>Left</v>
      </c>
      <c r="E950" s="10" t="str" cm="1">
        <f t="array" ref="E950">IF(AND(A950="2021-02", ISNA(MATCH(B950, _xlfn._xlws.FILTER(B:B, A:A="2021-03"), 0))), "Left", "Ativo")</f>
        <v>Ativo</v>
      </c>
      <c r="F950" s="12" t="str" cm="1">
        <f t="array" ref="F950">IF(AND(A950="2021-03", ISNA(MATCH(B950, _xlfn._xlws.FILTER(B:B, A:A="2021-04"), 0))), "Left", "Ativo")</f>
        <v>Ativo</v>
      </c>
    </row>
    <row r="951" spans="1:6" x14ac:dyDescent="0.25">
      <c r="A951" t="s">
        <v>1529</v>
      </c>
      <c r="B951" t="s">
        <v>944</v>
      </c>
      <c r="C951" s="10" t="str" cm="1">
        <f t="array" ref="C951">IF(AND(A951="2020-12", ISNA(MATCH(B951, _xlfn._xlws.FILTER(B:B, A:A="2021-01"), 0))), "Left", "Ativo")</f>
        <v>Ativo</v>
      </c>
      <c r="D951" s="10" t="str" cm="1">
        <f t="array" ref="D951">IF(AND(A951="2021-01", ISNA(MATCH(B951, _xlfn._xlws.FILTER(B:B, A:A="2021-02"), 0))), "Left", "Ativo")</f>
        <v>Left</v>
      </c>
      <c r="E951" s="10" t="str" cm="1">
        <f t="array" ref="E951">IF(AND(A951="2021-02", ISNA(MATCH(B951, _xlfn._xlws.FILTER(B:B, A:A="2021-03"), 0))), "Left", "Ativo")</f>
        <v>Ativo</v>
      </c>
      <c r="F951" s="12" t="str" cm="1">
        <f t="array" ref="F951">IF(AND(A951="2021-03", ISNA(MATCH(B951, _xlfn._xlws.FILTER(B:B, A:A="2021-04"), 0))), "Left", "Ativo")</f>
        <v>Ativo</v>
      </c>
    </row>
    <row r="952" spans="1:6" x14ac:dyDescent="0.25">
      <c r="A952" t="s">
        <v>1529</v>
      </c>
      <c r="B952" t="s">
        <v>945</v>
      </c>
      <c r="C952" s="10" t="str" cm="1">
        <f t="array" ref="C952">IF(AND(A952="2020-12", ISNA(MATCH(B952, _xlfn._xlws.FILTER(B:B, A:A="2021-01"), 0))), "Left", "Ativo")</f>
        <v>Ativo</v>
      </c>
      <c r="D952" s="10" t="str" cm="1">
        <f t="array" ref="D952">IF(AND(A952="2021-01", ISNA(MATCH(B952, _xlfn._xlws.FILTER(B:B, A:A="2021-02"), 0))), "Left", "Ativo")</f>
        <v>Left</v>
      </c>
      <c r="E952" s="10" t="str" cm="1">
        <f t="array" ref="E952">IF(AND(A952="2021-02", ISNA(MATCH(B952, _xlfn._xlws.FILTER(B:B, A:A="2021-03"), 0))), "Left", "Ativo")</f>
        <v>Ativo</v>
      </c>
      <c r="F952" s="12" t="str" cm="1">
        <f t="array" ref="F952">IF(AND(A952="2021-03", ISNA(MATCH(B952, _xlfn._xlws.FILTER(B:B, A:A="2021-04"), 0))), "Left", "Ativo")</f>
        <v>Ativo</v>
      </c>
    </row>
    <row r="953" spans="1:6" x14ac:dyDescent="0.25">
      <c r="A953" t="s">
        <v>1529</v>
      </c>
      <c r="B953" t="s">
        <v>946</v>
      </c>
      <c r="C953" s="10" t="str" cm="1">
        <f t="array" ref="C953">IF(AND(A953="2020-12", ISNA(MATCH(B953, _xlfn._xlws.FILTER(B:B, A:A="2021-01"), 0))), "Left", "Ativo")</f>
        <v>Ativo</v>
      </c>
      <c r="D953" s="10" t="str" cm="1">
        <f t="array" ref="D953">IF(AND(A953="2021-01", ISNA(MATCH(B953, _xlfn._xlws.FILTER(B:B, A:A="2021-02"), 0))), "Left", "Ativo")</f>
        <v>Left</v>
      </c>
      <c r="E953" s="10" t="str" cm="1">
        <f t="array" ref="E953">IF(AND(A953="2021-02", ISNA(MATCH(B953, _xlfn._xlws.FILTER(B:B, A:A="2021-03"), 0))), "Left", "Ativo")</f>
        <v>Ativo</v>
      </c>
      <c r="F953" s="12" t="str" cm="1">
        <f t="array" ref="F953">IF(AND(A953="2021-03", ISNA(MATCH(B953, _xlfn._xlws.FILTER(B:B, A:A="2021-04"), 0))), "Left", "Ativo")</f>
        <v>Ativo</v>
      </c>
    </row>
    <row r="954" spans="1:6" x14ac:dyDescent="0.25">
      <c r="A954" t="s">
        <v>1529</v>
      </c>
      <c r="B954" t="s">
        <v>947</v>
      </c>
      <c r="C954" s="10" t="str" cm="1">
        <f t="array" ref="C954">IF(AND(A954="2020-12", ISNA(MATCH(B954, _xlfn._xlws.FILTER(B:B, A:A="2021-01"), 0))), "Left", "Ativo")</f>
        <v>Ativo</v>
      </c>
      <c r="D954" s="10" t="str" cm="1">
        <f t="array" ref="D954">IF(AND(A954="2021-01", ISNA(MATCH(B954, _xlfn._xlws.FILTER(B:B, A:A="2021-02"), 0))), "Left", "Ativo")</f>
        <v>Left</v>
      </c>
      <c r="E954" s="10" t="str" cm="1">
        <f t="array" ref="E954">IF(AND(A954="2021-02", ISNA(MATCH(B954, _xlfn._xlws.FILTER(B:B, A:A="2021-03"), 0))), "Left", "Ativo")</f>
        <v>Ativo</v>
      </c>
      <c r="F954" s="12" t="str" cm="1">
        <f t="array" ref="F954">IF(AND(A954="2021-03", ISNA(MATCH(B954, _xlfn._xlws.FILTER(B:B, A:A="2021-04"), 0))), "Left", "Ativo")</f>
        <v>Ativo</v>
      </c>
    </row>
    <row r="955" spans="1:6" x14ac:dyDescent="0.25">
      <c r="A955" t="s">
        <v>1529</v>
      </c>
      <c r="B955" t="s">
        <v>948</v>
      </c>
      <c r="C955" s="10" t="str" cm="1">
        <f t="array" ref="C955">IF(AND(A955="2020-12", ISNA(MATCH(B955, _xlfn._xlws.FILTER(B:B, A:A="2021-01"), 0))), "Left", "Ativo")</f>
        <v>Ativo</v>
      </c>
      <c r="D955" s="10" t="str" cm="1">
        <f t="array" ref="D955">IF(AND(A955="2021-01", ISNA(MATCH(B955, _xlfn._xlws.FILTER(B:B, A:A="2021-02"), 0))), "Left", "Ativo")</f>
        <v>Left</v>
      </c>
      <c r="E955" s="10" t="str" cm="1">
        <f t="array" ref="E955">IF(AND(A955="2021-02", ISNA(MATCH(B955, _xlfn._xlws.FILTER(B:B, A:A="2021-03"), 0))), "Left", "Ativo")</f>
        <v>Ativo</v>
      </c>
      <c r="F955" s="12" t="str" cm="1">
        <f t="array" ref="F955">IF(AND(A955="2021-03", ISNA(MATCH(B955, _xlfn._xlws.FILTER(B:B, A:A="2021-04"), 0))), "Left", "Ativo")</f>
        <v>Ativo</v>
      </c>
    </row>
    <row r="956" spans="1:6" x14ac:dyDescent="0.25">
      <c r="A956" t="s">
        <v>1529</v>
      </c>
      <c r="B956" t="s">
        <v>949</v>
      </c>
      <c r="C956" s="10" t="str" cm="1">
        <f t="array" ref="C956">IF(AND(A956="2020-12", ISNA(MATCH(B956, _xlfn._xlws.FILTER(B:B, A:A="2021-01"), 0))), "Left", "Ativo")</f>
        <v>Ativo</v>
      </c>
      <c r="D956" s="10" t="str" cm="1">
        <f t="array" ref="D956">IF(AND(A956="2021-01", ISNA(MATCH(B956, _xlfn._xlws.FILTER(B:B, A:A="2021-02"), 0))), "Left", "Ativo")</f>
        <v>Left</v>
      </c>
      <c r="E956" s="10" t="str" cm="1">
        <f t="array" ref="E956">IF(AND(A956="2021-02", ISNA(MATCH(B956, _xlfn._xlws.FILTER(B:B, A:A="2021-03"), 0))), "Left", "Ativo")</f>
        <v>Ativo</v>
      </c>
      <c r="F956" s="12" t="str" cm="1">
        <f t="array" ref="F956">IF(AND(A956="2021-03", ISNA(MATCH(B956, _xlfn._xlws.FILTER(B:B, A:A="2021-04"), 0))), "Left", "Ativo")</f>
        <v>Ativo</v>
      </c>
    </row>
    <row r="957" spans="1:6" x14ac:dyDescent="0.25">
      <c r="A957" t="s">
        <v>1529</v>
      </c>
      <c r="B957" t="s">
        <v>11</v>
      </c>
      <c r="C957" s="10" t="str" cm="1">
        <f t="array" ref="C957">IF(AND(A957="2020-12", ISNA(MATCH(B957, _xlfn._xlws.FILTER(B:B, A:A="2021-01"), 0))), "Left", "Ativo")</f>
        <v>Ativo</v>
      </c>
      <c r="D957" s="10" t="str" cm="1">
        <f t="array" ref="D957">IF(AND(A957="2021-01", ISNA(MATCH(B957, _xlfn._xlws.FILTER(B:B, A:A="2021-02"), 0))), "Left", "Ativo")</f>
        <v>Ativo</v>
      </c>
      <c r="E957" s="10" t="str" cm="1">
        <f t="array" ref="E957">IF(AND(A957="2021-02", ISNA(MATCH(B957, _xlfn._xlws.FILTER(B:B, A:A="2021-03"), 0))), "Left", "Ativo")</f>
        <v>Ativo</v>
      </c>
      <c r="F957" s="12" t="str" cm="1">
        <f t="array" ref="F957">IF(AND(A957="2021-03", ISNA(MATCH(B957, _xlfn._xlws.FILTER(B:B, A:A="2021-04"), 0))), "Left", "Ativo")</f>
        <v>Ativo</v>
      </c>
    </row>
    <row r="958" spans="1:6" x14ac:dyDescent="0.25">
      <c r="A958" t="s">
        <v>1529</v>
      </c>
      <c r="B958" t="s">
        <v>12</v>
      </c>
      <c r="C958" s="10" t="str" cm="1">
        <f t="array" ref="C958">IF(AND(A958="2020-12", ISNA(MATCH(B958, _xlfn._xlws.FILTER(B:B, A:A="2021-01"), 0))), "Left", "Ativo")</f>
        <v>Ativo</v>
      </c>
      <c r="D958" s="10" t="str" cm="1">
        <f t="array" ref="D958">IF(AND(A958="2021-01", ISNA(MATCH(B958, _xlfn._xlws.FILTER(B:B, A:A="2021-02"), 0))), "Left", "Ativo")</f>
        <v>Ativo</v>
      </c>
      <c r="E958" s="10" t="str" cm="1">
        <f t="array" ref="E958">IF(AND(A958="2021-02", ISNA(MATCH(B958, _xlfn._xlws.FILTER(B:B, A:A="2021-03"), 0))), "Left", "Ativo")</f>
        <v>Ativo</v>
      </c>
      <c r="F958" s="12" t="str" cm="1">
        <f t="array" ref="F958">IF(AND(A958="2021-03", ISNA(MATCH(B958, _xlfn._xlws.FILTER(B:B, A:A="2021-04"), 0))), "Left", "Ativo")</f>
        <v>Ativo</v>
      </c>
    </row>
    <row r="959" spans="1:6" x14ac:dyDescent="0.25">
      <c r="A959" t="s">
        <v>1529</v>
      </c>
      <c r="B959" t="s">
        <v>13</v>
      </c>
      <c r="C959" s="10" t="str" cm="1">
        <f t="array" ref="C959">IF(AND(A959="2020-12", ISNA(MATCH(B959, _xlfn._xlws.FILTER(B:B, A:A="2021-01"), 0))), "Left", "Ativo")</f>
        <v>Ativo</v>
      </c>
      <c r="D959" s="10" t="str" cm="1">
        <f t="array" ref="D959">IF(AND(A959="2021-01", ISNA(MATCH(B959, _xlfn._xlws.FILTER(B:B, A:A="2021-02"), 0))), "Left", "Ativo")</f>
        <v>Ativo</v>
      </c>
      <c r="E959" s="10" t="str" cm="1">
        <f t="array" ref="E959">IF(AND(A959="2021-02", ISNA(MATCH(B959, _xlfn._xlws.FILTER(B:B, A:A="2021-03"), 0))), "Left", "Ativo")</f>
        <v>Ativo</v>
      </c>
      <c r="F959" s="12" t="str" cm="1">
        <f t="array" ref="F959">IF(AND(A959="2021-03", ISNA(MATCH(B959, _xlfn._xlws.FILTER(B:B, A:A="2021-04"), 0))), "Left", "Ativo")</f>
        <v>Ativo</v>
      </c>
    </row>
    <row r="960" spans="1:6" x14ac:dyDescent="0.25">
      <c r="A960" t="s">
        <v>1529</v>
      </c>
      <c r="B960" t="s">
        <v>14</v>
      </c>
      <c r="C960" s="10" t="str" cm="1">
        <f t="array" ref="C960">IF(AND(A960="2020-12", ISNA(MATCH(B960, _xlfn._xlws.FILTER(B:B, A:A="2021-01"), 0))), "Left", "Ativo")</f>
        <v>Ativo</v>
      </c>
      <c r="D960" s="10" t="str" cm="1">
        <f t="array" ref="D960">IF(AND(A960="2021-01", ISNA(MATCH(B960, _xlfn._xlws.FILTER(B:B, A:A="2021-02"), 0))), "Left", "Ativo")</f>
        <v>Ativo</v>
      </c>
      <c r="E960" s="10" t="str" cm="1">
        <f t="array" ref="E960">IF(AND(A960="2021-02", ISNA(MATCH(B960, _xlfn._xlws.FILTER(B:B, A:A="2021-03"), 0))), "Left", "Ativo")</f>
        <v>Ativo</v>
      </c>
      <c r="F960" s="12" t="str" cm="1">
        <f t="array" ref="F960">IF(AND(A960="2021-03", ISNA(MATCH(B960, _xlfn._xlws.FILTER(B:B, A:A="2021-04"), 0))), "Left", "Ativo")</f>
        <v>Ativo</v>
      </c>
    </row>
    <row r="961" spans="1:6" x14ac:dyDescent="0.25">
      <c r="A961" t="s">
        <v>1529</v>
      </c>
      <c r="B961" t="s">
        <v>15</v>
      </c>
      <c r="C961" s="10" t="str" cm="1">
        <f t="array" ref="C961">IF(AND(A961="2020-12", ISNA(MATCH(B961, _xlfn._xlws.FILTER(B:B, A:A="2021-01"), 0))), "Left", "Ativo")</f>
        <v>Ativo</v>
      </c>
      <c r="D961" s="10" t="str" cm="1">
        <f t="array" ref="D961">IF(AND(A961="2021-01", ISNA(MATCH(B961, _xlfn._xlws.FILTER(B:B, A:A="2021-02"), 0))), "Left", "Ativo")</f>
        <v>Ativo</v>
      </c>
      <c r="E961" s="10" t="str" cm="1">
        <f t="array" ref="E961">IF(AND(A961="2021-02", ISNA(MATCH(B961, _xlfn._xlws.FILTER(B:B, A:A="2021-03"), 0))), "Left", "Ativo")</f>
        <v>Ativo</v>
      </c>
      <c r="F961" s="12" t="str" cm="1">
        <f t="array" ref="F961">IF(AND(A961="2021-03", ISNA(MATCH(B961, _xlfn._xlws.FILTER(B:B, A:A="2021-04"), 0))), "Left", "Ativo")</f>
        <v>Ativo</v>
      </c>
    </row>
    <row r="962" spans="1:6" x14ac:dyDescent="0.25">
      <c r="A962" t="s">
        <v>1529</v>
      </c>
      <c r="B962" t="s">
        <v>16</v>
      </c>
      <c r="C962" s="10" t="str" cm="1">
        <f t="array" ref="C962">IF(AND(A962="2020-12", ISNA(MATCH(B962, _xlfn._xlws.FILTER(B:B, A:A="2021-01"), 0))), "Left", "Ativo")</f>
        <v>Ativo</v>
      </c>
      <c r="D962" s="10" t="str" cm="1">
        <f t="array" ref="D962">IF(AND(A962="2021-01", ISNA(MATCH(B962, _xlfn._xlws.FILTER(B:B, A:A="2021-02"), 0))), "Left", "Ativo")</f>
        <v>Ativo</v>
      </c>
      <c r="E962" s="10" t="str" cm="1">
        <f t="array" ref="E962">IF(AND(A962="2021-02", ISNA(MATCH(B962, _xlfn._xlws.FILTER(B:B, A:A="2021-03"), 0))), "Left", "Ativo")</f>
        <v>Ativo</v>
      </c>
      <c r="F962" s="12" t="str" cm="1">
        <f t="array" ref="F962">IF(AND(A962="2021-03", ISNA(MATCH(B962, _xlfn._xlws.FILTER(B:B, A:A="2021-04"), 0))), "Left", "Ativo")</f>
        <v>Ativo</v>
      </c>
    </row>
    <row r="963" spans="1:6" x14ac:dyDescent="0.25">
      <c r="A963" t="s">
        <v>1529</v>
      </c>
      <c r="B963" t="s">
        <v>17</v>
      </c>
      <c r="C963" s="10" t="str" cm="1">
        <f t="array" ref="C963">IF(AND(A963="2020-12", ISNA(MATCH(B963, _xlfn._xlws.FILTER(B:B, A:A="2021-01"), 0))), "Left", "Ativo")</f>
        <v>Ativo</v>
      </c>
      <c r="D963" s="10" t="str" cm="1">
        <f t="array" ref="D963">IF(AND(A963="2021-01", ISNA(MATCH(B963, _xlfn._xlws.FILTER(B:B, A:A="2021-02"), 0))), "Left", "Ativo")</f>
        <v>Ativo</v>
      </c>
      <c r="E963" s="10" t="str" cm="1">
        <f t="array" ref="E963">IF(AND(A963="2021-02", ISNA(MATCH(B963, _xlfn._xlws.FILTER(B:B, A:A="2021-03"), 0))), "Left", "Ativo")</f>
        <v>Ativo</v>
      </c>
      <c r="F963" s="12" t="str" cm="1">
        <f t="array" ref="F963">IF(AND(A963="2021-03", ISNA(MATCH(B963, _xlfn._xlws.FILTER(B:B, A:A="2021-04"), 0))), "Left", "Ativo")</f>
        <v>Ativo</v>
      </c>
    </row>
    <row r="964" spans="1:6" x14ac:dyDescent="0.25">
      <c r="A964" t="s">
        <v>1529</v>
      </c>
      <c r="B964" t="s">
        <v>18</v>
      </c>
      <c r="C964" s="10" t="str" cm="1">
        <f t="array" ref="C964">IF(AND(A964="2020-12", ISNA(MATCH(B964, _xlfn._xlws.FILTER(B:B, A:A="2021-01"), 0))), "Left", "Ativo")</f>
        <v>Ativo</v>
      </c>
      <c r="D964" s="10" t="str" cm="1">
        <f t="array" ref="D964">IF(AND(A964="2021-01", ISNA(MATCH(B964, _xlfn._xlws.FILTER(B:B, A:A="2021-02"), 0))), "Left", "Ativo")</f>
        <v>Ativo</v>
      </c>
      <c r="E964" s="10" t="str" cm="1">
        <f t="array" ref="E964">IF(AND(A964="2021-02", ISNA(MATCH(B964, _xlfn._xlws.FILTER(B:B, A:A="2021-03"), 0))), "Left", "Ativo")</f>
        <v>Ativo</v>
      </c>
      <c r="F964" s="12" t="str" cm="1">
        <f t="array" ref="F964">IF(AND(A964="2021-03", ISNA(MATCH(B964, _xlfn._xlws.FILTER(B:B, A:A="2021-04"), 0))), "Left", "Ativo")</f>
        <v>Ativo</v>
      </c>
    </row>
    <row r="965" spans="1:6" x14ac:dyDescent="0.25">
      <c r="A965" t="s">
        <v>1529</v>
      </c>
      <c r="B965" t="s">
        <v>19</v>
      </c>
      <c r="C965" s="10" t="str" cm="1">
        <f t="array" ref="C965">IF(AND(A965="2020-12", ISNA(MATCH(B965, _xlfn._xlws.FILTER(B:B, A:A="2021-01"), 0))), "Left", "Ativo")</f>
        <v>Ativo</v>
      </c>
      <c r="D965" s="10" t="str" cm="1">
        <f t="array" ref="D965">IF(AND(A965="2021-01", ISNA(MATCH(B965, _xlfn._xlws.FILTER(B:B, A:A="2021-02"), 0))), "Left", "Ativo")</f>
        <v>Ativo</v>
      </c>
      <c r="E965" s="10" t="str" cm="1">
        <f t="array" ref="E965">IF(AND(A965="2021-02", ISNA(MATCH(B965, _xlfn._xlws.FILTER(B:B, A:A="2021-03"), 0))), "Left", "Ativo")</f>
        <v>Ativo</v>
      </c>
      <c r="F965" s="12" t="str" cm="1">
        <f t="array" ref="F965">IF(AND(A965="2021-03", ISNA(MATCH(B965, _xlfn._xlws.FILTER(B:B, A:A="2021-04"), 0))), "Left", "Ativo")</f>
        <v>Ativo</v>
      </c>
    </row>
    <row r="966" spans="1:6" x14ac:dyDescent="0.25">
      <c r="A966" t="s">
        <v>1529</v>
      </c>
      <c r="B966" t="s">
        <v>20</v>
      </c>
      <c r="C966" s="10" t="str" cm="1">
        <f t="array" ref="C966">IF(AND(A966="2020-12", ISNA(MATCH(B966, _xlfn._xlws.FILTER(B:B, A:A="2021-01"), 0))), "Left", "Ativo")</f>
        <v>Ativo</v>
      </c>
      <c r="D966" s="10" t="str" cm="1">
        <f t="array" ref="D966">IF(AND(A966="2021-01", ISNA(MATCH(B966, _xlfn._xlws.FILTER(B:B, A:A="2021-02"), 0))), "Left", "Ativo")</f>
        <v>Ativo</v>
      </c>
      <c r="E966" s="10" t="str" cm="1">
        <f t="array" ref="E966">IF(AND(A966="2021-02", ISNA(MATCH(B966, _xlfn._xlws.FILTER(B:B, A:A="2021-03"), 0))), "Left", "Ativo")</f>
        <v>Ativo</v>
      </c>
      <c r="F966" s="12" t="str" cm="1">
        <f t="array" ref="F966">IF(AND(A966="2021-03", ISNA(MATCH(B966, _xlfn._xlws.FILTER(B:B, A:A="2021-04"), 0))), "Left", "Ativo")</f>
        <v>Ativo</v>
      </c>
    </row>
    <row r="967" spans="1:6" x14ac:dyDescent="0.25">
      <c r="A967" t="s">
        <v>1529</v>
      </c>
      <c r="B967" t="s">
        <v>21</v>
      </c>
      <c r="C967" s="10" t="str" cm="1">
        <f t="array" ref="C967">IF(AND(A967="2020-12", ISNA(MATCH(B967, _xlfn._xlws.FILTER(B:B, A:A="2021-01"), 0))), "Left", "Ativo")</f>
        <v>Ativo</v>
      </c>
      <c r="D967" s="10" t="str" cm="1">
        <f t="array" ref="D967">IF(AND(A967="2021-01", ISNA(MATCH(B967, _xlfn._xlws.FILTER(B:B, A:A="2021-02"), 0))), "Left", "Ativo")</f>
        <v>Ativo</v>
      </c>
      <c r="E967" s="10" t="str" cm="1">
        <f t="array" ref="E967">IF(AND(A967="2021-02", ISNA(MATCH(B967, _xlfn._xlws.FILTER(B:B, A:A="2021-03"), 0))), "Left", "Ativo")</f>
        <v>Ativo</v>
      </c>
      <c r="F967" s="12" t="str" cm="1">
        <f t="array" ref="F967">IF(AND(A967="2021-03", ISNA(MATCH(B967, _xlfn._xlws.FILTER(B:B, A:A="2021-04"), 0))), "Left", "Ativo")</f>
        <v>Ativo</v>
      </c>
    </row>
    <row r="968" spans="1:6" x14ac:dyDescent="0.25">
      <c r="A968" t="s">
        <v>1529</v>
      </c>
      <c r="B968" t="s">
        <v>22</v>
      </c>
      <c r="C968" s="10" t="str" cm="1">
        <f t="array" ref="C968">IF(AND(A968="2020-12", ISNA(MATCH(B968, _xlfn._xlws.FILTER(B:B, A:A="2021-01"), 0))), "Left", "Ativo")</f>
        <v>Ativo</v>
      </c>
      <c r="D968" s="10" t="str" cm="1">
        <f t="array" ref="D968">IF(AND(A968="2021-01", ISNA(MATCH(B968, _xlfn._xlws.FILTER(B:B, A:A="2021-02"), 0))), "Left", "Ativo")</f>
        <v>Ativo</v>
      </c>
      <c r="E968" s="10" t="str" cm="1">
        <f t="array" ref="E968">IF(AND(A968="2021-02", ISNA(MATCH(B968, _xlfn._xlws.FILTER(B:B, A:A="2021-03"), 0))), "Left", "Ativo")</f>
        <v>Ativo</v>
      </c>
      <c r="F968" s="12" t="str" cm="1">
        <f t="array" ref="F968">IF(AND(A968="2021-03", ISNA(MATCH(B968, _xlfn._xlws.FILTER(B:B, A:A="2021-04"), 0))), "Left", "Ativo")</f>
        <v>Ativo</v>
      </c>
    </row>
    <row r="969" spans="1:6" x14ac:dyDescent="0.25">
      <c r="A969" t="s">
        <v>1529</v>
      </c>
      <c r="B969" t="s">
        <v>23</v>
      </c>
      <c r="C969" s="10" t="str" cm="1">
        <f t="array" ref="C969">IF(AND(A969="2020-12", ISNA(MATCH(B969, _xlfn._xlws.FILTER(B:B, A:A="2021-01"), 0))), "Left", "Ativo")</f>
        <v>Ativo</v>
      </c>
      <c r="D969" s="10" t="str" cm="1">
        <f t="array" ref="D969">IF(AND(A969="2021-01", ISNA(MATCH(B969, _xlfn._xlws.FILTER(B:B, A:A="2021-02"), 0))), "Left", "Ativo")</f>
        <v>Ativo</v>
      </c>
      <c r="E969" s="10" t="str" cm="1">
        <f t="array" ref="E969">IF(AND(A969="2021-02", ISNA(MATCH(B969, _xlfn._xlws.FILTER(B:B, A:A="2021-03"), 0))), "Left", "Ativo")</f>
        <v>Ativo</v>
      </c>
      <c r="F969" s="12" t="str" cm="1">
        <f t="array" ref="F969">IF(AND(A969="2021-03", ISNA(MATCH(B969, _xlfn._xlws.FILTER(B:B, A:A="2021-04"), 0))), "Left", "Ativo")</f>
        <v>Ativo</v>
      </c>
    </row>
    <row r="970" spans="1:6" x14ac:dyDescent="0.25">
      <c r="A970" t="s">
        <v>1529</v>
      </c>
      <c r="B970" t="s">
        <v>24</v>
      </c>
      <c r="C970" s="10" t="str" cm="1">
        <f t="array" ref="C970">IF(AND(A970="2020-12", ISNA(MATCH(B970, _xlfn._xlws.FILTER(B:B, A:A="2021-01"), 0))), "Left", "Ativo")</f>
        <v>Ativo</v>
      </c>
      <c r="D970" s="10" t="str" cm="1">
        <f t="array" ref="D970">IF(AND(A970="2021-01", ISNA(MATCH(B970, _xlfn._xlws.FILTER(B:B, A:A="2021-02"), 0))), "Left", "Ativo")</f>
        <v>Ativo</v>
      </c>
      <c r="E970" s="10" t="str" cm="1">
        <f t="array" ref="E970">IF(AND(A970="2021-02", ISNA(MATCH(B970, _xlfn._xlws.FILTER(B:B, A:A="2021-03"), 0))), "Left", "Ativo")</f>
        <v>Ativo</v>
      </c>
      <c r="F970" s="12" t="str" cm="1">
        <f t="array" ref="F970">IF(AND(A970="2021-03", ISNA(MATCH(B970, _xlfn._xlws.FILTER(B:B, A:A="2021-04"), 0))), "Left", "Ativo")</f>
        <v>Ativo</v>
      </c>
    </row>
    <row r="971" spans="1:6" x14ac:dyDescent="0.25">
      <c r="A971" t="s">
        <v>1529</v>
      </c>
      <c r="B971" t="s">
        <v>25</v>
      </c>
      <c r="C971" s="10" t="str" cm="1">
        <f t="array" ref="C971">IF(AND(A971="2020-12", ISNA(MATCH(B971, _xlfn._xlws.FILTER(B:B, A:A="2021-01"), 0))), "Left", "Ativo")</f>
        <v>Ativo</v>
      </c>
      <c r="D971" s="10" t="str" cm="1">
        <f t="array" ref="D971">IF(AND(A971="2021-01", ISNA(MATCH(B971, _xlfn._xlws.FILTER(B:B, A:A="2021-02"), 0))), "Left", "Ativo")</f>
        <v>Ativo</v>
      </c>
      <c r="E971" s="10" t="str" cm="1">
        <f t="array" ref="E971">IF(AND(A971="2021-02", ISNA(MATCH(B971, _xlfn._xlws.FILTER(B:B, A:A="2021-03"), 0))), "Left", "Ativo")</f>
        <v>Ativo</v>
      </c>
      <c r="F971" s="12" t="str" cm="1">
        <f t="array" ref="F971">IF(AND(A971="2021-03", ISNA(MATCH(B971, _xlfn._xlws.FILTER(B:B, A:A="2021-04"), 0))), "Left", "Ativo")</f>
        <v>Ativo</v>
      </c>
    </row>
    <row r="972" spans="1:6" x14ac:dyDescent="0.25">
      <c r="A972" t="s">
        <v>1529</v>
      </c>
      <c r="B972" t="s">
        <v>26</v>
      </c>
      <c r="C972" s="10" t="str" cm="1">
        <f t="array" ref="C972">IF(AND(A972="2020-12", ISNA(MATCH(B972, _xlfn._xlws.FILTER(B:B, A:A="2021-01"), 0))), "Left", "Ativo")</f>
        <v>Ativo</v>
      </c>
      <c r="D972" s="10" t="str" cm="1">
        <f t="array" ref="D972">IF(AND(A972="2021-01", ISNA(MATCH(B972, _xlfn._xlws.FILTER(B:B, A:A="2021-02"), 0))), "Left", "Ativo")</f>
        <v>Ativo</v>
      </c>
      <c r="E972" s="10" t="str" cm="1">
        <f t="array" ref="E972">IF(AND(A972="2021-02", ISNA(MATCH(B972, _xlfn._xlws.FILTER(B:B, A:A="2021-03"), 0))), "Left", "Ativo")</f>
        <v>Ativo</v>
      </c>
      <c r="F972" s="12" t="str" cm="1">
        <f t="array" ref="F972">IF(AND(A972="2021-03", ISNA(MATCH(B972, _xlfn._xlws.FILTER(B:B, A:A="2021-04"), 0))), "Left", "Ativo")</f>
        <v>Ativo</v>
      </c>
    </row>
    <row r="973" spans="1:6" x14ac:dyDescent="0.25">
      <c r="A973" t="s">
        <v>1529</v>
      </c>
      <c r="B973" t="s">
        <v>27</v>
      </c>
      <c r="C973" s="10" t="str" cm="1">
        <f t="array" ref="C973">IF(AND(A973="2020-12", ISNA(MATCH(B973, _xlfn._xlws.FILTER(B:B, A:A="2021-01"), 0))), "Left", "Ativo")</f>
        <v>Ativo</v>
      </c>
      <c r="D973" s="10" t="str" cm="1">
        <f t="array" ref="D973">IF(AND(A973="2021-01", ISNA(MATCH(B973, _xlfn._xlws.FILTER(B:B, A:A="2021-02"), 0))), "Left", "Ativo")</f>
        <v>Ativo</v>
      </c>
      <c r="E973" s="10" t="str" cm="1">
        <f t="array" ref="E973">IF(AND(A973="2021-02", ISNA(MATCH(B973, _xlfn._xlws.FILTER(B:B, A:A="2021-03"), 0))), "Left", "Ativo")</f>
        <v>Ativo</v>
      </c>
      <c r="F973" s="12" t="str" cm="1">
        <f t="array" ref="F973">IF(AND(A973="2021-03", ISNA(MATCH(B973, _xlfn._xlws.FILTER(B:B, A:A="2021-04"), 0))), "Left", "Ativo")</f>
        <v>Ativo</v>
      </c>
    </row>
    <row r="974" spans="1:6" x14ac:dyDescent="0.25">
      <c r="A974" t="s">
        <v>1529</v>
      </c>
      <c r="B974" t="s">
        <v>28</v>
      </c>
      <c r="C974" s="10" t="str" cm="1">
        <f t="array" ref="C974">IF(AND(A974="2020-12", ISNA(MATCH(B974, _xlfn._xlws.FILTER(B:B, A:A="2021-01"), 0))), "Left", "Ativo")</f>
        <v>Ativo</v>
      </c>
      <c r="D974" s="10" t="str" cm="1">
        <f t="array" ref="D974">IF(AND(A974="2021-01", ISNA(MATCH(B974, _xlfn._xlws.FILTER(B:B, A:A="2021-02"), 0))), "Left", "Ativo")</f>
        <v>Ativo</v>
      </c>
      <c r="E974" s="10" t="str" cm="1">
        <f t="array" ref="E974">IF(AND(A974="2021-02", ISNA(MATCH(B974, _xlfn._xlws.FILTER(B:B, A:A="2021-03"), 0))), "Left", "Ativo")</f>
        <v>Ativo</v>
      </c>
      <c r="F974" s="12" t="str" cm="1">
        <f t="array" ref="F974">IF(AND(A974="2021-03", ISNA(MATCH(B974, _xlfn._xlws.FILTER(B:B, A:A="2021-04"), 0))), "Left", "Ativo")</f>
        <v>Ativo</v>
      </c>
    </row>
    <row r="975" spans="1:6" x14ac:dyDescent="0.25">
      <c r="A975" t="s">
        <v>1529</v>
      </c>
      <c r="B975" t="s">
        <v>29</v>
      </c>
      <c r="C975" s="10" t="str" cm="1">
        <f t="array" ref="C975">IF(AND(A975="2020-12", ISNA(MATCH(B975, _xlfn._xlws.FILTER(B:B, A:A="2021-01"), 0))), "Left", "Ativo")</f>
        <v>Ativo</v>
      </c>
      <c r="D975" s="10" t="str" cm="1">
        <f t="array" ref="D975">IF(AND(A975="2021-01", ISNA(MATCH(B975, _xlfn._xlws.FILTER(B:B, A:A="2021-02"), 0))), "Left", "Ativo")</f>
        <v>Ativo</v>
      </c>
      <c r="E975" s="10" t="str" cm="1">
        <f t="array" ref="E975">IF(AND(A975="2021-02", ISNA(MATCH(B975, _xlfn._xlws.FILTER(B:B, A:A="2021-03"), 0))), "Left", "Ativo")</f>
        <v>Ativo</v>
      </c>
      <c r="F975" s="12" t="str" cm="1">
        <f t="array" ref="F975">IF(AND(A975="2021-03", ISNA(MATCH(B975, _xlfn._xlws.FILTER(B:B, A:A="2021-04"), 0))), "Left", "Ativo")</f>
        <v>Ativo</v>
      </c>
    </row>
    <row r="976" spans="1:6" x14ac:dyDescent="0.25">
      <c r="A976" t="s">
        <v>1529</v>
      </c>
      <c r="B976" t="s">
        <v>30</v>
      </c>
      <c r="C976" s="10" t="str" cm="1">
        <f t="array" ref="C976">IF(AND(A976="2020-12", ISNA(MATCH(B976, _xlfn._xlws.FILTER(B:B, A:A="2021-01"), 0))), "Left", "Ativo")</f>
        <v>Ativo</v>
      </c>
      <c r="D976" s="10" t="str" cm="1">
        <f t="array" ref="D976">IF(AND(A976="2021-01", ISNA(MATCH(B976, _xlfn._xlws.FILTER(B:B, A:A="2021-02"), 0))), "Left", "Ativo")</f>
        <v>Ativo</v>
      </c>
      <c r="E976" s="10" t="str" cm="1">
        <f t="array" ref="E976">IF(AND(A976="2021-02", ISNA(MATCH(B976, _xlfn._xlws.FILTER(B:B, A:A="2021-03"), 0))), "Left", "Ativo")</f>
        <v>Ativo</v>
      </c>
      <c r="F976" s="12" t="str" cm="1">
        <f t="array" ref="F976">IF(AND(A976="2021-03", ISNA(MATCH(B976, _xlfn._xlws.FILTER(B:B, A:A="2021-04"), 0))), "Left", "Ativo")</f>
        <v>Ativo</v>
      </c>
    </row>
    <row r="977" spans="1:6" x14ac:dyDescent="0.25">
      <c r="A977" t="s">
        <v>1529</v>
      </c>
      <c r="B977" t="s">
        <v>31</v>
      </c>
      <c r="C977" s="10" t="str" cm="1">
        <f t="array" ref="C977">IF(AND(A977="2020-12", ISNA(MATCH(B977, _xlfn._xlws.FILTER(B:B, A:A="2021-01"), 0))), "Left", "Ativo")</f>
        <v>Ativo</v>
      </c>
      <c r="D977" s="10" t="str" cm="1">
        <f t="array" ref="D977">IF(AND(A977="2021-01", ISNA(MATCH(B977, _xlfn._xlws.FILTER(B:B, A:A="2021-02"), 0))), "Left", "Ativo")</f>
        <v>Ativo</v>
      </c>
      <c r="E977" s="10" t="str" cm="1">
        <f t="array" ref="E977">IF(AND(A977="2021-02", ISNA(MATCH(B977, _xlfn._xlws.FILTER(B:B, A:A="2021-03"), 0))), "Left", "Ativo")</f>
        <v>Ativo</v>
      </c>
      <c r="F977" s="12" t="str" cm="1">
        <f t="array" ref="F977">IF(AND(A977="2021-03", ISNA(MATCH(B977, _xlfn._xlws.FILTER(B:B, A:A="2021-04"), 0))), "Left", "Ativo")</f>
        <v>Ativo</v>
      </c>
    </row>
    <row r="978" spans="1:6" x14ac:dyDescent="0.25">
      <c r="A978" t="s">
        <v>1529</v>
      </c>
      <c r="B978" t="s">
        <v>32</v>
      </c>
      <c r="C978" s="10" t="str" cm="1">
        <f t="array" ref="C978">IF(AND(A978="2020-12", ISNA(MATCH(B978, _xlfn._xlws.FILTER(B:B, A:A="2021-01"), 0))), "Left", "Ativo")</f>
        <v>Ativo</v>
      </c>
      <c r="D978" s="10" t="str" cm="1">
        <f t="array" ref="D978">IF(AND(A978="2021-01", ISNA(MATCH(B978, _xlfn._xlws.FILTER(B:B, A:A="2021-02"), 0))), "Left", "Ativo")</f>
        <v>Ativo</v>
      </c>
      <c r="E978" s="10" t="str" cm="1">
        <f t="array" ref="E978">IF(AND(A978="2021-02", ISNA(MATCH(B978, _xlfn._xlws.FILTER(B:B, A:A="2021-03"), 0))), "Left", "Ativo")</f>
        <v>Ativo</v>
      </c>
      <c r="F978" s="12" t="str" cm="1">
        <f t="array" ref="F978">IF(AND(A978="2021-03", ISNA(MATCH(B978, _xlfn._xlws.FILTER(B:B, A:A="2021-04"), 0))), "Left", "Ativo")</f>
        <v>Ativo</v>
      </c>
    </row>
    <row r="979" spans="1:6" x14ac:dyDescent="0.25">
      <c r="A979" t="s">
        <v>1529</v>
      </c>
      <c r="B979" t="s">
        <v>33</v>
      </c>
      <c r="C979" s="10" t="str" cm="1">
        <f t="array" ref="C979">IF(AND(A979="2020-12", ISNA(MATCH(B979, _xlfn._xlws.FILTER(B:B, A:A="2021-01"), 0))), "Left", "Ativo")</f>
        <v>Ativo</v>
      </c>
      <c r="D979" s="10" t="str" cm="1">
        <f t="array" ref="D979">IF(AND(A979="2021-01", ISNA(MATCH(B979, _xlfn._xlws.FILTER(B:B, A:A="2021-02"), 0))), "Left", "Ativo")</f>
        <v>Ativo</v>
      </c>
      <c r="E979" s="10" t="str" cm="1">
        <f t="array" ref="E979">IF(AND(A979="2021-02", ISNA(MATCH(B979, _xlfn._xlws.FILTER(B:B, A:A="2021-03"), 0))), "Left", "Ativo")</f>
        <v>Ativo</v>
      </c>
      <c r="F979" s="12" t="str" cm="1">
        <f t="array" ref="F979">IF(AND(A979="2021-03", ISNA(MATCH(B979, _xlfn._xlws.FILTER(B:B, A:A="2021-04"), 0))), "Left", "Ativo")</f>
        <v>Ativo</v>
      </c>
    </row>
    <row r="980" spans="1:6" x14ac:dyDescent="0.25">
      <c r="A980" t="s">
        <v>1529</v>
      </c>
      <c r="B980" t="s">
        <v>34</v>
      </c>
      <c r="C980" s="10" t="str" cm="1">
        <f t="array" ref="C980">IF(AND(A980="2020-12", ISNA(MATCH(B980, _xlfn._xlws.FILTER(B:B, A:A="2021-01"), 0))), "Left", "Ativo")</f>
        <v>Ativo</v>
      </c>
      <c r="D980" s="10" t="str" cm="1">
        <f t="array" ref="D980">IF(AND(A980="2021-01", ISNA(MATCH(B980, _xlfn._xlws.FILTER(B:B, A:A="2021-02"), 0))), "Left", "Ativo")</f>
        <v>Ativo</v>
      </c>
      <c r="E980" s="10" t="str" cm="1">
        <f t="array" ref="E980">IF(AND(A980="2021-02", ISNA(MATCH(B980, _xlfn._xlws.FILTER(B:B, A:A="2021-03"), 0))), "Left", "Ativo")</f>
        <v>Ativo</v>
      </c>
      <c r="F980" s="12" t="str" cm="1">
        <f t="array" ref="F980">IF(AND(A980="2021-03", ISNA(MATCH(B980, _xlfn._xlws.FILTER(B:B, A:A="2021-04"), 0))), "Left", "Ativo")</f>
        <v>Ativo</v>
      </c>
    </row>
    <row r="981" spans="1:6" x14ac:dyDescent="0.25">
      <c r="A981" t="s">
        <v>1529</v>
      </c>
      <c r="B981" t="s">
        <v>35</v>
      </c>
      <c r="C981" s="10" t="str" cm="1">
        <f t="array" ref="C981">IF(AND(A981="2020-12", ISNA(MATCH(B981, _xlfn._xlws.FILTER(B:B, A:A="2021-01"), 0))), "Left", "Ativo")</f>
        <v>Ativo</v>
      </c>
      <c r="D981" s="10" t="str" cm="1">
        <f t="array" ref="D981">IF(AND(A981="2021-01", ISNA(MATCH(B981, _xlfn._xlws.FILTER(B:B, A:A="2021-02"), 0))), "Left", "Ativo")</f>
        <v>Ativo</v>
      </c>
      <c r="E981" s="10" t="str" cm="1">
        <f t="array" ref="E981">IF(AND(A981="2021-02", ISNA(MATCH(B981, _xlfn._xlws.FILTER(B:B, A:A="2021-03"), 0))), "Left", "Ativo")</f>
        <v>Ativo</v>
      </c>
      <c r="F981" s="12" t="str" cm="1">
        <f t="array" ref="F981">IF(AND(A981="2021-03", ISNA(MATCH(B981, _xlfn._xlws.FILTER(B:B, A:A="2021-04"), 0))), "Left", "Ativo")</f>
        <v>Ativo</v>
      </c>
    </row>
    <row r="982" spans="1:6" x14ac:dyDescent="0.25">
      <c r="A982" t="s">
        <v>1529</v>
      </c>
      <c r="B982" t="s">
        <v>36</v>
      </c>
      <c r="C982" s="10" t="str" cm="1">
        <f t="array" ref="C982">IF(AND(A982="2020-12", ISNA(MATCH(B982, _xlfn._xlws.FILTER(B:B, A:A="2021-01"), 0))), "Left", "Ativo")</f>
        <v>Ativo</v>
      </c>
      <c r="D982" s="10" t="str" cm="1">
        <f t="array" ref="D982">IF(AND(A982="2021-01", ISNA(MATCH(B982, _xlfn._xlws.FILTER(B:B, A:A="2021-02"), 0))), "Left", "Ativo")</f>
        <v>Ativo</v>
      </c>
      <c r="E982" s="10" t="str" cm="1">
        <f t="array" ref="E982">IF(AND(A982="2021-02", ISNA(MATCH(B982, _xlfn._xlws.FILTER(B:B, A:A="2021-03"), 0))), "Left", "Ativo")</f>
        <v>Ativo</v>
      </c>
      <c r="F982" s="12" t="str" cm="1">
        <f t="array" ref="F982">IF(AND(A982="2021-03", ISNA(MATCH(B982, _xlfn._xlws.FILTER(B:B, A:A="2021-04"), 0))), "Left", "Ativo")</f>
        <v>Ativo</v>
      </c>
    </row>
    <row r="983" spans="1:6" x14ac:dyDescent="0.25">
      <c r="A983" t="s">
        <v>1529</v>
      </c>
      <c r="B983" t="s">
        <v>37</v>
      </c>
      <c r="C983" s="10" t="str" cm="1">
        <f t="array" ref="C983">IF(AND(A983="2020-12", ISNA(MATCH(B983, _xlfn._xlws.FILTER(B:B, A:A="2021-01"), 0))), "Left", "Ativo")</f>
        <v>Ativo</v>
      </c>
      <c r="D983" s="10" t="str" cm="1">
        <f t="array" ref="D983">IF(AND(A983="2021-01", ISNA(MATCH(B983, _xlfn._xlws.FILTER(B:B, A:A="2021-02"), 0))), "Left", "Ativo")</f>
        <v>Ativo</v>
      </c>
      <c r="E983" s="10" t="str" cm="1">
        <f t="array" ref="E983">IF(AND(A983="2021-02", ISNA(MATCH(B983, _xlfn._xlws.FILTER(B:B, A:A="2021-03"), 0))), "Left", "Ativo")</f>
        <v>Ativo</v>
      </c>
      <c r="F983" s="12" t="str" cm="1">
        <f t="array" ref="F983">IF(AND(A983="2021-03", ISNA(MATCH(B983, _xlfn._xlws.FILTER(B:B, A:A="2021-04"), 0))), "Left", "Ativo")</f>
        <v>Ativo</v>
      </c>
    </row>
    <row r="984" spans="1:6" x14ac:dyDescent="0.25">
      <c r="A984" t="s">
        <v>1529</v>
      </c>
      <c r="B984" t="s">
        <v>38</v>
      </c>
      <c r="C984" s="10" t="str" cm="1">
        <f t="array" ref="C984">IF(AND(A984="2020-12", ISNA(MATCH(B984, _xlfn._xlws.FILTER(B:B, A:A="2021-01"), 0))), "Left", "Ativo")</f>
        <v>Ativo</v>
      </c>
      <c r="D984" s="10" t="str" cm="1">
        <f t="array" ref="D984">IF(AND(A984="2021-01", ISNA(MATCH(B984, _xlfn._xlws.FILTER(B:B, A:A="2021-02"), 0))), "Left", "Ativo")</f>
        <v>Ativo</v>
      </c>
      <c r="E984" s="10" t="str" cm="1">
        <f t="array" ref="E984">IF(AND(A984="2021-02", ISNA(MATCH(B984, _xlfn._xlws.FILTER(B:B, A:A="2021-03"), 0))), "Left", "Ativo")</f>
        <v>Ativo</v>
      </c>
      <c r="F984" s="12" t="str" cm="1">
        <f t="array" ref="F984">IF(AND(A984="2021-03", ISNA(MATCH(B984, _xlfn._xlws.FILTER(B:B, A:A="2021-04"), 0))), "Left", "Ativo")</f>
        <v>Ativo</v>
      </c>
    </row>
    <row r="985" spans="1:6" x14ac:dyDescent="0.25">
      <c r="A985" t="s">
        <v>1529</v>
      </c>
      <c r="B985" t="s">
        <v>39</v>
      </c>
      <c r="C985" s="10" t="str" cm="1">
        <f t="array" ref="C985">IF(AND(A985="2020-12", ISNA(MATCH(B985, _xlfn._xlws.FILTER(B:B, A:A="2021-01"), 0))), "Left", "Ativo")</f>
        <v>Ativo</v>
      </c>
      <c r="D985" s="10" t="str" cm="1">
        <f t="array" ref="D985">IF(AND(A985="2021-01", ISNA(MATCH(B985, _xlfn._xlws.FILTER(B:B, A:A="2021-02"), 0))), "Left", "Ativo")</f>
        <v>Ativo</v>
      </c>
      <c r="E985" s="10" t="str" cm="1">
        <f t="array" ref="E985">IF(AND(A985="2021-02", ISNA(MATCH(B985, _xlfn._xlws.FILTER(B:B, A:A="2021-03"), 0))), "Left", "Ativo")</f>
        <v>Ativo</v>
      </c>
      <c r="F985" s="12" t="str" cm="1">
        <f t="array" ref="F985">IF(AND(A985="2021-03", ISNA(MATCH(B985, _xlfn._xlws.FILTER(B:B, A:A="2021-04"), 0))), "Left", "Ativo")</f>
        <v>Ativo</v>
      </c>
    </row>
    <row r="986" spans="1:6" x14ac:dyDescent="0.25">
      <c r="A986" t="s">
        <v>1529</v>
      </c>
      <c r="B986" t="s">
        <v>40</v>
      </c>
      <c r="C986" s="10" t="str" cm="1">
        <f t="array" ref="C986">IF(AND(A986="2020-12", ISNA(MATCH(B986, _xlfn._xlws.FILTER(B:B, A:A="2021-01"), 0))), "Left", "Ativo")</f>
        <v>Ativo</v>
      </c>
      <c r="D986" s="10" t="str" cm="1">
        <f t="array" ref="D986">IF(AND(A986="2021-01", ISNA(MATCH(B986, _xlfn._xlws.FILTER(B:B, A:A="2021-02"), 0))), "Left", "Ativo")</f>
        <v>Ativo</v>
      </c>
      <c r="E986" s="10" t="str" cm="1">
        <f t="array" ref="E986">IF(AND(A986="2021-02", ISNA(MATCH(B986, _xlfn._xlws.FILTER(B:B, A:A="2021-03"), 0))), "Left", "Ativo")</f>
        <v>Ativo</v>
      </c>
      <c r="F986" s="12" t="str" cm="1">
        <f t="array" ref="F986">IF(AND(A986="2021-03", ISNA(MATCH(B986, _xlfn._xlws.FILTER(B:B, A:A="2021-04"), 0))), "Left", "Ativo")</f>
        <v>Ativo</v>
      </c>
    </row>
    <row r="987" spans="1:6" x14ac:dyDescent="0.25">
      <c r="A987" t="s">
        <v>1529</v>
      </c>
      <c r="B987" t="s">
        <v>41</v>
      </c>
      <c r="C987" s="10" t="str" cm="1">
        <f t="array" ref="C987">IF(AND(A987="2020-12", ISNA(MATCH(B987, _xlfn._xlws.FILTER(B:B, A:A="2021-01"), 0))), "Left", "Ativo")</f>
        <v>Ativo</v>
      </c>
      <c r="D987" s="10" t="str" cm="1">
        <f t="array" ref="D987">IF(AND(A987="2021-01", ISNA(MATCH(B987, _xlfn._xlws.FILTER(B:B, A:A="2021-02"), 0))), "Left", "Ativo")</f>
        <v>Ativo</v>
      </c>
      <c r="E987" s="10" t="str" cm="1">
        <f t="array" ref="E987">IF(AND(A987="2021-02", ISNA(MATCH(B987, _xlfn._xlws.FILTER(B:B, A:A="2021-03"), 0))), "Left", "Ativo")</f>
        <v>Ativo</v>
      </c>
      <c r="F987" s="12" t="str" cm="1">
        <f t="array" ref="F987">IF(AND(A987="2021-03", ISNA(MATCH(B987, _xlfn._xlws.FILTER(B:B, A:A="2021-04"), 0))), "Left", "Ativo")</f>
        <v>Ativo</v>
      </c>
    </row>
    <row r="988" spans="1:6" x14ac:dyDescent="0.25">
      <c r="A988" t="s">
        <v>1529</v>
      </c>
      <c r="B988" t="s">
        <v>42</v>
      </c>
      <c r="C988" s="10" t="str" cm="1">
        <f t="array" ref="C988">IF(AND(A988="2020-12", ISNA(MATCH(B988, _xlfn._xlws.FILTER(B:B, A:A="2021-01"), 0))), "Left", "Ativo")</f>
        <v>Ativo</v>
      </c>
      <c r="D988" s="10" t="str" cm="1">
        <f t="array" ref="D988">IF(AND(A988="2021-01", ISNA(MATCH(B988, _xlfn._xlws.FILTER(B:B, A:A="2021-02"), 0))), "Left", "Ativo")</f>
        <v>Ativo</v>
      </c>
      <c r="E988" s="10" t="str" cm="1">
        <f t="array" ref="E988">IF(AND(A988="2021-02", ISNA(MATCH(B988, _xlfn._xlws.FILTER(B:B, A:A="2021-03"), 0))), "Left", "Ativo")</f>
        <v>Ativo</v>
      </c>
      <c r="F988" s="12" t="str" cm="1">
        <f t="array" ref="F988">IF(AND(A988="2021-03", ISNA(MATCH(B988, _xlfn._xlws.FILTER(B:B, A:A="2021-04"), 0))), "Left", "Ativo")</f>
        <v>Ativo</v>
      </c>
    </row>
    <row r="989" spans="1:6" x14ac:dyDescent="0.25">
      <c r="A989" t="s">
        <v>1529</v>
      </c>
      <c r="B989" t="s">
        <v>43</v>
      </c>
      <c r="C989" s="10" t="str" cm="1">
        <f t="array" ref="C989">IF(AND(A989="2020-12", ISNA(MATCH(B989, _xlfn._xlws.FILTER(B:B, A:A="2021-01"), 0))), "Left", "Ativo")</f>
        <v>Ativo</v>
      </c>
      <c r="D989" s="10" t="str" cm="1">
        <f t="array" ref="D989">IF(AND(A989="2021-01", ISNA(MATCH(B989, _xlfn._xlws.FILTER(B:B, A:A="2021-02"), 0))), "Left", "Ativo")</f>
        <v>Ativo</v>
      </c>
      <c r="E989" s="10" t="str" cm="1">
        <f t="array" ref="E989">IF(AND(A989="2021-02", ISNA(MATCH(B989, _xlfn._xlws.FILTER(B:B, A:A="2021-03"), 0))), "Left", "Ativo")</f>
        <v>Ativo</v>
      </c>
      <c r="F989" s="12" t="str" cm="1">
        <f t="array" ref="F989">IF(AND(A989="2021-03", ISNA(MATCH(B989, _xlfn._xlws.FILTER(B:B, A:A="2021-04"), 0))), "Left", "Ativo")</f>
        <v>Ativo</v>
      </c>
    </row>
    <row r="990" spans="1:6" x14ac:dyDescent="0.25">
      <c r="A990" t="s">
        <v>1529</v>
      </c>
      <c r="B990" t="s">
        <v>44</v>
      </c>
      <c r="C990" s="10" t="str" cm="1">
        <f t="array" ref="C990">IF(AND(A990="2020-12", ISNA(MATCH(B990, _xlfn._xlws.FILTER(B:B, A:A="2021-01"), 0))), "Left", "Ativo")</f>
        <v>Ativo</v>
      </c>
      <c r="D990" s="10" t="str" cm="1">
        <f t="array" ref="D990">IF(AND(A990="2021-01", ISNA(MATCH(B990, _xlfn._xlws.FILTER(B:B, A:A="2021-02"), 0))), "Left", "Ativo")</f>
        <v>Ativo</v>
      </c>
      <c r="E990" s="10" t="str" cm="1">
        <f t="array" ref="E990">IF(AND(A990="2021-02", ISNA(MATCH(B990, _xlfn._xlws.FILTER(B:B, A:A="2021-03"), 0))), "Left", "Ativo")</f>
        <v>Ativo</v>
      </c>
      <c r="F990" s="12" t="str" cm="1">
        <f t="array" ref="F990">IF(AND(A990="2021-03", ISNA(MATCH(B990, _xlfn._xlws.FILTER(B:B, A:A="2021-04"), 0))), "Left", "Ativo")</f>
        <v>Ativo</v>
      </c>
    </row>
    <row r="991" spans="1:6" x14ac:dyDescent="0.25">
      <c r="A991" t="s">
        <v>1529</v>
      </c>
      <c r="B991" t="s">
        <v>45</v>
      </c>
      <c r="C991" s="10" t="str" cm="1">
        <f t="array" ref="C991">IF(AND(A991="2020-12", ISNA(MATCH(B991, _xlfn._xlws.FILTER(B:B, A:A="2021-01"), 0))), "Left", "Ativo")</f>
        <v>Ativo</v>
      </c>
      <c r="D991" s="10" t="str" cm="1">
        <f t="array" ref="D991">IF(AND(A991="2021-01", ISNA(MATCH(B991, _xlfn._xlws.FILTER(B:B, A:A="2021-02"), 0))), "Left", "Ativo")</f>
        <v>Ativo</v>
      </c>
      <c r="E991" s="10" t="str" cm="1">
        <f t="array" ref="E991">IF(AND(A991="2021-02", ISNA(MATCH(B991, _xlfn._xlws.FILTER(B:B, A:A="2021-03"), 0))), "Left", "Ativo")</f>
        <v>Ativo</v>
      </c>
      <c r="F991" s="12" t="str" cm="1">
        <f t="array" ref="F991">IF(AND(A991="2021-03", ISNA(MATCH(B991, _xlfn._xlws.FILTER(B:B, A:A="2021-04"), 0))), "Left", "Ativo")</f>
        <v>Ativo</v>
      </c>
    </row>
    <row r="992" spans="1:6" x14ac:dyDescent="0.25">
      <c r="A992" t="s">
        <v>1529</v>
      </c>
      <c r="B992" t="s">
        <v>46</v>
      </c>
      <c r="C992" s="10" t="str" cm="1">
        <f t="array" ref="C992">IF(AND(A992="2020-12", ISNA(MATCH(B992, _xlfn._xlws.FILTER(B:B, A:A="2021-01"), 0))), "Left", "Ativo")</f>
        <v>Ativo</v>
      </c>
      <c r="D992" s="10" t="str" cm="1">
        <f t="array" ref="D992">IF(AND(A992="2021-01", ISNA(MATCH(B992, _xlfn._xlws.FILTER(B:B, A:A="2021-02"), 0))), "Left", "Ativo")</f>
        <v>Ativo</v>
      </c>
      <c r="E992" s="10" t="str" cm="1">
        <f t="array" ref="E992">IF(AND(A992="2021-02", ISNA(MATCH(B992, _xlfn._xlws.FILTER(B:B, A:A="2021-03"), 0))), "Left", "Ativo")</f>
        <v>Ativo</v>
      </c>
      <c r="F992" s="12" t="str" cm="1">
        <f t="array" ref="F992">IF(AND(A992="2021-03", ISNA(MATCH(B992, _xlfn._xlws.FILTER(B:B, A:A="2021-04"), 0))), "Left", "Ativo")</f>
        <v>Ativo</v>
      </c>
    </row>
    <row r="993" spans="1:6" x14ac:dyDescent="0.25">
      <c r="A993" t="s">
        <v>1529</v>
      </c>
      <c r="B993" t="s">
        <v>47</v>
      </c>
      <c r="C993" s="10" t="str" cm="1">
        <f t="array" ref="C993">IF(AND(A993="2020-12", ISNA(MATCH(B993, _xlfn._xlws.FILTER(B:B, A:A="2021-01"), 0))), "Left", "Ativo")</f>
        <v>Ativo</v>
      </c>
      <c r="D993" s="10" t="str" cm="1">
        <f t="array" ref="D993">IF(AND(A993="2021-01", ISNA(MATCH(B993, _xlfn._xlws.FILTER(B:B, A:A="2021-02"), 0))), "Left", "Ativo")</f>
        <v>Ativo</v>
      </c>
      <c r="E993" s="10" t="str" cm="1">
        <f t="array" ref="E993">IF(AND(A993="2021-02", ISNA(MATCH(B993, _xlfn._xlws.FILTER(B:B, A:A="2021-03"), 0))), "Left", "Ativo")</f>
        <v>Ativo</v>
      </c>
      <c r="F993" s="12" t="str" cm="1">
        <f t="array" ref="F993">IF(AND(A993="2021-03", ISNA(MATCH(B993, _xlfn._xlws.FILTER(B:B, A:A="2021-04"), 0))), "Left", "Ativo")</f>
        <v>Ativo</v>
      </c>
    </row>
    <row r="994" spans="1:6" x14ac:dyDescent="0.25">
      <c r="A994" t="s">
        <v>1529</v>
      </c>
      <c r="B994" t="s">
        <v>48</v>
      </c>
      <c r="C994" s="10" t="str" cm="1">
        <f t="array" ref="C994">IF(AND(A994="2020-12", ISNA(MATCH(B994, _xlfn._xlws.FILTER(B:B, A:A="2021-01"), 0))), "Left", "Ativo")</f>
        <v>Ativo</v>
      </c>
      <c r="D994" s="10" t="str" cm="1">
        <f t="array" ref="D994">IF(AND(A994="2021-01", ISNA(MATCH(B994, _xlfn._xlws.FILTER(B:B, A:A="2021-02"), 0))), "Left", "Ativo")</f>
        <v>Ativo</v>
      </c>
      <c r="E994" s="10" t="str" cm="1">
        <f t="array" ref="E994">IF(AND(A994="2021-02", ISNA(MATCH(B994, _xlfn._xlws.FILTER(B:B, A:A="2021-03"), 0))), "Left", "Ativo")</f>
        <v>Ativo</v>
      </c>
      <c r="F994" s="12" t="str" cm="1">
        <f t="array" ref="F994">IF(AND(A994="2021-03", ISNA(MATCH(B994, _xlfn._xlws.FILTER(B:B, A:A="2021-04"), 0))), "Left", "Ativo")</f>
        <v>Ativo</v>
      </c>
    </row>
    <row r="995" spans="1:6" x14ac:dyDescent="0.25">
      <c r="A995" t="s">
        <v>1529</v>
      </c>
      <c r="B995" t="s">
        <v>49</v>
      </c>
      <c r="C995" s="10" t="str" cm="1">
        <f t="array" ref="C995">IF(AND(A995="2020-12", ISNA(MATCH(B995, _xlfn._xlws.FILTER(B:B, A:A="2021-01"), 0))), "Left", "Ativo")</f>
        <v>Ativo</v>
      </c>
      <c r="D995" s="10" t="str" cm="1">
        <f t="array" ref="D995">IF(AND(A995="2021-01", ISNA(MATCH(B995, _xlfn._xlws.FILTER(B:B, A:A="2021-02"), 0))), "Left", "Ativo")</f>
        <v>Ativo</v>
      </c>
      <c r="E995" s="10" t="str" cm="1">
        <f t="array" ref="E995">IF(AND(A995="2021-02", ISNA(MATCH(B995, _xlfn._xlws.FILTER(B:B, A:A="2021-03"), 0))), "Left", "Ativo")</f>
        <v>Ativo</v>
      </c>
      <c r="F995" s="12" t="str" cm="1">
        <f t="array" ref="F995">IF(AND(A995="2021-03", ISNA(MATCH(B995, _xlfn._xlws.FILTER(B:B, A:A="2021-04"), 0))), "Left", "Ativo")</f>
        <v>Ativo</v>
      </c>
    </row>
    <row r="996" spans="1:6" x14ac:dyDescent="0.25">
      <c r="A996" t="s">
        <v>1529</v>
      </c>
      <c r="B996" t="s">
        <v>50</v>
      </c>
      <c r="C996" s="10" t="str" cm="1">
        <f t="array" ref="C996">IF(AND(A996="2020-12", ISNA(MATCH(B996, _xlfn._xlws.FILTER(B:B, A:A="2021-01"), 0))), "Left", "Ativo")</f>
        <v>Ativo</v>
      </c>
      <c r="D996" s="10" t="str" cm="1">
        <f t="array" ref="D996">IF(AND(A996="2021-01", ISNA(MATCH(B996, _xlfn._xlws.FILTER(B:B, A:A="2021-02"), 0))), "Left", "Ativo")</f>
        <v>Ativo</v>
      </c>
      <c r="E996" s="10" t="str" cm="1">
        <f t="array" ref="E996">IF(AND(A996="2021-02", ISNA(MATCH(B996, _xlfn._xlws.FILTER(B:B, A:A="2021-03"), 0))), "Left", "Ativo")</f>
        <v>Ativo</v>
      </c>
      <c r="F996" s="12" t="str" cm="1">
        <f t="array" ref="F996">IF(AND(A996="2021-03", ISNA(MATCH(B996, _xlfn._xlws.FILTER(B:B, A:A="2021-04"), 0))), "Left", "Ativo")</f>
        <v>Ativo</v>
      </c>
    </row>
    <row r="997" spans="1:6" x14ac:dyDescent="0.25">
      <c r="A997" t="s">
        <v>1529</v>
      </c>
      <c r="B997" t="s">
        <v>51</v>
      </c>
      <c r="C997" s="10" t="str" cm="1">
        <f t="array" ref="C997">IF(AND(A997="2020-12", ISNA(MATCH(B997, _xlfn._xlws.FILTER(B:B, A:A="2021-01"), 0))), "Left", "Ativo")</f>
        <v>Ativo</v>
      </c>
      <c r="D997" s="10" t="str" cm="1">
        <f t="array" ref="D997">IF(AND(A997="2021-01", ISNA(MATCH(B997, _xlfn._xlws.FILTER(B:B, A:A="2021-02"), 0))), "Left", "Ativo")</f>
        <v>Ativo</v>
      </c>
      <c r="E997" s="10" t="str" cm="1">
        <f t="array" ref="E997">IF(AND(A997="2021-02", ISNA(MATCH(B997, _xlfn._xlws.FILTER(B:B, A:A="2021-03"), 0))), "Left", "Ativo")</f>
        <v>Ativo</v>
      </c>
      <c r="F997" s="12" t="str" cm="1">
        <f t="array" ref="F997">IF(AND(A997="2021-03", ISNA(MATCH(B997, _xlfn._xlws.FILTER(B:B, A:A="2021-04"), 0))), "Left", "Ativo")</f>
        <v>Ativo</v>
      </c>
    </row>
    <row r="998" spans="1:6" x14ac:dyDescent="0.25">
      <c r="A998" t="s">
        <v>1529</v>
      </c>
      <c r="B998" t="s">
        <v>52</v>
      </c>
      <c r="C998" s="10" t="str" cm="1">
        <f t="array" ref="C998">IF(AND(A998="2020-12", ISNA(MATCH(B998, _xlfn._xlws.FILTER(B:B, A:A="2021-01"), 0))), "Left", "Ativo")</f>
        <v>Ativo</v>
      </c>
      <c r="D998" s="10" t="str" cm="1">
        <f t="array" ref="D998">IF(AND(A998="2021-01", ISNA(MATCH(B998, _xlfn._xlws.FILTER(B:B, A:A="2021-02"), 0))), "Left", "Ativo")</f>
        <v>Ativo</v>
      </c>
      <c r="E998" s="10" t="str" cm="1">
        <f t="array" ref="E998">IF(AND(A998="2021-02", ISNA(MATCH(B998, _xlfn._xlws.FILTER(B:B, A:A="2021-03"), 0))), "Left", "Ativo")</f>
        <v>Ativo</v>
      </c>
      <c r="F998" s="12" t="str" cm="1">
        <f t="array" ref="F998">IF(AND(A998="2021-03", ISNA(MATCH(B998, _xlfn._xlws.FILTER(B:B, A:A="2021-04"), 0))), "Left", "Ativo")</f>
        <v>Ativo</v>
      </c>
    </row>
    <row r="999" spans="1:6" x14ac:dyDescent="0.25">
      <c r="A999" t="s">
        <v>1529</v>
      </c>
      <c r="B999" t="s">
        <v>53</v>
      </c>
      <c r="C999" s="10" t="str" cm="1">
        <f t="array" ref="C999">IF(AND(A999="2020-12", ISNA(MATCH(B999, _xlfn._xlws.FILTER(B:B, A:A="2021-01"), 0))), "Left", "Ativo")</f>
        <v>Ativo</v>
      </c>
      <c r="D999" s="10" t="str" cm="1">
        <f t="array" ref="D999">IF(AND(A999="2021-01", ISNA(MATCH(B999, _xlfn._xlws.FILTER(B:B, A:A="2021-02"), 0))), "Left", "Ativo")</f>
        <v>Ativo</v>
      </c>
      <c r="E999" s="10" t="str" cm="1">
        <f t="array" ref="E999">IF(AND(A999="2021-02", ISNA(MATCH(B999, _xlfn._xlws.FILTER(B:B, A:A="2021-03"), 0))), "Left", "Ativo")</f>
        <v>Ativo</v>
      </c>
      <c r="F999" s="12" t="str" cm="1">
        <f t="array" ref="F999">IF(AND(A999="2021-03", ISNA(MATCH(B999, _xlfn._xlws.FILTER(B:B, A:A="2021-04"), 0))), "Left", "Ativo")</f>
        <v>Ativo</v>
      </c>
    </row>
    <row r="1000" spans="1:6" x14ac:dyDescent="0.25">
      <c r="A1000" t="s">
        <v>1529</v>
      </c>
      <c r="B1000" t="s">
        <v>54</v>
      </c>
      <c r="C1000" s="10" t="str" cm="1">
        <f t="array" ref="C1000">IF(AND(A1000="2020-12", ISNA(MATCH(B1000, _xlfn._xlws.FILTER(B:B, A:A="2021-01"), 0))), "Left", "Ativo")</f>
        <v>Ativo</v>
      </c>
      <c r="D1000" s="10" t="str" cm="1">
        <f t="array" ref="D1000">IF(AND(A1000="2021-01", ISNA(MATCH(B1000, _xlfn._xlws.FILTER(B:B, A:A="2021-02"), 0))), "Left", "Ativo")</f>
        <v>Ativo</v>
      </c>
      <c r="E1000" s="10" t="str" cm="1">
        <f t="array" ref="E1000">IF(AND(A1000="2021-02", ISNA(MATCH(B1000, _xlfn._xlws.FILTER(B:B, A:A="2021-03"), 0))), "Left", "Ativo")</f>
        <v>Ativo</v>
      </c>
      <c r="F1000" s="12" t="str" cm="1">
        <f t="array" ref="F1000">IF(AND(A1000="2021-03", ISNA(MATCH(B1000, _xlfn._xlws.FILTER(B:B, A:A="2021-04"), 0))), "Left", "Ativo")</f>
        <v>Ativo</v>
      </c>
    </row>
    <row r="1001" spans="1:6" x14ac:dyDescent="0.25">
      <c r="A1001" t="s">
        <v>1529</v>
      </c>
      <c r="B1001" t="s">
        <v>55</v>
      </c>
      <c r="C1001" s="10" t="str" cm="1">
        <f t="array" ref="C1001">IF(AND(A1001="2020-12", ISNA(MATCH(B1001, _xlfn._xlws.FILTER(B:B, A:A="2021-01"), 0))), "Left", "Ativo")</f>
        <v>Ativo</v>
      </c>
      <c r="D1001" s="10" t="str" cm="1">
        <f t="array" ref="D1001">IF(AND(A1001="2021-01", ISNA(MATCH(B1001, _xlfn._xlws.FILTER(B:B, A:A="2021-02"), 0))), "Left", "Ativo")</f>
        <v>Ativo</v>
      </c>
      <c r="E1001" s="10" t="str" cm="1">
        <f t="array" ref="E1001">IF(AND(A1001="2021-02", ISNA(MATCH(B1001, _xlfn._xlws.FILTER(B:B, A:A="2021-03"), 0))), "Left", "Ativo")</f>
        <v>Ativo</v>
      </c>
      <c r="F1001" s="12" t="str" cm="1">
        <f t="array" ref="F1001">IF(AND(A1001="2021-03", ISNA(MATCH(B1001, _xlfn._xlws.FILTER(B:B, A:A="2021-04"), 0))), "Left", "Ativo")</f>
        <v>Ativo</v>
      </c>
    </row>
    <row r="1002" spans="1:6" x14ac:dyDescent="0.25">
      <c r="A1002" t="s">
        <v>1529</v>
      </c>
      <c r="B1002" t="s">
        <v>56</v>
      </c>
      <c r="C1002" s="10" t="str" cm="1">
        <f t="array" ref="C1002">IF(AND(A1002="2020-12", ISNA(MATCH(B1002, _xlfn._xlws.FILTER(B:B, A:A="2021-01"), 0))), "Left", "Ativo")</f>
        <v>Ativo</v>
      </c>
      <c r="D1002" s="10" t="str" cm="1">
        <f t="array" ref="D1002">IF(AND(A1002="2021-01", ISNA(MATCH(B1002, _xlfn._xlws.FILTER(B:B, A:A="2021-02"), 0))), "Left", "Ativo")</f>
        <v>Ativo</v>
      </c>
      <c r="E1002" s="10" t="str" cm="1">
        <f t="array" ref="E1002">IF(AND(A1002="2021-02", ISNA(MATCH(B1002, _xlfn._xlws.FILTER(B:B, A:A="2021-03"), 0))), "Left", "Ativo")</f>
        <v>Ativo</v>
      </c>
      <c r="F1002" s="12" t="str" cm="1">
        <f t="array" ref="F1002">IF(AND(A1002="2021-03", ISNA(MATCH(B1002, _xlfn._xlws.FILTER(B:B, A:A="2021-04"), 0))), "Left", "Ativo")</f>
        <v>Ativo</v>
      </c>
    </row>
    <row r="1003" spans="1:6" x14ac:dyDescent="0.25">
      <c r="A1003" t="s">
        <v>1529</v>
      </c>
      <c r="B1003" t="s">
        <v>57</v>
      </c>
      <c r="C1003" s="10" t="str" cm="1">
        <f t="array" ref="C1003">IF(AND(A1003="2020-12", ISNA(MATCH(B1003, _xlfn._xlws.FILTER(B:B, A:A="2021-01"), 0))), "Left", "Ativo")</f>
        <v>Ativo</v>
      </c>
      <c r="D1003" s="10" t="str" cm="1">
        <f t="array" ref="D1003">IF(AND(A1003="2021-01", ISNA(MATCH(B1003, _xlfn._xlws.FILTER(B:B, A:A="2021-02"), 0))), "Left", "Ativo")</f>
        <v>Ativo</v>
      </c>
      <c r="E1003" s="10" t="str" cm="1">
        <f t="array" ref="E1003">IF(AND(A1003="2021-02", ISNA(MATCH(B1003, _xlfn._xlws.FILTER(B:B, A:A="2021-03"), 0))), "Left", "Ativo")</f>
        <v>Ativo</v>
      </c>
      <c r="F1003" s="12" t="str" cm="1">
        <f t="array" ref="F1003">IF(AND(A1003="2021-03", ISNA(MATCH(B1003, _xlfn._xlws.FILTER(B:B, A:A="2021-04"), 0))), "Left", "Ativo")</f>
        <v>Ativo</v>
      </c>
    </row>
    <row r="1004" spans="1:6" x14ac:dyDescent="0.25">
      <c r="A1004" t="s">
        <v>1529</v>
      </c>
      <c r="B1004" t="s">
        <v>58</v>
      </c>
      <c r="C1004" s="10" t="str" cm="1">
        <f t="array" ref="C1004">IF(AND(A1004="2020-12", ISNA(MATCH(B1004, _xlfn._xlws.FILTER(B:B, A:A="2021-01"), 0))), "Left", "Ativo")</f>
        <v>Ativo</v>
      </c>
      <c r="D1004" s="10" t="str" cm="1">
        <f t="array" ref="D1004">IF(AND(A1004="2021-01", ISNA(MATCH(B1004, _xlfn._xlws.FILTER(B:B, A:A="2021-02"), 0))), "Left", "Ativo")</f>
        <v>Ativo</v>
      </c>
      <c r="E1004" s="10" t="str" cm="1">
        <f t="array" ref="E1004">IF(AND(A1004="2021-02", ISNA(MATCH(B1004, _xlfn._xlws.FILTER(B:B, A:A="2021-03"), 0))), "Left", "Ativo")</f>
        <v>Ativo</v>
      </c>
      <c r="F1004" s="12" t="str" cm="1">
        <f t="array" ref="F1004">IF(AND(A1004="2021-03", ISNA(MATCH(B1004, _xlfn._xlws.FILTER(B:B, A:A="2021-04"), 0))), "Left", "Ativo")</f>
        <v>Ativo</v>
      </c>
    </row>
    <row r="1005" spans="1:6" x14ac:dyDescent="0.25">
      <c r="A1005" t="s">
        <v>1529</v>
      </c>
      <c r="B1005" t="s">
        <v>59</v>
      </c>
      <c r="C1005" s="10" t="str" cm="1">
        <f t="array" ref="C1005">IF(AND(A1005="2020-12", ISNA(MATCH(B1005, _xlfn._xlws.FILTER(B:B, A:A="2021-01"), 0))), "Left", "Ativo")</f>
        <v>Ativo</v>
      </c>
      <c r="D1005" s="10" t="str" cm="1">
        <f t="array" ref="D1005">IF(AND(A1005="2021-01", ISNA(MATCH(B1005, _xlfn._xlws.FILTER(B:B, A:A="2021-02"), 0))), "Left", "Ativo")</f>
        <v>Ativo</v>
      </c>
      <c r="E1005" s="10" t="str" cm="1">
        <f t="array" ref="E1005">IF(AND(A1005="2021-02", ISNA(MATCH(B1005, _xlfn._xlws.FILTER(B:B, A:A="2021-03"), 0))), "Left", "Ativo")</f>
        <v>Ativo</v>
      </c>
      <c r="F1005" s="12" t="str" cm="1">
        <f t="array" ref="F1005">IF(AND(A1005="2021-03", ISNA(MATCH(B1005, _xlfn._xlws.FILTER(B:B, A:A="2021-04"), 0))), "Left", "Ativo")</f>
        <v>Ativo</v>
      </c>
    </row>
    <row r="1006" spans="1:6" x14ac:dyDescent="0.25">
      <c r="A1006" t="s">
        <v>1529</v>
      </c>
      <c r="B1006" t="s">
        <v>60</v>
      </c>
      <c r="C1006" s="10" t="str" cm="1">
        <f t="array" ref="C1006">IF(AND(A1006="2020-12", ISNA(MATCH(B1006, _xlfn._xlws.FILTER(B:B, A:A="2021-01"), 0))), "Left", "Ativo")</f>
        <v>Ativo</v>
      </c>
      <c r="D1006" s="10" t="str" cm="1">
        <f t="array" ref="D1006">IF(AND(A1006="2021-01", ISNA(MATCH(B1006, _xlfn._xlws.FILTER(B:B, A:A="2021-02"), 0))), "Left", "Ativo")</f>
        <v>Ativo</v>
      </c>
      <c r="E1006" s="10" t="str" cm="1">
        <f t="array" ref="E1006">IF(AND(A1006="2021-02", ISNA(MATCH(B1006, _xlfn._xlws.FILTER(B:B, A:A="2021-03"), 0))), "Left", "Ativo")</f>
        <v>Ativo</v>
      </c>
      <c r="F1006" s="12" t="str" cm="1">
        <f t="array" ref="F1006">IF(AND(A1006="2021-03", ISNA(MATCH(B1006, _xlfn._xlws.FILTER(B:B, A:A="2021-04"), 0))), "Left", "Ativo")</f>
        <v>Ativo</v>
      </c>
    </row>
    <row r="1007" spans="1:6" x14ac:dyDescent="0.25">
      <c r="A1007" t="s">
        <v>1529</v>
      </c>
      <c r="B1007" t="s">
        <v>61</v>
      </c>
      <c r="C1007" s="10" t="str" cm="1">
        <f t="array" ref="C1007">IF(AND(A1007="2020-12", ISNA(MATCH(B1007, _xlfn._xlws.FILTER(B:B, A:A="2021-01"), 0))), "Left", "Ativo")</f>
        <v>Ativo</v>
      </c>
      <c r="D1007" s="10" t="str" cm="1">
        <f t="array" ref="D1007">IF(AND(A1007="2021-01", ISNA(MATCH(B1007, _xlfn._xlws.FILTER(B:B, A:A="2021-02"), 0))), "Left", "Ativo")</f>
        <v>Ativo</v>
      </c>
      <c r="E1007" s="10" t="str" cm="1">
        <f t="array" ref="E1007">IF(AND(A1007="2021-02", ISNA(MATCH(B1007, _xlfn._xlws.FILTER(B:B, A:A="2021-03"), 0))), "Left", "Ativo")</f>
        <v>Ativo</v>
      </c>
      <c r="F1007" s="12" t="str" cm="1">
        <f t="array" ref="F1007">IF(AND(A1007="2021-03", ISNA(MATCH(B1007, _xlfn._xlws.FILTER(B:B, A:A="2021-04"), 0))), "Left", "Ativo")</f>
        <v>Ativo</v>
      </c>
    </row>
    <row r="1008" spans="1:6" x14ac:dyDescent="0.25">
      <c r="A1008" t="s">
        <v>1529</v>
      </c>
      <c r="B1008" t="s">
        <v>62</v>
      </c>
      <c r="C1008" s="10" t="str" cm="1">
        <f t="array" ref="C1008">IF(AND(A1008="2020-12", ISNA(MATCH(B1008, _xlfn._xlws.FILTER(B:B, A:A="2021-01"), 0))), "Left", "Ativo")</f>
        <v>Ativo</v>
      </c>
      <c r="D1008" s="10" t="str" cm="1">
        <f t="array" ref="D1008">IF(AND(A1008="2021-01", ISNA(MATCH(B1008, _xlfn._xlws.FILTER(B:B, A:A="2021-02"), 0))), "Left", "Ativo")</f>
        <v>Ativo</v>
      </c>
      <c r="E1008" s="10" t="str" cm="1">
        <f t="array" ref="E1008">IF(AND(A1008="2021-02", ISNA(MATCH(B1008, _xlfn._xlws.FILTER(B:B, A:A="2021-03"), 0))), "Left", "Ativo")</f>
        <v>Ativo</v>
      </c>
      <c r="F1008" s="12" t="str" cm="1">
        <f t="array" ref="F1008">IF(AND(A1008="2021-03", ISNA(MATCH(B1008, _xlfn._xlws.FILTER(B:B, A:A="2021-04"), 0))), "Left", "Ativo")</f>
        <v>Ativo</v>
      </c>
    </row>
    <row r="1009" spans="1:6" x14ac:dyDescent="0.25">
      <c r="A1009" t="s">
        <v>1529</v>
      </c>
      <c r="B1009" t="s">
        <v>63</v>
      </c>
      <c r="C1009" s="10" t="str" cm="1">
        <f t="array" ref="C1009">IF(AND(A1009="2020-12", ISNA(MATCH(B1009, _xlfn._xlws.FILTER(B:B, A:A="2021-01"), 0))), "Left", "Ativo")</f>
        <v>Ativo</v>
      </c>
      <c r="D1009" s="10" t="str" cm="1">
        <f t="array" ref="D1009">IF(AND(A1009="2021-01", ISNA(MATCH(B1009, _xlfn._xlws.FILTER(B:B, A:A="2021-02"), 0))), "Left", "Ativo")</f>
        <v>Ativo</v>
      </c>
      <c r="E1009" s="10" t="str" cm="1">
        <f t="array" ref="E1009">IF(AND(A1009="2021-02", ISNA(MATCH(B1009, _xlfn._xlws.FILTER(B:B, A:A="2021-03"), 0))), "Left", "Ativo")</f>
        <v>Ativo</v>
      </c>
      <c r="F1009" s="12" t="str" cm="1">
        <f t="array" ref="F1009">IF(AND(A1009="2021-03", ISNA(MATCH(B1009, _xlfn._xlws.FILTER(B:B, A:A="2021-04"), 0))), "Left", "Ativo")</f>
        <v>Ativo</v>
      </c>
    </row>
    <row r="1010" spans="1:6" x14ac:dyDescent="0.25">
      <c r="A1010" t="s">
        <v>1529</v>
      </c>
      <c r="B1010" t="s">
        <v>64</v>
      </c>
      <c r="C1010" s="10" t="str" cm="1">
        <f t="array" ref="C1010">IF(AND(A1010="2020-12", ISNA(MATCH(B1010, _xlfn._xlws.FILTER(B:B, A:A="2021-01"), 0))), "Left", "Ativo")</f>
        <v>Ativo</v>
      </c>
      <c r="D1010" s="10" t="str" cm="1">
        <f t="array" ref="D1010">IF(AND(A1010="2021-01", ISNA(MATCH(B1010, _xlfn._xlws.FILTER(B:B, A:A="2021-02"), 0))), "Left", "Ativo")</f>
        <v>Ativo</v>
      </c>
      <c r="E1010" s="10" t="str" cm="1">
        <f t="array" ref="E1010">IF(AND(A1010="2021-02", ISNA(MATCH(B1010, _xlfn._xlws.FILTER(B:B, A:A="2021-03"), 0))), "Left", "Ativo")</f>
        <v>Ativo</v>
      </c>
      <c r="F1010" s="12" t="str" cm="1">
        <f t="array" ref="F1010">IF(AND(A1010="2021-03", ISNA(MATCH(B1010, _xlfn._xlws.FILTER(B:B, A:A="2021-04"), 0))), "Left", "Ativo")</f>
        <v>Ativo</v>
      </c>
    </row>
    <row r="1011" spans="1:6" x14ac:dyDescent="0.25">
      <c r="A1011" t="s">
        <v>1529</v>
      </c>
      <c r="B1011" t="s">
        <v>65</v>
      </c>
      <c r="C1011" s="10" t="str" cm="1">
        <f t="array" ref="C1011">IF(AND(A1011="2020-12", ISNA(MATCH(B1011, _xlfn._xlws.FILTER(B:B, A:A="2021-01"), 0))), "Left", "Ativo")</f>
        <v>Ativo</v>
      </c>
      <c r="D1011" s="10" t="str" cm="1">
        <f t="array" ref="D1011">IF(AND(A1011="2021-01", ISNA(MATCH(B1011, _xlfn._xlws.FILTER(B:B, A:A="2021-02"), 0))), "Left", "Ativo")</f>
        <v>Ativo</v>
      </c>
      <c r="E1011" s="10" t="str" cm="1">
        <f t="array" ref="E1011">IF(AND(A1011="2021-02", ISNA(MATCH(B1011, _xlfn._xlws.FILTER(B:B, A:A="2021-03"), 0))), "Left", "Ativo")</f>
        <v>Ativo</v>
      </c>
      <c r="F1011" s="12" t="str" cm="1">
        <f t="array" ref="F1011">IF(AND(A1011="2021-03", ISNA(MATCH(B1011, _xlfn._xlws.FILTER(B:B, A:A="2021-04"), 0))), "Left", "Ativo")</f>
        <v>Ativo</v>
      </c>
    </row>
    <row r="1012" spans="1:6" x14ac:dyDescent="0.25">
      <c r="A1012" t="s">
        <v>1529</v>
      </c>
      <c r="B1012" t="s">
        <v>66</v>
      </c>
      <c r="C1012" s="10" t="str" cm="1">
        <f t="array" ref="C1012">IF(AND(A1012="2020-12", ISNA(MATCH(B1012, _xlfn._xlws.FILTER(B:B, A:A="2021-01"), 0))), "Left", "Ativo")</f>
        <v>Ativo</v>
      </c>
      <c r="D1012" s="10" t="str" cm="1">
        <f t="array" ref="D1012">IF(AND(A1012="2021-01", ISNA(MATCH(B1012, _xlfn._xlws.FILTER(B:B, A:A="2021-02"), 0))), "Left", "Ativo")</f>
        <v>Ativo</v>
      </c>
      <c r="E1012" s="10" t="str" cm="1">
        <f t="array" ref="E1012">IF(AND(A1012="2021-02", ISNA(MATCH(B1012, _xlfn._xlws.FILTER(B:B, A:A="2021-03"), 0))), "Left", "Ativo")</f>
        <v>Ativo</v>
      </c>
      <c r="F1012" s="12" t="str" cm="1">
        <f t="array" ref="F1012">IF(AND(A1012="2021-03", ISNA(MATCH(B1012, _xlfn._xlws.FILTER(B:B, A:A="2021-04"), 0))), "Left", "Ativo")</f>
        <v>Ativo</v>
      </c>
    </row>
    <row r="1013" spans="1:6" x14ac:dyDescent="0.25">
      <c r="A1013" t="s">
        <v>1529</v>
      </c>
      <c r="B1013" t="s">
        <v>67</v>
      </c>
      <c r="C1013" s="10" t="str" cm="1">
        <f t="array" ref="C1013">IF(AND(A1013="2020-12", ISNA(MATCH(B1013, _xlfn._xlws.FILTER(B:B, A:A="2021-01"), 0))), "Left", "Ativo")</f>
        <v>Ativo</v>
      </c>
      <c r="D1013" s="10" t="str" cm="1">
        <f t="array" ref="D1013">IF(AND(A1013="2021-01", ISNA(MATCH(B1013, _xlfn._xlws.FILTER(B:B, A:A="2021-02"), 0))), "Left", "Ativo")</f>
        <v>Ativo</v>
      </c>
      <c r="E1013" s="10" t="str" cm="1">
        <f t="array" ref="E1013">IF(AND(A1013="2021-02", ISNA(MATCH(B1013, _xlfn._xlws.FILTER(B:B, A:A="2021-03"), 0))), "Left", "Ativo")</f>
        <v>Ativo</v>
      </c>
      <c r="F1013" s="12" t="str" cm="1">
        <f t="array" ref="F1013">IF(AND(A1013="2021-03", ISNA(MATCH(B1013, _xlfn._xlws.FILTER(B:B, A:A="2021-04"), 0))), "Left", "Ativo")</f>
        <v>Ativo</v>
      </c>
    </row>
    <row r="1014" spans="1:6" x14ac:dyDescent="0.25">
      <c r="A1014" t="s">
        <v>1529</v>
      </c>
      <c r="B1014" t="s">
        <v>68</v>
      </c>
      <c r="C1014" s="10" t="str" cm="1">
        <f t="array" ref="C1014">IF(AND(A1014="2020-12", ISNA(MATCH(B1014, _xlfn._xlws.FILTER(B:B, A:A="2021-01"), 0))), "Left", "Ativo")</f>
        <v>Ativo</v>
      </c>
      <c r="D1014" s="10" t="str" cm="1">
        <f t="array" ref="D1014">IF(AND(A1014="2021-01", ISNA(MATCH(B1014, _xlfn._xlws.FILTER(B:B, A:A="2021-02"), 0))), "Left", "Ativo")</f>
        <v>Ativo</v>
      </c>
      <c r="E1014" s="10" t="str" cm="1">
        <f t="array" ref="E1014">IF(AND(A1014="2021-02", ISNA(MATCH(B1014, _xlfn._xlws.FILTER(B:B, A:A="2021-03"), 0))), "Left", "Ativo")</f>
        <v>Ativo</v>
      </c>
      <c r="F1014" s="12" t="str" cm="1">
        <f t="array" ref="F1014">IF(AND(A1014="2021-03", ISNA(MATCH(B1014, _xlfn._xlws.FILTER(B:B, A:A="2021-04"), 0))), "Left", "Ativo")</f>
        <v>Ativo</v>
      </c>
    </row>
    <row r="1015" spans="1:6" x14ac:dyDescent="0.25">
      <c r="A1015" t="s">
        <v>1529</v>
      </c>
      <c r="B1015" t="s">
        <v>69</v>
      </c>
      <c r="C1015" s="10" t="str" cm="1">
        <f t="array" ref="C1015">IF(AND(A1015="2020-12", ISNA(MATCH(B1015, _xlfn._xlws.FILTER(B:B, A:A="2021-01"), 0))), "Left", "Ativo")</f>
        <v>Ativo</v>
      </c>
      <c r="D1015" s="10" t="str" cm="1">
        <f t="array" ref="D1015">IF(AND(A1015="2021-01", ISNA(MATCH(B1015, _xlfn._xlws.FILTER(B:B, A:A="2021-02"), 0))), "Left", "Ativo")</f>
        <v>Ativo</v>
      </c>
      <c r="E1015" s="10" t="str" cm="1">
        <f t="array" ref="E1015">IF(AND(A1015="2021-02", ISNA(MATCH(B1015, _xlfn._xlws.FILTER(B:B, A:A="2021-03"), 0))), "Left", "Ativo")</f>
        <v>Ativo</v>
      </c>
      <c r="F1015" s="12" t="str" cm="1">
        <f t="array" ref="F1015">IF(AND(A1015="2021-03", ISNA(MATCH(B1015, _xlfn._xlws.FILTER(B:B, A:A="2021-04"), 0))), "Left", "Ativo")</f>
        <v>Ativo</v>
      </c>
    </row>
    <row r="1016" spans="1:6" x14ac:dyDescent="0.25">
      <c r="A1016" t="s">
        <v>1529</v>
      </c>
      <c r="B1016" t="s">
        <v>70</v>
      </c>
      <c r="C1016" s="10" t="str" cm="1">
        <f t="array" ref="C1016">IF(AND(A1016="2020-12", ISNA(MATCH(B1016, _xlfn._xlws.FILTER(B:B, A:A="2021-01"), 0))), "Left", "Ativo")</f>
        <v>Ativo</v>
      </c>
      <c r="D1016" s="10" t="str" cm="1">
        <f t="array" ref="D1016">IF(AND(A1016="2021-01", ISNA(MATCH(B1016, _xlfn._xlws.FILTER(B:B, A:A="2021-02"), 0))), "Left", "Ativo")</f>
        <v>Ativo</v>
      </c>
      <c r="E1016" s="10" t="str" cm="1">
        <f t="array" ref="E1016">IF(AND(A1016="2021-02", ISNA(MATCH(B1016, _xlfn._xlws.FILTER(B:B, A:A="2021-03"), 0))), "Left", "Ativo")</f>
        <v>Ativo</v>
      </c>
      <c r="F1016" s="12" t="str" cm="1">
        <f t="array" ref="F1016">IF(AND(A1016="2021-03", ISNA(MATCH(B1016, _xlfn._xlws.FILTER(B:B, A:A="2021-04"), 0))), "Left", "Ativo")</f>
        <v>Ativo</v>
      </c>
    </row>
    <row r="1017" spans="1:6" x14ac:dyDescent="0.25">
      <c r="A1017" t="s">
        <v>1529</v>
      </c>
      <c r="B1017" t="s">
        <v>71</v>
      </c>
      <c r="C1017" s="10" t="str" cm="1">
        <f t="array" ref="C1017">IF(AND(A1017="2020-12", ISNA(MATCH(B1017, _xlfn._xlws.FILTER(B:B, A:A="2021-01"), 0))), "Left", "Ativo")</f>
        <v>Ativo</v>
      </c>
      <c r="D1017" s="10" t="str" cm="1">
        <f t="array" ref="D1017">IF(AND(A1017="2021-01", ISNA(MATCH(B1017, _xlfn._xlws.FILTER(B:B, A:A="2021-02"), 0))), "Left", "Ativo")</f>
        <v>Ativo</v>
      </c>
      <c r="E1017" s="10" t="str" cm="1">
        <f t="array" ref="E1017">IF(AND(A1017="2021-02", ISNA(MATCH(B1017, _xlfn._xlws.FILTER(B:B, A:A="2021-03"), 0))), "Left", "Ativo")</f>
        <v>Ativo</v>
      </c>
      <c r="F1017" s="12" t="str" cm="1">
        <f t="array" ref="F1017">IF(AND(A1017="2021-03", ISNA(MATCH(B1017, _xlfn._xlws.FILTER(B:B, A:A="2021-04"), 0))), "Left", "Ativo")</f>
        <v>Ativo</v>
      </c>
    </row>
    <row r="1018" spans="1:6" x14ac:dyDescent="0.25">
      <c r="A1018" t="s">
        <v>1529</v>
      </c>
      <c r="B1018" t="s">
        <v>72</v>
      </c>
      <c r="C1018" s="10" t="str" cm="1">
        <f t="array" ref="C1018">IF(AND(A1018="2020-12", ISNA(MATCH(B1018, _xlfn._xlws.FILTER(B:B, A:A="2021-01"), 0))), "Left", "Ativo")</f>
        <v>Ativo</v>
      </c>
      <c r="D1018" s="10" t="str" cm="1">
        <f t="array" ref="D1018">IF(AND(A1018="2021-01", ISNA(MATCH(B1018, _xlfn._xlws.FILTER(B:B, A:A="2021-02"), 0))), "Left", "Ativo")</f>
        <v>Ativo</v>
      </c>
      <c r="E1018" s="10" t="str" cm="1">
        <f t="array" ref="E1018">IF(AND(A1018="2021-02", ISNA(MATCH(B1018, _xlfn._xlws.FILTER(B:B, A:A="2021-03"), 0))), "Left", "Ativo")</f>
        <v>Ativo</v>
      </c>
      <c r="F1018" s="12" t="str" cm="1">
        <f t="array" ref="F1018">IF(AND(A1018="2021-03", ISNA(MATCH(B1018, _xlfn._xlws.FILTER(B:B, A:A="2021-04"), 0))), "Left", "Ativo")</f>
        <v>Ativo</v>
      </c>
    </row>
    <row r="1019" spans="1:6" x14ac:dyDescent="0.25">
      <c r="A1019" t="s">
        <v>1529</v>
      </c>
      <c r="B1019" t="s">
        <v>73</v>
      </c>
      <c r="C1019" s="10" t="str" cm="1">
        <f t="array" ref="C1019">IF(AND(A1019="2020-12", ISNA(MATCH(B1019, _xlfn._xlws.FILTER(B:B, A:A="2021-01"), 0))), "Left", "Ativo")</f>
        <v>Ativo</v>
      </c>
      <c r="D1019" s="10" t="str" cm="1">
        <f t="array" ref="D1019">IF(AND(A1019="2021-01", ISNA(MATCH(B1019, _xlfn._xlws.FILTER(B:B, A:A="2021-02"), 0))), "Left", "Ativo")</f>
        <v>Ativo</v>
      </c>
      <c r="E1019" s="10" t="str" cm="1">
        <f t="array" ref="E1019">IF(AND(A1019="2021-02", ISNA(MATCH(B1019, _xlfn._xlws.FILTER(B:B, A:A="2021-03"), 0))), "Left", "Ativo")</f>
        <v>Ativo</v>
      </c>
      <c r="F1019" s="12" t="str" cm="1">
        <f t="array" ref="F1019">IF(AND(A1019="2021-03", ISNA(MATCH(B1019, _xlfn._xlws.FILTER(B:B, A:A="2021-04"), 0))), "Left", "Ativo")</f>
        <v>Ativo</v>
      </c>
    </row>
    <row r="1020" spans="1:6" x14ac:dyDescent="0.25">
      <c r="A1020" t="s">
        <v>1529</v>
      </c>
      <c r="B1020" t="s">
        <v>74</v>
      </c>
      <c r="C1020" s="10" t="str" cm="1">
        <f t="array" ref="C1020">IF(AND(A1020="2020-12", ISNA(MATCH(B1020, _xlfn._xlws.FILTER(B:B, A:A="2021-01"), 0))), "Left", "Ativo")</f>
        <v>Ativo</v>
      </c>
      <c r="D1020" s="10" t="str" cm="1">
        <f t="array" ref="D1020">IF(AND(A1020="2021-01", ISNA(MATCH(B1020, _xlfn._xlws.FILTER(B:B, A:A="2021-02"), 0))), "Left", "Ativo")</f>
        <v>Ativo</v>
      </c>
      <c r="E1020" s="10" t="str" cm="1">
        <f t="array" ref="E1020">IF(AND(A1020="2021-02", ISNA(MATCH(B1020, _xlfn._xlws.FILTER(B:B, A:A="2021-03"), 0))), "Left", "Ativo")</f>
        <v>Ativo</v>
      </c>
      <c r="F1020" s="12" t="str" cm="1">
        <f t="array" ref="F1020">IF(AND(A1020="2021-03", ISNA(MATCH(B1020, _xlfn._xlws.FILTER(B:B, A:A="2021-04"), 0))), "Left", "Ativo")</f>
        <v>Ativo</v>
      </c>
    </row>
    <row r="1021" spans="1:6" x14ac:dyDescent="0.25">
      <c r="A1021" t="s">
        <v>1529</v>
      </c>
      <c r="B1021" t="s">
        <v>75</v>
      </c>
      <c r="C1021" s="10" t="str" cm="1">
        <f t="array" ref="C1021">IF(AND(A1021="2020-12", ISNA(MATCH(B1021, _xlfn._xlws.FILTER(B:B, A:A="2021-01"), 0))), "Left", "Ativo")</f>
        <v>Ativo</v>
      </c>
      <c r="D1021" s="10" t="str" cm="1">
        <f t="array" ref="D1021">IF(AND(A1021="2021-01", ISNA(MATCH(B1021, _xlfn._xlws.FILTER(B:B, A:A="2021-02"), 0))), "Left", "Ativo")</f>
        <v>Ativo</v>
      </c>
      <c r="E1021" s="10" t="str" cm="1">
        <f t="array" ref="E1021">IF(AND(A1021="2021-02", ISNA(MATCH(B1021, _xlfn._xlws.FILTER(B:B, A:A="2021-03"), 0))), "Left", "Ativo")</f>
        <v>Ativo</v>
      </c>
      <c r="F1021" s="12" t="str" cm="1">
        <f t="array" ref="F1021">IF(AND(A1021="2021-03", ISNA(MATCH(B1021, _xlfn._xlws.FILTER(B:B, A:A="2021-04"), 0))), "Left", "Ativo")</f>
        <v>Ativo</v>
      </c>
    </row>
    <row r="1022" spans="1:6" x14ac:dyDescent="0.25">
      <c r="A1022" t="s">
        <v>1529</v>
      </c>
      <c r="B1022" t="s">
        <v>76</v>
      </c>
      <c r="C1022" s="10" t="str" cm="1">
        <f t="array" ref="C1022">IF(AND(A1022="2020-12", ISNA(MATCH(B1022, _xlfn._xlws.FILTER(B:B, A:A="2021-01"), 0))), "Left", "Ativo")</f>
        <v>Ativo</v>
      </c>
      <c r="D1022" s="10" t="str" cm="1">
        <f t="array" ref="D1022">IF(AND(A1022="2021-01", ISNA(MATCH(B1022, _xlfn._xlws.FILTER(B:B, A:A="2021-02"), 0))), "Left", "Ativo")</f>
        <v>Ativo</v>
      </c>
      <c r="E1022" s="10" t="str" cm="1">
        <f t="array" ref="E1022">IF(AND(A1022="2021-02", ISNA(MATCH(B1022, _xlfn._xlws.FILTER(B:B, A:A="2021-03"), 0))), "Left", "Ativo")</f>
        <v>Ativo</v>
      </c>
      <c r="F1022" s="12" t="str" cm="1">
        <f t="array" ref="F1022">IF(AND(A1022="2021-03", ISNA(MATCH(B1022, _xlfn._xlws.FILTER(B:B, A:A="2021-04"), 0))), "Left", "Ativo")</f>
        <v>Ativo</v>
      </c>
    </row>
    <row r="1023" spans="1:6" x14ac:dyDescent="0.25">
      <c r="A1023" t="s">
        <v>1529</v>
      </c>
      <c r="B1023" t="s">
        <v>77</v>
      </c>
      <c r="C1023" s="10" t="str" cm="1">
        <f t="array" ref="C1023">IF(AND(A1023="2020-12", ISNA(MATCH(B1023, _xlfn._xlws.FILTER(B:B, A:A="2021-01"), 0))), "Left", "Ativo")</f>
        <v>Ativo</v>
      </c>
      <c r="D1023" s="10" t="str" cm="1">
        <f t="array" ref="D1023">IF(AND(A1023="2021-01", ISNA(MATCH(B1023, _xlfn._xlws.FILTER(B:B, A:A="2021-02"), 0))), "Left", "Ativo")</f>
        <v>Ativo</v>
      </c>
      <c r="E1023" s="10" t="str" cm="1">
        <f t="array" ref="E1023">IF(AND(A1023="2021-02", ISNA(MATCH(B1023, _xlfn._xlws.FILTER(B:B, A:A="2021-03"), 0))), "Left", "Ativo")</f>
        <v>Ativo</v>
      </c>
      <c r="F1023" s="12" t="str" cm="1">
        <f t="array" ref="F1023">IF(AND(A1023="2021-03", ISNA(MATCH(B1023, _xlfn._xlws.FILTER(B:B, A:A="2021-04"), 0))), "Left", "Ativo")</f>
        <v>Ativo</v>
      </c>
    </row>
    <row r="1024" spans="1:6" x14ac:dyDescent="0.25">
      <c r="A1024" t="s">
        <v>1529</v>
      </c>
      <c r="B1024" t="s">
        <v>78</v>
      </c>
      <c r="C1024" s="10" t="str" cm="1">
        <f t="array" ref="C1024">IF(AND(A1024="2020-12", ISNA(MATCH(B1024, _xlfn._xlws.FILTER(B:B, A:A="2021-01"), 0))), "Left", "Ativo")</f>
        <v>Ativo</v>
      </c>
      <c r="D1024" s="10" t="str" cm="1">
        <f t="array" ref="D1024">IF(AND(A1024="2021-01", ISNA(MATCH(B1024, _xlfn._xlws.FILTER(B:B, A:A="2021-02"), 0))), "Left", "Ativo")</f>
        <v>Ativo</v>
      </c>
      <c r="E1024" s="10" t="str" cm="1">
        <f t="array" ref="E1024">IF(AND(A1024="2021-02", ISNA(MATCH(B1024, _xlfn._xlws.FILTER(B:B, A:A="2021-03"), 0))), "Left", "Ativo")</f>
        <v>Ativo</v>
      </c>
      <c r="F1024" s="12" t="str" cm="1">
        <f t="array" ref="F1024">IF(AND(A1024="2021-03", ISNA(MATCH(B1024, _xlfn._xlws.FILTER(B:B, A:A="2021-04"), 0))), "Left", "Ativo")</f>
        <v>Ativo</v>
      </c>
    </row>
    <row r="1025" spans="1:6" x14ac:dyDescent="0.25">
      <c r="A1025" t="s">
        <v>1529</v>
      </c>
      <c r="B1025" t="s">
        <v>79</v>
      </c>
      <c r="C1025" s="10" t="str" cm="1">
        <f t="array" ref="C1025">IF(AND(A1025="2020-12", ISNA(MATCH(B1025, _xlfn._xlws.FILTER(B:B, A:A="2021-01"), 0))), "Left", "Ativo")</f>
        <v>Ativo</v>
      </c>
      <c r="D1025" s="10" t="str" cm="1">
        <f t="array" ref="D1025">IF(AND(A1025="2021-01", ISNA(MATCH(B1025, _xlfn._xlws.FILTER(B:B, A:A="2021-02"), 0))), "Left", "Ativo")</f>
        <v>Ativo</v>
      </c>
      <c r="E1025" s="10" t="str" cm="1">
        <f t="array" ref="E1025">IF(AND(A1025="2021-02", ISNA(MATCH(B1025, _xlfn._xlws.FILTER(B:B, A:A="2021-03"), 0))), "Left", "Ativo")</f>
        <v>Ativo</v>
      </c>
      <c r="F1025" s="12" t="str" cm="1">
        <f t="array" ref="F1025">IF(AND(A1025="2021-03", ISNA(MATCH(B1025, _xlfn._xlws.FILTER(B:B, A:A="2021-04"), 0))), "Left", "Ativo")</f>
        <v>Ativo</v>
      </c>
    </row>
    <row r="1026" spans="1:6" x14ac:dyDescent="0.25">
      <c r="A1026" t="s">
        <v>1529</v>
      </c>
      <c r="B1026" t="s">
        <v>80</v>
      </c>
      <c r="C1026" s="10" t="str" cm="1">
        <f t="array" ref="C1026">IF(AND(A1026="2020-12", ISNA(MATCH(B1026, _xlfn._xlws.FILTER(B:B, A:A="2021-01"), 0))), "Left", "Ativo")</f>
        <v>Ativo</v>
      </c>
      <c r="D1026" s="10" t="str" cm="1">
        <f t="array" ref="D1026">IF(AND(A1026="2021-01", ISNA(MATCH(B1026, _xlfn._xlws.FILTER(B:B, A:A="2021-02"), 0))), "Left", "Ativo")</f>
        <v>Ativo</v>
      </c>
      <c r="E1026" s="10" t="str" cm="1">
        <f t="array" ref="E1026">IF(AND(A1026="2021-02", ISNA(MATCH(B1026, _xlfn._xlws.FILTER(B:B, A:A="2021-03"), 0))), "Left", "Ativo")</f>
        <v>Ativo</v>
      </c>
      <c r="F1026" s="12" t="str" cm="1">
        <f t="array" ref="F1026">IF(AND(A1026="2021-03", ISNA(MATCH(B1026, _xlfn._xlws.FILTER(B:B, A:A="2021-04"), 0))), "Left", "Ativo")</f>
        <v>Ativo</v>
      </c>
    </row>
    <row r="1027" spans="1:6" x14ac:dyDescent="0.25">
      <c r="A1027" t="s">
        <v>1529</v>
      </c>
      <c r="B1027" t="s">
        <v>81</v>
      </c>
      <c r="C1027" s="10" t="str" cm="1">
        <f t="array" ref="C1027">IF(AND(A1027="2020-12", ISNA(MATCH(B1027, _xlfn._xlws.FILTER(B:B, A:A="2021-01"), 0))), "Left", "Ativo")</f>
        <v>Ativo</v>
      </c>
      <c r="D1027" s="10" t="str" cm="1">
        <f t="array" ref="D1027">IF(AND(A1027="2021-01", ISNA(MATCH(B1027, _xlfn._xlws.FILTER(B:B, A:A="2021-02"), 0))), "Left", "Ativo")</f>
        <v>Ativo</v>
      </c>
      <c r="E1027" s="10" t="str" cm="1">
        <f t="array" ref="E1027">IF(AND(A1027="2021-02", ISNA(MATCH(B1027, _xlfn._xlws.FILTER(B:B, A:A="2021-03"), 0))), "Left", "Ativo")</f>
        <v>Ativo</v>
      </c>
      <c r="F1027" s="12" t="str" cm="1">
        <f t="array" ref="F1027">IF(AND(A1027="2021-03", ISNA(MATCH(B1027, _xlfn._xlws.FILTER(B:B, A:A="2021-04"), 0))), "Left", "Ativo")</f>
        <v>Ativo</v>
      </c>
    </row>
    <row r="1028" spans="1:6" x14ac:dyDescent="0.25">
      <c r="A1028" t="s">
        <v>1529</v>
      </c>
      <c r="B1028" t="s">
        <v>82</v>
      </c>
      <c r="C1028" s="10" t="str" cm="1">
        <f t="array" ref="C1028">IF(AND(A1028="2020-12", ISNA(MATCH(B1028, _xlfn._xlws.FILTER(B:B, A:A="2021-01"), 0))), "Left", "Ativo")</f>
        <v>Ativo</v>
      </c>
      <c r="D1028" s="10" t="str" cm="1">
        <f t="array" ref="D1028">IF(AND(A1028="2021-01", ISNA(MATCH(B1028, _xlfn._xlws.FILTER(B:B, A:A="2021-02"), 0))), "Left", "Ativo")</f>
        <v>Ativo</v>
      </c>
      <c r="E1028" s="10" t="str" cm="1">
        <f t="array" ref="E1028">IF(AND(A1028="2021-02", ISNA(MATCH(B1028, _xlfn._xlws.FILTER(B:B, A:A="2021-03"), 0))), "Left", "Ativo")</f>
        <v>Ativo</v>
      </c>
      <c r="F1028" s="12" t="str" cm="1">
        <f t="array" ref="F1028">IF(AND(A1028="2021-03", ISNA(MATCH(B1028, _xlfn._xlws.FILTER(B:B, A:A="2021-04"), 0))), "Left", "Ativo")</f>
        <v>Ativo</v>
      </c>
    </row>
    <row r="1029" spans="1:6" x14ac:dyDescent="0.25">
      <c r="A1029" t="s">
        <v>1529</v>
      </c>
      <c r="B1029" t="s">
        <v>83</v>
      </c>
      <c r="C1029" s="10" t="str" cm="1">
        <f t="array" ref="C1029">IF(AND(A1029="2020-12", ISNA(MATCH(B1029, _xlfn._xlws.FILTER(B:B, A:A="2021-01"), 0))), "Left", "Ativo")</f>
        <v>Ativo</v>
      </c>
      <c r="D1029" s="10" t="str" cm="1">
        <f t="array" ref="D1029">IF(AND(A1029="2021-01", ISNA(MATCH(B1029, _xlfn._xlws.FILTER(B:B, A:A="2021-02"), 0))), "Left", "Ativo")</f>
        <v>Ativo</v>
      </c>
      <c r="E1029" s="10" t="str" cm="1">
        <f t="array" ref="E1029">IF(AND(A1029="2021-02", ISNA(MATCH(B1029, _xlfn._xlws.FILTER(B:B, A:A="2021-03"), 0))), "Left", "Ativo")</f>
        <v>Ativo</v>
      </c>
      <c r="F1029" s="12" t="str" cm="1">
        <f t="array" ref="F1029">IF(AND(A1029="2021-03", ISNA(MATCH(B1029, _xlfn._xlws.FILTER(B:B, A:A="2021-04"), 0))), "Left", "Ativo")</f>
        <v>Ativo</v>
      </c>
    </row>
    <row r="1030" spans="1:6" x14ac:dyDescent="0.25">
      <c r="A1030" t="s">
        <v>1529</v>
      </c>
      <c r="B1030" t="s">
        <v>84</v>
      </c>
      <c r="C1030" s="10" t="str" cm="1">
        <f t="array" ref="C1030">IF(AND(A1030="2020-12", ISNA(MATCH(B1030, _xlfn._xlws.FILTER(B:B, A:A="2021-01"), 0))), "Left", "Ativo")</f>
        <v>Ativo</v>
      </c>
      <c r="D1030" s="10" t="str" cm="1">
        <f t="array" ref="D1030">IF(AND(A1030="2021-01", ISNA(MATCH(B1030, _xlfn._xlws.FILTER(B:B, A:A="2021-02"), 0))), "Left", "Ativo")</f>
        <v>Ativo</v>
      </c>
      <c r="E1030" s="10" t="str" cm="1">
        <f t="array" ref="E1030">IF(AND(A1030="2021-02", ISNA(MATCH(B1030, _xlfn._xlws.FILTER(B:B, A:A="2021-03"), 0))), "Left", "Ativo")</f>
        <v>Ativo</v>
      </c>
      <c r="F1030" s="12" t="str" cm="1">
        <f t="array" ref="F1030">IF(AND(A1030="2021-03", ISNA(MATCH(B1030, _xlfn._xlws.FILTER(B:B, A:A="2021-04"), 0))), "Left", "Ativo")</f>
        <v>Ativo</v>
      </c>
    </row>
    <row r="1031" spans="1:6" x14ac:dyDescent="0.25">
      <c r="A1031" t="s">
        <v>1529</v>
      </c>
      <c r="B1031" t="s">
        <v>85</v>
      </c>
      <c r="C1031" s="10" t="str" cm="1">
        <f t="array" ref="C1031">IF(AND(A1031="2020-12", ISNA(MATCH(B1031, _xlfn._xlws.FILTER(B:B, A:A="2021-01"), 0))), "Left", "Ativo")</f>
        <v>Ativo</v>
      </c>
      <c r="D1031" s="10" t="str" cm="1">
        <f t="array" ref="D1031">IF(AND(A1031="2021-01", ISNA(MATCH(B1031, _xlfn._xlws.FILTER(B:B, A:A="2021-02"), 0))), "Left", "Ativo")</f>
        <v>Ativo</v>
      </c>
      <c r="E1031" s="10" t="str" cm="1">
        <f t="array" ref="E1031">IF(AND(A1031="2021-02", ISNA(MATCH(B1031, _xlfn._xlws.FILTER(B:B, A:A="2021-03"), 0))), "Left", "Ativo")</f>
        <v>Ativo</v>
      </c>
      <c r="F1031" s="12" t="str" cm="1">
        <f t="array" ref="F1031">IF(AND(A1031="2021-03", ISNA(MATCH(B1031, _xlfn._xlws.FILTER(B:B, A:A="2021-04"), 0))), "Left", "Ativo")</f>
        <v>Ativo</v>
      </c>
    </row>
    <row r="1032" spans="1:6" x14ac:dyDescent="0.25">
      <c r="A1032" t="s">
        <v>1529</v>
      </c>
      <c r="B1032" t="s">
        <v>86</v>
      </c>
      <c r="C1032" s="10" t="str" cm="1">
        <f t="array" ref="C1032">IF(AND(A1032="2020-12", ISNA(MATCH(B1032, _xlfn._xlws.FILTER(B:B, A:A="2021-01"), 0))), "Left", "Ativo")</f>
        <v>Ativo</v>
      </c>
      <c r="D1032" s="10" t="str" cm="1">
        <f t="array" ref="D1032">IF(AND(A1032="2021-01", ISNA(MATCH(B1032, _xlfn._xlws.FILTER(B:B, A:A="2021-02"), 0))), "Left", "Ativo")</f>
        <v>Ativo</v>
      </c>
      <c r="E1032" s="10" t="str" cm="1">
        <f t="array" ref="E1032">IF(AND(A1032="2021-02", ISNA(MATCH(B1032, _xlfn._xlws.FILTER(B:B, A:A="2021-03"), 0))), "Left", "Ativo")</f>
        <v>Ativo</v>
      </c>
      <c r="F1032" s="12" t="str" cm="1">
        <f t="array" ref="F1032">IF(AND(A1032="2021-03", ISNA(MATCH(B1032, _xlfn._xlws.FILTER(B:B, A:A="2021-04"), 0))), "Left", "Ativo")</f>
        <v>Ativo</v>
      </c>
    </row>
    <row r="1033" spans="1:6" x14ac:dyDescent="0.25">
      <c r="A1033" t="s">
        <v>1529</v>
      </c>
      <c r="B1033" t="s">
        <v>87</v>
      </c>
      <c r="C1033" s="10" t="str" cm="1">
        <f t="array" ref="C1033">IF(AND(A1033="2020-12", ISNA(MATCH(B1033, _xlfn._xlws.FILTER(B:B, A:A="2021-01"), 0))), "Left", "Ativo")</f>
        <v>Ativo</v>
      </c>
      <c r="D1033" s="10" t="str" cm="1">
        <f t="array" ref="D1033">IF(AND(A1033="2021-01", ISNA(MATCH(B1033, _xlfn._xlws.FILTER(B:B, A:A="2021-02"), 0))), "Left", "Ativo")</f>
        <v>Ativo</v>
      </c>
      <c r="E1033" s="10" t="str" cm="1">
        <f t="array" ref="E1033">IF(AND(A1033="2021-02", ISNA(MATCH(B1033, _xlfn._xlws.FILTER(B:B, A:A="2021-03"), 0))), "Left", "Ativo")</f>
        <v>Ativo</v>
      </c>
      <c r="F1033" s="12" t="str" cm="1">
        <f t="array" ref="F1033">IF(AND(A1033="2021-03", ISNA(MATCH(B1033, _xlfn._xlws.FILTER(B:B, A:A="2021-04"), 0))), "Left", "Ativo")</f>
        <v>Ativo</v>
      </c>
    </row>
    <row r="1034" spans="1:6" x14ac:dyDescent="0.25">
      <c r="A1034" t="s">
        <v>1529</v>
      </c>
      <c r="B1034" t="s">
        <v>88</v>
      </c>
      <c r="C1034" s="10" t="str" cm="1">
        <f t="array" ref="C1034">IF(AND(A1034="2020-12", ISNA(MATCH(B1034, _xlfn._xlws.FILTER(B:B, A:A="2021-01"), 0))), "Left", "Ativo")</f>
        <v>Ativo</v>
      </c>
      <c r="D1034" s="10" t="str" cm="1">
        <f t="array" ref="D1034">IF(AND(A1034="2021-01", ISNA(MATCH(B1034, _xlfn._xlws.FILTER(B:B, A:A="2021-02"), 0))), "Left", "Ativo")</f>
        <v>Ativo</v>
      </c>
      <c r="E1034" s="10" t="str" cm="1">
        <f t="array" ref="E1034">IF(AND(A1034="2021-02", ISNA(MATCH(B1034, _xlfn._xlws.FILTER(B:B, A:A="2021-03"), 0))), "Left", "Ativo")</f>
        <v>Ativo</v>
      </c>
      <c r="F1034" s="12" t="str" cm="1">
        <f t="array" ref="F1034">IF(AND(A1034="2021-03", ISNA(MATCH(B1034, _xlfn._xlws.FILTER(B:B, A:A="2021-04"), 0))), "Left", "Ativo")</f>
        <v>Ativo</v>
      </c>
    </row>
    <row r="1035" spans="1:6" x14ac:dyDescent="0.25">
      <c r="A1035" t="s">
        <v>1529</v>
      </c>
      <c r="B1035" t="s">
        <v>89</v>
      </c>
      <c r="C1035" s="10" t="str" cm="1">
        <f t="array" ref="C1035">IF(AND(A1035="2020-12", ISNA(MATCH(B1035, _xlfn._xlws.FILTER(B:B, A:A="2021-01"), 0))), "Left", "Ativo")</f>
        <v>Ativo</v>
      </c>
      <c r="D1035" s="10" t="str" cm="1">
        <f t="array" ref="D1035">IF(AND(A1035="2021-01", ISNA(MATCH(B1035, _xlfn._xlws.FILTER(B:B, A:A="2021-02"), 0))), "Left", "Ativo")</f>
        <v>Ativo</v>
      </c>
      <c r="E1035" s="10" t="str" cm="1">
        <f t="array" ref="E1035">IF(AND(A1035="2021-02", ISNA(MATCH(B1035, _xlfn._xlws.FILTER(B:B, A:A="2021-03"), 0))), "Left", "Ativo")</f>
        <v>Ativo</v>
      </c>
      <c r="F1035" s="12" t="str" cm="1">
        <f t="array" ref="F1035">IF(AND(A1035="2021-03", ISNA(MATCH(B1035, _xlfn._xlws.FILTER(B:B, A:A="2021-04"), 0))), "Left", "Ativo")</f>
        <v>Ativo</v>
      </c>
    </row>
    <row r="1036" spans="1:6" x14ac:dyDescent="0.25">
      <c r="A1036" t="s">
        <v>1529</v>
      </c>
      <c r="B1036" t="s">
        <v>90</v>
      </c>
      <c r="C1036" s="10" t="str" cm="1">
        <f t="array" ref="C1036">IF(AND(A1036="2020-12", ISNA(MATCH(B1036, _xlfn._xlws.FILTER(B:B, A:A="2021-01"), 0))), "Left", "Ativo")</f>
        <v>Ativo</v>
      </c>
      <c r="D1036" s="10" t="str" cm="1">
        <f t="array" ref="D1036">IF(AND(A1036="2021-01", ISNA(MATCH(B1036, _xlfn._xlws.FILTER(B:B, A:A="2021-02"), 0))), "Left", "Ativo")</f>
        <v>Ativo</v>
      </c>
      <c r="E1036" s="10" t="str" cm="1">
        <f t="array" ref="E1036">IF(AND(A1036="2021-02", ISNA(MATCH(B1036, _xlfn._xlws.FILTER(B:B, A:A="2021-03"), 0))), "Left", "Ativo")</f>
        <v>Ativo</v>
      </c>
      <c r="F1036" s="12" t="str" cm="1">
        <f t="array" ref="F1036">IF(AND(A1036="2021-03", ISNA(MATCH(B1036, _xlfn._xlws.FILTER(B:B, A:A="2021-04"), 0))), "Left", "Ativo")</f>
        <v>Ativo</v>
      </c>
    </row>
    <row r="1037" spans="1:6" x14ac:dyDescent="0.25">
      <c r="A1037" t="s">
        <v>1529</v>
      </c>
      <c r="B1037" t="s">
        <v>91</v>
      </c>
      <c r="C1037" s="10" t="str" cm="1">
        <f t="array" ref="C1037">IF(AND(A1037="2020-12", ISNA(MATCH(B1037, _xlfn._xlws.FILTER(B:B, A:A="2021-01"), 0))), "Left", "Ativo")</f>
        <v>Ativo</v>
      </c>
      <c r="D1037" s="10" t="str" cm="1">
        <f t="array" ref="D1037">IF(AND(A1037="2021-01", ISNA(MATCH(B1037, _xlfn._xlws.FILTER(B:B, A:A="2021-02"), 0))), "Left", "Ativo")</f>
        <v>Ativo</v>
      </c>
      <c r="E1037" s="10" t="str" cm="1">
        <f t="array" ref="E1037">IF(AND(A1037="2021-02", ISNA(MATCH(B1037, _xlfn._xlws.FILTER(B:B, A:A="2021-03"), 0))), "Left", "Ativo")</f>
        <v>Ativo</v>
      </c>
      <c r="F1037" s="12" t="str" cm="1">
        <f t="array" ref="F1037">IF(AND(A1037="2021-03", ISNA(MATCH(B1037, _xlfn._xlws.FILTER(B:B, A:A="2021-04"), 0))), "Left", "Ativo")</f>
        <v>Ativo</v>
      </c>
    </row>
    <row r="1038" spans="1:6" x14ac:dyDescent="0.25">
      <c r="A1038" t="s">
        <v>1529</v>
      </c>
      <c r="B1038" t="s">
        <v>92</v>
      </c>
      <c r="C1038" s="10" t="str" cm="1">
        <f t="array" ref="C1038">IF(AND(A1038="2020-12", ISNA(MATCH(B1038, _xlfn._xlws.FILTER(B:B, A:A="2021-01"), 0))), "Left", "Ativo")</f>
        <v>Ativo</v>
      </c>
      <c r="D1038" s="10" t="str" cm="1">
        <f t="array" ref="D1038">IF(AND(A1038="2021-01", ISNA(MATCH(B1038, _xlfn._xlws.FILTER(B:B, A:A="2021-02"), 0))), "Left", "Ativo")</f>
        <v>Ativo</v>
      </c>
      <c r="E1038" s="10" t="str" cm="1">
        <f t="array" ref="E1038">IF(AND(A1038="2021-02", ISNA(MATCH(B1038, _xlfn._xlws.FILTER(B:B, A:A="2021-03"), 0))), "Left", "Ativo")</f>
        <v>Ativo</v>
      </c>
      <c r="F1038" s="12" t="str" cm="1">
        <f t="array" ref="F1038">IF(AND(A1038="2021-03", ISNA(MATCH(B1038, _xlfn._xlws.FILTER(B:B, A:A="2021-04"), 0))), "Left", "Ativo")</f>
        <v>Ativo</v>
      </c>
    </row>
    <row r="1039" spans="1:6" x14ac:dyDescent="0.25">
      <c r="A1039" t="s">
        <v>1529</v>
      </c>
      <c r="B1039" t="s">
        <v>93</v>
      </c>
      <c r="C1039" s="10" t="str" cm="1">
        <f t="array" ref="C1039">IF(AND(A1039="2020-12", ISNA(MATCH(B1039, _xlfn._xlws.FILTER(B:B, A:A="2021-01"), 0))), "Left", "Ativo")</f>
        <v>Ativo</v>
      </c>
      <c r="D1039" s="10" t="str" cm="1">
        <f t="array" ref="D1039">IF(AND(A1039="2021-01", ISNA(MATCH(B1039, _xlfn._xlws.FILTER(B:B, A:A="2021-02"), 0))), "Left", "Ativo")</f>
        <v>Ativo</v>
      </c>
      <c r="E1039" s="10" t="str" cm="1">
        <f t="array" ref="E1039">IF(AND(A1039="2021-02", ISNA(MATCH(B1039, _xlfn._xlws.FILTER(B:B, A:A="2021-03"), 0))), "Left", "Ativo")</f>
        <v>Ativo</v>
      </c>
      <c r="F1039" s="12" t="str" cm="1">
        <f t="array" ref="F1039">IF(AND(A1039="2021-03", ISNA(MATCH(B1039, _xlfn._xlws.FILTER(B:B, A:A="2021-04"), 0))), "Left", "Ativo")</f>
        <v>Ativo</v>
      </c>
    </row>
    <row r="1040" spans="1:6" x14ac:dyDescent="0.25">
      <c r="A1040" t="s">
        <v>1529</v>
      </c>
      <c r="B1040" t="s">
        <v>94</v>
      </c>
      <c r="C1040" s="10" t="str" cm="1">
        <f t="array" ref="C1040">IF(AND(A1040="2020-12", ISNA(MATCH(B1040, _xlfn._xlws.FILTER(B:B, A:A="2021-01"), 0))), "Left", "Ativo")</f>
        <v>Ativo</v>
      </c>
      <c r="D1040" s="10" t="str" cm="1">
        <f t="array" ref="D1040">IF(AND(A1040="2021-01", ISNA(MATCH(B1040, _xlfn._xlws.FILTER(B:B, A:A="2021-02"), 0))), "Left", "Ativo")</f>
        <v>Ativo</v>
      </c>
      <c r="E1040" s="10" t="str" cm="1">
        <f t="array" ref="E1040">IF(AND(A1040="2021-02", ISNA(MATCH(B1040, _xlfn._xlws.FILTER(B:B, A:A="2021-03"), 0))), "Left", "Ativo")</f>
        <v>Ativo</v>
      </c>
      <c r="F1040" s="12" t="str" cm="1">
        <f t="array" ref="F1040">IF(AND(A1040="2021-03", ISNA(MATCH(B1040, _xlfn._xlws.FILTER(B:B, A:A="2021-04"), 0))), "Left", "Ativo")</f>
        <v>Ativo</v>
      </c>
    </row>
    <row r="1041" spans="1:6" x14ac:dyDescent="0.25">
      <c r="A1041" t="s">
        <v>1529</v>
      </c>
      <c r="B1041" t="s">
        <v>95</v>
      </c>
      <c r="C1041" s="10" t="str" cm="1">
        <f t="array" ref="C1041">IF(AND(A1041="2020-12", ISNA(MATCH(B1041, _xlfn._xlws.FILTER(B:B, A:A="2021-01"), 0))), "Left", "Ativo")</f>
        <v>Ativo</v>
      </c>
      <c r="D1041" s="10" t="str" cm="1">
        <f t="array" ref="D1041">IF(AND(A1041="2021-01", ISNA(MATCH(B1041, _xlfn._xlws.FILTER(B:B, A:A="2021-02"), 0))), "Left", "Ativo")</f>
        <v>Ativo</v>
      </c>
      <c r="E1041" s="10" t="str" cm="1">
        <f t="array" ref="E1041">IF(AND(A1041="2021-02", ISNA(MATCH(B1041, _xlfn._xlws.FILTER(B:B, A:A="2021-03"), 0))), "Left", "Ativo")</f>
        <v>Ativo</v>
      </c>
      <c r="F1041" s="12" t="str" cm="1">
        <f t="array" ref="F1041">IF(AND(A1041="2021-03", ISNA(MATCH(B1041, _xlfn._xlws.FILTER(B:B, A:A="2021-04"), 0))), "Left", "Ativo")</f>
        <v>Ativo</v>
      </c>
    </row>
    <row r="1042" spans="1:6" x14ac:dyDescent="0.25">
      <c r="A1042" t="s">
        <v>1529</v>
      </c>
      <c r="B1042" t="s">
        <v>96</v>
      </c>
      <c r="C1042" s="10" t="str" cm="1">
        <f t="array" ref="C1042">IF(AND(A1042="2020-12", ISNA(MATCH(B1042, _xlfn._xlws.FILTER(B:B, A:A="2021-01"), 0))), "Left", "Ativo")</f>
        <v>Ativo</v>
      </c>
      <c r="D1042" s="10" t="str" cm="1">
        <f t="array" ref="D1042">IF(AND(A1042="2021-01", ISNA(MATCH(B1042, _xlfn._xlws.FILTER(B:B, A:A="2021-02"), 0))), "Left", "Ativo")</f>
        <v>Ativo</v>
      </c>
      <c r="E1042" s="10" t="str" cm="1">
        <f t="array" ref="E1042">IF(AND(A1042="2021-02", ISNA(MATCH(B1042, _xlfn._xlws.FILTER(B:B, A:A="2021-03"), 0))), "Left", "Ativo")</f>
        <v>Ativo</v>
      </c>
      <c r="F1042" s="12" t="str" cm="1">
        <f t="array" ref="F1042">IF(AND(A1042="2021-03", ISNA(MATCH(B1042, _xlfn._xlws.FILTER(B:B, A:A="2021-04"), 0))), "Left", "Ativo")</f>
        <v>Ativo</v>
      </c>
    </row>
    <row r="1043" spans="1:6" x14ac:dyDescent="0.25">
      <c r="A1043" t="s">
        <v>1529</v>
      </c>
      <c r="B1043" t="s">
        <v>97</v>
      </c>
      <c r="C1043" s="10" t="str" cm="1">
        <f t="array" ref="C1043">IF(AND(A1043="2020-12", ISNA(MATCH(B1043, _xlfn._xlws.FILTER(B:B, A:A="2021-01"), 0))), "Left", "Ativo")</f>
        <v>Ativo</v>
      </c>
      <c r="D1043" s="10" t="str" cm="1">
        <f t="array" ref="D1043">IF(AND(A1043="2021-01", ISNA(MATCH(B1043, _xlfn._xlws.FILTER(B:B, A:A="2021-02"), 0))), "Left", "Ativo")</f>
        <v>Ativo</v>
      </c>
      <c r="E1043" s="10" t="str" cm="1">
        <f t="array" ref="E1043">IF(AND(A1043="2021-02", ISNA(MATCH(B1043, _xlfn._xlws.FILTER(B:B, A:A="2021-03"), 0))), "Left", "Ativo")</f>
        <v>Ativo</v>
      </c>
      <c r="F1043" s="12" t="str" cm="1">
        <f t="array" ref="F1043">IF(AND(A1043="2021-03", ISNA(MATCH(B1043, _xlfn._xlws.FILTER(B:B, A:A="2021-04"), 0))), "Left", "Ativo")</f>
        <v>Ativo</v>
      </c>
    </row>
    <row r="1044" spans="1:6" x14ac:dyDescent="0.25">
      <c r="A1044" t="s">
        <v>1529</v>
      </c>
      <c r="B1044" t="s">
        <v>98</v>
      </c>
      <c r="C1044" s="10" t="str" cm="1">
        <f t="array" ref="C1044">IF(AND(A1044="2020-12", ISNA(MATCH(B1044, _xlfn._xlws.FILTER(B:B, A:A="2021-01"), 0))), "Left", "Ativo")</f>
        <v>Ativo</v>
      </c>
      <c r="D1044" s="10" t="str" cm="1">
        <f t="array" ref="D1044">IF(AND(A1044="2021-01", ISNA(MATCH(B1044, _xlfn._xlws.FILTER(B:B, A:A="2021-02"), 0))), "Left", "Ativo")</f>
        <v>Ativo</v>
      </c>
      <c r="E1044" s="10" t="str" cm="1">
        <f t="array" ref="E1044">IF(AND(A1044="2021-02", ISNA(MATCH(B1044, _xlfn._xlws.FILTER(B:B, A:A="2021-03"), 0))), "Left", "Ativo")</f>
        <v>Ativo</v>
      </c>
      <c r="F1044" s="12" t="str" cm="1">
        <f t="array" ref="F1044">IF(AND(A1044="2021-03", ISNA(MATCH(B1044, _xlfn._xlws.FILTER(B:B, A:A="2021-04"), 0))), "Left", "Ativo")</f>
        <v>Ativo</v>
      </c>
    </row>
    <row r="1045" spans="1:6" x14ac:dyDescent="0.25">
      <c r="A1045" t="s">
        <v>1529</v>
      </c>
      <c r="B1045" t="s">
        <v>99</v>
      </c>
      <c r="C1045" s="10" t="str" cm="1">
        <f t="array" ref="C1045">IF(AND(A1045="2020-12", ISNA(MATCH(B1045, _xlfn._xlws.FILTER(B:B, A:A="2021-01"), 0))), "Left", "Ativo")</f>
        <v>Ativo</v>
      </c>
      <c r="D1045" s="10" t="str" cm="1">
        <f t="array" ref="D1045">IF(AND(A1045="2021-01", ISNA(MATCH(B1045, _xlfn._xlws.FILTER(B:B, A:A="2021-02"), 0))), "Left", "Ativo")</f>
        <v>Ativo</v>
      </c>
      <c r="E1045" s="10" t="str" cm="1">
        <f t="array" ref="E1045">IF(AND(A1045="2021-02", ISNA(MATCH(B1045, _xlfn._xlws.FILTER(B:B, A:A="2021-03"), 0))), "Left", "Ativo")</f>
        <v>Ativo</v>
      </c>
      <c r="F1045" s="12" t="str" cm="1">
        <f t="array" ref="F1045">IF(AND(A1045="2021-03", ISNA(MATCH(B1045, _xlfn._xlws.FILTER(B:B, A:A="2021-04"), 0))), "Left", "Ativo")</f>
        <v>Ativo</v>
      </c>
    </row>
    <row r="1046" spans="1:6" x14ac:dyDescent="0.25">
      <c r="A1046" t="s">
        <v>1529</v>
      </c>
      <c r="B1046" t="s">
        <v>100</v>
      </c>
      <c r="C1046" s="10" t="str" cm="1">
        <f t="array" ref="C1046">IF(AND(A1046="2020-12", ISNA(MATCH(B1046, _xlfn._xlws.FILTER(B:B, A:A="2021-01"), 0))), "Left", "Ativo")</f>
        <v>Ativo</v>
      </c>
      <c r="D1046" s="10" t="str" cm="1">
        <f t="array" ref="D1046">IF(AND(A1046="2021-01", ISNA(MATCH(B1046, _xlfn._xlws.FILTER(B:B, A:A="2021-02"), 0))), "Left", "Ativo")</f>
        <v>Ativo</v>
      </c>
      <c r="E1046" s="10" t="str" cm="1">
        <f t="array" ref="E1046">IF(AND(A1046="2021-02", ISNA(MATCH(B1046, _xlfn._xlws.FILTER(B:B, A:A="2021-03"), 0))), "Left", "Ativo")</f>
        <v>Ativo</v>
      </c>
      <c r="F1046" s="12" t="str" cm="1">
        <f t="array" ref="F1046">IF(AND(A1046="2021-03", ISNA(MATCH(B1046, _xlfn._xlws.FILTER(B:B, A:A="2021-04"), 0))), "Left", "Ativo")</f>
        <v>Ativo</v>
      </c>
    </row>
    <row r="1047" spans="1:6" x14ac:dyDescent="0.25">
      <c r="A1047" t="s">
        <v>1529</v>
      </c>
      <c r="B1047" t="s">
        <v>101</v>
      </c>
      <c r="C1047" s="10" t="str" cm="1">
        <f t="array" ref="C1047">IF(AND(A1047="2020-12", ISNA(MATCH(B1047, _xlfn._xlws.FILTER(B:B, A:A="2021-01"), 0))), "Left", "Ativo")</f>
        <v>Ativo</v>
      </c>
      <c r="D1047" s="10" t="str" cm="1">
        <f t="array" ref="D1047">IF(AND(A1047="2021-01", ISNA(MATCH(B1047, _xlfn._xlws.FILTER(B:B, A:A="2021-02"), 0))), "Left", "Ativo")</f>
        <v>Ativo</v>
      </c>
      <c r="E1047" s="10" t="str" cm="1">
        <f t="array" ref="E1047">IF(AND(A1047="2021-02", ISNA(MATCH(B1047, _xlfn._xlws.FILTER(B:B, A:A="2021-03"), 0))), "Left", "Ativo")</f>
        <v>Ativo</v>
      </c>
      <c r="F1047" s="12" t="str" cm="1">
        <f t="array" ref="F1047">IF(AND(A1047="2021-03", ISNA(MATCH(B1047, _xlfn._xlws.FILTER(B:B, A:A="2021-04"), 0))), "Left", "Ativo")</f>
        <v>Ativo</v>
      </c>
    </row>
    <row r="1048" spans="1:6" x14ac:dyDescent="0.25">
      <c r="A1048" t="s">
        <v>1529</v>
      </c>
      <c r="B1048" t="s">
        <v>102</v>
      </c>
      <c r="C1048" s="10" t="str" cm="1">
        <f t="array" ref="C1048">IF(AND(A1048="2020-12", ISNA(MATCH(B1048, _xlfn._xlws.FILTER(B:B, A:A="2021-01"), 0))), "Left", "Ativo")</f>
        <v>Ativo</v>
      </c>
      <c r="D1048" s="10" t="str" cm="1">
        <f t="array" ref="D1048">IF(AND(A1048="2021-01", ISNA(MATCH(B1048, _xlfn._xlws.FILTER(B:B, A:A="2021-02"), 0))), "Left", "Ativo")</f>
        <v>Ativo</v>
      </c>
      <c r="E1048" s="10" t="str" cm="1">
        <f t="array" ref="E1048">IF(AND(A1048="2021-02", ISNA(MATCH(B1048, _xlfn._xlws.FILTER(B:B, A:A="2021-03"), 0))), "Left", "Ativo")</f>
        <v>Ativo</v>
      </c>
      <c r="F1048" s="12" t="str" cm="1">
        <f t="array" ref="F1048">IF(AND(A1048="2021-03", ISNA(MATCH(B1048, _xlfn._xlws.FILTER(B:B, A:A="2021-04"), 0))), "Left", "Ativo")</f>
        <v>Ativo</v>
      </c>
    </row>
    <row r="1049" spans="1:6" x14ac:dyDescent="0.25">
      <c r="A1049" t="s">
        <v>1529</v>
      </c>
      <c r="B1049" t="s">
        <v>103</v>
      </c>
      <c r="C1049" s="10" t="str" cm="1">
        <f t="array" ref="C1049">IF(AND(A1049="2020-12", ISNA(MATCH(B1049, _xlfn._xlws.FILTER(B:B, A:A="2021-01"), 0))), "Left", "Ativo")</f>
        <v>Ativo</v>
      </c>
      <c r="D1049" s="10" t="str" cm="1">
        <f t="array" ref="D1049">IF(AND(A1049="2021-01", ISNA(MATCH(B1049, _xlfn._xlws.FILTER(B:B, A:A="2021-02"), 0))), "Left", "Ativo")</f>
        <v>Ativo</v>
      </c>
      <c r="E1049" s="10" t="str" cm="1">
        <f t="array" ref="E1049">IF(AND(A1049="2021-02", ISNA(MATCH(B1049, _xlfn._xlws.FILTER(B:B, A:A="2021-03"), 0))), "Left", "Ativo")</f>
        <v>Ativo</v>
      </c>
      <c r="F1049" s="12" t="str" cm="1">
        <f t="array" ref="F1049">IF(AND(A1049="2021-03", ISNA(MATCH(B1049, _xlfn._xlws.FILTER(B:B, A:A="2021-04"), 0))), "Left", "Ativo")</f>
        <v>Ativo</v>
      </c>
    </row>
    <row r="1050" spans="1:6" x14ac:dyDescent="0.25">
      <c r="A1050" t="s">
        <v>1529</v>
      </c>
      <c r="B1050" t="s">
        <v>104</v>
      </c>
      <c r="C1050" s="10" t="str" cm="1">
        <f t="array" ref="C1050">IF(AND(A1050="2020-12", ISNA(MATCH(B1050, _xlfn._xlws.FILTER(B:B, A:A="2021-01"), 0))), "Left", "Ativo")</f>
        <v>Ativo</v>
      </c>
      <c r="D1050" s="10" t="str" cm="1">
        <f t="array" ref="D1050">IF(AND(A1050="2021-01", ISNA(MATCH(B1050, _xlfn._xlws.FILTER(B:B, A:A="2021-02"), 0))), "Left", "Ativo")</f>
        <v>Ativo</v>
      </c>
      <c r="E1050" s="10" t="str" cm="1">
        <f t="array" ref="E1050">IF(AND(A1050="2021-02", ISNA(MATCH(B1050, _xlfn._xlws.FILTER(B:B, A:A="2021-03"), 0))), "Left", "Ativo")</f>
        <v>Ativo</v>
      </c>
      <c r="F1050" s="12" t="str" cm="1">
        <f t="array" ref="F1050">IF(AND(A1050="2021-03", ISNA(MATCH(B1050, _xlfn._xlws.FILTER(B:B, A:A="2021-04"), 0))), "Left", "Ativo")</f>
        <v>Ativo</v>
      </c>
    </row>
    <row r="1051" spans="1:6" x14ac:dyDescent="0.25">
      <c r="A1051" t="s">
        <v>1529</v>
      </c>
      <c r="B1051" t="s">
        <v>105</v>
      </c>
      <c r="C1051" s="10" t="str" cm="1">
        <f t="array" ref="C1051">IF(AND(A1051="2020-12", ISNA(MATCH(B1051, _xlfn._xlws.FILTER(B:B, A:A="2021-01"), 0))), "Left", "Ativo")</f>
        <v>Ativo</v>
      </c>
      <c r="D1051" s="10" t="str" cm="1">
        <f t="array" ref="D1051">IF(AND(A1051="2021-01", ISNA(MATCH(B1051, _xlfn._xlws.FILTER(B:B, A:A="2021-02"), 0))), "Left", "Ativo")</f>
        <v>Ativo</v>
      </c>
      <c r="E1051" s="10" t="str" cm="1">
        <f t="array" ref="E1051">IF(AND(A1051="2021-02", ISNA(MATCH(B1051, _xlfn._xlws.FILTER(B:B, A:A="2021-03"), 0))), "Left", "Ativo")</f>
        <v>Ativo</v>
      </c>
      <c r="F1051" s="12" t="str" cm="1">
        <f t="array" ref="F1051">IF(AND(A1051="2021-03", ISNA(MATCH(B1051, _xlfn._xlws.FILTER(B:B, A:A="2021-04"), 0))), "Left", "Ativo")</f>
        <v>Ativo</v>
      </c>
    </row>
    <row r="1052" spans="1:6" x14ac:dyDescent="0.25">
      <c r="A1052" t="s">
        <v>1529</v>
      </c>
      <c r="B1052" t="s">
        <v>106</v>
      </c>
      <c r="C1052" s="10" t="str" cm="1">
        <f t="array" ref="C1052">IF(AND(A1052="2020-12", ISNA(MATCH(B1052, _xlfn._xlws.FILTER(B:B, A:A="2021-01"), 0))), "Left", "Ativo")</f>
        <v>Ativo</v>
      </c>
      <c r="D1052" s="10" t="str" cm="1">
        <f t="array" ref="D1052">IF(AND(A1052="2021-01", ISNA(MATCH(B1052, _xlfn._xlws.FILTER(B:B, A:A="2021-02"), 0))), "Left", "Ativo")</f>
        <v>Ativo</v>
      </c>
      <c r="E1052" s="10" t="str" cm="1">
        <f t="array" ref="E1052">IF(AND(A1052="2021-02", ISNA(MATCH(B1052, _xlfn._xlws.FILTER(B:B, A:A="2021-03"), 0))), "Left", "Ativo")</f>
        <v>Ativo</v>
      </c>
      <c r="F1052" s="12" t="str" cm="1">
        <f t="array" ref="F1052">IF(AND(A1052="2021-03", ISNA(MATCH(B1052, _xlfn._xlws.FILTER(B:B, A:A="2021-04"), 0))), "Left", "Ativo")</f>
        <v>Ativo</v>
      </c>
    </row>
    <row r="1053" spans="1:6" x14ac:dyDescent="0.25">
      <c r="A1053" t="s">
        <v>1529</v>
      </c>
      <c r="B1053" t="s">
        <v>107</v>
      </c>
      <c r="C1053" s="10" t="str" cm="1">
        <f t="array" ref="C1053">IF(AND(A1053="2020-12", ISNA(MATCH(B1053, _xlfn._xlws.FILTER(B:B, A:A="2021-01"), 0))), "Left", "Ativo")</f>
        <v>Ativo</v>
      </c>
      <c r="D1053" s="10" t="str" cm="1">
        <f t="array" ref="D1053">IF(AND(A1053="2021-01", ISNA(MATCH(B1053, _xlfn._xlws.FILTER(B:B, A:A="2021-02"), 0))), "Left", "Ativo")</f>
        <v>Ativo</v>
      </c>
      <c r="E1053" s="10" t="str" cm="1">
        <f t="array" ref="E1053">IF(AND(A1053="2021-02", ISNA(MATCH(B1053, _xlfn._xlws.FILTER(B:B, A:A="2021-03"), 0))), "Left", "Ativo")</f>
        <v>Ativo</v>
      </c>
      <c r="F1053" s="12" t="str" cm="1">
        <f t="array" ref="F1053">IF(AND(A1053="2021-03", ISNA(MATCH(B1053, _xlfn._xlws.FILTER(B:B, A:A="2021-04"), 0))), "Left", "Ativo")</f>
        <v>Ativo</v>
      </c>
    </row>
    <row r="1054" spans="1:6" x14ac:dyDescent="0.25">
      <c r="A1054" t="s">
        <v>1529</v>
      </c>
      <c r="B1054" t="s">
        <v>108</v>
      </c>
      <c r="C1054" s="10" t="str" cm="1">
        <f t="array" ref="C1054">IF(AND(A1054="2020-12", ISNA(MATCH(B1054, _xlfn._xlws.FILTER(B:B, A:A="2021-01"), 0))), "Left", "Ativo")</f>
        <v>Ativo</v>
      </c>
      <c r="D1054" s="10" t="str" cm="1">
        <f t="array" ref="D1054">IF(AND(A1054="2021-01", ISNA(MATCH(B1054, _xlfn._xlws.FILTER(B:B, A:A="2021-02"), 0))), "Left", "Ativo")</f>
        <v>Ativo</v>
      </c>
      <c r="E1054" s="10" t="str" cm="1">
        <f t="array" ref="E1054">IF(AND(A1054="2021-02", ISNA(MATCH(B1054, _xlfn._xlws.FILTER(B:B, A:A="2021-03"), 0))), "Left", "Ativo")</f>
        <v>Ativo</v>
      </c>
      <c r="F1054" s="12" t="str" cm="1">
        <f t="array" ref="F1054">IF(AND(A1054="2021-03", ISNA(MATCH(B1054, _xlfn._xlws.FILTER(B:B, A:A="2021-04"), 0))), "Left", "Ativo")</f>
        <v>Ativo</v>
      </c>
    </row>
    <row r="1055" spans="1:6" x14ac:dyDescent="0.25">
      <c r="A1055" t="s">
        <v>1529</v>
      </c>
      <c r="B1055" t="s">
        <v>109</v>
      </c>
      <c r="C1055" s="10" t="str" cm="1">
        <f t="array" ref="C1055">IF(AND(A1055="2020-12", ISNA(MATCH(B1055, _xlfn._xlws.FILTER(B:B, A:A="2021-01"), 0))), "Left", "Ativo")</f>
        <v>Ativo</v>
      </c>
      <c r="D1055" s="10" t="str" cm="1">
        <f t="array" ref="D1055">IF(AND(A1055="2021-01", ISNA(MATCH(B1055, _xlfn._xlws.FILTER(B:B, A:A="2021-02"), 0))), "Left", "Ativo")</f>
        <v>Ativo</v>
      </c>
      <c r="E1055" s="10" t="str" cm="1">
        <f t="array" ref="E1055">IF(AND(A1055="2021-02", ISNA(MATCH(B1055, _xlfn._xlws.FILTER(B:B, A:A="2021-03"), 0))), "Left", "Ativo")</f>
        <v>Ativo</v>
      </c>
      <c r="F1055" s="12" t="str" cm="1">
        <f t="array" ref="F1055">IF(AND(A1055="2021-03", ISNA(MATCH(B1055, _xlfn._xlws.FILTER(B:B, A:A="2021-04"), 0))), "Left", "Ativo")</f>
        <v>Ativo</v>
      </c>
    </row>
    <row r="1056" spans="1:6" x14ac:dyDescent="0.25">
      <c r="A1056" t="s">
        <v>1529</v>
      </c>
      <c r="B1056" t="s">
        <v>110</v>
      </c>
      <c r="C1056" s="10" t="str" cm="1">
        <f t="array" ref="C1056">IF(AND(A1056="2020-12", ISNA(MATCH(B1056, _xlfn._xlws.FILTER(B:B, A:A="2021-01"), 0))), "Left", "Ativo")</f>
        <v>Ativo</v>
      </c>
      <c r="D1056" s="10" t="str" cm="1">
        <f t="array" ref="D1056">IF(AND(A1056="2021-01", ISNA(MATCH(B1056, _xlfn._xlws.FILTER(B:B, A:A="2021-02"), 0))), "Left", "Ativo")</f>
        <v>Ativo</v>
      </c>
      <c r="E1056" s="10" t="str" cm="1">
        <f t="array" ref="E1056">IF(AND(A1056="2021-02", ISNA(MATCH(B1056, _xlfn._xlws.FILTER(B:B, A:A="2021-03"), 0))), "Left", "Ativo")</f>
        <v>Ativo</v>
      </c>
      <c r="F1056" s="12" t="str" cm="1">
        <f t="array" ref="F1056">IF(AND(A1056="2021-03", ISNA(MATCH(B1056, _xlfn._xlws.FILTER(B:B, A:A="2021-04"), 0))), "Left", "Ativo")</f>
        <v>Ativo</v>
      </c>
    </row>
    <row r="1057" spans="1:6" x14ac:dyDescent="0.25">
      <c r="A1057" t="s">
        <v>1529</v>
      </c>
      <c r="B1057" t="s">
        <v>111</v>
      </c>
      <c r="C1057" s="10" t="str" cm="1">
        <f t="array" ref="C1057">IF(AND(A1057="2020-12", ISNA(MATCH(B1057, _xlfn._xlws.FILTER(B:B, A:A="2021-01"), 0))), "Left", "Ativo")</f>
        <v>Ativo</v>
      </c>
      <c r="D1057" s="10" t="str" cm="1">
        <f t="array" ref="D1057">IF(AND(A1057="2021-01", ISNA(MATCH(B1057, _xlfn._xlws.FILTER(B:B, A:A="2021-02"), 0))), "Left", "Ativo")</f>
        <v>Ativo</v>
      </c>
      <c r="E1057" s="10" t="str" cm="1">
        <f t="array" ref="E1057">IF(AND(A1057="2021-02", ISNA(MATCH(B1057, _xlfn._xlws.FILTER(B:B, A:A="2021-03"), 0))), "Left", "Ativo")</f>
        <v>Ativo</v>
      </c>
      <c r="F1057" s="12" t="str" cm="1">
        <f t="array" ref="F1057">IF(AND(A1057="2021-03", ISNA(MATCH(B1057, _xlfn._xlws.FILTER(B:B, A:A="2021-04"), 0))), "Left", "Ativo")</f>
        <v>Ativo</v>
      </c>
    </row>
    <row r="1058" spans="1:6" x14ac:dyDescent="0.25">
      <c r="A1058" t="s">
        <v>1529</v>
      </c>
      <c r="B1058" t="s">
        <v>112</v>
      </c>
      <c r="C1058" s="10" t="str" cm="1">
        <f t="array" ref="C1058">IF(AND(A1058="2020-12", ISNA(MATCH(B1058, _xlfn._xlws.FILTER(B:B, A:A="2021-01"), 0))), "Left", "Ativo")</f>
        <v>Ativo</v>
      </c>
      <c r="D1058" s="10" t="str" cm="1">
        <f t="array" ref="D1058">IF(AND(A1058="2021-01", ISNA(MATCH(B1058, _xlfn._xlws.FILTER(B:B, A:A="2021-02"), 0))), "Left", "Ativo")</f>
        <v>Ativo</v>
      </c>
      <c r="E1058" s="10" t="str" cm="1">
        <f t="array" ref="E1058">IF(AND(A1058="2021-02", ISNA(MATCH(B1058, _xlfn._xlws.FILTER(B:B, A:A="2021-03"), 0))), "Left", "Ativo")</f>
        <v>Ativo</v>
      </c>
      <c r="F1058" s="12" t="str" cm="1">
        <f t="array" ref="F1058">IF(AND(A1058="2021-03", ISNA(MATCH(B1058, _xlfn._xlws.FILTER(B:B, A:A="2021-04"), 0))), "Left", "Ativo")</f>
        <v>Ativo</v>
      </c>
    </row>
    <row r="1059" spans="1:6" x14ac:dyDescent="0.25">
      <c r="A1059" t="s">
        <v>1529</v>
      </c>
      <c r="B1059" t="s">
        <v>113</v>
      </c>
      <c r="C1059" s="10" t="str" cm="1">
        <f t="array" ref="C1059">IF(AND(A1059="2020-12", ISNA(MATCH(B1059, _xlfn._xlws.FILTER(B:B, A:A="2021-01"), 0))), "Left", "Ativo")</f>
        <v>Ativo</v>
      </c>
      <c r="D1059" s="10" t="str" cm="1">
        <f t="array" ref="D1059">IF(AND(A1059="2021-01", ISNA(MATCH(B1059, _xlfn._xlws.FILTER(B:B, A:A="2021-02"), 0))), "Left", "Ativo")</f>
        <v>Ativo</v>
      </c>
      <c r="E1059" s="10" t="str" cm="1">
        <f t="array" ref="E1059">IF(AND(A1059="2021-02", ISNA(MATCH(B1059, _xlfn._xlws.FILTER(B:B, A:A="2021-03"), 0))), "Left", "Ativo")</f>
        <v>Ativo</v>
      </c>
      <c r="F1059" s="12" t="str" cm="1">
        <f t="array" ref="F1059">IF(AND(A1059="2021-03", ISNA(MATCH(B1059, _xlfn._xlws.FILTER(B:B, A:A="2021-04"), 0))), "Left", "Ativo")</f>
        <v>Ativo</v>
      </c>
    </row>
    <row r="1060" spans="1:6" x14ac:dyDescent="0.25">
      <c r="A1060" t="s">
        <v>1529</v>
      </c>
      <c r="B1060" t="s">
        <v>114</v>
      </c>
      <c r="C1060" s="10" t="str" cm="1">
        <f t="array" ref="C1060">IF(AND(A1060="2020-12", ISNA(MATCH(B1060, _xlfn._xlws.FILTER(B:B, A:A="2021-01"), 0))), "Left", "Ativo")</f>
        <v>Ativo</v>
      </c>
      <c r="D1060" s="10" t="str" cm="1">
        <f t="array" ref="D1060">IF(AND(A1060="2021-01", ISNA(MATCH(B1060, _xlfn._xlws.FILTER(B:B, A:A="2021-02"), 0))), "Left", "Ativo")</f>
        <v>Ativo</v>
      </c>
      <c r="E1060" s="10" t="str" cm="1">
        <f t="array" ref="E1060">IF(AND(A1060="2021-02", ISNA(MATCH(B1060, _xlfn._xlws.FILTER(B:B, A:A="2021-03"), 0))), "Left", "Ativo")</f>
        <v>Ativo</v>
      </c>
      <c r="F1060" s="12" t="str" cm="1">
        <f t="array" ref="F1060">IF(AND(A1060="2021-03", ISNA(MATCH(B1060, _xlfn._xlws.FILTER(B:B, A:A="2021-04"), 0))), "Left", "Ativo")</f>
        <v>Ativo</v>
      </c>
    </row>
    <row r="1061" spans="1:6" x14ac:dyDescent="0.25">
      <c r="A1061" t="s">
        <v>1529</v>
      </c>
      <c r="B1061" t="s">
        <v>115</v>
      </c>
      <c r="C1061" s="10" t="str" cm="1">
        <f t="array" ref="C1061">IF(AND(A1061="2020-12", ISNA(MATCH(B1061, _xlfn._xlws.FILTER(B:B, A:A="2021-01"), 0))), "Left", "Ativo")</f>
        <v>Ativo</v>
      </c>
      <c r="D1061" s="10" t="str" cm="1">
        <f t="array" ref="D1061">IF(AND(A1061="2021-01", ISNA(MATCH(B1061, _xlfn._xlws.FILTER(B:B, A:A="2021-02"), 0))), "Left", "Ativo")</f>
        <v>Ativo</v>
      </c>
      <c r="E1061" s="10" t="str" cm="1">
        <f t="array" ref="E1061">IF(AND(A1061="2021-02", ISNA(MATCH(B1061, _xlfn._xlws.FILTER(B:B, A:A="2021-03"), 0))), "Left", "Ativo")</f>
        <v>Ativo</v>
      </c>
      <c r="F1061" s="12" t="str" cm="1">
        <f t="array" ref="F1061">IF(AND(A1061="2021-03", ISNA(MATCH(B1061, _xlfn._xlws.FILTER(B:B, A:A="2021-04"), 0))), "Left", "Ativo")</f>
        <v>Ativo</v>
      </c>
    </row>
    <row r="1062" spans="1:6" x14ac:dyDescent="0.25">
      <c r="A1062" t="s">
        <v>1529</v>
      </c>
      <c r="B1062" t="s">
        <v>116</v>
      </c>
      <c r="C1062" s="10" t="str" cm="1">
        <f t="array" ref="C1062">IF(AND(A1062="2020-12", ISNA(MATCH(B1062, _xlfn._xlws.FILTER(B:B, A:A="2021-01"), 0))), "Left", "Ativo")</f>
        <v>Ativo</v>
      </c>
      <c r="D1062" s="10" t="str" cm="1">
        <f t="array" ref="D1062">IF(AND(A1062="2021-01", ISNA(MATCH(B1062, _xlfn._xlws.FILTER(B:B, A:A="2021-02"), 0))), "Left", "Ativo")</f>
        <v>Ativo</v>
      </c>
      <c r="E1062" s="10" t="str" cm="1">
        <f t="array" ref="E1062">IF(AND(A1062="2021-02", ISNA(MATCH(B1062, _xlfn._xlws.FILTER(B:B, A:A="2021-03"), 0))), "Left", "Ativo")</f>
        <v>Ativo</v>
      </c>
      <c r="F1062" s="12" t="str" cm="1">
        <f t="array" ref="F1062">IF(AND(A1062="2021-03", ISNA(MATCH(B1062, _xlfn._xlws.FILTER(B:B, A:A="2021-04"), 0))), "Left", "Ativo")</f>
        <v>Ativo</v>
      </c>
    </row>
    <row r="1063" spans="1:6" x14ac:dyDescent="0.25">
      <c r="A1063" t="s">
        <v>1529</v>
      </c>
      <c r="B1063" t="s">
        <v>117</v>
      </c>
      <c r="C1063" s="10" t="str" cm="1">
        <f t="array" ref="C1063">IF(AND(A1063="2020-12", ISNA(MATCH(B1063, _xlfn._xlws.FILTER(B:B, A:A="2021-01"), 0))), "Left", "Ativo")</f>
        <v>Ativo</v>
      </c>
      <c r="D1063" s="10" t="str" cm="1">
        <f t="array" ref="D1063">IF(AND(A1063="2021-01", ISNA(MATCH(B1063, _xlfn._xlws.FILTER(B:B, A:A="2021-02"), 0))), "Left", "Ativo")</f>
        <v>Ativo</v>
      </c>
      <c r="E1063" s="10" t="str" cm="1">
        <f t="array" ref="E1063">IF(AND(A1063="2021-02", ISNA(MATCH(B1063, _xlfn._xlws.FILTER(B:B, A:A="2021-03"), 0))), "Left", "Ativo")</f>
        <v>Ativo</v>
      </c>
      <c r="F1063" s="12" t="str" cm="1">
        <f t="array" ref="F1063">IF(AND(A1063="2021-03", ISNA(MATCH(B1063, _xlfn._xlws.FILTER(B:B, A:A="2021-04"), 0))), "Left", "Ativo")</f>
        <v>Ativo</v>
      </c>
    </row>
    <row r="1064" spans="1:6" x14ac:dyDescent="0.25">
      <c r="A1064" t="s">
        <v>1529</v>
      </c>
      <c r="B1064" t="s">
        <v>118</v>
      </c>
      <c r="C1064" s="10" t="str" cm="1">
        <f t="array" ref="C1064">IF(AND(A1064="2020-12", ISNA(MATCH(B1064, _xlfn._xlws.FILTER(B:B, A:A="2021-01"), 0))), "Left", "Ativo")</f>
        <v>Ativo</v>
      </c>
      <c r="D1064" s="10" t="str" cm="1">
        <f t="array" ref="D1064">IF(AND(A1064="2021-01", ISNA(MATCH(B1064, _xlfn._xlws.FILTER(B:B, A:A="2021-02"), 0))), "Left", "Ativo")</f>
        <v>Ativo</v>
      </c>
      <c r="E1064" s="10" t="str" cm="1">
        <f t="array" ref="E1064">IF(AND(A1064="2021-02", ISNA(MATCH(B1064, _xlfn._xlws.FILTER(B:B, A:A="2021-03"), 0))), "Left", "Ativo")</f>
        <v>Ativo</v>
      </c>
      <c r="F1064" s="12" t="str" cm="1">
        <f t="array" ref="F1064">IF(AND(A1064="2021-03", ISNA(MATCH(B1064, _xlfn._xlws.FILTER(B:B, A:A="2021-04"), 0))), "Left", "Ativo")</f>
        <v>Ativo</v>
      </c>
    </row>
    <row r="1065" spans="1:6" x14ac:dyDescent="0.25">
      <c r="A1065" t="s">
        <v>1529</v>
      </c>
      <c r="B1065" t="s">
        <v>119</v>
      </c>
      <c r="C1065" s="10" t="str" cm="1">
        <f t="array" ref="C1065">IF(AND(A1065="2020-12", ISNA(MATCH(B1065, _xlfn._xlws.FILTER(B:B, A:A="2021-01"), 0))), "Left", "Ativo")</f>
        <v>Ativo</v>
      </c>
      <c r="D1065" s="10" t="str" cm="1">
        <f t="array" ref="D1065">IF(AND(A1065="2021-01", ISNA(MATCH(B1065, _xlfn._xlws.FILTER(B:B, A:A="2021-02"), 0))), "Left", "Ativo")</f>
        <v>Ativo</v>
      </c>
      <c r="E1065" s="10" t="str" cm="1">
        <f t="array" ref="E1065">IF(AND(A1065="2021-02", ISNA(MATCH(B1065, _xlfn._xlws.FILTER(B:B, A:A="2021-03"), 0))), "Left", "Ativo")</f>
        <v>Ativo</v>
      </c>
      <c r="F1065" s="12" t="str" cm="1">
        <f t="array" ref="F1065">IF(AND(A1065="2021-03", ISNA(MATCH(B1065, _xlfn._xlws.FILTER(B:B, A:A="2021-04"), 0))), "Left", "Ativo")</f>
        <v>Ativo</v>
      </c>
    </row>
    <row r="1066" spans="1:6" x14ac:dyDescent="0.25">
      <c r="A1066" t="s">
        <v>1529</v>
      </c>
      <c r="B1066" t="s">
        <v>120</v>
      </c>
      <c r="C1066" s="10" t="str" cm="1">
        <f t="array" ref="C1066">IF(AND(A1066="2020-12", ISNA(MATCH(B1066, _xlfn._xlws.FILTER(B:B, A:A="2021-01"), 0))), "Left", "Ativo")</f>
        <v>Ativo</v>
      </c>
      <c r="D1066" s="10" t="str" cm="1">
        <f t="array" ref="D1066">IF(AND(A1066="2021-01", ISNA(MATCH(B1066, _xlfn._xlws.FILTER(B:B, A:A="2021-02"), 0))), "Left", "Ativo")</f>
        <v>Ativo</v>
      </c>
      <c r="E1066" s="10" t="str" cm="1">
        <f t="array" ref="E1066">IF(AND(A1066="2021-02", ISNA(MATCH(B1066, _xlfn._xlws.FILTER(B:B, A:A="2021-03"), 0))), "Left", "Ativo")</f>
        <v>Ativo</v>
      </c>
      <c r="F1066" s="12" t="str" cm="1">
        <f t="array" ref="F1066">IF(AND(A1066="2021-03", ISNA(MATCH(B1066, _xlfn._xlws.FILTER(B:B, A:A="2021-04"), 0))), "Left", "Ativo")</f>
        <v>Ativo</v>
      </c>
    </row>
    <row r="1067" spans="1:6" x14ac:dyDescent="0.25">
      <c r="A1067" t="s">
        <v>1529</v>
      </c>
      <c r="B1067" t="s">
        <v>121</v>
      </c>
      <c r="C1067" s="10" t="str" cm="1">
        <f t="array" ref="C1067">IF(AND(A1067="2020-12", ISNA(MATCH(B1067, _xlfn._xlws.FILTER(B:B, A:A="2021-01"), 0))), "Left", "Ativo")</f>
        <v>Ativo</v>
      </c>
      <c r="D1067" s="10" t="str" cm="1">
        <f t="array" ref="D1067">IF(AND(A1067="2021-01", ISNA(MATCH(B1067, _xlfn._xlws.FILTER(B:B, A:A="2021-02"), 0))), "Left", "Ativo")</f>
        <v>Ativo</v>
      </c>
      <c r="E1067" s="10" t="str" cm="1">
        <f t="array" ref="E1067">IF(AND(A1067="2021-02", ISNA(MATCH(B1067, _xlfn._xlws.FILTER(B:B, A:A="2021-03"), 0))), "Left", "Ativo")</f>
        <v>Ativo</v>
      </c>
      <c r="F1067" s="12" t="str" cm="1">
        <f t="array" ref="F1067">IF(AND(A1067="2021-03", ISNA(MATCH(B1067, _xlfn._xlws.FILTER(B:B, A:A="2021-04"), 0))), "Left", "Ativo")</f>
        <v>Ativo</v>
      </c>
    </row>
    <row r="1068" spans="1:6" x14ac:dyDescent="0.25">
      <c r="A1068" t="s">
        <v>1529</v>
      </c>
      <c r="B1068" t="s">
        <v>122</v>
      </c>
      <c r="C1068" s="10" t="str" cm="1">
        <f t="array" ref="C1068">IF(AND(A1068="2020-12", ISNA(MATCH(B1068, _xlfn._xlws.FILTER(B:B, A:A="2021-01"), 0))), "Left", "Ativo")</f>
        <v>Ativo</v>
      </c>
      <c r="D1068" s="10" t="str" cm="1">
        <f t="array" ref="D1068">IF(AND(A1068="2021-01", ISNA(MATCH(B1068, _xlfn._xlws.FILTER(B:B, A:A="2021-02"), 0))), "Left", "Ativo")</f>
        <v>Ativo</v>
      </c>
      <c r="E1068" s="10" t="str" cm="1">
        <f t="array" ref="E1068">IF(AND(A1068="2021-02", ISNA(MATCH(B1068, _xlfn._xlws.FILTER(B:B, A:A="2021-03"), 0))), "Left", "Ativo")</f>
        <v>Ativo</v>
      </c>
      <c r="F1068" s="12" t="str" cm="1">
        <f t="array" ref="F1068">IF(AND(A1068="2021-03", ISNA(MATCH(B1068, _xlfn._xlws.FILTER(B:B, A:A="2021-04"), 0))), "Left", "Ativo")</f>
        <v>Ativo</v>
      </c>
    </row>
    <row r="1069" spans="1:6" x14ac:dyDescent="0.25">
      <c r="A1069" t="s">
        <v>1529</v>
      </c>
      <c r="B1069" t="s">
        <v>123</v>
      </c>
      <c r="C1069" s="10" t="str" cm="1">
        <f t="array" ref="C1069">IF(AND(A1069="2020-12", ISNA(MATCH(B1069, _xlfn._xlws.FILTER(B:B, A:A="2021-01"), 0))), "Left", "Ativo")</f>
        <v>Ativo</v>
      </c>
      <c r="D1069" s="10" t="str" cm="1">
        <f t="array" ref="D1069">IF(AND(A1069="2021-01", ISNA(MATCH(B1069, _xlfn._xlws.FILTER(B:B, A:A="2021-02"), 0))), "Left", "Ativo")</f>
        <v>Ativo</v>
      </c>
      <c r="E1069" s="10" t="str" cm="1">
        <f t="array" ref="E1069">IF(AND(A1069="2021-02", ISNA(MATCH(B1069, _xlfn._xlws.FILTER(B:B, A:A="2021-03"), 0))), "Left", "Ativo")</f>
        <v>Ativo</v>
      </c>
      <c r="F1069" s="12" t="str" cm="1">
        <f t="array" ref="F1069">IF(AND(A1069="2021-03", ISNA(MATCH(B1069, _xlfn._xlws.FILTER(B:B, A:A="2021-04"), 0))), "Left", "Ativo")</f>
        <v>Ativo</v>
      </c>
    </row>
    <row r="1070" spans="1:6" x14ac:dyDescent="0.25">
      <c r="A1070" t="s">
        <v>1529</v>
      </c>
      <c r="B1070" t="s">
        <v>124</v>
      </c>
      <c r="C1070" s="10" t="str" cm="1">
        <f t="array" ref="C1070">IF(AND(A1070="2020-12", ISNA(MATCH(B1070, _xlfn._xlws.FILTER(B:B, A:A="2021-01"), 0))), "Left", "Ativo")</f>
        <v>Ativo</v>
      </c>
      <c r="D1070" s="10" t="str" cm="1">
        <f t="array" ref="D1070">IF(AND(A1070="2021-01", ISNA(MATCH(B1070, _xlfn._xlws.FILTER(B:B, A:A="2021-02"), 0))), "Left", "Ativo")</f>
        <v>Ativo</v>
      </c>
      <c r="E1070" s="10" t="str" cm="1">
        <f t="array" ref="E1070">IF(AND(A1070="2021-02", ISNA(MATCH(B1070, _xlfn._xlws.FILTER(B:B, A:A="2021-03"), 0))), "Left", "Ativo")</f>
        <v>Ativo</v>
      </c>
      <c r="F1070" s="12" t="str" cm="1">
        <f t="array" ref="F1070">IF(AND(A1070="2021-03", ISNA(MATCH(B1070, _xlfn._xlws.FILTER(B:B, A:A="2021-04"), 0))), "Left", "Ativo")</f>
        <v>Ativo</v>
      </c>
    </row>
    <row r="1071" spans="1:6" x14ac:dyDescent="0.25">
      <c r="A1071" t="s">
        <v>1529</v>
      </c>
      <c r="B1071" t="s">
        <v>125</v>
      </c>
      <c r="C1071" s="10" t="str" cm="1">
        <f t="array" ref="C1071">IF(AND(A1071="2020-12", ISNA(MATCH(B1071, _xlfn._xlws.FILTER(B:B, A:A="2021-01"), 0))), "Left", "Ativo")</f>
        <v>Ativo</v>
      </c>
      <c r="D1071" s="10" t="str" cm="1">
        <f t="array" ref="D1071">IF(AND(A1071="2021-01", ISNA(MATCH(B1071, _xlfn._xlws.FILTER(B:B, A:A="2021-02"), 0))), "Left", "Ativo")</f>
        <v>Ativo</v>
      </c>
      <c r="E1071" s="10" t="str" cm="1">
        <f t="array" ref="E1071">IF(AND(A1071="2021-02", ISNA(MATCH(B1071, _xlfn._xlws.FILTER(B:B, A:A="2021-03"), 0))), "Left", "Ativo")</f>
        <v>Ativo</v>
      </c>
      <c r="F1071" s="12" t="str" cm="1">
        <f t="array" ref="F1071">IF(AND(A1071="2021-03", ISNA(MATCH(B1071, _xlfn._xlws.FILTER(B:B, A:A="2021-04"), 0))), "Left", "Ativo")</f>
        <v>Ativo</v>
      </c>
    </row>
    <row r="1072" spans="1:6" x14ac:dyDescent="0.25">
      <c r="A1072" t="s">
        <v>1529</v>
      </c>
      <c r="B1072" t="s">
        <v>126</v>
      </c>
      <c r="C1072" s="10" t="str" cm="1">
        <f t="array" ref="C1072">IF(AND(A1072="2020-12", ISNA(MATCH(B1072, _xlfn._xlws.FILTER(B:B, A:A="2021-01"), 0))), "Left", "Ativo")</f>
        <v>Ativo</v>
      </c>
      <c r="D1072" s="10" t="str" cm="1">
        <f t="array" ref="D1072">IF(AND(A1072="2021-01", ISNA(MATCH(B1072, _xlfn._xlws.FILTER(B:B, A:A="2021-02"), 0))), "Left", "Ativo")</f>
        <v>Ativo</v>
      </c>
      <c r="E1072" s="10" t="str" cm="1">
        <f t="array" ref="E1072">IF(AND(A1072="2021-02", ISNA(MATCH(B1072, _xlfn._xlws.FILTER(B:B, A:A="2021-03"), 0))), "Left", "Ativo")</f>
        <v>Ativo</v>
      </c>
      <c r="F1072" s="12" t="str" cm="1">
        <f t="array" ref="F1072">IF(AND(A1072="2021-03", ISNA(MATCH(B1072, _xlfn._xlws.FILTER(B:B, A:A="2021-04"), 0))), "Left", "Ativo")</f>
        <v>Ativo</v>
      </c>
    </row>
    <row r="1073" spans="1:6" x14ac:dyDescent="0.25">
      <c r="A1073" t="s">
        <v>1529</v>
      </c>
      <c r="B1073" t="s">
        <v>127</v>
      </c>
      <c r="C1073" s="10" t="str" cm="1">
        <f t="array" ref="C1073">IF(AND(A1073="2020-12", ISNA(MATCH(B1073, _xlfn._xlws.FILTER(B:B, A:A="2021-01"), 0))), "Left", "Ativo")</f>
        <v>Ativo</v>
      </c>
      <c r="D1073" s="10" t="str" cm="1">
        <f t="array" ref="D1073">IF(AND(A1073="2021-01", ISNA(MATCH(B1073, _xlfn._xlws.FILTER(B:B, A:A="2021-02"), 0))), "Left", "Ativo")</f>
        <v>Ativo</v>
      </c>
      <c r="E1073" s="10" t="str" cm="1">
        <f t="array" ref="E1073">IF(AND(A1073="2021-02", ISNA(MATCH(B1073, _xlfn._xlws.FILTER(B:B, A:A="2021-03"), 0))), "Left", "Ativo")</f>
        <v>Ativo</v>
      </c>
      <c r="F1073" s="12" t="str" cm="1">
        <f t="array" ref="F1073">IF(AND(A1073="2021-03", ISNA(MATCH(B1073, _xlfn._xlws.FILTER(B:B, A:A="2021-04"), 0))), "Left", "Ativo")</f>
        <v>Ativo</v>
      </c>
    </row>
    <row r="1074" spans="1:6" x14ac:dyDescent="0.25">
      <c r="A1074" t="s">
        <v>1529</v>
      </c>
      <c r="B1074" t="s">
        <v>128</v>
      </c>
      <c r="C1074" s="10" t="str" cm="1">
        <f t="array" ref="C1074">IF(AND(A1074="2020-12", ISNA(MATCH(B1074, _xlfn._xlws.FILTER(B:B, A:A="2021-01"), 0))), "Left", "Ativo")</f>
        <v>Ativo</v>
      </c>
      <c r="D1074" s="10" t="str" cm="1">
        <f t="array" ref="D1074">IF(AND(A1074="2021-01", ISNA(MATCH(B1074, _xlfn._xlws.FILTER(B:B, A:A="2021-02"), 0))), "Left", "Ativo")</f>
        <v>Ativo</v>
      </c>
      <c r="E1074" s="10" t="str" cm="1">
        <f t="array" ref="E1074">IF(AND(A1074="2021-02", ISNA(MATCH(B1074, _xlfn._xlws.FILTER(B:B, A:A="2021-03"), 0))), "Left", "Ativo")</f>
        <v>Ativo</v>
      </c>
      <c r="F1074" s="12" t="str" cm="1">
        <f t="array" ref="F1074">IF(AND(A1074="2021-03", ISNA(MATCH(B1074, _xlfn._xlws.FILTER(B:B, A:A="2021-04"), 0))), "Left", "Ativo")</f>
        <v>Ativo</v>
      </c>
    </row>
    <row r="1075" spans="1:6" x14ac:dyDescent="0.25">
      <c r="A1075" t="s">
        <v>1529</v>
      </c>
      <c r="B1075" t="s">
        <v>129</v>
      </c>
      <c r="C1075" s="10" t="str" cm="1">
        <f t="array" ref="C1075">IF(AND(A1075="2020-12", ISNA(MATCH(B1075, _xlfn._xlws.FILTER(B:B, A:A="2021-01"), 0))), "Left", "Ativo")</f>
        <v>Ativo</v>
      </c>
      <c r="D1075" s="10" t="str" cm="1">
        <f t="array" ref="D1075">IF(AND(A1075="2021-01", ISNA(MATCH(B1075, _xlfn._xlws.FILTER(B:B, A:A="2021-02"), 0))), "Left", "Ativo")</f>
        <v>Ativo</v>
      </c>
      <c r="E1075" s="10" t="str" cm="1">
        <f t="array" ref="E1075">IF(AND(A1075="2021-02", ISNA(MATCH(B1075, _xlfn._xlws.FILTER(B:B, A:A="2021-03"), 0))), "Left", "Ativo")</f>
        <v>Ativo</v>
      </c>
      <c r="F1075" s="12" t="str" cm="1">
        <f t="array" ref="F1075">IF(AND(A1075="2021-03", ISNA(MATCH(B1075, _xlfn._xlws.FILTER(B:B, A:A="2021-04"), 0))), "Left", "Ativo")</f>
        <v>Ativo</v>
      </c>
    </row>
    <row r="1076" spans="1:6" x14ac:dyDescent="0.25">
      <c r="A1076" t="s">
        <v>1529</v>
      </c>
      <c r="B1076" t="s">
        <v>130</v>
      </c>
      <c r="C1076" s="10" t="str" cm="1">
        <f t="array" ref="C1076">IF(AND(A1076="2020-12", ISNA(MATCH(B1076, _xlfn._xlws.FILTER(B:B, A:A="2021-01"), 0))), "Left", "Ativo")</f>
        <v>Ativo</v>
      </c>
      <c r="D1076" s="10" t="str" cm="1">
        <f t="array" ref="D1076">IF(AND(A1076="2021-01", ISNA(MATCH(B1076, _xlfn._xlws.FILTER(B:B, A:A="2021-02"), 0))), "Left", "Ativo")</f>
        <v>Ativo</v>
      </c>
      <c r="E1076" s="10" t="str" cm="1">
        <f t="array" ref="E1076">IF(AND(A1076="2021-02", ISNA(MATCH(B1076, _xlfn._xlws.FILTER(B:B, A:A="2021-03"), 0))), "Left", "Ativo")</f>
        <v>Ativo</v>
      </c>
      <c r="F1076" s="12" t="str" cm="1">
        <f t="array" ref="F1076">IF(AND(A1076="2021-03", ISNA(MATCH(B1076, _xlfn._xlws.FILTER(B:B, A:A="2021-04"), 0))), "Left", "Ativo")</f>
        <v>Ativo</v>
      </c>
    </row>
    <row r="1077" spans="1:6" x14ac:dyDescent="0.25">
      <c r="A1077" t="s">
        <v>1529</v>
      </c>
      <c r="B1077" t="s">
        <v>131</v>
      </c>
      <c r="C1077" s="10" t="str" cm="1">
        <f t="array" ref="C1077">IF(AND(A1077="2020-12", ISNA(MATCH(B1077, _xlfn._xlws.FILTER(B:B, A:A="2021-01"), 0))), "Left", "Ativo")</f>
        <v>Ativo</v>
      </c>
      <c r="D1077" s="10" t="str" cm="1">
        <f t="array" ref="D1077">IF(AND(A1077="2021-01", ISNA(MATCH(B1077, _xlfn._xlws.FILTER(B:B, A:A="2021-02"), 0))), "Left", "Ativo")</f>
        <v>Ativo</v>
      </c>
      <c r="E1077" s="10" t="str" cm="1">
        <f t="array" ref="E1077">IF(AND(A1077="2021-02", ISNA(MATCH(B1077, _xlfn._xlws.FILTER(B:B, A:A="2021-03"), 0))), "Left", "Ativo")</f>
        <v>Ativo</v>
      </c>
      <c r="F1077" s="12" t="str" cm="1">
        <f t="array" ref="F1077">IF(AND(A1077="2021-03", ISNA(MATCH(B1077, _xlfn._xlws.FILTER(B:B, A:A="2021-04"), 0))), "Left", "Ativo")</f>
        <v>Ativo</v>
      </c>
    </row>
    <row r="1078" spans="1:6" x14ac:dyDescent="0.25">
      <c r="A1078" t="s">
        <v>1529</v>
      </c>
      <c r="B1078" t="s">
        <v>132</v>
      </c>
      <c r="C1078" s="10" t="str" cm="1">
        <f t="array" ref="C1078">IF(AND(A1078="2020-12", ISNA(MATCH(B1078, _xlfn._xlws.FILTER(B:B, A:A="2021-01"), 0))), "Left", "Ativo")</f>
        <v>Ativo</v>
      </c>
      <c r="D1078" s="10" t="str" cm="1">
        <f t="array" ref="D1078">IF(AND(A1078="2021-01", ISNA(MATCH(B1078, _xlfn._xlws.FILTER(B:B, A:A="2021-02"), 0))), "Left", "Ativo")</f>
        <v>Ativo</v>
      </c>
      <c r="E1078" s="10" t="str" cm="1">
        <f t="array" ref="E1078">IF(AND(A1078="2021-02", ISNA(MATCH(B1078, _xlfn._xlws.FILTER(B:B, A:A="2021-03"), 0))), "Left", "Ativo")</f>
        <v>Ativo</v>
      </c>
      <c r="F1078" s="12" t="str" cm="1">
        <f t="array" ref="F1078">IF(AND(A1078="2021-03", ISNA(MATCH(B1078, _xlfn._xlws.FILTER(B:B, A:A="2021-04"), 0))), "Left", "Ativo")</f>
        <v>Ativo</v>
      </c>
    </row>
    <row r="1079" spans="1:6" x14ac:dyDescent="0.25">
      <c r="A1079" t="s">
        <v>1529</v>
      </c>
      <c r="B1079" t="s">
        <v>133</v>
      </c>
      <c r="C1079" s="10" t="str" cm="1">
        <f t="array" ref="C1079">IF(AND(A1079="2020-12", ISNA(MATCH(B1079, _xlfn._xlws.FILTER(B:B, A:A="2021-01"), 0))), "Left", "Ativo")</f>
        <v>Ativo</v>
      </c>
      <c r="D1079" s="10" t="str" cm="1">
        <f t="array" ref="D1079">IF(AND(A1079="2021-01", ISNA(MATCH(B1079, _xlfn._xlws.FILTER(B:B, A:A="2021-02"), 0))), "Left", "Ativo")</f>
        <v>Ativo</v>
      </c>
      <c r="E1079" s="10" t="str" cm="1">
        <f t="array" ref="E1079">IF(AND(A1079="2021-02", ISNA(MATCH(B1079, _xlfn._xlws.FILTER(B:B, A:A="2021-03"), 0))), "Left", "Ativo")</f>
        <v>Ativo</v>
      </c>
      <c r="F1079" s="12" t="str" cm="1">
        <f t="array" ref="F1079">IF(AND(A1079="2021-03", ISNA(MATCH(B1079, _xlfn._xlws.FILTER(B:B, A:A="2021-04"), 0))), "Left", "Ativo")</f>
        <v>Ativo</v>
      </c>
    </row>
    <row r="1080" spans="1:6" x14ac:dyDescent="0.25">
      <c r="A1080" t="s">
        <v>1529</v>
      </c>
      <c r="B1080" t="s">
        <v>134</v>
      </c>
      <c r="C1080" s="10" t="str" cm="1">
        <f t="array" ref="C1080">IF(AND(A1080="2020-12", ISNA(MATCH(B1080, _xlfn._xlws.FILTER(B:B, A:A="2021-01"), 0))), "Left", "Ativo")</f>
        <v>Ativo</v>
      </c>
      <c r="D1080" s="10" t="str" cm="1">
        <f t="array" ref="D1080">IF(AND(A1080="2021-01", ISNA(MATCH(B1080, _xlfn._xlws.FILTER(B:B, A:A="2021-02"), 0))), "Left", "Ativo")</f>
        <v>Ativo</v>
      </c>
      <c r="E1080" s="10" t="str" cm="1">
        <f t="array" ref="E1080">IF(AND(A1080="2021-02", ISNA(MATCH(B1080, _xlfn._xlws.FILTER(B:B, A:A="2021-03"), 0))), "Left", "Ativo")</f>
        <v>Ativo</v>
      </c>
      <c r="F1080" s="12" t="str" cm="1">
        <f t="array" ref="F1080">IF(AND(A1080="2021-03", ISNA(MATCH(B1080, _xlfn._xlws.FILTER(B:B, A:A="2021-04"), 0))), "Left", "Ativo")</f>
        <v>Ativo</v>
      </c>
    </row>
    <row r="1081" spans="1:6" x14ac:dyDescent="0.25">
      <c r="A1081" t="s">
        <v>1529</v>
      </c>
      <c r="B1081" t="s">
        <v>135</v>
      </c>
      <c r="C1081" s="10" t="str" cm="1">
        <f t="array" ref="C1081">IF(AND(A1081="2020-12", ISNA(MATCH(B1081, _xlfn._xlws.FILTER(B:B, A:A="2021-01"), 0))), "Left", "Ativo")</f>
        <v>Ativo</v>
      </c>
      <c r="D1081" s="10" t="str" cm="1">
        <f t="array" ref="D1081">IF(AND(A1081="2021-01", ISNA(MATCH(B1081, _xlfn._xlws.FILTER(B:B, A:A="2021-02"), 0))), "Left", "Ativo")</f>
        <v>Ativo</v>
      </c>
      <c r="E1081" s="10" t="str" cm="1">
        <f t="array" ref="E1081">IF(AND(A1081="2021-02", ISNA(MATCH(B1081, _xlfn._xlws.FILTER(B:B, A:A="2021-03"), 0))), "Left", "Ativo")</f>
        <v>Ativo</v>
      </c>
      <c r="F1081" s="12" t="str" cm="1">
        <f t="array" ref="F1081">IF(AND(A1081="2021-03", ISNA(MATCH(B1081, _xlfn._xlws.FILTER(B:B, A:A="2021-04"), 0))), "Left", "Ativo")</f>
        <v>Ativo</v>
      </c>
    </row>
    <row r="1082" spans="1:6" x14ac:dyDescent="0.25">
      <c r="A1082" t="s">
        <v>1529</v>
      </c>
      <c r="B1082" t="s">
        <v>136</v>
      </c>
      <c r="C1082" s="10" t="str" cm="1">
        <f t="array" ref="C1082">IF(AND(A1082="2020-12", ISNA(MATCH(B1082, _xlfn._xlws.FILTER(B:B, A:A="2021-01"), 0))), "Left", "Ativo")</f>
        <v>Ativo</v>
      </c>
      <c r="D1082" s="10" t="str" cm="1">
        <f t="array" ref="D1082">IF(AND(A1082="2021-01", ISNA(MATCH(B1082, _xlfn._xlws.FILTER(B:B, A:A="2021-02"), 0))), "Left", "Ativo")</f>
        <v>Ativo</v>
      </c>
      <c r="E1082" s="10" t="str" cm="1">
        <f t="array" ref="E1082">IF(AND(A1082="2021-02", ISNA(MATCH(B1082, _xlfn._xlws.FILTER(B:B, A:A="2021-03"), 0))), "Left", "Ativo")</f>
        <v>Ativo</v>
      </c>
      <c r="F1082" s="12" t="str" cm="1">
        <f t="array" ref="F1082">IF(AND(A1082="2021-03", ISNA(MATCH(B1082, _xlfn._xlws.FILTER(B:B, A:A="2021-04"), 0))), "Left", "Ativo")</f>
        <v>Ativo</v>
      </c>
    </row>
    <row r="1083" spans="1:6" x14ac:dyDescent="0.25">
      <c r="A1083" t="s">
        <v>1529</v>
      </c>
      <c r="B1083" t="s">
        <v>137</v>
      </c>
      <c r="C1083" s="10" t="str" cm="1">
        <f t="array" ref="C1083">IF(AND(A1083="2020-12", ISNA(MATCH(B1083, _xlfn._xlws.FILTER(B:B, A:A="2021-01"), 0))), "Left", "Ativo")</f>
        <v>Ativo</v>
      </c>
      <c r="D1083" s="10" t="str" cm="1">
        <f t="array" ref="D1083">IF(AND(A1083="2021-01", ISNA(MATCH(B1083, _xlfn._xlws.FILTER(B:B, A:A="2021-02"), 0))), "Left", "Ativo")</f>
        <v>Ativo</v>
      </c>
      <c r="E1083" s="10" t="str" cm="1">
        <f t="array" ref="E1083">IF(AND(A1083="2021-02", ISNA(MATCH(B1083, _xlfn._xlws.FILTER(B:B, A:A="2021-03"), 0))), "Left", "Ativo")</f>
        <v>Ativo</v>
      </c>
      <c r="F1083" s="12" t="str" cm="1">
        <f t="array" ref="F1083">IF(AND(A1083="2021-03", ISNA(MATCH(B1083, _xlfn._xlws.FILTER(B:B, A:A="2021-04"), 0))), "Left", "Ativo")</f>
        <v>Ativo</v>
      </c>
    </row>
    <row r="1084" spans="1:6" x14ac:dyDescent="0.25">
      <c r="A1084" t="s">
        <v>1529</v>
      </c>
      <c r="B1084" t="s">
        <v>138</v>
      </c>
      <c r="C1084" s="10" t="str" cm="1">
        <f t="array" ref="C1084">IF(AND(A1084="2020-12", ISNA(MATCH(B1084, _xlfn._xlws.FILTER(B:B, A:A="2021-01"), 0))), "Left", "Ativo")</f>
        <v>Ativo</v>
      </c>
      <c r="D1084" s="10" t="str" cm="1">
        <f t="array" ref="D1084">IF(AND(A1084="2021-01", ISNA(MATCH(B1084, _xlfn._xlws.FILTER(B:B, A:A="2021-02"), 0))), "Left", "Ativo")</f>
        <v>Ativo</v>
      </c>
      <c r="E1084" s="10" t="str" cm="1">
        <f t="array" ref="E1084">IF(AND(A1084="2021-02", ISNA(MATCH(B1084, _xlfn._xlws.FILTER(B:B, A:A="2021-03"), 0))), "Left", "Ativo")</f>
        <v>Ativo</v>
      </c>
      <c r="F1084" s="12" t="str" cm="1">
        <f t="array" ref="F1084">IF(AND(A1084="2021-03", ISNA(MATCH(B1084, _xlfn._xlws.FILTER(B:B, A:A="2021-04"), 0))), "Left", "Ativo")</f>
        <v>Ativo</v>
      </c>
    </row>
    <row r="1085" spans="1:6" x14ac:dyDescent="0.25">
      <c r="A1085" t="s">
        <v>1529</v>
      </c>
      <c r="B1085" t="s">
        <v>139</v>
      </c>
      <c r="C1085" s="10" t="str" cm="1">
        <f t="array" ref="C1085">IF(AND(A1085="2020-12", ISNA(MATCH(B1085, _xlfn._xlws.FILTER(B:B, A:A="2021-01"), 0))), "Left", "Ativo")</f>
        <v>Ativo</v>
      </c>
      <c r="D1085" s="10" t="str" cm="1">
        <f t="array" ref="D1085">IF(AND(A1085="2021-01", ISNA(MATCH(B1085, _xlfn._xlws.FILTER(B:B, A:A="2021-02"), 0))), "Left", "Ativo")</f>
        <v>Ativo</v>
      </c>
      <c r="E1085" s="10" t="str" cm="1">
        <f t="array" ref="E1085">IF(AND(A1085="2021-02", ISNA(MATCH(B1085, _xlfn._xlws.FILTER(B:B, A:A="2021-03"), 0))), "Left", "Ativo")</f>
        <v>Ativo</v>
      </c>
      <c r="F1085" s="12" t="str" cm="1">
        <f t="array" ref="F1085">IF(AND(A1085="2021-03", ISNA(MATCH(B1085, _xlfn._xlws.FILTER(B:B, A:A="2021-04"), 0))), "Left", "Ativo")</f>
        <v>Ativo</v>
      </c>
    </row>
    <row r="1086" spans="1:6" x14ac:dyDescent="0.25">
      <c r="A1086" t="s">
        <v>1529</v>
      </c>
      <c r="B1086" t="s">
        <v>140</v>
      </c>
      <c r="C1086" s="10" t="str" cm="1">
        <f t="array" ref="C1086">IF(AND(A1086="2020-12", ISNA(MATCH(B1086, _xlfn._xlws.FILTER(B:B, A:A="2021-01"), 0))), "Left", "Ativo")</f>
        <v>Ativo</v>
      </c>
      <c r="D1086" s="10" t="str" cm="1">
        <f t="array" ref="D1086">IF(AND(A1086="2021-01", ISNA(MATCH(B1086, _xlfn._xlws.FILTER(B:B, A:A="2021-02"), 0))), "Left", "Ativo")</f>
        <v>Ativo</v>
      </c>
      <c r="E1086" s="10" t="str" cm="1">
        <f t="array" ref="E1086">IF(AND(A1086="2021-02", ISNA(MATCH(B1086, _xlfn._xlws.FILTER(B:B, A:A="2021-03"), 0))), "Left", "Ativo")</f>
        <v>Ativo</v>
      </c>
      <c r="F1086" s="12" t="str" cm="1">
        <f t="array" ref="F1086">IF(AND(A1086="2021-03", ISNA(MATCH(B1086, _xlfn._xlws.FILTER(B:B, A:A="2021-04"), 0))), "Left", "Ativo")</f>
        <v>Ativo</v>
      </c>
    </row>
    <row r="1087" spans="1:6" x14ac:dyDescent="0.25">
      <c r="A1087" t="s">
        <v>1529</v>
      </c>
      <c r="B1087" t="s">
        <v>141</v>
      </c>
      <c r="C1087" s="10" t="str" cm="1">
        <f t="array" ref="C1087">IF(AND(A1087="2020-12", ISNA(MATCH(B1087, _xlfn._xlws.FILTER(B:B, A:A="2021-01"), 0))), "Left", "Ativo")</f>
        <v>Ativo</v>
      </c>
      <c r="D1087" s="10" t="str" cm="1">
        <f t="array" ref="D1087">IF(AND(A1087="2021-01", ISNA(MATCH(B1087, _xlfn._xlws.FILTER(B:B, A:A="2021-02"), 0))), "Left", "Ativo")</f>
        <v>Ativo</v>
      </c>
      <c r="E1087" s="10" t="str" cm="1">
        <f t="array" ref="E1087">IF(AND(A1087="2021-02", ISNA(MATCH(B1087, _xlfn._xlws.FILTER(B:B, A:A="2021-03"), 0))), "Left", "Ativo")</f>
        <v>Ativo</v>
      </c>
      <c r="F1087" s="12" t="str" cm="1">
        <f t="array" ref="F1087">IF(AND(A1087="2021-03", ISNA(MATCH(B1087, _xlfn._xlws.FILTER(B:B, A:A="2021-04"), 0))), "Left", "Ativo")</f>
        <v>Ativo</v>
      </c>
    </row>
    <row r="1088" spans="1:6" x14ac:dyDescent="0.25">
      <c r="A1088" t="s">
        <v>1529</v>
      </c>
      <c r="B1088" t="s">
        <v>142</v>
      </c>
      <c r="C1088" s="10" t="str" cm="1">
        <f t="array" ref="C1088">IF(AND(A1088="2020-12", ISNA(MATCH(B1088, _xlfn._xlws.FILTER(B:B, A:A="2021-01"), 0))), "Left", "Ativo")</f>
        <v>Ativo</v>
      </c>
      <c r="D1088" s="10" t="str" cm="1">
        <f t="array" ref="D1088">IF(AND(A1088="2021-01", ISNA(MATCH(B1088, _xlfn._xlws.FILTER(B:B, A:A="2021-02"), 0))), "Left", "Ativo")</f>
        <v>Ativo</v>
      </c>
      <c r="E1088" s="10" t="str" cm="1">
        <f t="array" ref="E1088">IF(AND(A1088="2021-02", ISNA(MATCH(B1088, _xlfn._xlws.FILTER(B:B, A:A="2021-03"), 0))), "Left", "Ativo")</f>
        <v>Ativo</v>
      </c>
      <c r="F1088" s="12" t="str" cm="1">
        <f t="array" ref="F1088">IF(AND(A1088="2021-03", ISNA(MATCH(B1088, _xlfn._xlws.FILTER(B:B, A:A="2021-04"), 0))), "Left", "Ativo")</f>
        <v>Ativo</v>
      </c>
    </row>
    <row r="1089" spans="1:6" x14ac:dyDescent="0.25">
      <c r="A1089" t="s">
        <v>1529</v>
      </c>
      <c r="B1089" t="s">
        <v>143</v>
      </c>
      <c r="C1089" s="10" t="str" cm="1">
        <f t="array" ref="C1089">IF(AND(A1089="2020-12", ISNA(MATCH(B1089, _xlfn._xlws.FILTER(B:B, A:A="2021-01"), 0))), "Left", "Ativo")</f>
        <v>Ativo</v>
      </c>
      <c r="D1089" s="10" t="str" cm="1">
        <f t="array" ref="D1089">IF(AND(A1089="2021-01", ISNA(MATCH(B1089, _xlfn._xlws.FILTER(B:B, A:A="2021-02"), 0))), "Left", "Ativo")</f>
        <v>Ativo</v>
      </c>
      <c r="E1089" s="10" t="str" cm="1">
        <f t="array" ref="E1089">IF(AND(A1089="2021-02", ISNA(MATCH(B1089, _xlfn._xlws.FILTER(B:B, A:A="2021-03"), 0))), "Left", "Ativo")</f>
        <v>Ativo</v>
      </c>
      <c r="F1089" s="12" t="str" cm="1">
        <f t="array" ref="F1089">IF(AND(A1089="2021-03", ISNA(MATCH(B1089, _xlfn._xlws.FILTER(B:B, A:A="2021-04"), 0))), "Left", "Ativo")</f>
        <v>Ativo</v>
      </c>
    </row>
    <row r="1090" spans="1:6" x14ac:dyDescent="0.25">
      <c r="A1090" t="s">
        <v>1529</v>
      </c>
      <c r="B1090" t="s">
        <v>144</v>
      </c>
      <c r="C1090" s="10" t="str" cm="1">
        <f t="array" ref="C1090">IF(AND(A1090="2020-12", ISNA(MATCH(B1090, _xlfn._xlws.FILTER(B:B, A:A="2021-01"), 0))), "Left", "Ativo")</f>
        <v>Ativo</v>
      </c>
      <c r="D1090" s="10" t="str" cm="1">
        <f t="array" ref="D1090">IF(AND(A1090="2021-01", ISNA(MATCH(B1090, _xlfn._xlws.FILTER(B:B, A:A="2021-02"), 0))), "Left", "Ativo")</f>
        <v>Ativo</v>
      </c>
      <c r="E1090" s="10" t="str" cm="1">
        <f t="array" ref="E1090">IF(AND(A1090="2021-02", ISNA(MATCH(B1090, _xlfn._xlws.FILTER(B:B, A:A="2021-03"), 0))), "Left", "Ativo")</f>
        <v>Ativo</v>
      </c>
      <c r="F1090" s="12" t="str" cm="1">
        <f t="array" ref="F1090">IF(AND(A1090="2021-03", ISNA(MATCH(B1090, _xlfn._xlws.FILTER(B:B, A:A="2021-04"), 0))), "Left", "Ativo")</f>
        <v>Ativo</v>
      </c>
    </row>
    <row r="1091" spans="1:6" x14ac:dyDescent="0.25">
      <c r="A1091" t="s">
        <v>1529</v>
      </c>
      <c r="B1091" t="s">
        <v>145</v>
      </c>
      <c r="C1091" s="10" t="str" cm="1">
        <f t="array" ref="C1091">IF(AND(A1091="2020-12", ISNA(MATCH(B1091, _xlfn._xlws.FILTER(B:B, A:A="2021-01"), 0))), "Left", "Ativo")</f>
        <v>Ativo</v>
      </c>
      <c r="D1091" s="10" t="str" cm="1">
        <f t="array" ref="D1091">IF(AND(A1091="2021-01", ISNA(MATCH(B1091, _xlfn._xlws.FILTER(B:B, A:A="2021-02"), 0))), "Left", "Ativo")</f>
        <v>Ativo</v>
      </c>
      <c r="E1091" s="10" t="str" cm="1">
        <f t="array" ref="E1091">IF(AND(A1091="2021-02", ISNA(MATCH(B1091, _xlfn._xlws.FILTER(B:B, A:A="2021-03"), 0))), "Left", "Ativo")</f>
        <v>Ativo</v>
      </c>
      <c r="F1091" s="12" t="str" cm="1">
        <f t="array" ref="F1091">IF(AND(A1091="2021-03", ISNA(MATCH(B1091, _xlfn._xlws.FILTER(B:B, A:A="2021-04"), 0))), "Left", "Ativo")</f>
        <v>Ativo</v>
      </c>
    </row>
    <row r="1092" spans="1:6" x14ac:dyDescent="0.25">
      <c r="A1092" t="s">
        <v>1529</v>
      </c>
      <c r="B1092" t="s">
        <v>146</v>
      </c>
      <c r="C1092" s="10" t="str" cm="1">
        <f t="array" ref="C1092">IF(AND(A1092="2020-12", ISNA(MATCH(B1092, _xlfn._xlws.FILTER(B:B, A:A="2021-01"), 0))), "Left", "Ativo")</f>
        <v>Ativo</v>
      </c>
      <c r="D1092" s="10" t="str" cm="1">
        <f t="array" ref="D1092">IF(AND(A1092="2021-01", ISNA(MATCH(B1092, _xlfn._xlws.FILTER(B:B, A:A="2021-02"), 0))), "Left", "Ativo")</f>
        <v>Ativo</v>
      </c>
      <c r="E1092" s="10" t="str" cm="1">
        <f t="array" ref="E1092">IF(AND(A1092="2021-02", ISNA(MATCH(B1092, _xlfn._xlws.FILTER(B:B, A:A="2021-03"), 0))), "Left", "Ativo")</f>
        <v>Ativo</v>
      </c>
      <c r="F1092" s="12" t="str" cm="1">
        <f t="array" ref="F1092">IF(AND(A1092="2021-03", ISNA(MATCH(B1092, _xlfn._xlws.FILTER(B:B, A:A="2021-04"), 0))), "Left", "Ativo")</f>
        <v>Ativo</v>
      </c>
    </row>
    <row r="1093" spans="1:6" x14ac:dyDescent="0.25">
      <c r="A1093" t="s">
        <v>1529</v>
      </c>
      <c r="B1093" t="s">
        <v>147</v>
      </c>
      <c r="C1093" s="10" t="str" cm="1">
        <f t="array" ref="C1093">IF(AND(A1093="2020-12", ISNA(MATCH(B1093, _xlfn._xlws.FILTER(B:B, A:A="2021-01"), 0))), "Left", "Ativo")</f>
        <v>Ativo</v>
      </c>
      <c r="D1093" s="10" t="str" cm="1">
        <f t="array" ref="D1093">IF(AND(A1093="2021-01", ISNA(MATCH(B1093, _xlfn._xlws.FILTER(B:B, A:A="2021-02"), 0))), "Left", "Ativo")</f>
        <v>Ativo</v>
      </c>
      <c r="E1093" s="10" t="str" cm="1">
        <f t="array" ref="E1093">IF(AND(A1093="2021-02", ISNA(MATCH(B1093, _xlfn._xlws.FILTER(B:B, A:A="2021-03"), 0))), "Left", "Ativo")</f>
        <v>Ativo</v>
      </c>
      <c r="F1093" s="12" t="str" cm="1">
        <f t="array" ref="F1093">IF(AND(A1093="2021-03", ISNA(MATCH(B1093, _xlfn._xlws.FILTER(B:B, A:A="2021-04"), 0))), "Left", "Ativo")</f>
        <v>Ativo</v>
      </c>
    </row>
    <row r="1094" spans="1:6" x14ac:dyDescent="0.25">
      <c r="A1094" t="s">
        <v>1529</v>
      </c>
      <c r="B1094" t="s">
        <v>148</v>
      </c>
      <c r="C1094" s="10" t="str" cm="1">
        <f t="array" ref="C1094">IF(AND(A1094="2020-12", ISNA(MATCH(B1094, _xlfn._xlws.FILTER(B:B, A:A="2021-01"), 0))), "Left", "Ativo")</f>
        <v>Ativo</v>
      </c>
      <c r="D1094" s="10" t="str" cm="1">
        <f t="array" ref="D1094">IF(AND(A1094="2021-01", ISNA(MATCH(B1094, _xlfn._xlws.FILTER(B:B, A:A="2021-02"), 0))), "Left", "Ativo")</f>
        <v>Ativo</v>
      </c>
      <c r="E1094" s="10" t="str" cm="1">
        <f t="array" ref="E1094">IF(AND(A1094="2021-02", ISNA(MATCH(B1094, _xlfn._xlws.FILTER(B:B, A:A="2021-03"), 0))), "Left", "Ativo")</f>
        <v>Ativo</v>
      </c>
      <c r="F1094" s="12" t="str" cm="1">
        <f t="array" ref="F1094">IF(AND(A1094="2021-03", ISNA(MATCH(B1094, _xlfn._xlws.FILTER(B:B, A:A="2021-04"), 0))), "Left", "Ativo")</f>
        <v>Ativo</v>
      </c>
    </row>
    <row r="1095" spans="1:6" x14ac:dyDescent="0.25">
      <c r="A1095" t="s">
        <v>1529</v>
      </c>
      <c r="B1095" t="s">
        <v>149</v>
      </c>
      <c r="C1095" s="10" t="str" cm="1">
        <f t="array" ref="C1095">IF(AND(A1095="2020-12", ISNA(MATCH(B1095, _xlfn._xlws.FILTER(B:B, A:A="2021-01"), 0))), "Left", "Ativo")</f>
        <v>Ativo</v>
      </c>
      <c r="D1095" s="10" t="str" cm="1">
        <f t="array" ref="D1095">IF(AND(A1095="2021-01", ISNA(MATCH(B1095, _xlfn._xlws.FILTER(B:B, A:A="2021-02"), 0))), "Left", "Ativo")</f>
        <v>Ativo</v>
      </c>
      <c r="E1095" s="10" t="str" cm="1">
        <f t="array" ref="E1095">IF(AND(A1095="2021-02", ISNA(MATCH(B1095, _xlfn._xlws.FILTER(B:B, A:A="2021-03"), 0))), "Left", "Ativo")</f>
        <v>Ativo</v>
      </c>
      <c r="F1095" s="12" t="str" cm="1">
        <f t="array" ref="F1095">IF(AND(A1095="2021-03", ISNA(MATCH(B1095, _xlfn._xlws.FILTER(B:B, A:A="2021-04"), 0))), "Left", "Ativo")</f>
        <v>Ativo</v>
      </c>
    </row>
    <row r="1096" spans="1:6" x14ac:dyDescent="0.25">
      <c r="A1096" t="s">
        <v>1529</v>
      </c>
      <c r="B1096" t="s">
        <v>150</v>
      </c>
      <c r="C1096" s="10" t="str" cm="1">
        <f t="array" ref="C1096">IF(AND(A1096="2020-12", ISNA(MATCH(B1096, _xlfn._xlws.FILTER(B:B, A:A="2021-01"), 0))), "Left", "Ativo")</f>
        <v>Ativo</v>
      </c>
      <c r="D1096" s="10" t="str" cm="1">
        <f t="array" ref="D1096">IF(AND(A1096="2021-01", ISNA(MATCH(B1096, _xlfn._xlws.FILTER(B:B, A:A="2021-02"), 0))), "Left", "Ativo")</f>
        <v>Ativo</v>
      </c>
      <c r="E1096" s="10" t="str" cm="1">
        <f t="array" ref="E1096">IF(AND(A1096="2021-02", ISNA(MATCH(B1096, _xlfn._xlws.FILTER(B:B, A:A="2021-03"), 0))), "Left", "Ativo")</f>
        <v>Ativo</v>
      </c>
      <c r="F1096" s="12" t="str" cm="1">
        <f t="array" ref="F1096">IF(AND(A1096="2021-03", ISNA(MATCH(B1096, _xlfn._xlws.FILTER(B:B, A:A="2021-04"), 0))), "Left", "Ativo")</f>
        <v>Ativo</v>
      </c>
    </row>
    <row r="1097" spans="1:6" x14ac:dyDescent="0.25">
      <c r="A1097" t="s">
        <v>1529</v>
      </c>
      <c r="B1097" t="s">
        <v>151</v>
      </c>
      <c r="C1097" s="10" t="str" cm="1">
        <f t="array" ref="C1097">IF(AND(A1097="2020-12", ISNA(MATCH(B1097, _xlfn._xlws.FILTER(B:B, A:A="2021-01"), 0))), "Left", "Ativo")</f>
        <v>Ativo</v>
      </c>
      <c r="D1097" s="10" t="str" cm="1">
        <f t="array" ref="D1097">IF(AND(A1097="2021-01", ISNA(MATCH(B1097, _xlfn._xlws.FILTER(B:B, A:A="2021-02"), 0))), "Left", "Ativo")</f>
        <v>Ativo</v>
      </c>
      <c r="E1097" s="10" t="str" cm="1">
        <f t="array" ref="E1097">IF(AND(A1097="2021-02", ISNA(MATCH(B1097, _xlfn._xlws.FILTER(B:B, A:A="2021-03"), 0))), "Left", "Ativo")</f>
        <v>Ativo</v>
      </c>
      <c r="F1097" s="12" t="str" cm="1">
        <f t="array" ref="F1097">IF(AND(A1097="2021-03", ISNA(MATCH(B1097, _xlfn._xlws.FILTER(B:B, A:A="2021-04"), 0))), "Left", "Ativo")</f>
        <v>Ativo</v>
      </c>
    </row>
    <row r="1098" spans="1:6" x14ac:dyDescent="0.25">
      <c r="A1098" t="s">
        <v>1529</v>
      </c>
      <c r="B1098" t="s">
        <v>152</v>
      </c>
      <c r="C1098" s="10" t="str" cm="1">
        <f t="array" ref="C1098">IF(AND(A1098="2020-12", ISNA(MATCH(B1098, _xlfn._xlws.FILTER(B:B, A:A="2021-01"), 0))), "Left", "Ativo")</f>
        <v>Ativo</v>
      </c>
      <c r="D1098" s="10" t="str" cm="1">
        <f t="array" ref="D1098">IF(AND(A1098="2021-01", ISNA(MATCH(B1098, _xlfn._xlws.FILTER(B:B, A:A="2021-02"), 0))), "Left", "Ativo")</f>
        <v>Ativo</v>
      </c>
      <c r="E1098" s="10" t="str" cm="1">
        <f t="array" ref="E1098">IF(AND(A1098="2021-02", ISNA(MATCH(B1098, _xlfn._xlws.FILTER(B:B, A:A="2021-03"), 0))), "Left", "Ativo")</f>
        <v>Ativo</v>
      </c>
      <c r="F1098" s="12" t="str" cm="1">
        <f t="array" ref="F1098">IF(AND(A1098="2021-03", ISNA(MATCH(B1098, _xlfn._xlws.FILTER(B:B, A:A="2021-04"), 0))), "Left", "Ativo")</f>
        <v>Ativo</v>
      </c>
    </row>
    <row r="1099" spans="1:6" x14ac:dyDescent="0.25">
      <c r="A1099" t="s">
        <v>1529</v>
      </c>
      <c r="B1099" t="s">
        <v>153</v>
      </c>
      <c r="C1099" s="10" t="str" cm="1">
        <f t="array" ref="C1099">IF(AND(A1099="2020-12", ISNA(MATCH(B1099, _xlfn._xlws.FILTER(B:B, A:A="2021-01"), 0))), "Left", "Ativo")</f>
        <v>Ativo</v>
      </c>
      <c r="D1099" s="10" t="str" cm="1">
        <f t="array" ref="D1099">IF(AND(A1099="2021-01", ISNA(MATCH(B1099, _xlfn._xlws.FILTER(B:B, A:A="2021-02"), 0))), "Left", "Ativo")</f>
        <v>Ativo</v>
      </c>
      <c r="E1099" s="10" t="str" cm="1">
        <f t="array" ref="E1099">IF(AND(A1099="2021-02", ISNA(MATCH(B1099, _xlfn._xlws.FILTER(B:B, A:A="2021-03"), 0))), "Left", "Ativo")</f>
        <v>Ativo</v>
      </c>
      <c r="F1099" s="12" t="str" cm="1">
        <f t="array" ref="F1099">IF(AND(A1099="2021-03", ISNA(MATCH(B1099, _xlfn._xlws.FILTER(B:B, A:A="2021-04"), 0))), "Left", "Ativo")</f>
        <v>Ativo</v>
      </c>
    </row>
    <row r="1100" spans="1:6" x14ac:dyDescent="0.25">
      <c r="A1100" t="s">
        <v>1529</v>
      </c>
      <c r="B1100" t="s">
        <v>154</v>
      </c>
      <c r="C1100" s="10" t="str" cm="1">
        <f t="array" ref="C1100">IF(AND(A1100="2020-12", ISNA(MATCH(B1100, _xlfn._xlws.FILTER(B:B, A:A="2021-01"), 0))), "Left", "Ativo")</f>
        <v>Ativo</v>
      </c>
      <c r="D1100" s="10" t="str" cm="1">
        <f t="array" ref="D1100">IF(AND(A1100="2021-01", ISNA(MATCH(B1100, _xlfn._xlws.FILTER(B:B, A:A="2021-02"), 0))), "Left", "Ativo")</f>
        <v>Ativo</v>
      </c>
      <c r="E1100" s="10" t="str" cm="1">
        <f t="array" ref="E1100">IF(AND(A1100="2021-02", ISNA(MATCH(B1100, _xlfn._xlws.FILTER(B:B, A:A="2021-03"), 0))), "Left", "Ativo")</f>
        <v>Ativo</v>
      </c>
      <c r="F1100" s="12" t="str" cm="1">
        <f t="array" ref="F1100">IF(AND(A1100="2021-03", ISNA(MATCH(B1100, _xlfn._xlws.FILTER(B:B, A:A="2021-04"), 0))), "Left", "Ativo")</f>
        <v>Ativo</v>
      </c>
    </row>
    <row r="1101" spans="1:6" x14ac:dyDescent="0.25">
      <c r="A1101" t="s">
        <v>1529</v>
      </c>
      <c r="B1101" t="s">
        <v>155</v>
      </c>
      <c r="C1101" s="10" t="str" cm="1">
        <f t="array" ref="C1101">IF(AND(A1101="2020-12", ISNA(MATCH(B1101, _xlfn._xlws.FILTER(B:B, A:A="2021-01"), 0))), "Left", "Ativo")</f>
        <v>Ativo</v>
      </c>
      <c r="D1101" s="10" t="str" cm="1">
        <f t="array" ref="D1101">IF(AND(A1101="2021-01", ISNA(MATCH(B1101, _xlfn._xlws.FILTER(B:B, A:A="2021-02"), 0))), "Left", "Ativo")</f>
        <v>Ativo</v>
      </c>
      <c r="E1101" s="10" t="str" cm="1">
        <f t="array" ref="E1101">IF(AND(A1101="2021-02", ISNA(MATCH(B1101, _xlfn._xlws.FILTER(B:B, A:A="2021-03"), 0))), "Left", "Ativo")</f>
        <v>Ativo</v>
      </c>
      <c r="F1101" s="12" t="str" cm="1">
        <f t="array" ref="F1101">IF(AND(A1101="2021-03", ISNA(MATCH(B1101, _xlfn._xlws.FILTER(B:B, A:A="2021-04"), 0))), "Left", "Ativo")</f>
        <v>Ativo</v>
      </c>
    </row>
    <row r="1102" spans="1:6" x14ac:dyDescent="0.25">
      <c r="A1102" t="s">
        <v>1529</v>
      </c>
      <c r="B1102" t="s">
        <v>156</v>
      </c>
      <c r="C1102" s="10" t="str" cm="1">
        <f t="array" ref="C1102">IF(AND(A1102="2020-12", ISNA(MATCH(B1102, _xlfn._xlws.FILTER(B:B, A:A="2021-01"), 0))), "Left", "Ativo")</f>
        <v>Ativo</v>
      </c>
      <c r="D1102" s="10" t="str" cm="1">
        <f t="array" ref="D1102">IF(AND(A1102="2021-01", ISNA(MATCH(B1102, _xlfn._xlws.FILTER(B:B, A:A="2021-02"), 0))), "Left", "Ativo")</f>
        <v>Ativo</v>
      </c>
      <c r="E1102" s="10" t="str" cm="1">
        <f t="array" ref="E1102">IF(AND(A1102="2021-02", ISNA(MATCH(B1102, _xlfn._xlws.FILTER(B:B, A:A="2021-03"), 0))), "Left", "Ativo")</f>
        <v>Ativo</v>
      </c>
      <c r="F1102" s="12" t="str" cm="1">
        <f t="array" ref="F1102">IF(AND(A1102="2021-03", ISNA(MATCH(B1102, _xlfn._xlws.FILTER(B:B, A:A="2021-04"), 0))), "Left", "Ativo")</f>
        <v>Ativo</v>
      </c>
    </row>
    <row r="1103" spans="1:6" x14ac:dyDescent="0.25">
      <c r="A1103" t="s">
        <v>1529</v>
      </c>
      <c r="B1103" t="s">
        <v>157</v>
      </c>
      <c r="C1103" s="10" t="str" cm="1">
        <f t="array" ref="C1103">IF(AND(A1103="2020-12", ISNA(MATCH(B1103, _xlfn._xlws.FILTER(B:B, A:A="2021-01"), 0))), "Left", "Ativo")</f>
        <v>Ativo</v>
      </c>
      <c r="D1103" s="10" t="str" cm="1">
        <f t="array" ref="D1103">IF(AND(A1103="2021-01", ISNA(MATCH(B1103, _xlfn._xlws.FILTER(B:B, A:A="2021-02"), 0))), "Left", "Ativo")</f>
        <v>Ativo</v>
      </c>
      <c r="E1103" s="10" t="str" cm="1">
        <f t="array" ref="E1103">IF(AND(A1103="2021-02", ISNA(MATCH(B1103, _xlfn._xlws.FILTER(B:B, A:A="2021-03"), 0))), "Left", "Ativo")</f>
        <v>Ativo</v>
      </c>
      <c r="F1103" s="12" t="str" cm="1">
        <f t="array" ref="F1103">IF(AND(A1103="2021-03", ISNA(MATCH(B1103, _xlfn._xlws.FILTER(B:B, A:A="2021-04"), 0))), "Left", "Ativo")</f>
        <v>Ativo</v>
      </c>
    </row>
    <row r="1104" spans="1:6" x14ac:dyDescent="0.25">
      <c r="A1104" t="s">
        <v>1529</v>
      </c>
      <c r="B1104" t="s">
        <v>158</v>
      </c>
      <c r="C1104" s="10" t="str" cm="1">
        <f t="array" ref="C1104">IF(AND(A1104="2020-12", ISNA(MATCH(B1104, _xlfn._xlws.FILTER(B:B, A:A="2021-01"), 0))), "Left", "Ativo")</f>
        <v>Ativo</v>
      </c>
      <c r="D1104" s="10" t="str" cm="1">
        <f t="array" ref="D1104">IF(AND(A1104="2021-01", ISNA(MATCH(B1104, _xlfn._xlws.FILTER(B:B, A:A="2021-02"), 0))), "Left", "Ativo")</f>
        <v>Ativo</v>
      </c>
      <c r="E1104" s="10" t="str" cm="1">
        <f t="array" ref="E1104">IF(AND(A1104="2021-02", ISNA(MATCH(B1104, _xlfn._xlws.FILTER(B:B, A:A="2021-03"), 0))), "Left", "Ativo")</f>
        <v>Ativo</v>
      </c>
      <c r="F1104" s="12" t="str" cm="1">
        <f t="array" ref="F1104">IF(AND(A1104="2021-03", ISNA(MATCH(B1104, _xlfn._xlws.FILTER(B:B, A:A="2021-04"), 0))), "Left", "Ativo")</f>
        <v>Ativo</v>
      </c>
    </row>
    <row r="1105" spans="1:6" x14ac:dyDescent="0.25">
      <c r="A1105" t="s">
        <v>1529</v>
      </c>
      <c r="B1105" t="s">
        <v>159</v>
      </c>
      <c r="C1105" s="10" t="str" cm="1">
        <f t="array" ref="C1105">IF(AND(A1105="2020-12", ISNA(MATCH(B1105, _xlfn._xlws.FILTER(B:B, A:A="2021-01"), 0))), "Left", "Ativo")</f>
        <v>Ativo</v>
      </c>
      <c r="D1105" s="10" t="str" cm="1">
        <f t="array" ref="D1105">IF(AND(A1105="2021-01", ISNA(MATCH(B1105, _xlfn._xlws.FILTER(B:B, A:A="2021-02"), 0))), "Left", "Ativo")</f>
        <v>Ativo</v>
      </c>
      <c r="E1105" s="10" t="str" cm="1">
        <f t="array" ref="E1105">IF(AND(A1105="2021-02", ISNA(MATCH(B1105, _xlfn._xlws.FILTER(B:B, A:A="2021-03"), 0))), "Left", "Ativo")</f>
        <v>Ativo</v>
      </c>
      <c r="F1105" s="12" t="str" cm="1">
        <f t="array" ref="F1105">IF(AND(A1105="2021-03", ISNA(MATCH(B1105, _xlfn._xlws.FILTER(B:B, A:A="2021-04"), 0))), "Left", "Ativo")</f>
        <v>Ativo</v>
      </c>
    </row>
    <row r="1106" spans="1:6" x14ac:dyDescent="0.25">
      <c r="A1106" t="s">
        <v>1529</v>
      </c>
      <c r="B1106" t="s">
        <v>160</v>
      </c>
      <c r="C1106" s="10" t="str" cm="1">
        <f t="array" ref="C1106">IF(AND(A1106="2020-12", ISNA(MATCH(B1106, _xlfn._xlws.FILTER(B:B, A:A="2021-01"), 0))), "Left", "Ativo")</f>
        <v>Ativo</v>
      </c>
      <c r="D1106" s="10" t="str" cm="1">
        <f t="array" ref="D1106">IF(AND(A1106="2021-01", ISNA(MATCH(B1106, _xlfn._xlws.FILTER(B:B, A:A="2021-02"), 0))), "Left", "Ativo")</f>
        <v>Ativo</v>
      </c>
      <c r="E1106" s="10" t="str" cm="1">
        <f t="array" ref="E1106">IF(AND(A1106="2021-02", ISNA(MATCH(B1106, _xlfn._xlws.FILTER(B:B, A:A="2021-03"), 0))), "Left", "Ativo")</f>
        <v>Ativo</v>
      </c>
      <c r="F1106" s="12" t="str" cm="1">
        <f t="array" ref="F1106">IF(AND(A1106="2021-03", ISNA(MATCH(B1106, _xlfn._xlws.FILTER(B:B, A:A="2021-04"), 0))), "Left", "Ativo")</f>
        <v>Ativo</v>
      </c>
    </row>
    <row r="1107" spans="1:6" x14ac:dyDescent="0.25">
      <c r="A1107" t="s">
        <v>1529</v>
      </c>
      <c r="B1107" t="s">
        <v>161</v>
      </c>
      <c r="C1107" s="10" t="str" cm="1">
        <f t="array" ref="C1107">IF(AND(A1107="2020-12", ISNA(MATCH(B1107, _xlfn._xlws.FILTER(B:B, A:A="2021-01"), 0))), "Left", "Ativo")</f>
        <v>Ativo</v>
      </c>
      <c r="D1107" s="10" t="str" cm="1">
        <f t="array" ref="D1107">IF(AND(A1107="2021-01", ISNA(MATCH(B1107, _xlfn._xlws.FILTER(B:B, A:A="2021-02"), 0))), "Left", "Ativo")</f>
        <v>Ativo</v>
      </c>
      <c r="E1107" s="10" t="str" cm="1">
        <f t="array" ref="E1107">IF(AND(A1107="2021-02", ISNA(MATCH(B1107, _xlfn._xlws.FILTER(B:B, A:A="2021-03"), 0))), "Left", "Ativo")</f>
        <v>Ativo</v>
      </c>
      <c r="F1107" s="12" t="str" cm="1">
        <f t="array" ref="F1107">IF(AND(A1107="2021-03", ISNA(MATCH(B1107, _xlfn._xlws.FILTER(B:B, A:A="2021-04"), 0))), "Left", "Ativo")</f>
        <v>Ativo</v>
      </c>
    </row>
    <row r="1108" spans="1:6" x14ac:dyDescent="0.25">
      <c r="A1108" t="s">
        <v>1529</v>
      </c>
      <c r="B1108" t="s">
        <v>162</v>
      </c>
      <c r="C1108" s="10" t="str" cm="1">
        <f t="array" ref="C1108">IF(AND(A1108="2020-12", ISNA(MATCH(B1108, _xlfn._xlws.FILTER(B:B, A:A="2021-01"), 0))), "Left", "Ativo")</f>
        <v>Ativo</v>
      </c>
      <c r="D1108" s="10" t="str" cm="1">
        <f t="array" ref="D1108">IF(AND(A1108="2021-01", ISNA(MATCH(B1108, _xlfn._xlws.FILTER(B:B, A:A="2021-02"), 0))), "Left", "Ativo")</f>
        <v>Ativo</v>
      </c>
      <c r="E1108" s="10" t="str" cm="1">
        <f t="array" ref="E1108">IF(AND(A1108="2021-02", ISNA(MATCH(B1108, _xlfn._xlws.FILTER(B:B, A:A="2021-03"), 0))), "Left", "Ativo")</f>
        <v>Ativo</v>
      </c>
      <c r="F1108" s="12" t="str" cm="1">
        <f t="array" ref="F1108">IF(AND(A1108="2021-03", ISNA(MATCH(B1108, _xlfn._xlws.FILTER(B:B, A:A="2021-04"), 0))), "Left", "Ativo")</f>
        <v>Ativo</v>
      </c>
    </row>
    <row r="1109" spans="1:6" x14ac:dyDescent="0.25">
      <c r="A1109" t="s">
        <v>1529</v>
      </c>
      <c r="B1109" t="s">
        <v>163</v>
      </c>
      <c r="C1109" s="10" t="str" cm="1">
        <f t="array" ref="C1109">IF(AND(A1109="2020-12", ISNA(MATCH(B1109, _xlfn._xlws.FILTER(B:B, A:A="2021-01"), 0))), "Left", "Ativo")</f>
        <v>Ativo</v>
      </c>
      <c r="D1109" s="10" t="str" cm="1">
        <f t="array" ref="D1109">IF(AND(A1109="2021-01", ISNA(MATCH(B1109, _xlfn._xlws.FILTER(B:B, A:A="2021-02"), 0))), "Left", "Ativo")</f>
        <v>Ativo</v>
      </c>
      <c r="E1109" s="10" t="str" cm="1">
        <f t="array" ref="E1109">IF(AND(A1109="2021-02", ISNA(MATCH(B1109, _xlfn._xlws.FILTER(B:B, A:A="2021-03"), 0))), "Left", "Ativo")</f>
        <v>Ativo</v>
      </c>
      <c r="F1109" s="12" t="str" cm="1">
        <f t="array" ref="F1109">IF(AND(A1109="2021-03", ISNA(MATCH(B1109, _xlfn._xlws.FILTER(B:B, A:A="2021-04"), 0))), "Left", "Ativo")</f>
        <v>Ativo</v>
      </c>
    </row>
    <row r="1110" spans="1:6" x14ac:dyDescent="0.25">
      <c r="A1110" t="s">
        <v>1529</v>
      </c>
      <c r="B1110" t="s">
        <v>164</v>
      </c>
      <c r="C1110" s="10" t="str" cm="1">
        <f t="array" ref="C1110">IF(AND(A1110="2020-12", ISNA(MATCH(B1110, _xlfn._xlws.FILTER(B:B, A:A="2021-01"), 0))), "Left", "Ativo")</f>
        <v>Ativo</v>
      </c>
      <c r="D1110" s="10" t="str" cm="1">
        <f t="array" ref="D1110">IF(AND(A1110="2021-01", ISNA(MATCH(B1110, _xlfn._xlws.FILTER(B:B, A:A="2021-02"), 0))), "Left", "Ativo")</f>
        <v>Ativo</v>
      </c>
      <c r="E1110" s="10" t="str" cm="1">
        <f t="array" ref="E1110">IF(AND(A1110="2021-02", ISNA(MATCH(B1110, _xlfn._xlws.FILTER(B:B, A:A="2021-03"), 0))), "Left", "Ativo")</f>
        <v>Ativo</v>
      </c>
      <c r="F1110" s="12" t="str" cm="1">
        <f t="array" ref="F1110">IF(AND(A1110="2021-03", ISNA(MATCH(B1110, _xlfn._xlws.FILTER(B:B, A:A="2021-04"), 0))), "Left", "Ativo")</f>
        <v>Ativo</v>
      </c>
    </row>
    <row r="1111" spans="1:6" x14ac:dyDescent="0.25">
      <c r="A1111" t="s">
        <v>1529</v>
      </c>
      <c r="B1111" t="s">
        <v>165</v>
      </c>
      <c r="C1111" s="10" t="str" cm="1">
        <f t="array" ref="C1111">IF(AND(A1111="2020-12", ISNA(MATCH(B1111, _xlfn._xlws.FILTER(B:B, A:A="2021-01"), 0))), "Left", "Ativo")</f>
        <v>Ativo</v>
      </c>
      <c r="D1111" s="10" t="str" cm="1">
        <f t="array" ref="D1111">IF(AND(A1111="2021-01", ISNA(MATCH(B1111, _xlfn._xlws.FILTER(B:B, A:A="2021-02"), 0))), "Left", "Ativo")</f>
        <v>Ativo</v>
      </c>
      <c r="E1111" s="10" t="str" cm="1">
        <f t="array" ref="E1111">IF(AND(A1111="2021-02", ISNA(MATCH(B1111, _xlfn._xlws.FILTER(B:B, A:A="2021-03"), 0))), "Left", "Ativo")</f>
        <v>Ativo</v>
      </c>
      <c r="F1111" s="12" t="str" cm="1">
        <f t="array" ref="F1111">IF(AND(A1111="2021-03", ISNA(MATCH(B1111, _xlfn._xlws.FILTER(B:B, A:A="2021-04"), 0))), "Left", "Ativo")</f>
        <v>Ativo</v>
      </c>
    </row>
    <row r="1112" spans="1:6" x14ac:dyDescent="0.25">
      <c r="A1112" t="s">
        <v>1529</v>
      </c>
      <c r="B1112" t="s">
        <v>166</v>
      </c>
      <c r="C1112" s="10" t="str" cm="1">
        <f t="array" ref="C1112">IF(AND(A1112="2020-12", ISNA(MATCH(B1112, _xlfn._xlws.FILTER(B:B, A:A="2021-01"), 0))), "Left", "Ativo")</f>
        <v>Ativo</v>
      </c>
      <c r="D1112" s="10" t="str" cm="1">
        <f t="array" ref="D1112">IF(AND(A1112="2021-01", ISNA(MATCH(B1112, _xlfn._xlws.FILTER(B:B, A:A="2021-02"), 0))), "Left", "Ativo")</f>
        <v>Ativo</v>
      </c>
      <c r="E1112" s="10" t="str" cm="1">
        <f t="array" ref="E1112">IF(AND(A1112="2021-02", ISNA(MATCH(B1112, _xlfn._xlws.FILTER(B:B, A:A="2021-03"), 0))), "Left", "Ativo")</f>
        <v>Ativo</v>
      </c>
      <c r="F1112" s="12" t="str" cm="1">
        <f t="array" ref="F1112">IF(AND(A1112="2021-03", ISNA(MATCH(B1112, _xlfn._xlws.FILTER(B:B, A:A="2021-04"), 0))), "Left", "Ativo")</f>
        <v>Ativo</v>
      </c>
    </row>
    <row r="1113" spans="1:6" x14ac:dyDescent="0.25">
      <c r="A1113" t="s">
        <v>1529</v>
      </c>
      <c r="B1113" t="s">
        <v>167</v>
      </c>
      <c r="C1113" s="10" t="str" cm="1">
        <f t="array" ref="C1113">IF(AND(A1113="2020-12", ISNA(MATCH(B1113, _xlfn._xlws.FILTER(B:B, A:A="2021-01"), 0))), "Left", "Ativo")</f>
        <v>Ativo</v>
      </c>
      <c r="D1113" s="10" t="str" cm="1">
        <f t="array" ref="D1113">IF(AND(A1113="2021-01", ISNA(MATCH(B1113, _xlfn._xlws.FILTER(B:B, A:A="2021-02"), 0))), "Left", "Ativo")</f>
        <v>Ativo</v>
      </c>
      <c r="E1113" s="10" t="str" cm="1">
        <f t="array" ref="E1113">IF(AND(A1113="2021-02", ISNA(MATCH(B1113, _xlfn._xlws.FILTER(B:B, A:A="2021-03"), 0))), "Left", "Ativo")</f>
        <v>Ativo</v>
      </c>
      <c r="F1113" s="12" t="str" cm="1">
        <f t="array" ref="F1113">IF(AND(A1113="2021-03", ISNA(MATCH(B1113, _xlfn._xlws.FILTER(B:B, A:A="2021-04"), 0))), "Left", "Ativo")</f>
        <v>Ativo</v>
      </c>
    </row>
    <row r="1114" spans="1:6" x14ac:dyDescent="0.25">
      <c r="A1114" t="s">
        <v>1529</v>
      </c>
      <c r="B1114" t="s">
        <v>168</v>
      </c>
      <c r="C1114" s="10" t="str" cm="1">
        <f t="array" ref="C1114">IF(AND(A1114="2020-12", ISNA(MATCH(B1114, _xlfn._xlws.FILTER(B:B, A:A="2021-01"), 0))), "Left", "Ativo")</f>
        <v>Ativo</v>
      </c>
      <c r="D1114" s="10" t="str" cm="1">
        <f t="array" ref="D1114">IF(AND(A1114="2021-01", ISNA(MATCH(B1114, _xlfn._xlws.FILTER(B:B, A:A="2021-02"), 0))), "Left", "Ativo")</f>
        <v>Ativo</v>
      </c>
      <c r="E1114" s="10" t="str" cm="1">
        <f t="array" ref="E1114">IF(AND(A1114="2021-02", ISNA(MATCH(B1114, _xlfn._xlws.FILTER(B:B, A:A="2021-03"), 0))), "Left", "Ativo")</f>
        <v>Ativo</v>
      </c>
      <c r="F1114" s="12" t="str" cm="1">
        <f t="array" ref="F1114">IF(AND(A1114="2021-03", ISNA(MATCH(B1114, _xlfn._xlws.FILTER(B:B, A:A="2021-04"), 0))), "Left", "Ativo")</f>
        <v>Ativo</v>
      </c>
    </row>
    <row r="1115" spans="1:6" x14ac:dyDescent="0.25">
      <c r="A1115" t="s">
        <v>1529</v>
      </c>
      <c r="B1115" t="s">
        <v>169</v>
      </c>
      <c r="C1115" s="10" t="str" cm="1">
        <f t="array" ref="C1115">IF(AND(A1115="2020-12", ISNA(MATCH(B1115, _xlfn._xlws.FILTER(B:B, A:A="2021-01"), 0))), "Left", "Ativo")</f>
        <v>Ativo</v>
      </c>
      <c r="D1115" s="10" t="str" cm="1">
        <f t="array" ref="D1115">IF(AND(A1115="2021-01", ISNA(MATCH(B1115, _xlfn._xlws.FILTER(B:B, A:A="2021-02"), 0))), "Left", "Ativo")</f>
        <v>Ativo</v>
      </c>
      <c r="E1115" s="10" t="str" cm="1">
        <f t="array" ref="E1115">IF(AND(A1115="2021-02", ISNA(MATCH(B1115, _xlfn._xlws.FILTER(B:B, A:A="2021-03"), 0))), "Left", "Ativo")</f>
        <v>Ativo</v>
      </c>
      <c r="F1115" s="12" t="str" cm="1">
        <f t="array" ref="F1115">IF(AND(A1115="2021-03", ISNA(MATCH(B1115, _xlfn._xlws.FILTER(B:B, A:A="2021-04"), 0))), "Left", "Ativo")</f>
        <v>Ativo</v>
      </c>
    </row>
    <row r="1116" spans="1:6" x14ac:dyDescent="0.25">
      <c r="A1116" t="s">
        <v>1529</v>
      </c>
      <c r="B1116" t="s">
        <v>170</v>
      </c>
      <c r="C1116" s="10" t="str" cm="1">
        <f t="array" ref="C1116">IF(AND(A1116="2020-12", ISNA(MATCH(B1116, _xlfn._xlws.FILTER(B:B, A:A="2021-01"), 0))), "Left", "Ativo")</f>
        <v>Ativo</v>
      </c>
      <c r="D1116" s="10" t="str" cm="1">
        <f t="array" ref="D1116">IF(AND(A1116="2021-01", ISNA(MATCH(B1116, _xlfn._xlws.FILTER(B:B, A:A="2021-02"), 0))), "Left", "Ativo")</f>
        <v>Ativo</v>
      </c>
      <c r="E1116" s="10" t="str" cm="1">
        <f t="array" ref="E1116">IF(AND(A1116="2021-02", ISNA(MATCH(B1116, _xlfn._xlws.FILTER(B:B, A:A="2021-03"), 0))), "Left", "Ativo")</f>
        <v>Ativo</v>
      </c>
      <c r="F1116" s="12" t="str" cm="1">
        <f t="array" ref="F1116">IF(AND(A1116="2021-03", ISNA(MATCH(B1116, _xlfn._xlws.FILTER(B:B, A:A="2021-04"), 0))), "Left", "Ativo")</f>
        <v>Ativo</v>
      </c>
    </row>
    <row r="1117" spans="1:6" x14ac:dyDescent="0.25">
      <c r="A1117" t="s">
        <v>1529</v>
      </c>
      <c r="B1117" t="s">
        <v>171</v>
      </c>
      <c r="C1117" s="10" t="str" cm="1">
        <f t="array" ref="C1117">IF(AND(A1117="2020-12", ISNA(MATCH(B1117, _xlfn._xlws.FILTER(B:B, A:A="2021-01"), 0))), "Left", "Ativo")</f>
        <v>Ativo</v>
      </c>
      <c r="D1117" s="10" t="str" cm="1">
        <f t="array" ref="D1117">IF(AND(A1117="2021-01", ISNA(MATCH(B1117, _xlfn._xlws.FILTER(B:B, A:A="2021-02"), 0))), "Left", "Ativo")</f>
        <v>Ativo</v>
      </c>
      <c r="E1117" s="10" t="str" cm="1">
        <f t="array" ref="E1117">IF(AND(A1117="2021-02", ISNA(MATCH(B1117, _xlfn._xlws.FILTER(B:B, A:A="2021-03"), 0))), "Left", "Ativo")</f>
        <v>Ativo</v>
      </c>
      <c r="F1117" s="12" t="str" cm="1">
        <f t="array" ref="F1117">IF(AND(A1117="2021-03", ISNA(MATCH(B1117, _xlfn._xlws.FILTER(B:B, A:A="2021-04"), 0))), "Left", "Ativo")</f>
        <v>Ativo</v>
      </c>
    </row>
    <row r="1118" spans="1:6" x14ac:dyDescent="0.25">
      <c r="A1118" t="s">
        <v>1529</v>
      </c>
      <c r="B1118" t="s">
        <v>172</v>
      </c>
      <c r="C1118" s="10" t="str" cm="1">
        <f t="array" ref="C1118">IF(AND(A1118="2020-12", ISNA(MATCH(B1118, _xlfn._xlws.FILTER(B:B, A:A="2021-01"), 0))), "Left", "Ativo")</f>
        <v>Ativo</v>
      </c>
      <c r="D1118" s="10" t="str" cm="1">
        <f t="array" ref="D1118">IF(AND(A1118="2021-01", ISNA(MATCH(B1118, _xlfn._xlws.FILTER(B:B, A:A="2021-02"), 0))), "Left", "Ativo")</f>
        <v>Ativo</v>
      </c>
      <c r="E1118" s="10" t="str" cm="1">
        <f t="array" ref="E1118">IF(AND(A1118="2021-02", ISNA(MATCH(B1118, _xlfn._xlws.FILTER(B:B, A:A="2021-03"), 0))), "Left", "Ativo")</f>
        <v>Ativo</v>
      </c>
      <c r="F1118" s="12" t="str" cm="1">
        <f t="array" ref="F1118">IF(AND(A1118="2021-03", ISNA(MATCH(B1118, _xlfn._xlws.FILTER(B:B, A:A="2021-04"), 0))), "Left", "Ativo")</f>
        <v>Ativo</v>
      </c>
    </row>
    <row r="1119" spans="1:6" x14ac:dyDescent="0.25">
      <c r="A1119" t="s">
        <v>1529</v>
      </c>
      <c r="B1119" t="s">
        <v>173</v>
      </c>
      <c r="C1119" s="10" t="str" cm="1">
        <f t="array" ref="C1119">IF(AND(A1119="2020-12", ISNA(MATCH(B1119, _xlfn._xlws.FILTER(B:B, A:A="2021-01"), 0))), "Left", "Ativo")</f>
        <v>Ativo</v>
      </c>
      <c r="D1119" s="10" t="str" cm="1">
        <f t="array" ref="D1119">IF(AND(A1119="2021-01", ISNA(MATCH(B1119, _xlfn._xlws.FILTER(B:B, A:A="2021-02"), 0))), "Left", "Ativo")</f>
        <v>Ativo</v>
      </c>
      <c r="E1119" s="10" t="str" cm="1">
        <f t="array" ref="E1119">IF(AND(A1119="2021-02", ISNA(MATCH(B1119, _xlfn._xlws.FILTER(B:B, A:A="2021-03"), 0))), "Left", "Ativo")</f>
        <v>Ativo</v>
      </c>
      <c r="F1119" s="12" t="str" cm="1">
        <f t="array" ref="F1119">IF(AND(A1119="2021-03", ISNA(MATCH(B1119, _xlfn._xlws.FILTER(B:B, A:A="2021-04"), 0))), "Left", "Ativo")</f>
        <v>Ativo</v>
      </c>
    </row>
    <row r="1120" spans="1:6" x14ac:dyDescent="0.25">
      <c r="A1120" t="s">
        <v>1529</v>
      </c>
      <c r="B1120" t="s">
        <v>174</v>
      </c>
      <c r="C1120" s="10" t="str" cm="1">
        <f t="array" ref="C1120">IF(AND(A1120="2020-12", ISNA(MATCH(B1120, _xlfn._xlws.FILTER(B:B, A:A="2021-01"), 0))), "Left", "Ativo")</f>
        <v>Ativo</v>
      </c>
      <c r="D1120" s="10" t="str" cm="1">
        <f t="array" ref="D1120">IF(AND(A1120="2021-01", ISNA(MATCH(B1120, _xlfn._xlws.FILTER(B:B, A:A="2021-02"), 0))), "Left", "Ativo")</f>
        <v>Ativo</v>
      </c>
      <c r="E1120" s="10" t="str" cm="1">
        <f t="array" ref="E1120">IF(AND(A1120="2021-02", ISNA(MATCH(B1120, _xlfn._xlws.FILTER(B:B, A:A="2021-03"), 0))), "Left", "Ativo")</f>
        <v>Ativo</v>
      </c>
      <c r="F1120" s="12" t="str" cm="1">
        <f t="array" ref="F1120">IF(AND(A1120="2021-03", ISNA(MATCH(B1120, _xlfn._xlws.FILTER(B:B, A:A="2021-04"), 0))), "Left", "Ativo")</f>
        <v>Ativo</v>
      </c>
    </row>
    <row r="1121" spans="1:6" x14ac:dyDescent="0.25">
      <c r="A1121" t="s">
        <v>1529</v>
      </c>
      <c r="B1121" t="s">
        <v>175</v>
      </c>
      <c r="C1121" s="10" t="str" cm="1">
        <f t="array" ref="C1121">IF(AND(A1121="2020-12", ISNA(MATCH(B1121, _xlfn._xlws.FILTER(B:B, A:A="2021-01"), 0))), "Left", "Ativo")</f>
        <v>Ativo</v>
      </c>
      <c r="D1121" s="10" t="str" cm="1">
        <f t="array" ref="D1121">IF(AND(A1121="2021-01", ISNA(MATCH(B1121, _xlfn._xlws.FILTER(B:B, A:A="2021-02"), 0))), "Left", "Ativo")</f>
        <v>Ativo</v>
      </c>
      <c r="E1121" s="10" t="str" cm="1">
        <f t="array" ref="E1121">IF(AND(A1121="2021-02", ISNA(MATCH(B1121, _xlfn._xlws.FILTER(B:B, A:A="2021-03"), 0))), "Left", "Ativo")</f>
        <v>Ativo</v>
      </c>
      <c r="F1121" s="12" t="str" cm="1">
        <f t="array" ref="F1121">IF(AND(A1121="2021-03", ISNA(MATCH(B1121, _xlfn._xlws.FILTER(B:B, A:A="2021-04"), 0))), "Left", "Ativo")</f>
        <v>Ativo</v>
      </c>
    </row>
    <row r="1122" spans="1:6" x14ac:dyDescent="0.25">
      <c r="A1122" t="s">
        <v>1529</v>
      </c>
      <c r="B1122" t="s">
        <v>176</v>
      </c>
      <c r="C1122" s="10" t="str" cm="1">
        <f t="array" ref="C1122">IF(AND(A1122="2020-12", ISNA(MATCH(B1122, _xlfn._xlws.FILTER(B:B, A:A="2021-01"), 0))), "Left", "Ativo")</f>
        <v>Ativo</v>
      </c>
      <c r="D1122" s="10" t="str" cm="1">
        <f t="array" ref="D1122">IF(AND(A1122="2021-01", ISNA(MATCH(B1122, _xlfn._xlws.FILTER(B:B, A:A="2021-02"), 0))), "Left", "Ativo")</f>
        <v>Ativo</v>
      </c>
      <c r="E1122" s="10" t="str" cm="1">
        <f t="array" ref="E1122">IF(AND(A1122="2021-02", ISNA(MATCH(B1122, _xlfn._xlws.FILTER(B:B, A:A="2021-03"), 0))), "Left", "Ativo")</f>
        <v>Ativo</v>
      </c>
      <c r="F1122" s="12" t="str" cm="1">
        <f t="array" ref="F1122">IF(AND(A1122="2021-03", ISNA(MATCH(B1122, _xlfn._xlws.FILTER(B:B, A:A="2021-04"), 0))), "Left", "Ativo")</f>
        <v>Ativo</v>
      </c>
    </row>
    <row r="1123" spans="1:6" x14ac:dyDescent="0.25">
      <c r="A1123" t="s">
        <v>1529</v>
      </c>
      <c r="B1123" t="s">
        <v>177</v>
      </c>
      <c r="C1123" s="10" t="str" cm="1">
        <f t="array" ref="C1123">IF(AND(A1123="2020-12", ISNA(MATCH(B1123, _xlfn._xlws.FILTER(B:B, A:A="2021-01"), 0))), "Left", "Ativo")</f>
        <v>Ativo</v>
      </c>
      <c r="D1123" s="10" t="str" cm="1">
        <f t="array" ref="D1123">IF(AND(A1123="2021-01", ISNA(MATCH(B1123, _xlfn._xlws.FILTER(B:B, A:A="2021-02"), 0))), "Left", "Ativo")</f>
        <v>Ativo</v>
      </c>
      <c r="E1123" s="10" t="str" cm="1">
        <f t="array" ref="E1123">IF(AND(A1123="2021-02", ISNA(MATCH(B1123, _xlfn._xlws.FILTER(B:B, A:A="2021-03"), 0))), "Left", "Ativo")</f>
        <v>Ativo</v>
      </c>
      <c r="F1123" s="12" t="str" cm="1">
        <f t="array" ref="F1123">IF(AND(A1123="2021-03", ISNA(MATCH(B1123, _xlfn._xlws.FILTER(B:B, A:A="2021-04"), 0))), "Left", "Ativo")</f>
        <v>Ativo</v>
      </c>
    </row>
    <row r="1124" spans="1:6" x14ac:dyDescent="0.25">
      <c r="A1124" t="s">
        <v>1529</v>
      </c>
      <c r="B1124" t="s">
        <v>178</v>
      </c>
      <c r="C1124" s="10" t="str" cm="1">
        <f t="array" ref="C1124">IF(AND(A1124="2020-12", ISNA(MATCH(B1124, _xlfn._xlws.FILTER(B:B, A:A="2021-01"), 0))), "Left", "Ativo")</f>
        <v>Ativo</v>
      </c>
      <c r="D1124" s="10" t="str" cm="1">
        <f t="array" ref="D1124">IF(AND(A1124="2021-01", ISNA(MATCH(B1124, _xlfn._xlws.FILTER(B:B, A:A="2021-02"), 0))), "Left", "Ativo")</f>
        <v>Ativo</v>
      </c>
      <c r="E1124" s="10" t="str" cm="1">
        <f t="array" ref="E1124">IF(AND(A1124="2021-02", ISNA(MATCH(B1124, _xlfn._xlws.FILTER(B:B, A:A="2021-03"), 0))), "Left", "Ativo")</f>
        <v>Ativo</v>
      </c>
      <c r="F1124" s="12" t="str" cm="1">
        <f t="array" ref="F1124">IF(AND(A1124="2021-03", ISNA(MATCH(B1124, _xlfn._xlws.FILTER(B:B, A:A="2021-04"), 0))), "Left", "Ativo")</f>
        <v>Ativo</v>
      </c>
    </row>
    <row r="1125" spans="1:6" x14ac:dyDescent="0.25">
      <c r="A1125" t="s">
        <v>1529</v>
      </c>
      <c r="B1125" t="s">
        <v>179</v>
      </c>
      <c r="C1125" s="10" t="str" cm="1">
        <f t="array" ref="C1125">IF(AND(A1125="2020-12", ISNA(MATCH(B1125, _xlfn._xlws.FILTER(B:B, A:A="2021-01"), 0))), "Left", "Ativo")</f>
        <v>Ativo</v>
      </c>
      <c r="D1125" s="10" t="str" cm="1">
        <f t="array" ref="D1125">IF(AND(A1125="2021-01", ISNA(MATCH(B1125, _xlfn._xlws.FILTER(B:B, A:A="2021-02"), 0))), "Left", "Ativo")</f>
        <v>Ativo</v>
      </c>
      <c r="E1125" s="10" t="str" cm="1">
        <f t="array" ref="E1125">IF(AND(A1125="2021-02", ISNA(MATCH(B1125, _xlfn._xlws.FILTER(B:B, A:A="2021-03"), 0))), "Left", "Ativo")</f>
        <v>Ativo</v>
      </c>
      <c r="F1125" s="12" t="str" cm="1">
        <f t="array" ref="F1125">IF(AND(A1125="2021-03", ISNA(MATCH(B1125, _xlfn._xlws.FILTER(B:B, A:A="2021-04"), 0))), "Left", "Ativo")</f>
        <v>Ativo</v>
      </c>
    </row>
    <row r="1126" spans="1:6" x14ac:dyDescent="0.25">
      <c r="A1126" t="s">
        <v>1529</v>
      </c>
      <c r="B1126" t="s">
        <v>180</v>
      </c>
      <c r="C1126" s="10" t="str" cm="1">
        <f t="array" ref="C1126">IF(AND(A1126="2020-12", ISNA(MATCH(B1126, _xlfn._xlws.FILTER(B:B, A:A="2021-01"), 0))), "Left", "Ativo")</f>
        <v>Ativo</v>
      </c>
      <c r="D1126" s="10" t="str" cm="1">
        <f t="array" ref="D1126">IF(AND(A1126="2021-01", ISNA(MATCH(B1126, _xlfn._xlws.FILTER(B:B, A:A="2021-02"), 0))), "Left", "Ativo")</f>
        <v>Ativo</v>
      </c>
      <c r="E1126" s="10" t="str" cm="1">
        <f t="array" ref="E1126">IF(AND(A1126="2021-02", ISNA(MATCH(B1126, _xlfn._xlws.FILTER(B:B, A:A="2021-03"), 0))), "Left", "Ativo")</f>
        <v>Ativo</v>
      </c>
      <c r="F1126" s="12" t="str" cm="1">
        <f t="array" ref="F1126">IF(AND(A1126="2021-03", ISNA(MATCH(B1126, _xlfn._xlws.FILTER(B:B, A:A="2021-04"), 0))), "Left", "Ativo")</f>
        <v>Ativo</v>
      </c>
    </row>
    <row r="1127" spans="1:6" x14ac:dyDescent="0.25">
      <c r="A1127" t="s">
        <v>1529</v>
      </c>
      <c r="B1127" t="s">
        <v>181</v>
      </c>
      <c r="C1127" s="10" t="str" cm="1">
        <f t="array" ref="C1127">IF(AND(A1127="2020-12", ISNA(MATCH(B1127, _xlfn._xlws.FILTER(B:B, A:A="2021-01"), 0))), "Left", "Ativo")</f>
        <v>Ativo</v>
      </c>
      <c r="D1127" s="10" t="str" cm="1">
        <f t="array" ref="D1127">IF(AND(A1127="2021-01", ISNA(MATCH(B1127, _xlfn._xlws.FILTER(B:B, A:A="2021-02"), 0))), "Left", "Ativo")</f>
        <v>Ativo</v>
      </c>
      <c r="E1127" s="10" t="str" cm="1">
        <f t="array" ref="E1127">IF(AND(A1127="2021-02", ISNA(MATCH(B1127, _xlfn._xlws.FILTER(B:B, A:A="2021-03"), 0))), "Left", "Ativo")</f>
        <v>Ativo</v>
      </c>
      <c r="F1127" s="12" t="str" cm="1">
        <f t="array" ref="F1127">IF(AND(A1127="2021-03", ISNA(MATCH(B1127, _xlfn._xlws.FILTER(B:B, A:A="2021-04"), 0))), "Left", "Ativo")</f>
        <v>Ativo</v>
      </c>
    </row>
    <row r="1128" spans="1:6" x14ac:dyDescent="0.25">
      <c r="A1128" t="s">
        <v>1529</v>
      </c>
      <c r="B1128" t="s">
        <v>182</v>
      </c>
      <c r="C1128" s="10" t="str" cm="1">
        <f t="array" ref="C1128">IF(AND(A1128="2020-12", ISNA(MATCH(B1128, _xlfn._xlws.FILTER(B:B, A:A="2021-01"), 0))), "Left", "Ativo")</f>
        <v>Ativo</v>
      </c>
      <c r="D1128" s="10" t="str" cm="1">
        <f t="array" ref="D1128">IF(AND(A1128="2021-01", ISNA(MATCH(B1128, _xlfn._xlws.FILTER(B:B, A:A="2021-02"), 0))), "Left", "Ativo")</f>
        <v>Ativo</v>
      </c>
      <c r="E1128" s="10" t="str" cm="1">
        <f t="array" ref="E1128">IF(AND(A1128="2021-02", ISNA(MATCH(B1128, _xlfn._xlws.FILTER(B:B, A:A="2021-03"), 0))), "Left", "Ativo")</f>
        <v>Ativo</v>
      </c>
      <c r="F1128" s="12" t="str" cm="1">
        <f t="array" ref="F1128">IF(AND(A1128="2021-03", ISNA(MATCH(B1128, _xlfn._xlws.FILTER(B:B, A:A="2021-04"), 0))), "Left", "Ativo")</f>
        <v>Ativo</v>
      </c>
    </row>
    <row r="1129" spans="1:6" x14ac:dyDescent="0.25">
      <c r="A1129" t="s">
        <v>1529</v>
      </c>
      <c r="B1129" t="s">
        <v>183</v>
      </c>
      <c r="C1129" s="10" t="str" cm="1">
        <f t="array" ref="C1129">IF(AND(A1129="2020-12", ISNA(MATCH(B1129, _xlfn._xlws.FILTER(B:B, A:A="2021-01"), 0))), "Left", "Ativo")</f>
        <v>Ativo</v>
      </c>
      <c r="D1129" s="10" t="str" cm="1">
        <f t="array" ref="D1129">IF(AND(A1129="2021-01", ISNA(MATCH(B1129, _xlfn._xlws.FILTER(B:B, A:A="2021-02"), 0))), "Left", "Ativo")</f>
        <v>Ativo</v>
      </c>
      <c r="E1129" s="10" t="str" cm="1">
        <f t="array" ref="E1129">IF(AND(A1129="2021-02", ISNA(MATCH(B1129, _xlfn._xlws.FILTER(B:B, A:A="2021-03"), 0))), "Left", "Ativo")</f>
        <v>Ativo</v>
      </c>
      <c r="F1129" s="12" t="str" cm="1">
        <f t="array" ref="F1129">IF(AND(A1129="2021-03", ISNA(MATCH(B1129, _xlfn._xlws.FILTER(B:B, A:A="2021-04"), 0))), "Left", "Ativo")</f>
        <v>Ativo</v>
      </c>
    </row>
    <row r="1130" spans="1:6" x14ac:dyDescent="0.25">
      <c r="A1130" t="s">
        <v>1529</v>
      </c>
      <c r="B1130" t="s">
        <v>184</v>
      </c>
      <c r="C1130" s="10" t="str" cm="1">
        <f t="array" ref="C1130">IF(AND(A1130="2020-12", ISNA(MATCH(B1130, _xlfn._xlws.FILTER(B:B, A:A="2021-01"), 0))), "Left", "Ativo")</f>
        <v>Ativo</v>
      </c>
      <c r="D1130" s="10" t="str" cm="1">
        <f t="array" ref="D1130">IF(AND(A1130="2021-01", ISNA(MATCH(B1130, _xlfn._xlws.FILTER(B:B, A:A="2021-02"), 0))), "Left", "Ativo")</f>
        <v>Ativo</v>
      </c>
      <c r="E1130" s="10" t="str" cm="1">
        <f t="array" ref="E1130">IF(AND(A1130="2021-02", ISNA(MATCH(B1130, _xlfn._xlws.FILTER(B:B, A:A="2021-03"), 0))), "Left", "Ativo")</f>
        <v>Ativo</v>
      </c>
      <c r="F1130" s="12" t="str" cm="1">
        <f t="array" ref="F1130">IF(AND(A1130="2021-03", ISNA(MATCH(B1130, _xlfn._xlws.FILTER(B:B, A:A="2021-04"), 0))), "Left", "Ativo")</f>
        <v>Ativo</v>
      </c>
    </row>
    <row r="1131" spans="1:6" x14ac:dyDescent="0.25">
      <c r="A1131" t="s">
        <v>1529</v>
      </c>
      <c r="B1131" t="s">
        <v>185</v>
      </c>
      <c r="C1131" s="10" t="str" cm="1">
        <f t="array" ref="C1131">IF(AND(A1131="2020-12", ISNA(MATCH(B1131, _xlfn._xlws.FILTER(B:B, A:A="2021-01"), 0))), "Left", "Ativo")</f>
        <v>Ativo</v>
      </c>
      <c r="D1131" s="10" t="str" cm="1">
        <f t="array" ref="D1131">IF(AND(A1131="2021-01", ISNA(MATCH(B1131, _xlfn._xlws.FILTER(B:B, A:A="2021-02"), 0))), "Left", "Ativo")</f>
        <v>Ativo</v>
      </c>
      <c r="E1131" s="10" t="str" cm="1">
        <f t="array" ref="E1131">IF(AND(A1131="2021-02", ISNA(MATCH(B1131, _xlfn._xlws.FILTER(B:B, A:A="2021-03"), 0))), "Left", "Ativo")</f>
        <v>Ativo</v>
      </c>
      <c r="F1131" s="12" t="str" cm="1">
        <f t="array" ref="F1131">IF(AND(A1131="2021-03", ISNA(MATCH(B1131, _xlfn._xlws.FILTER(B:B, A:A="2021-04"), 0))), "Left", "Ativo")</f>
        <v>Ativo</v>
      </c>
    </row>
    <row r="1132" spans="1:6" x14ac:dyDescent="0.25">
      <c r="A1132" t="s">
        <v>1529</v>
      </c>
      <c r="B1132" t="s">
        <v>186</v>
      </c>
      <c r="C1132" s="10" t="str" cm="1">
        <f t="array" ref="C1132">IF(AND(A1132="2020-12", ISNA(MATCH(B1132, _xlfn._xlws.FILTER(B:B, A:A="2021-01"), 0))), "Left", "Ativo")</f>
        <v>Ativo</v>
      </c>
      <c r="D1132" s="10" t="str" cm="1">
        <f t="array" ref="D1132">IF(AND(A1132="2021-01", ISNA(MATCH(B1132, _xlfn._xlws.FILTER(B:B, A:A="2021-02"), 0))), "Left", "Ativo")</f>
        <v>Ativo</v>
      </c>
      <c r="E1132" s="10" t="str" cm="1">
        <f t="array" ref="E1132">IF(AND(A1132="2021-02", ISNA(MATCH(B1132, _xlfn._xlws.FILTER(B:B, A:A="2021-03"), 0))), "Left", "Ativo")</f>
        <v>Ativo</v>
      </c>
      <c r="F1132" s="12" t="str" cm="1">
        <f t="array" ref="F1132">IF(AND(A1132="2021-03", ISNA(MATCH(B1132, _xlfn._xlws.FILTER(B:B, A:A="2021-04"), 0))), "Left", "Ativo")</f>
        <v>Ativo</v>
      </c>
    </row>
    <row r="1133" spans="1:6" x14ac:dyDescent="0.25">
      <c r="A1133" t="s">
        <v>1529</v>
      </c>
      <c r="B1133" t="s">
        <v>187</v>
      </c>
      <c r="C1133" s="10" t="str" cm="1">
        <f t="array" ref="C1133">IF(AND(A1133="2020-12", ISNA(MATCH(B1133, _xlfn._xlws.FILTER(B:B, A:A="2021-01"), 0))), "Left", "Ativo")</f>
        <v>Ativo</v>
      </c>
      <c r="D1133" s="10" t="str" cm="1">
        <f t="array" ref="D1133">IF(AND(A1133="2021-01", ISNA(MATCH(B1133, _xlfn._xlws.FILTER(B:B, A:A="2021-02"), 0))), "Left", "Ativo")</f>
        <v>Ativo</v>
      </c>
      <c r="E1133" s="10" t="str" cm="1">
        <f t="array" ref="E1133">IF(AND(A1133="2021-02", ISNA(MATCH(B1133, _xlfn._xlws.FILTER(B:B, A:A="2021-03"), 0))), "Left", "Ativo")</f>
        <v>Ativo</v>
      </c>
      <c r="F1133" s="12" t="str" cm="1">
        <f t="array" ref="F1133">IF(AND(A1133="2021-03", ISNA(MATCH(B1133, _xlfn._xlws.FILTER(B:B, A:A="2021-04"), 0))), "Left", "Ativo")</f>
        <v>Ativo</v>
      </c>
    </row>
    <row r="1134" spans="1:6" x14ac:dyDescent="0.25">
      <c r="A1134" t="s">
        <v>1529</v>
      </c>
      <c r="B1134" t="s">
        <v>188</v>
      </c>
      <c r="C1134" s="10" t="str" cm="1">
        <f t="array" ref="C1134">IF(AND(A1134="2020-12", ISNA(MATCH(B1134, _xlfn._xlws.FILTER(B:B, A:A="2021-01"), 0))), "Left", "Ativo")</f>
        <v>Ativo</v>
      </c>
      <c r="D1134" s="10" t="str" cm="1">
        <f t="array" ref="D1134">IF(AND(A1134="2021-01", ISNA(MATCH(B1134, _xlfn._xlws.FILTER(B:B, A:A="2021-02"), 0))), "Left", "Ativo")</f>
        <v>Ativo</v>
      </c>
      <c r="E1134" s="10" t="str" cm="1">
        <f t="array" ref="E1134">IF(AND(A1134="2021-02", ISNA(MATCH(B1134, _xlfn._xlws.FILTER(B:B, A:A="2021-03"), 0))), "Left", "Ativo")</f>
        <v>Ativo</v>
      </c>
      <c r="F1134" s="12" t="str" cm="1">
        <f t="array" ref="F1134">IF(AND(A1134="2021-03", ISNA(MATCH(B1134, _xlfn._xlws.FILTER(B:B, A:A="2021-04"), 0))), "Left", "Ativo")</f>
        <v>Ativo</v>
      </c>
    </row>
    <row r="1135" spans="1:6" x14ac:dyDescent="0.25">
      <c r="A1135" t="s">
        <v>1529</v>
      </c>
      <c r="B1135" t="s">
        <v>189</v>
      </c>
      <c r="C1135" s="10" t="str" cm="1">
        <f t="array" ref="C1135">IF(AND(A1135="2020-12", ISNA(MATCH(B1135, _xlfn._xlws.FILTER(B:B, A:A="2021-01"), 0))), "Left", "Ativo")</f>
        <v>Ativo</v>
      </c>
      <c r="D1135" s="10" t="str" cm="1">
        <f t="array" ref="D1135">IF(AND(A1135="2021-01", ISNA(MATCH(B1135, _xlfn._xlws.FILTER(B:B, A:A="2021-02"), 0))), "Left", "Ativo")</f>
        <v>Left</v>
      </c>
      <c r="E1135" s="10" t="str" cm="1">
        <f t="array" ref="E1135">IF(AND(A1135="2021-02", ISNA(MATCH(B1135, _xlfn._xlws.FILTER(B:B, A:A="2021-03"), 0))), "Left", "Ativo")</f>
        <v>Ativo</v>
      </c>
      <c r="F1135" s="12" t="str" cm="1">
        <f t="array" ref="F1135">IF(AND(A1135="2021-03", ISNA(MATCH(B1135, _xlfn._xlws.FILTER(B:B, A:A="2021-04"), 0))), "Left", "Ativo")</f>
        <v>Ativo</v>
      </c>
    </row>
    <row r="1136" spans="1:6" x14ac:dyDescent="0.25">
      <c r="A1136" t="s">
        <v>1529</v>
      </c>
      <c r="B1136" t="s">
        <v>190</v>
      </c>
      <c r="C1136" s="10" t="str" cm="1">
        <f t="array" ref="C1136">IF(AND(A1136="2020-12", ISNA(MATCH(B1136, _xlfn._xlws.FILTER(B:B, A:A="2021-01"), 0))), "Left", "Ativo")</f>
        <v>Ativo</v>
      </c>
      <c r="D1136" s="10" t="str" cm="1">
        <f t="array" ref="D1136">IF(AND(A1136="2021-01", ISNA(MATCH(B1136, _xlfn._xlws.FILTER(B:B, A:A="2021-02"), 0))), "Left", "Ativo")</f>
        <v>Left</v>
      </c>
      <c r="E1136" s="10" t="str" cm="1">
        <f t="array" ref="E1136">IF(AND(A1136="2021-02", ISNA(MATCH(B1136, _xlfn._xlws.FILTER(B:B, A:A="2021-03"), 0))), "Left", "Ativo")</f>
        <v>Ativo</v>
      </c>
      <c r="F1136" s="12" t="str" cm="1">
        <f t="array" ref="F1136">IF(AND(A1136="2021-03", ISNA(MATCH(B1136, _xlfn._xlws.FILTER(B:B, A:A="2021-04"), 0))), "Left", "Ativo")</f>
        <v>Ativo</v>
      </c>
    </row>
    <row r="1137" spans="1:6" x14ac:dyDescent="0.25">
      <c r="A1137" t="s">
        <v>1529</v>
      </c>
      <c r="B1137" t="s">
        <v>192</v>
      </c>
      <c r="C1137" s="10" t="str" cm="1">
        <f t="array" ref="C1137">IF(AND(A1137="2020-12", ISNA(MATCH(B1137, _xlfn._xlws.FILTER(B:B, A:A="2021-01"), 0))), "Left", "Ativo")</f>
        <v>Ativo</v>
      </c>
      <c r="D1137" s="10" t="str" cm="1">
        <f t="array" ref="D1137">IF(AND(A1137="2021-01", ISNA(MATCH(B1137, _xlfn._xlws.FILTER(B:B, A:A="2021-02"), 0))), "Left", "Ativo")</f>
        <v>Left</v>
      </c>
      <c r="E1137" s="10" t="str" cm="1">
        <f t="array" ref="E1137">IF(AND(A1137="2021-02", ISNA(MATCH(B1137, _xlfn._xlws.FILTER(B:B, A:A="2021-03"), 0))), "Left", "Ativo")</f>
        <v>Ativo</v>
      </c>
      <c r="F1137" s="12" t="str" cm="1">
        <f t="array" ref="F1137">IF(AND(A1137="2021-03", ISNA(MATCH(B1137, _xlfn._xlws.FILTER(B:B, A:A="2021-04"), 0))), "Left", "Ativo")</f>
        <v>Ativo</v>
      </c>
    </row>
    <row r="1138" spans="1:6" x14ac:dyDescent="0.25">
      <c r="A1138" t="s">
        <v>1529</v>
      </c>
      <c r="B1138" t="s">
        <v>193</v>
      </c>
      <c r="C1138" s="10" t="str" cm="1">
        <f t="array" ref="C1138">IF(AND(A1138="2020-12", ISNA(MATCH(B1138, _xlfn._xlws.FILTER(B:B, A:A="2021-01"), 0))), "Left", "Ativo")</f>
        <v>Ativo</v>
      </c>
      <c r="D1138" s="10" t="str" cm="1">
        <f t="array" ref="D1138">IF(AND(A1138="2021-01", ISNA(MATCH(B1138, _xlfn._xlws.FILTER(B:B, A:A="2021-02"), 0))), "Left", "Ativo")</f>
        <v>Left</v>
      </c>
      <c r="E1138" s="10" t="str" cm="1">
        <f t="array" ref="E1138">IF(AND(A1138="2021-02", ISNA(MATCH(B1138, _xlfn._xlws.FILTER(B:B, A:A="2021-03"), 0))), "Left", "Ativo")</f>
        <v>Ativo</v>
      </c>
      <c r="F1138" s="12" t="str" cm="1">
        <f t="array" ref="F1138">IF(AND(A1138="2021-03", ISNA(MATCH(B1138, _xlfn._xlws.FILTER(B:B, A:A="2021-04"), 0))), "Left", "Ativo")</f>
        <v>Ativo</v>
      </c>
    </row>
    <row r="1139" spans="1:6" x14ac:dyDescent="0.25">
      <c r="A1139" t="s">
        <v>1529</v>
      </c>
      <c r="B1139" t="s">
        <v>195</v>
      </c>
      <c r="C1139" s="10" t="str" cm="1">
        <f t="array" ref="C1139">IF(AND(A1139="2020-12", ISNA(MATCH(B1139, _xlfn._xlws.FILTER(B:B, A:A="2021-01"), 0))), "Left", "Ativo")</f>
        <v>Ativo</v>
      </c>
      <c r="D1139" s="10" t="str" cm="1">
        <f t="array" ref="D1139">IF(AND(A1139="2021-01", ISNA(MATCH(B1139, _xlfn._xlws.FILTER(B:B, A:A="2021-02"), 0))), "Left", "Ativo")</f>
        <v>Left</v>
      </c>
      <c r="E1139" s="10" t="str" cm="1">
        <f t="array" ref="E1139">IF(AND(A1139="2021-02", ISNA(MATCH(B1139, _xlfn._xlws.FILTER(B:B, A:A="2021-03"), 0))), "Left", "Ativo")</f>
        <v>Ativo</v>
      </c>
      <c r="F1139" s="12" t="str" cm="1">
        <f t="array" ref="F1139">IF(AND(A1139="2021-03", ISNA(MATCH(B1139, _xlfn._xlws.FILTER(B:B, A:A="2021-04"), 0))), "Left", "Ativo")</f>
        <v>Ativo</v>
      </c>
    </row>
    <row r="1140" spans="1:6" x14ac:dyDescent="0.25">
      <c r="A1140" t="s">
        <v>1529</v>
      </c>
      <c r="B1140" t="s">
        <v>198</v>
      </c>
      <c r="C1140" s="10" t="str" cm="1">
        <f t="array" ref="C1140">IF(AND(A1140="2020-12", ISNA(MATCH(B1140, _xlfn._xlws.FILTER(B:B, A:A="2021-01"), 0))), "Left", "Ativo")</f>
        <v>Ativo</v>
      </c>
      <c r="D1140" s="10" t="str" cm="1">
        <f t="array" ref="D1140">IF(AND(A1140="2021-01", ISNA(MATCH(B1140, _xlfn._xlws.FILTER(B:B, A:A="2021-02"), 0))), "Left", "Ativo")</f>
        <v>Left</v>
      </c>
      <c r="E1140" s="10" t="str" cm="1">
        <f t="array" ref="E1140">IF(AND(A1140="2021-02", ISNA(MATCH(B1140, _xlfn._xlws.FILTER(B:B, A:A="2021-03"), 0))), "Left", "Ativo")</f>
        <v>Ativo</v>
      </c>
      <c r="F1140" s="12" t="str" cm="1">
        <f t="array" ref="F1140">IF(AND(A1140="2021-03", ISNA(MATCH(B1140, _xlfn._xlws.FILTER(B:B, A:A="2021-04"), 0))), "Left", "Ativo")</f>
        <v>Ativo</v>
      </c>
    </row>
    <row r="1141" spans="1:6" x14ac:dyDescent="0.25">
      <c r="A1141" t="s">
        <v>1529</v>
      </c>
      <c r="B1141" t="s">
        <v>950</v>
      </c>
      <c r="C1141" s="10" t="str" cm="1">
        <f t="array" ref="C1141">IF(AND(A1141="2020-12", ISNA(MATCH(B1141, _xlfn._xlws.FILTER(B:B, A:A="2021-01"), 0))), "Left", "Ativo")</f>
        <v>Ativo</v>
      </c>
      <c r="D1141" s="10" t="str" cm="1">
        <f t="array" ref="D1141">IF(AND(A1141="2021-01", ISNA(MATCH(B1141, _xlfn._xlws.FILTER(B:B, A:A="2021-02"), 0))), "Left", "Ativo")</f>
        <v>Left</v>
      </c>
      <c r="E1141" s="10" t="str" cm="1">
        <f t="array" ref="E1141">IF(AND(A1141="2021-02", ISNA(MATCH(B1141, _xlfn._xlws.FILTER(B:B, A:A="2021-03"), 0))), "Left", "Ativo")</f>
        <v>Ativo</v>
      </c>
      <c r="F1141" s="12" t="str" cm="1">
        <f t="array" ref="F1141">IF(AND(A1141="2021-03", ISNA(MATCH(B1141, _xlfn._xlws.FILTER(B:B, A:A="2021-04"), 0))), "Left", "Ativo")</f>
        <v>Ativo</v>
      </c>
    </row>
    <row r="1142" spans="1:6" x14ac:dyDescent="0.25">
      <c r="A1142" t="s">
        <v>1529</v>
      </c>
      <c r="B1142" t="s">
        <v>951</v>
      </c>
      <c r="C1142" s="10" t="str" cm="1">
        <f t="array" ref="C1142">IF(AND(A1142="2020-12", ISNA(MATCH(B1142, _xlfn._xlws.FILTER(B:B, A:A="2021-01"), 0))), "Left", "Ativo")</f>
        <v>Ativo</v>
      </c>
      <c r="D1142" s="10" t="str" cm="1">
        <f t="array" ref="D1142">IF(AND(A1142="2021-01", ISNA(MATCH(B1142, _xlfn._xlws.FILTER(B:B, A:A="2021-02"), 0))), "Left", "Ativo")</f>
        <v>Left</v>
      </c>
      <c r="E1142" s="10" t="str" cm="1">
        <f t="array" ref="E1142">IF(AND(A1142="2021-02", ISNA(MATCH(B1142, _xlfn._xlws.FILTER(B:B, A:A="2021-03"), 0))), "Left", "Ativo")</f>
        <v>Ativo</v>
      </c>
      <c r="F1142" s="12" t="str" cm="1">
        <f t="array" ref="F1142">IF(AND(A1142="2021-03", ISNA(MATCH(B1142, _xlfn._xlws.FILTER(B:B, A:A="2021-04"), 0))), "Left", "Ativo")</f>
        <v>Ativo</v>
      </c>
    </row>
    <row r="1143" spans="1:6" x14ac:dyDescent="0.25">
      <c r="A1143" t="s">
        <v>1529</v>
      </c>
      <c r="B1143" t="s">
        <v>952</v>
      </c>
      <c r="C1143" s="10" t="str" cm="1">
        <f t="array" ref="C1143">IF(AND(A1143="2020-12", ISNA(MATCH(B1143, _xlfn._xlws.FILTER(B:B, A:A="2021-01"), 0))), "Left", "Ativo")</f>
        <v>Ativo</v>
      </c>
      <c r="D1143" s="10" t="str" cm="1">
        <f t="array" ref="D1143">IF(AND(A1143="2021-01", ISNA(MATCH(B1143, _xlfn._xlws.FILTER(B:B, A:A="2021-02"), 0))), "Left", "Ativo")</f>
        <v>Left</v>
      </c>
      <c r="E1143" s="10" t="str" cm="1">
        <f t="array" ref="E1143">IF(AND(A1143="2021-02", ISNA(MATCH(B1143, _xlfn._xlws.FILTER(B:B, A:A="2021-03"), 0))), "Left", "Ativo")</f>
        <v>Ativo</v>
      </c>
      <c r="F1143" s="12" t="str" cm="1">
        <f t="array" ref="F1143">IF(AND(A1143="2021-03", ISNA(MATCH(B1143, _xlfn._xlws.FILTER(B:B, A:A="2021-04"), 0))), "Left", "Ativo")</f>
        <v>Ativo</v>
      </c>
    </row>
    <row r="1144" spans="1:6" x14ac:dyDescent="0.25">
      <c r="A1144" t="s">
        <v>1529</v>
      </c>
      <c r="B1144" t="s">
        <v>953</v>
      </c>
      <c r="C1144" s="10" t="str" cm="1">
        <f t="array" ref="C1144">IF(AND(A1144="2020-12", ISNA(MATCH(B1144, _xlfn._xlws.FILTER(B:B, A:A="2021-01"), 0))), "Left", "Ativo")</f>
        <v>Ativo</v>
      </c>
      <c r="D1144" s="10" t="str" cm="1">
        <f t="array" ref="D1144">IF(AND(A1144="2021-01", ISNA(MATCH(B1144, _xlfn._xlws.FILTER(B:B, A:A="2021-02"), 0))), "Left", "Ativo")</f>
        <v>Left</v>
      </c>
      <c r="E1144" s="10" t="str" cm="1">
        <f t="array" ref="E1144">IF(AND(A1144="2021-02", ISNA(MATCH(B1144, _xlfn._xlws.FILTER(B:B, A:A="2021-03"), 0))), "Left", "Ativo")</f>
        <v>Ativo</v>
      </c>
      <c r="F1144" s="12" t="str" cm="1">
        <f t="array" ref="F1144">IF(AND(A1144="2021-03", ISNA(MATCH(B1144, _xlfn._xlws.FILTER(B:B, A:A="2021-04"), 0))), "Left", "Ativo")</f>
        <v>Ativo</v>
      </c>
    </row>
    <row r="1145" spans="1:6" x14ac:dyDescent="0.25">
      <c r="A1145" t="s">
        <v>1529</v>
      </c>
      <c r="B1145" t="s">
        <v>954</v>
      </c>
      <c r="C1145" s="10" t="str" cm="1">
        <f t="array" ref="C1145">IF(AND(A1145="2020-12", ISNA(MATCH(B1145, _xlfn._xlws.FILTER(B:B, A:A="2021-01"), 0))), "Left", "Ativo")</f>
        <v>Ativo</v>
      </c>
      <c r="D1145" s="10" t="str" cm="1">
        <f t="array" ref="D1145">IF(AND(A1145="2021-01", ISNA(MATCH(B1145, _xlfn._xlws.FILTER(B:B, A:A="2021-02"), 0))), "Left", "Ativo")</f>
        <v>Left</v>
      </c>
      <c r="E1145" s="10" t="str" cm="1">
        <f t="array" ref="E1145">IF(AND(A1145="2021-02", ISNA(MATCH(B1145, _xlfn._xlws.FILTER(B:B, A:A="2021-03"), 0))), "Left", "Ativo")</f>
        <v>Ativo</v>
      </c>
      <c r="F1145" s="12" t="str" cm="1">
        <f t="array" ref="F1145">IF(AND(A1145="2021-03", ISNA(MATCH(B1145, _xlfn._xlws.FILTER(B:B, A:A="2021-04"), 0))), "Left", "Ativo")</f>
        <v>Ativo</v>
      </c>
    </row>
    <row r="1146" spans="1:6" x14ac:dyDescent="0.25">
      <c r="A1146" t="s">
        <v>1529</v>
      </c>
      <c r="B1146" t="s">
        <v>955</v>
      </c>
      <c r="C1146" s="10" t="str" cm="1">
        <f t="array" ref="C1146">IF(AND(A1146="2020-12", ISNA(MATCH(B1146, _xlfn._xlws.FILTER(B:B, A:A="2021-01"), 0))), "Left", "Ativo")</f>
        <v>Ativo</v>
      </c>
      <c r="D1146" s="10" t="str" cm="1">
        <f t="array" ref="D1146">IF(AND(A1146="2021-01", ISNA(MATCH(B1146, _xlfn._xlws.FILTER(B:B, A:A="2021-02"), 0))), "Left", "Ativo")</f>
        <v>Left</v>
      </c>
      <c r="E1146" s="10" t="str" cm="1">
        <f t="array" ref="E1146">IF(AND(A1146="2021-02", ISNA(MATCH(B1146, _xlfn._xlws.FILTER(B:B, A:A="2021-03"), 0))), "Left", "Ativo")</f>
        <v>Ativo</v>
      </c>
      <c r="F1146" s="12" t="str" cm="1">
        <f t="array" ref="F1146">IF(AND(A1146="2021-03", ISNA(MATCH(B1146, _xlfn._xlws.FILTER(B:B, A:A="2021-04"), 0))), "Left", "Ativo")</f>
        <v>Ativo</v>
      </c>
    </row>
    <row r="1147" spans="1:6" x14ac:dyDescent="0.25">
      <c r="A1147" t="s">
        <v>1529</v>
      </c>
      <c r="B1147" t="s">
        <v>956</v>
      </c>
      <c r="C1147" s="10" t="str" cm="1">
        <f t="array" ref="C1147">IF(AND(A1147="2020-12", ISNA(MATCH(B1147, _xlfn._xlws.FILTER(B:B, A:A="2021-01"), 0))), "Left", "Ativo")</f>
        <v>Ativo</v>
      </c>
      <c r="D1147" s="10" t="str" cm="1">
        <f t="array" ref="D1147">IF(AND(A1147="2021-01", ISNA(MATCH(B1147, _xlfn._xlws.FILTER(B:B, A:A="2021-02"), 0))), "Left", "Ativo")</f>
        <v>Left</v>
      </c>
      <c r="E1147" s="10" t="str" cm="1">
        <f t="array" ref="E1147">IF(AND(A1147="2021-02", ISNA(MATCH(B1147, _xlfn._xlws.FILTER(B:B, A:A="2021-03"), 0))), "Left", "Ativo")</f>
        <v>Ativo</v>
      </c>
      <c r="F1147" s="12" t="str" cm="1">
        <f t="array" ref="F1147">IF(AND(A1147="2021-03", ISNA(MATCH(B1147, _xlfn._xlws.FILTER(B:B, A:A="2021-04"), 0))), "Left", "Ativo")</f>
        <v>Ativo</v>
      </c>
    </row>
    <row r="1148" spans="1:6" x14ac:dyDescent="0.25">
      <c r="A1148" t="s">
        <v>1529</v>
      </c>
      <c r="B1148" t="s">
        <v>957</v>
      </c>
      <c r="C1148" s="10" t="str" cm="1">
        <f t="array" ref="C1148">IF(AND(A1148="2020-12", ISNA(MATCH(B1148, _xlfn._xlws.FILTER(B:B, A:A="2021-01"), 0))), "Left", "Ativo")</f>
        <v>Ativo</v>
      </c>
      <c r="D1148" s="10" t="str" cm="1">
        <f t="array" ref="D1148">IF(AND(A1148="2021-01", ISNA(MATCH(B1148, _xlfn._xlws.FILTER(B:B, A:A="2021-02"), 0))), "Left", "Ativo")</f>
        <v>Left</v>
      </c>
      <c r="E1148" s="10" t="str" cm="1">
        <f t="array" ref="E1148">IF(AND(A1148="2021-02", ISNA(MATCH(B1148, _xlfn._xlws.FILTER(B:B, A:A="2021-03"), 0))), "Left", "Ativo")</f>
        <v>Ativo</v>
      </c>
      <c r="F1148" s="12" t="str" cm="1">
        <f t="array" ref="F1148">IF(AND(A1148="2021-03", ISNA(MATCH(B1148, _xlfn._xlws.FILTER(B:B, A:A="2021-04"), 0))), "Left", "Ativo")</f>
        <v>Ativo</v>
      </c>
    </row>
    <row r="1149" spans="1:6" x14ac:dyDescent="0.25">
      <c r="A1149" t="s">
        <v>1529</v>
      </c>
      <c r="B1149" t="s">
        <v>958</v>
      </c>
      <c r="C1149" s="10" t="str" cm="1">
        <f t="array" ref="C1149">IF(AND(A1149="2020-12", ISNA(MATCH(B1149, _xlfn._xlws.FILTER(B:B, A:A="2021-01"), 0))), "Left", "Ativo")</f>
        <v>Ativo</v>
      </c>
      <c r="D1149" s="10" t="str" cm="1">
        <f t="array" ref="D1149">IF(AND(A1149="2021-01", ISNA(MATCH(B1149, _xlfn._xlws.FILTER(B:B, A:A="2021-02"), 0))), "Left", "Ativo")</f>
        <v>Left</v>
      </c>
      <c r="E1149" s="10" t="str" cm="1">
        <f t="array" ref="E1149">IF(AND(A1149="2021-02", ISNA(MATCH(B1149, _xlfn._xlws.FILTER(B:B, A:A="2021-03"), 0))), "Left", "Ativo")</f>
        <v>Ativo</v>
      </c>
      <c r="F1149" s="12" t="str" cm="1">
        <f t="array" ref="F1149">IF(AND(A1149="2021-03", ISNA(MATCH(B1149, _xlfn._xlws.FILTER(B:B, A:A="2021-04"), 0))), "Left", "Ativo")</f>
        <v>Ativo</v>
      </c>
    </row>
    <row r="1150" spans="1:6" x14ac:dyDescent="0.25">
      <c r="A1150" t="s">
        <v>1529</v>
      </c>
      <c r="B1150" t="s">
        <v>199</v>
      </c>
      <c r="C1150" s="10" t="str" cm="1">
        <f t="array" ref="C1150">IF(AND(A1150="2020-12", ISNA(MATCH(B1150, _xlfn._xlws.FILTER(B:B, A:A="2021-01"), 0))), "Left", "Ativo")</f>
        <v>Ativo</v>
      </c>
      <c r="D1150" s="10" t="str" cm="1">
        <f t="array" ref="D1150">IF(AND(A1150="2021-01", ISNA(MATCH(B1150, _xlfn._xlws.FILTER(B:B, A:A="2021-02"), 0))), "Left", "Ativo")</f>
        <v>Ativo</v>
      </c>
      <c r="E1150" s="10" t="str" cm="1">
        <f t="array" ref="E1150">IF(AND(A1150="2021-02", ISNA(MATCH(B1150, _xlfn._xlws.FILTER(B:B, A:A="2021-03"), 0))), "Left", "Ativo")</f>
        <v>Ativo</v>
      </c>
      <c r="F1150" s="12" t="str" cm="1">
        <f t="array" ref="F1150">IF(AND(A1150="2021-03", ISNA(MATCH(B1150, _xlfn._xlws.FILTER(B:B, A:A="2021-04"), 0))), "Left", "Ativo")</f>
        <v>Ativo</v>
      </c>
    </row>
    <row r="1151" spans="1:6" x14ac:dyDescent="0.25">
      <c r="A1151" t="s">
        <v>1529</v>
      </c>
      <c r="B1151" t="s">
        <v>200</v>
      </c>
      <c r="C1151" s="10" t="str" cm="1">
        <f t="array" ref="C1151">IF(AND(A1151="2020-12", ISNA(MATCH(B1151, _xlfn._xlws.FILTER(B:B, A:A="2021-01"), 0))), "Left", "Ativo")</f>
        <v>Ativo</v>
      </c>
      <c r="D1151" s="10" t="str" cm="1">
        <f t="array" ref="D1151">IF(AND(A1151="2021-01", ISNA(MATCH(B1151, _xlfn._xlws.FILTER(B:B, A:A="2021-02"), 0))), "Left", "Ativo")</f>
        <v>Ativo</v>
      </c>
      <c r="E1151" s="10" t="str" cm="1">
        <f t="array" ref="E1151">IF(AND(A1151="2021-02", ISNA(MATCH(B1151, _xlfn._xlws.FILTER(B:B, A:A="2021-03"), 0))), "Left", "Ativo")</f>
        <v>Ativo</v>
      </c>
      <c r="F1151" s="12" t="str" cm="1">
        <f t="array" ref="F1151">IF(AND(A1151="2021-03", ISNA(MATCH(B1151, _xlfn._xlws.FILTER(B:B, A:A="2021-04"), 0))), "Left", "Ativo")</f>
        <v>Ativo</v>
      </c>
    </row>
    <row r="1152" spans="1:6" x14ac:dyDescent="0.25">
      <c r="A1152" t="s">
        <v>1529</v>
      </c>
      <c r="B1152" t="s">
        <v>201</v>
      </c>
      <c r="C1152" s="10" t="str" cm="1">
        <f t="array" ref="C1152">IF(AND(A1152="2020-12", ISNA(MATCH(B1152, _xlfn._xlws.FILTER(B:B, A:A="2021-01"), 0))), "Left", "Ativo")</f>
        <v>Ativo</v>
      </c>
      <c r="D1152" s="10" t="str" cm="1">
        <f t="array" ref="D1152">IF(AND(A1152="2021-01", ISNA(MATCH(B1152, _xlfn._xlws.FILTER(B:B, A:A="2021-02"), 0))), "Left", "Ativo")</f>
        <v>Ativo</v>
      </c>
      <c r="E1152" s="10" t="str" cm="1">
        <f t="array" ref="E1152">IF(AND(A1152="2021-02", ISNA(MATCH(B1152, _xlfn._xlws.FILTER(B:B, A:A="2021-03"), 0))), "Left", "Ativo")</f>
        <v>Ativo</v>
      </c>
      <c r="F1152" s="12" t="str" cm="1">
        <f t="array" ref="F1152">IF(AND(A1152="2021-03", ISNA(MATCH(B1152, _xlfn._xlws.FILTER(B:B, A:A="2021-04"), 0))), "Left", "Ativo")</f>
        <v>Ativo</v>
      </c>
    </row>
    <row r="1153" spans="1:6" x14ac:dyDescent="0.25">
      <c r="A1153" t="s">
        <v>1529</v>
      </c>
      <c r="B1153" t="s">
        <v>202</v>
      </c>
      <c r="C1153" s="10" t="str" cm="1">
        <f t="array" ref="C1153">IF(AND(A1153="2020-12", ISNA(MATCH(B1153, _xlfn._xlws.FILTER(B:B, A:A="2021-01"), 0))), "Left", "Ativo")</f>
        <v>Ativo</v>
      </c>
      <c r="D1153" s="10" t="str" cm="1">
        <f t="array" ref="D1153">IF(AND(A1153="2021-01", ISNA(MATCH(B1153, _xlfn._xlws.FILTER(B:B, A:A="2021-02"), 0))), "Left", "Ativo")</f>
        <v>Ativo</v>
      </c>
      <c r="E1153" s="10" t="str" cm="1">
        <f t="array" ref="E1153">IF(AND(A1153="2021-02", ISNA(MATCH(B1153, _xlfn._xlws.FILTER(B:B, A:A="2021-03"), 0))), "Left", "Ativo")</f>
        <v>Ativo</v>
      </c>
      <c r="F1153" s="12" t="str" cm="1">
        <f t="array" ref="F1153">IF(AND(A1153="2021-03", ISNA(MATCH(B1153, _xlfn._xlws.FILTER(B:B, A:A="2021-04"), 0))), "Left", "Ativo")</f>
        <v>Ativo</v>
      </c>
    </row>
    <row r="1154" spans="1:6" x14ac:dyDescent="0.25">
      <c r="A1154" t="s">
        <v>1529</v>
      </c>
      <c r="B1154" t="s">
        <v>203</v>
      </c>
      <c r="C1154" s="10" t="str" cm="1">
        <f t="array" ref="C1154">IF(AND(A1154="2020-12", ISNA(MATCH(B1154, _xlfn._xlws.FILTER(B:B, A:A="2021-01"), 0))), "Left", "Ativo")</f>
        <v>Ativo</v>
      </c>
      <c r="D1154" s="10" t="str" cm="1">
        <f t="array" ref="D1154">IF(AND(A1154="2021-01", ISNA(MATCH(B1154, _xlfn._xlws.FILTER(B:B, A:A="2021-02"), 0))), "Left", "Ativo")</f>
        <v>Ativo</v>
      </c>
      <c r="E1154" s="10" t="str" cm="1">
        <f t="array" ref="E1154">IF(AND(A1154="2021-02", ISNA(MATCH(B1154, _xlfn._xlws.FILTER(B:B, A:A="2021-03"), 0))), "Left", "Ativo")</f>
        <v>Ativo</v>
      </c>
      <c r="F1154" s="12" t="str" cm="1">
        <f t="array" ref="F1154">IF(AND(A1154="2021-03", ISNA(MATCH(B1154, _xlfn._xlws.FILTER(B:B, A:A="2021-04"), 0))), "Left", "Ativo")</f>
        <v>Ativo</v>
      </c>
    </row>
    <row r="1155" spans="1:6" x14ac:dyDescent="0.25">
      <c r="A1155" t="s">
        <v>1529</v>
      </c>
      <c r="B1155" t="s">
        <v>204</v>
      </c>
      <c r="C1155" s="10" t="str" cm="1">
        <f t="array" ref="C1155">IF(AND(A1155="2020-12", ISNA(MATCH(B1155, _xlfn._xlws.FILTER(B:B, A:A="2021-01"), 0))), "Left", "Ativo")</f>
        <v>Ativo</v>
      </c>
      <c r="D1155" s="10" t="str" cm="1">
        <f t="array" ref="D1155">IF(AND(A1155="2021-01", ISNA(MATCH(B1155, _xlfn._xlws.FILTER(B:B, A:A="2021-02"), 0))), "Left", "Ativo")</f>
        <v>Ativo</v>
      </c>
      <c r="E1155" s="10" t="str" cm="1">
        <f t="array" ref="E1155">IF(AND(A1155="2021-02", ISNA(MATCH(B1155, _xlfn._xlws.FILTER(B:B, A:A="2021-03"), 0))), "Left", "Ativo")</f>
        <v>Ativo</v>
      </c>
      <c r="F1155" s="12" t="str" cm="1">
        <f t="array" ref="F1155">IF(AND(A1155="2021-03", ISNA(MATCH(B1155, _xlfn._xlws.FILTER(B:B, A:A="2021-04"), 0))), "Left", "Ativo")</f>
        <v>Ativo</v>
      </c>
    </row>
    <row r="1156" spans="1:6" x14ac:dyDescent="0.25">
      <c r="A1156" t="s">
        <v>1529</v>
      </c>
      <c r="B1156" t="s">
        <v>205</v>
      </c>
      <c r="C1156" s="10" t="str" cm="1">
        <f t="array" ref="C1156">IF(AND(A1156="2020-12", ISNA(MATCH(B1156, _xlfn._xlws.FILTER(B:B, A:A="2021-01"), 0))), "Left", "Ativo")</f>
        <v>Ativo</v>
      </c>
      <c r="D1156" s="10" t="str" cm="1">
        <f t="array" ref="D1156">IF(AND(A1156="2021-01", ISNA(MATCH(B1156, _xlfn._xlws.FILTER(B:B, A:A="2021-02"), 0))), "Left", "Ativo")</f>
        <v>Ativo</v>
      </c>
      <c r="E1156" s="10" t="str" cm="1">
        <f t="array" ref="E1156">IF(AND(A1156="2021-02", ISNA(MATCH(B1156, _xlfn._xlws.FILTER(B:B, A:A="2021-03"), 0))), "Left", "Ativo")</f>
        <v>Ativo</v>
      </c>
      <c r="F1156" s="12" t="str" cm="1">
        <f t="array" ref="F1156">IF(AND(A1156="2021-03", ISNA(MATCH(B1156, _xlfn._xlws.FILTER(B:B, A:A="2021-04"), 0))), "Left", "Ativo")</f>
        <v>Ativo</v>
      </c>
    </row>
    <row r="1157" spans="1:6" x14ac:dyDescent="0.25">
      <c r="A1157" t="s">
        <v>1529</v>
      </c>
      <c r="B1157" t="s">
        <v>206</v>
      </c>
      <c r="C1157" s="10" t="str" cm="1">
        <f t="array" ref="C1157">IF(AND(A1157="2020-12", ISNA(MATCH(B1157, _xlfn._xlws.FILTER(B:B, A:A="2021-01"), 0))), "Left", "Ativo")</f>
        <v>Ativo</v>
      </c>
      <c r="D1157" s="10" t="str" cm="1">
        <f t="array" ref="D1157">IF(AND(A1157="2021-01", ISNA(MATCH(B1157, _xlfn._xlws.FILTER(B:B, A:A="2021-02"), 0))), "Left", "Ativo")</f>
        <v>Ativo</v>
      </c>
      <c r="E1157" s="10" t="str" cm="1">
        <f t="array" ref="E1157">IF(AND(A1157="2021-02", ISNA(MATCH(B1157, _xlfn._xlws.FILTER(B:B, A:A="2021-03"), 0))), "Left", "Ativo")</f>
        <v>Ativo</v>
      </c>
      <c r="F1157" s="12" t="str" cm="1">
        <f t="array" ref="F1157">IF(AND(A1157="2021-03", ISNA(MATCH(B1157, _xlfn._xlws.FILTER(B:B, A:A="2021-04"), 0))), "Left", "Ativo")</f>
        <v>Ativo</v>
      </c>
    </row>
    <row r="1158" spans="1:6" x14ac:dyDescent="0.25">
      <c r="A1158" t="s">
        <v>1529</v>
      </c>
      <c r="B1158" t="s">
        <v>207</v>
      </c>
      <c r="C1158" s="10" t="str" cm="1">
        <f t="array" ref="C1158">IF(AND(A1158="2020-12", ISNA(MATCH(B1158, _xlfn._xlws.FILTER(B:B, A:A="2021-01"), 0))), "Left", "Ativo")</f>
        <v>Ativo</v>
      </c>
      <c r="D1158" s="10" t="str" cm="1">
        <f t="array" ref="D1158">IF(AND(A1158="2021-01", ISNA(MATCH(B1158, _xlfn._xlws.FILTER(B:B, A:A="2021-02"), 0))), "Left", "Ativo")</f>
        <v>Ativo</v>
      </c>
      <c r="E1158" s="10" t="str" cm="1">
        <f t="array" ref="E1158">IF(AND(A1158="2021-02", ISNA(MATCH(B1158, _xlfn._xlws.FILTER(B:B, A:A="2021-03"), 0))), "Left", "Ativo")</f>
        <v>Ativo</v>
      </c>
      <c r="F1158" s="12" t="str" cm="1">
        <f t="array" ref="F1158">IF(AND(A1158="2021-03", ISNA(MATCH(B1158, _xlfn._xlws.FILTER(B:B, A:A="2021-04"), 0))), "Left", "Ativo")</f>
        <v>Ativo</v>
      </c>
    </row>
    <row r="1159" spans="1:6" x14ac:dyDescent="0.25">
      <c r="A1159" t="s">
        <v>1529</v>
      </c>
      <c r="B1159" t="s">
        <v>208</v>
      </c>
      <c r="C1159" s="10" t="str" cm="1">
        <f t="array" ref="C1159">IF(AND(A1159="2020-12", ISNA(MATCH(B1159, _xlfn._xlws.FILTER(B:B, A:A="2021-01"), 0))), "Left", "Ativo")</f>
        <v>Ativo</v>
      </c>
      <c r="D1159" s="10" t="str" cm="1">
        <f t="array" ref="D1159">IF(AND(A1159="2021-01", ISNA(MATCH(B1159, _xlfn._xlws.FILTER(B:B, A:A="2021-02"), 0))), "Left", "Ativo")</f>
        <v>Ativo</v>
      </c>
      <c r="E1159" s="10" t="str" cm="1">
        <f t="array" ref="E1159">IF(AND(A1159="2021-02", ISNA(MATCH(B1159, _xlfn._xlws.FILTER(B:B, A:A="2021-03"), 0))), "Left", "Ativo")</f>
        <v>Ativo</v>
      </c>
      <c r="F1159" s="12" t="str" cm="1">
        <f t="array" ref="F1159">IF(AND(A1159="2021-03", ISNA(MATCH(B1159, _xlfn._xlws.FILTER(B:B, A:A="2021-04"), 0))), "Left", "Ativo")</f>
        <v>Ativo</v>
      </c>
    </row>
    <row r="1160" spans="1:6" x14ac:dyDescent="0.25">
      <c r="A1160" t="s">
        <v>1529</v>
      </c>
      <c r="B1160" t="s">
        <v>209</v>
      </c>
      <c r="C1160" s="10" t="str" cm="1">
        <f t="array" ref="C1160">IF(AND(A1160="2020-12", ISNA(MATCH(B1160, _xlfn._xlws.FILTER(B:B, A:A="2021-01"), 0))), "Left", "Ativo")</f>
        <v>Ativo</v>
      </c>
      <c r="D1160" s="10" t="str" cm="1">
        <f t="array" ref="D1160">IF(AND(A1160="2021-01", ISNA(MATCH(B1160, _xlfn._xlws.FILTER(B:B, A:A="2021-02"), 0))), "Left", "Ativo")</f>
        <v>Ativo</v>
      </c>
      <c r="E1160" s="10" t="str" cm="1">
        <f t="array" ref="E1160">IF(AND(A1160="2021-02", ISNA(MATCH(B1160, _xlfn._xlws.FILTER(B:B, A:A="2021-03"), 0))), "Left", "Ativo")</f>
        <v>Ativo</v>
      </c>
      <c r="F1160" s="12" t="str" cm="1">
        <f t="array" ref="F1160">IF(AND(A1160="2021-03", ISNA(MATCH(B1160, _xlfn._xlws.FILTER(B:B, A:A="2021-04"), 0))), "Left", "Ativo")</f>
        <v>Ativo</v>
      </c>
    </row>
    <row r="1161" spans="1:6" x14ac:dyDescent="0.25">
      <c r="A1161" t="s">
        <v>1529</v>
      </c>
      <c r="B1161" t="s">
        <v>210</v>
      </c>
      <c r="C1161" s="10" t="str" cm="1">
        <f t="array" ref="C1161">IF(AND(A1161="2020-12", ISNA(MATCH(B1161, _xlfn._xlws.FILTER(B:B, A:A="2021-01"), 0))), "Left", "Ativo")</f>
        <v>Ativo</v>
      </c>
      <c r="D1161" s="10" t="str" cm="1">
        <f t="array" ref="D1161">IF(AND(A1161="2021-01", ISNA(MATCH(B1161, _xlfn._xlws.FILTER(B:B, A:A="2021-02"), 0))), "Left", "Ativo")</f>
        <v>Ativo</v>
      </c>
      <c r="E1161" s="10" t="str" cm="1">
        <f t="array" ref="E1161">IF(AND(A1161="2021-02", ISNA(MATCH(B1161, _xlfn._xlws.FILTER(B:B, A:A="2021-03"), 0))), "Left", "Ativo")</f>
        <v>Ativo</v>
      </c>
      <c r="F1161" s="12" t="str" cm="1">
        <f t="array" ref="F1161">IF(AND(A1161="2021-03", ISNA(MATCH(B1161, _xlfn._xlws.FILTER(B:B, A:A="2021-04"), 0))), "Left", "Ativo")</f>
        <v>Ativo</v>
      </c>
    </row>
    <row r="1162" spans="1:6" x14ac:dyDescent="0.25">
      <c r="A1162" t="s">
        <v>1529</v>
      </c>
      <c r="B1162" t="s">
        <v>211</v>
      </c>
      <c r="C1162" s="10" t="str" cm="1">
        <f t="array" ref="C1162">IF(AND(A1162="2020-12", ISNA(MATCH(B1162, _xlfn._xlws.FILTER(B:B, A:A="2021-01"), 0))), "Left", "Ativo")</f>
        <v>Ativo</v>
      </c>
      <c r="D1162" s="10" t="str" cm="1">
        <f t="array" ref="D1162">IF(AND(A1162="2021-01", ISNA(MATCH(B1162, _xlfn._xlws.FILTER(B:B, A:A="2021-02"), 0))), "Left", "Ativo")</f>
        <v>Ativo</v>
      </c>
      <c r="E1162" s="10" t="str" cm="1">
        <f t="array" ref="E1162">IF(AND(A1162="2021-02", ISNA(MATCH(B1162, _xlfn._xlws.FILTER(B:B, A:A="2021-03"), 0))), "Left", "Ativo")</f>
        <v>Ativo</v>
      </c>
      <c r="F1162" s="12" t="str" cm="1">
        <f t="array" ref="F1162">IF(AND(A1162="2021-03", ISNA(MATCH(B1162, _xlfn._xlws.FILTER(B:B, A:A="2021-04"), 0))), "Left", "Ativo")</f>
        <v>Ativo</v>
      </c>
    </row>
    <row r="1163" spans="1:6" x14ac:dyDescent="0.25">
      <c r="A1163" t="s">
        <v>1529</v>
      </c>
      <c r="B1163" t="s">
        <v>212</v>
      </c>
      <c r="C1163" s="10" t="str" cm="1">
        <f t="array" ref="C1163">IF(AND(A1163="2020-12", ISNA(MATCH(B1163, _xlfn._xlws.FILTER(B:B, A:A="2021-01"), 0))), "Left", "Ativo")</f>
        <v>Ativo</v>
      </c>
      <c r="D1163" s="10" t="str" cm="1">
        <f t="array" ref="D1163">IF(AND(A1163="2021-01", ISNA(MATCH(B1163, _xlfn._xlws.FILTER(B:B, A:A="2021-02"), 0))), "Left", "Ativo")</f>
        <v>Ativo</v>
      </c>
      <c r="E1163" s="10" t="str" cm="1">
        <f t="array" ref="E1163">IF(AND(A1163="2021-02", ISNA(MATCH(B1163, _xlfn._xlws.FILTER(B:B, A:A="2021-03"), 0))), "Left", "Ativo")</f>
        <v>Ativo</v>
      </c>
      <c r="F1163" s="12" t="str" cm="1">
        <f t="array" ref="F1163">IF(AND(A1163="2021-03", ISNA(MATCH(B1163, _xlfn._xlws.FILTER(B:B, A:A="2021-04"), 0))), "Left", "Ativo")</f>
        <v>Ativo</v>
      </c>
    </row>
    <row r="1164" spans="1:6" x14ac:dyDescent="0.25">
      <c r="A1164" t="s">
        <v>1529</v>
      </c>
      <c r="B1164" t="s">
        <v>213</v>
      </c>
      <c r="C1164" s="10" t="str" cm="1">
        <f t="array" ref="C1164">IF(AND(A1164="2020-12", ISNA(MATCH(B1164, _xlfn._xlws.FILTER(B:B, A:A="2021-01"), 0))), "Left", "Ativo")</f>
        <v>Ativo</v>
      </c>
      <c r="D1164" s="10" t="str" cm="1">
        <f t="array" ref="D1164">IF(AND(A1164="2021-01", ISNA(MATCH(B1164, _xlfn._xlws.FILTER(B:B, A:A="2021-02"), 0))), "Left", "Ativo")</f>
        <v>Ativo</v>
      </c>
      <c r="E1164" s="10" t="str" cm="1">
        <f t="array" ref="E1164">IF(AND(A1164="2021-02", ISNA(MATCH(B1164, _xlfn._xlws.FILTER(B:B, A:A="2021-03"), 0))), "Left", "Ativo")</f>
        <v>Ativo</v>
      </c>
      <c r="F1164" s="12" t="str" cm="1">
        <f t="array" ref="F1164">IF(AND(A1164="2021-03", ISNA(MATCH(B1164, _xlfn._xlws.FILTER(B:B, A:A="2021-04"), 0))), "Left", "Ativo")</f>
        <v>Ativo</v>
      </c>
    </row>
    <row r="1165" spans="1:6" x14ac:dyDescent="0.25">
      <c r="A1165" t="s">
        <v>1529</v>
      </c>
      <c r="B1165" t="s">
        <v>214</v>
      </c>
      <c r="C1165" s="10" t="str" cm="1">
        <f t="array" ref="C1165">IF(AND(A1165="2020-12", ISNA(MATCH(B1165, _xlfn._xlws.FILTER(B:B, A:A="2021-01"), 0))), "Left", "Ativo")</f>
        <v>Ativo</v>
      </c>
      <c r="D1165" s="10" t="str" cm="1">
        <f t="array" ref="D1165">IF(AND(A1165="2021-01", ISNA(MATCH(B1165, _xlfn._xlws.FILTER(B:B, A:A="2021-02"), 0))), "Left", "Ativo")</f>
        <v>Ativo</v>
      </c>
      <c r="E1165" s="10" t="str" cm="1">
        <f t="array" ref="E1165">IF(AND(A1165="2021-02", ISNA(MATCH(B1165, _xlfn._xlws.FILTER(B:B, A:A="2021-03"), 0))), "Left", "Ativo")</f>
        <v>Ativo</v>
      </c>
      <c r="F1165" s="12" t="str" cm="1">
        <f t="array" ref="F1165">IF(AND(A1165="2021-03", ISNA(MATCH(B1165, _xlfn._xlws.FILTER(B:B, A:A="2021-04"), 0))), "Left", "Ativo")</f>
        <v>Ativo</v>
      </c>
    </row>
    <row r="1166" spans="1:6" x14ac:dyDescent="0.25">
      <c r="A1166" t="s">
        <v>1529</v>
      </c>
      <c r="B1166" t="s">
        <v>215</v>
      </c>
      <c r="C1166" s="10" t="str" cm="1">
        <f t="array" ref="C1166">IF(AND(A1166="2020-12", ISNA(MATCH(B1166, _xlfn._xlws.FILTER(B:B, A:A="2021-01"), 0))), "Left", "Ativo")</f>
        <v>Ativo</v>
      </c>
      <c r="D1166" s="10" t="str" cm="1">
        <f t="array" ref="D1166">IF(AND(A1166="2021-01", ISNA(MATCH(B1166, _xlfn._xlws.FILTER(B:B, A:A="2021-02"), 0))), "Left", "Ativo")</f>
        <v>Ativo</v>
      </c>
      <c r="E1166" s="10" t="str" cm="1">
        <f t="array" ref="E1166">IF(AND(A1166="2021-02", ISNA(MATCH(B1166, _xlfn._xlws.FILTER(B:B, A:A="2021-03"), 0))), "Left", "Ativo")</f>
        <v>Ativo</v>
      </c>
      <c r="F1166" s="12" t="str" cm="1">
        <f t="array" ref="F1166">IF(AND(A1166="2021-03", ISNA(MATCH(B1166, _xlfn._xlws.FILTER(B:B, A:A="2021-04"), 0))), "Left", "Ativo")</f>
        <v>Ativo</v>
      </c>
    </row>
    <row r="1167" spans="1:6" x14ac:dyDescent="0.25">
      <c r="A1167" t="s">
        <v>1529</v>
      </c>
      <c r="B1167" t="s">
        <v>216</v>
      </c>
      <c r="C1167" s="10" t="str" cm="1">
        <f t="array" ref="C1167">IF(AND(A1167="2020-12", ISNA(MATCH(B1167, _xlfn._xlws.FILTER(B:B, A:A="2021-01"), 0))), "Left", "Ativo")</f>
        <v>Ativo</v>
      </c>
      <c r="D1167" s="10" t="str" cm="1">
        <f t="array" ref="D1167">IF(AND(A1167="2021-01", ISNA(MATCH(B1167, _xlfn._xlws.FILTER(B:B, A:A="2021-02"), 0))), "Left", "Ativo")</f>
        <v>Ativo</v>
      </c>
      <c r="E1167" s="10" t="str" cm="1">
        <f t="array" ref="E1167">IF(AND(A1167="2021-02", ISNA(MATCH(B1167, _xlfn._xlws.FILTER(B:B, A:A="2021-03"), 0))), "Left", "Ativo")</f>
        <v>Ativo</v>
      </c>
      <c r="F1167" s="12" t="str" cm="1">
        <f t="array" ref="F1167">IF(AND(A1167="2021-03", ISNA(MATCH(B1167, _xlfn._xlws.FILTER(B:B, A:A="2021-04"), 0))), "Left", "Ativo")</f>
        <v>Ativo</v>
      </c>
    </row>
    <row r="1168" spans="1:6" x14ac:dyDescent="0.25">
      <c r="A1168" t="s">
        <v>1529</v>
      </c>
      <c r="B1168" t="s">
        <v>217</v>
      </c>
      <c r="C1168" s="10" t="str" cm="1">
        <f t="array" ref="C1168">IF(AND(A1168="2020-12", ISNA(MATCH(B1168, _xlfn._xlws.FILTER(B:B, A:A="2021-01"), 0))), "Left", "Ativo")</f>
        <v>Ativo</v>
      </c>
      <c r="D1168" s="10" t="str" cm="1">
        <f t="array" ref="D1168">IF(AND(A1168="2021-01", ISNA(MATCH(B1168, _xlfn._xlws.FILTER(B:B, A:A="2021-02"), 0))), "Left", "Ativo")</f>
        <v>Ativo</v>
      </c>
      <c r="E1168" s="10" t="str" cm="1">
        <f t="array" ref="E1168">IF(AND(A1168="2021-02", ISNA(MATCH(B1168, _xlfn._xlws.FILTER(B:B, A:A="2021-03"), 0))), "Left", "Ativo")</f>
        <v>Ativo</v>
      </c>
      <c r="F1168" s="12" t="str" cm="1">
        <f t="array" ref="F1168">IF(AND(A1168="2021-03", ISNA(MATCH(B1168, _xlfn._xlws.FILTER(B:B, A:A="2021-04"), 0))), "Left", "Ativo")</f>
        <v>Ativo</v>
      </c>
    </row>
    <row r="1169" spans="1:6" x14ac:dyDescent="0.25">
      <c r="A1169" t="s">
        <v>1529</v>
      </c>
      <c r="B1169" t="s">
        <v>218</v>
      </c>
      <c r="C1169" s="10" t="str" cm="1">
        <f t="array" ref="C1169">IF(AND(A1169="2020-12", ISNA(MATCH(B1169, _xlfn._xlws.FILTER(B:B, A:A="2021-01"), 0))), "Left", "Ativo")</f>
        <v>Ativo</v>
      </c>
      <c r="D1169" s="10" t="str" cm="1">
        <f t="array" ref="D1169">IF(AND(A1169="2021-01", ISNA(MATCH(B1169, _xlfn._xlws.FILTER(B:B, A:A="2021-02"), 0))), "Left", "Ativo")</f>
        <v>Ativo</v>
      </c>
      <c r="E1169" s="10" t="str" cm="1">
        <f t="array" ref="E1169">IF(AND(A1169="2021-02", ISNA(MATCH(B1169, _xlfn._xlws.FILTER(B:B, A:A="2021-03"), 0))), "Left", "Ativo")</f>
        <v>Ativo</v>
      </c>
      <c r="F1169" s="12" t="str" cm="1">
        <f t="array" ref="F1169">IF(AND(A1169="2021-03", ISNA(MATCH(B1169, _xlfn._xlws.FILTER(B:B, A:A="2021-04"), 0))), "Left", "Ativo")</f>
        <v>Ativo</v>
      </c>
    </row>
    <row r="1170" spans="1:6" x14ac:dyDescent="0.25">
      <c r="A1170" t="s">
        <v>1529</v>
      </c>
      <c r="B1170" t="s">
        <v>219</v>
      </c>
      <c r="C1170" s="10" t="str" cm="1">
        <f t="array" ref="C1170">IF(AND(A1170="2020-12", ISNA(MATCH(B1170, _xlfn._xlws.FILTER(B:B, A:A="2021-01"), 0))), "Left", "Ativo")</f>
        <v>Ativo</v>
      </c>
      <c r="D1170" s="10" t="str" cm="1">
        <f t="array" ref="D1170">IF(AND(A1170="2021-01", ISNA(MATCH(B1170, _xlfn._xlws.FILTER(B:B, A:A="2021-02"), 0))), "Left", "Ativo")</f>
        <v>Ativo</v>
      </c>
      <c r="E1170" s="10" t="str" cm="1">
        <f t="array" ref="E1170">IF(AND(A1170="2021-02", ISNA(MATCH(B1170, _xlfn._xlws.FILTER(B:B, A:A="2021-03"), 0))), "Left", "Ativo")</f>
        <v>Ativo</v>
      </c>
      <c r="F1170" s="12" t="str" cm="1">
        <f t="array" ref="F1170">IF(AND(A1170="2021-03", ISNA(MATCH(B1170, _xlfn._xlws.FILTER(B:B, A:A="2021-04"), 0))), "Left", "Ativo")</f>
        <v>Ativo</v>
      </c>
    </row>
    <row r="1171" spans="1:6" x14ac:dyDescent="0.25">
      <c r="A1171" t="s">
        <v>1529</v>
      </c>
      <c r="B1171" t="s">
        <v>220</v>
      </c>
      <c r="C1171" s="10" t="str" cm="1">
        <f t="array" ref="C1171">IF(AND(A1171="2020-12", ISNA(MATCH(B1171, _xlfn._xlws.FILTER(B:B, A:A="2021-01"), 0))), "Left", "Ativo")</f>
        <v>Ativo</v>
      </c>
      <c r="D1171" s="10" t="str" cm="1">
        <f t="array" ref="D1171">IF(AND(A1171="2021-01", ISNA(MATCH(B1171, _xlfn._xlws.FILTER(B:B, A:A="2021-02"), 0))), "Left", "Ativo")</f>
        <v>Ativo</v>
      </c>
      <c r="E1171" s="10" t="str" cm="1">
        <f t="array" ref="E1171">IF(AND(A1171="2021-02", ISNA(MATCH(B1171, _xlfn._xlws.FILTER(B:B, A:A="2021-03"), 0))), "Left", "Ativo")</f>
        <v>Ativo</v>
      </c>
      <c r="F1171" s="12" t="str" cm="1">
        <f t="array" ref="F1171">IF(AND(A1171="2021-03", ISNA(MATCH(B1171, _xlfn._xlws.FILTER(B:B, A:A="2021-04"), 0))), "Left", "Ativo")</f>
        <v>Ativo</v>
      </c>
    </row>
    <row r="1172" spans="1:6" x14ac:dyDescent="0.25">
      <c r="A1172" t="s">
        <v>1529</v>
      </c>
      <c r="B1172" t="s">
        <v>221</v>
      </c>
      <c r="C1172" s="10" t="str" cm="1">
        <f t="array" ref="C1172">IF(AND(A1172="2020-12", ISNA(MATCH(B1172, _xlfn._xlws.FILTER(B:B, A:A="2021-01"), 0))), "Left", "Ativo")</f>
        <v>Ativo</v>
      </c>
      <c r="D1172" s="10" t="str" cm="1">
        <f t="array" ref="D1172">IF(AND(A1172="2021-01", ISNA(MATCH(B1172, _xlfn._xlws.FILTER(B:B, A:A="2021-02"), 0))), "Left", "Ativo")</f>
        <v>Ativo</v>
      </c>
      <c r="E1172" s="10" t="str" cm="1">
        <f t="array" ref="E1172">IF(AND(A1172="2021-02", ISNA(MATCH(B1172, _xlfn._xlws.FILTER(B:B, A:A="2021-03"), 0))), "Left", "Ativo")</f>
        <v>Ativo</v>
      </c>
      <c r="F1172" s="12" t="str" cm="1">
        <f t="array" ref="F1172">IF(AND(A1172="2021-03", ISNA(MATCH(B1172, _xlfn._xlws.FILTER(B:B, A:A="2021-04"), 0))), "Left", "Ativo")</f>
        <v>Ativo</v>
      </c>
    </row>
    <row r="1173" spans="1:6" x14ac:dyDescent="0.25">
      <c r="A1173" t="s">
        <v>1529</v>
      </c>
      <c r="B1173" t="s">
        <v>222</v>
      </c>
      <c r="C1173" s="10" t="str" cm="1">
        <f t="array" ref="C1173">IF(AND(A1173="2020-12", ISNA(MATCH(B1173, _xlfn._xlws.FILTER(B:B, A:A="2021-01"), 0))), "Left", "Ativo")</f>
        <v>Ativo</v>
      </c>
      <c r="D1173" s="10" t="str" cm="1">
        <f t="array" ref="D1173">IF(AND(A1173="2021-01", ISNA(MATCH(B1173, _xlfn._xlws.FILTER(B:B, A:A="2021-02"), 0))), "Left", "Ativo")</f>
        <v>Ativo</v>
      </c>
      <c r="E1173" s="10" t="str" cm="1">
        <f t="array" ref="E1173">IF(AND(A1173="2021-02", ISNA(MATCH(B1173, _xlfn._xlws.FILTER(B:B, A:A="2021-03"), 0))), "Left", "Ativo")</f>
        <v>Ativo</v>
      </c>
      <c r="F1173" s="12" t="str" cm="1">
        <f t="array" ref="F1173">IF(AND(A1173="2021-03", ISNA(MATCH(B1173, _xlfn._xlws.FILTER(B:B, A:A="2021-04"), 0))), "Left", "Ativo")</f>
        <v>Ativo</v>
      </c>
    </row>
    <row r="1174" spans="1:6" x14ac:dyDescent="0.25">
      <c r="A1174" t="s">
        <v>1529</v>
      </c>
      <c r="B1174" t="s">
        <v>223</v>
      </c>
      <c r="C1174" s="10" t="str" cm="1">
        <f t="array" ref="C1174">IF(AND(A1174="2020-12", ISNA(MATCH(B1174, _xlfn._xlws.FILTER(B:B, A:A="2021-01"), 0))), "Left", "Ativo")</f>
        <v>Ativo</v>
      </c>
      <c r="D1174" s="10" t="str" cm="1">
        <f t="array" ref="D1174">IF(AND(A1174="2021-01", ISNA(MATCH(B1174, _xlfn._xlws.FILTER(B:B, A:A="2021-02"), 0))), "Left", "Ativo")</f>
        <v>Ativo</v>
      </c>
      <c r="E1174" s="10" t="str" cm="1">
        <f t="array" ref="E1174">IF(AND(A1174="2021-02", ISNA(MATCH(B1174, _xlfn._xlws.FILTER(B:B, A:A="2021-03"), 0))), "Left", "Ativo")</f>
        <v>Ativo</v>
      </c>
      <c r="F1174" s="12" t="str" cm="1">
        <f t="array" ref="F1174">IF(AND(A1174="2021-03", ISNA(MATCH(B1174, _xlfn._xlws.FILTER(B:B, A:A="2021-04"), 0))), "Left", "Ativo")</f>
        <v>Ativo</v>
      </c>
    </row>
    <row r="1175" spans="1:6" x14ac:dyDescent="0.25">
      <c r="A1175" t="s">
        <v>1529</v>
      </c>
      <c r="B1175" t="s">
        <v>224</v>
      </c>
      <c r="C1175" s="10" t="str" cm="1">
        <f t="array" ref="C1175">IF(AND(A1175="2020-12", ISNA(MATCH(B1175, _xlfn._xlws.FILTER(B:B, A:A="2021-01"), 0))), "Left", "Ativo")</f>
        <v>Ativo</v>
      </c>
      <c r="D1175" s="10" t="str" cm="1">
        <f t="array" ref="D1175">IF(AND(A1175="2021-01", ISNA(MATCH(B1175, _xlfn._xlws.FILTER(B:B, A:A="2021-02"), 0))), "Left", "Ativo")</f>
        <v>Ativo</v>
      </c>
      <c r="E1175" s="10" t="str" cm="1">
        <f t="array" ref="E1175">IF(AND(A1175="2021-02", ISNA(MATCH(B1175, _xlfn._xlws.FILTER(B:B, A:A="2021-03"), 0))), "Left", "Ativo")</f>
        <v>Ativo</v>
      </c>
      <c r="F1175" s="12" t="str" cm="1">
        <f t="array" ref="F1175">IF(AND(A1175="2021-03", ISNA(MATCH(B1175, _xlfn._xlws.FILTER(B:B, A:A="2021-04"), 0))), "Left", "Ativo")</f>
        <v>Ativo</v>
      </c>
    </row>
    <row r="1176" spans="1:6" x14ac:dyDescent="0.25">
      <c r="A1176" t="s">
        <v>1529</v>
      </c>
      <c r="B1176" t="s">
        <v>225</v>
      </c>
      <c r="C1176" s="10" t="str" cm="1">
        <f t="array" ref="C1176">IF(AND(A1176="2020-12", ISNA(MATCH(B1176, _xlfn._xlws.FILTER(B:B, A:A="2021-01"), 0))), "Left", "Ativo")</f>
        <v>Ativo</v>
      </c>
      <c r="D1176" s="10" t="str" cm="1">
        <f t="array" ref="D1176">IF(AND(A1176="2021-01", ISNA(MATCH(B1176, _xlfn._xlws.FILTER(B:B, A:A="2021-02"), 0))), "Left", "Ativo")</f>
        <v>Ativo</v>
      </c>
      <c r="E1176" s="10" t="str" cm="1">
        <f t="array" ref="E1176">IF(AND(A1176="2021-02", ISNA(MATCH(B1176, _xlfn._xlws.FILTER(B:B, A:A="2021-03"), 0))), "Left", "Ativo")</f>
        <v>Ativo</v>
      </c>
      <c r="F1176" s="12" t="str" cm="1">
        <f t="array" ref="F1176">IF(AND(A1176="2021-03", ISNA(MATCH(B1176, _xlfn._xlws.FILTER(B:B, A:A="2021-04"), 0))), "Left", "Ativo")</f>
        <v>Ativo</v>
      </c>
    </row>
    <row r="1177" spans="1:6" x14ac:dyDescent="0.25">
      <c r="A1177" t="s">
        <v>1529</v>
      </c>
      <c r="B1177" t="s">
        <v>226</v>
      </c>
      <c r="C1177" s="10" t="str" cm="1">
        <f t="array" ref="C1177">IF(AND(A1177="2020-12", ISNA(MATCH(B1177, _xlfn._xlws.FILTER(B:B, A:A="2021-01"), 0))), "Left", "Ativo")</f>
        <v>Ativo</v>
      </c>
      <c r="D1177" s="10" t="str" cm="1">
        <f t="array" ref="D1177">IF(AND(A1177="2021-01", ISNA(MATCH(B1177, _xlfn._xlws.FILTER(B:B, A:A="2021-02"), 0))), "Left", "Ativo")</f>
        <v>Ativo</v>
      </c>
      <c r="E1177" s="10" t="str" cm="1">
        <f t="array" ref="E1177">IF(AND(A1177="2021-02", ISNA(MATCH(B1177, _xlfn._xlws.FILTER(B:B, A:A="2021-03"), 0))), "Left", "Ativo")</f>
        <v>Ativo</v>
      </c>
      <c r="F1177" s="12" t="str" cm="1">
        <f t="array" ref="F1177">IF(AND(A1177="2021-03", ISNA(MATCH(B1177, _xlfn._xlws.FILTER(B:B, A:A="2021-04"), 0))), "Left", "Ativo")</f>
        <v>Ativo</v>
      </c>
    </row>
    <row r="1178" spans="1:6" x14ac:dyDescent="0.25">
      <c r="A1178" t="s">
        <v>1529</v>
      </c>
      <c r="B1178" t="s">
        <v>227</v>
      </c>
      <c r="C1178" s="10" t="str" cm="1">
        <f t="array" ref="C1178">IF(AND(A1178="2020-12", ISNA(MATCH(B1178, _xlfn._xlws.FILTER(B:B, A:A="2021-01"), 0))), "Left", "Ativo")</f>
        <v>Ativo</v>
      </c>
      <c r="D1178" s="10" t="str" cm="1">
        <f t="array" ref="D1178">IF(AND(A1178="2021-01", ISNA(MATCH(B1178, _xlfn._xlws.FILTER(B:B, A:A="2021-02"), 0))), "Left", "Ativo")</f>
        <v>Ativo</v>
      </c>
      <c r="E1178" s="10" t="str" cm="1">
        <f t="array" ref="E1178">IF(AND(A1178="2021-02", ISNA(MATCH(B1178, _xlfn._xlws.FILTER(B:B, A:A="2021-03"), 0))), "Left", "Ativo")</f>
        <v>Ativo</v>
      </c>
      <c r="F1178" s="12" t="str" cm="1">
        <f t="array" ref="F1178">IF(AND(A1178="2021-03", ISNA(MATCH(B1178, _xlfn._xlws.FILTER(B:B, A:A="2021-04"), 0))), "Left", "Ativo")</f>
        <v>Ativo</v>
      </c>
    </row>
    <row r="1179" spans="1:6" x14ac:dyDescent="0.25">
      <c r="A1179" t="s">
        <v>1529</v>
      </c>
      <c r="B1179" t="s">
        <v>228</v>
      </c>
      <c r="C1179" s="10" t="str" cm="1">
        <f t="array" ref="C1179">IF(AND(A1179="2020-12", ISNA(MATCH(B1179, _xlfn._xlws.FILTER(B:B, A:A="2021-01"), 0))), "Left", "Ativo")</f>
        <v>Ativo</v>
      </c>
      <c r="D1179" s="10" t="str" cm="1">
        <f t="array" ref="D1179">IF(AND(A1179="2021-01", ISNA(MATCH(B1179, _xlfn._xlws.FILTER(B:B, A:A="2021-02"), 0))), "Left", "Ativo")</f>
        <v>Ativo</v>
      </c>
      <c r="E1179" s="10" t="str" cm="1">
        <f t="array" ref="E1179">IF(AND(A1179="2021-02", ISNA(MATCH(B1179, _xlfn._xlws.FILTER(B:B, A:A="2021-03"), 0))), "Left", "Ativo")</f>
        <v>Ativo</v>
      </c>
      <c r="F1179" s="12" t="str" cm="1">
        <f t="array" ref="F1179">IF(AND(A1179="2021-03", ISNA(MATCH(B1179, _xlfn._xlws.FILTER(B:B, A:A="2021-04"), 0))), "Left", "Ativo")</f>
        <v>Ativo</v>
      </c>
    </row>
    <row r="1180" spans="1:6" x14ac:dyDescent="0.25">
      <c r="A1180" t="s">
        <v>1529</v>
      </c>
      <c r="B1180" t="s">
        <v>229</v>
      </c>
      <c r="C1180" s="10" t="str" cm="1">
        <f t="array" ref="C1180">IF(AND(A1180="2020-12", ISNA(MATCH(B1180, _xlfn._xlws.FILTER(B:B, A:A="2021-01"), 0))), "Left", "Ativo")</f>
        <v>Ativo</v>
      </c>
      <c r="D1180" s="10" t="str" cm="1">
        <f t="array" ref="D1180">IF(AND(A1180="2021-01", ISNA(MATCH(B1180, _xlfn._xlws.FILTER(B:B, A:A="2021-02"), 0))), "Left", "Ativo")</f>
        <v>Ativo</v>
      </c>
      <c r="E1180" s="10" t="str" cm="1">
        <f t="array" ref="E1180">IF(AND(A1180="2021-02", ISNA(MATCH(B1180, _xlfn._xlws.FILTER(B:B, A:A="2021-03"), 0))), "Left", "Ativo")</f>
        <v>Ativo</v>
      </c>
      <c r="F1180" s="12" t="str" cm="1">
        <f t="array" ref="F1180">IF(AND(A1180="2021-03", ISNA(MATCH(B1180, _xlfn._xlws.FILTER(B:B, A:A="2021-04"), 0))), "Left", "Ativo")</f>
        <v>Ativo</v>
      </c>
    </row>
    <row r="1181" spans="1:6" x14ac:dyDescent="0.25">
      <c r="A1181" t="s">
        <v>1529</v>
      </c>
      <c r="B1181" t="s">
        <v>230</v>
      </c>
      <c r="C1181" s="10" t="str" cm="1">
        <f t="array" ref="C1181">IF(AND(A1181="2020-12", ISNA(MATCH(B1181, _xlfn._xlws.FILTER(B:B, A:A="2021-01"), 0))), "Left", "Ativo")</f>
        <v>Ativo</v>
      </c>
      <c r="D1181" s="10" t="str" cm="1">
        <f t="array" ref="D1181">IF(AND(A1181="2021-01", ISNA(MATCH(B1181, _xlfn._xlws.FILTER(B:B, A:A="2021-02"), 0))), "Left", "Ativo")</f>
        <v>Ativo</v>
      </c>
      <c r="E1181" s="10" t="str" cm="1">
        <f t="array" ref="E1181">IF(AND(A1181="2021-02", ISNA(MATCH(B1181, _xlfn._xlws.FILTER(B:B, A:A="2021-03"), 0))), "Left", "Ativo")</f>
        <v>Ativo</v>
      </c>
      <c r="F1181" s="12" t="str" cm="1">
        <f t="array" ref="F1181">IF(AND(A1181="2021-03", ISNA(MATCH(B1181, _xlfn._xlws.FILTER(B:B, A:A="2021-04"), 0))), "Left", "Ativo")</f>
        <v>Ativo</v>
      </c>
    </row>
    <row r="1182" spans="1:6" x14ac:dyDescent="0.25">
      <c r="A1182" t="s">
        <v>1529</v>
      </c>
      <c r="B1182" t="s">
        <v>231</v>
      </c>
      <c r="C1182" s="10" t="str" cm="1">
        <f t="array" ref="C1182">IF(AND(A1182="2020-12", ISNA(MATCH(B1182, _xlfn._xlws.FILTER(B:B, A:A="2021-01"), 0))), "Left", "Ativo")</f>
        <v>Ativo</v>
      </c>
      <c r="D1182" s="10" t="str" cm="1">
        <f t="array" ref="D1182">IF(AND(A1182="2021-01", ISNA(MATCH(B1182, _xlfn._xlws.FILTER(B:B, A:A="2021-02"), 0))), "Left", "Ativo")</f>
        <v>Ativo</v>
      </c>
      <c r="E1182" s="10" t="str" cm="1">
        <f t="array" ref="E1182">IF(AND(A1182="2021-02", ISNA(MATCH(B1182, _xlfn._xlws.FILTER(B:B, A:A="2021-03"), 0))), "Left", "Ativo")</f>
        <v>Ativo</v>
      </c>
      <c r="F1182" s="12" t="str" cm="1">
        <f t="array" ref="F1182">IF(AND(A1182="2021-03", ISNA(MATCH(B1182, _xlfn._xlws.FILTER(B:B, A:A="2021-04"), 0))), "Left", "Ativo")</f>
        <v>Ativo</v>
      </c>
    </row>
    <row r="1183" spans="1:6" x14ac:dyDescent="0.25">
      <c r="A1183" t="s">
        <v>1529</v>
      </c>
      <c r="B1183" t="s">
        <v>232</v>
      </c>
      <c r="C1183" s="10" t="str" cm="1">
        <f t="array" ref="C1183">IF(AND(A1183="2020-12", ISNA(MATCH(B1183, _xlfn._xlws.FILTER(B:B, A:A="2021-01"), 0))), "Left", "Ativo")</f>
        <v>Ativo</v>
      </c>
      <c r="D1183" s="10" t="str" cm="1">
        <f t="array" ref="D1183">IF(AND(A1183="2021-01", ISNA(MATCH(B1183, _xlfn._xlws.FILTER(B:B, A:A="2021-02"), 0))), "Left", "Ativo")</f>
        <v>Ativo</v>
      </c>
      <c r="E1183" s="10" t="str" cm="1">
        <f t="array" ref="E1183">IF(AND(A1183="2021-02", ISNA(MATCH(B1183, _xlfn._xlws.FILTER(B:B, A:A="2021-03"), 0))), "Left", "Ativo")</f>
        <v>Ativo</v>
      </c>
      <c r="F1183" s="12" t="str" cm="1">
        <f t="array" ref="F1183">IF(AND(A1183="2021-03", ISNA(MATCH(B1183, _xlfn._xlws.FILTER(B:B, A:A="2021-04"), 0))), "Left", "Ativo")</f>
        <v>Ativo</v>
      </c>
    </row>
    <row r="1184" spans="1:6" x14ac:dyDescent="0.25">
      <c r="A1184" t="s">
        <v>1529</v>
      </c>
      <c r="B1184" t="s">
        <v>233</v>
      </c>
      <c r="C1184" s="10" t="str" cm="1">
        <f t="array" ref="C1184">IF(AND(A1184="2020-12", ISNA(MATCH(B1184, _xlfn._xlws.FILTER(B:B, A:A="2021-01"), 0))), "Left", "Ativo")</f>
        <v>Ativo</v>
      </c>
      <c r="D1184" s="10" t="str" cm="1">
        <f t="array" ref="D1184">IF(AND(A1184="2021-01", ISNA(MATCH(B1184, _xlfn._xlws.FILTER(B:B, A:A="2021-02"), 0))), "Left", "Ativo")</f>
        <v>Ativo</v>
      </c>
      <c r="E1184" s="10" t="str" cm="1">
        <f t="array" ref="E1184">IF(AND(A1184="2021-02", ISNA(MATCH(B1184, _xlfn._xlws.FILTER(B:B, A:A="2021-03"), 0))), "Left", "Ativo")</f>
        <v>Ativo</v>
      </c>
      <c r="F1184" s="12" t="str" cm="1">
        <f t="array" ref="F1184">IF(AND(A1184="2021-03", ISNA(MATCH(B1184, _xlfn._xlws.FILTER(B:B, A:A="2021-04"), 0))), "Left", "Ativo")</f>
        <v>Ativo</v>
      </c>
    </row>
    <row r="1185" spans="1:6" x14ac:dyDescent="0.25">
      <c r="A1185" t="s">
        <v>1529</v>
      </c>
      <c r="B1185" t="s">
        <v>234</v>
      </c>
      <c r="C1185" s="10" t="str" cm="1">
        <f t="array" ref="C1185">IF(AND(A1185="2020-12", ISNA(MATCH(B1185, _xlfn._xlws.FILTER(B:B, A:A="2021-01"), 0))), "Left", "Ativo")</f>
        <v>Ativo</v>
      </c>
      <c r="D1185" s="10" t="str" cm="1">
        <f t="array" ref="D1185">IF(AND(A1185="2021-01", ISNA(MATCH(B1185, _xlfn._xlws.FILTER(B:B, A:A="2021-02"), 0))), "Left", "Ativo")</f>
        <v>Ativo</v>
      </c>
      <c r="E1185" s="10" t="str" cm="1">
        <f t="array" ref="E1185">IF(AND(A1185="2021-02", ISNA(MATCH(B1185, _xlfn._xlws.FILTER(B:B, A:A="2021-03"), 0))), "Left", "Ativo")</f>
        <v>Ativo</v>
      </c>
      <c r="F1185" s="12" t="str" cm="1">
        <f t="array" ref="F1185">IF(AND(A1185="2021-03", ISNA(MATCH(B1185, _xlfn._xlws.FILTER(B:B, A:A="2021-04"), 0))), "Left", "Ativo")</f>
        <v>Ativo</v>
      </c>
    </row>
    <row r="1186" spans="1:6" x14ac:dyDescent="0.25">
      <c r="A1186" t="s">
        <v>1529</v>
      </c>
      <c r="B1186" t="s">
        <v>235</v>
      </c>
      <c r="C1186" s="10" t="str" cm="1">
        <f t="array" ref="C1186">IF(AND(A1186="2020-12", ISNA(MATCH(B1186, _xlfn._xlws.FILTER(B:B, A:A="2021-01"), 0))), "Left", "Ativo")</f>
        <v>Ativo</v>
      </c>
      <c r="D1186" s="10" t="str" cm="1">
        <f t="array" ref="D1186">IF(AND(A1186="2021-01", ISNA(MATCH(B1186, _xlfn._xlws.FILTER(B:B, A:A="2021-02"), 0))), "Left", "Ativo")</f>
        <v>Ativo</v>
      </c>
      <c r="E1186" s="10" t="str" cm="1">
        <f t="array" ref="E1186">IF(AND(A1186="2021-02", ISNA(MATCH(B1186, _xlfn._xlws.FILTER(B:B, A:A="2021-03"), 0))), "Left", "Ativo")</f>
        <v>Ativo</v>
      </c>
      <c r="F1186" s="12" t="str" cm="1">
        <f t="array" ref="F1186">IF(AND(A1186="2021-03", ISNA(MATCH(B1186, _xlfn._xlws.FILTER(B:B, A:A="2021-04"), 0))), "Left", "Ativo")</f>
        <v>Ativo</v>
      </c>
    </row>
    <row r="1187" spans="1:6" x14ac:dyDescent="0.25">
      <c r="A1187" t="s">
        <v>1529</v>
      </c>
      <c r="B1187" t="s">
        <v>236</v>
      </c>
      <c r="C1187" s="10" t="str" cm="1">
        <f t="array" ref="C1187">IF(AND(A1187="2020-12", ISNA(MATCH(B1187, _xlfn._xlws.FILTER(B:B, A:A="2021-01"), 0))), "Left", "Ativo")</f>
        <v>Ativo</v>
      </c>
      <c r="D1187" s="10" t="str" cm="1">
        <f t="array" ref="D1187">IF(AND(A1187="2021-01", ISNA(MATCH(B1187, _xlfn._xlws.FILTER(B:B, A:A="2021-02"), 0))), "Left", "Ativo")</f>
        <v>Ativo</v>
      </c>
      <c r="E1187" s="10" t="str" cm="1">
        <f t="array" ref="E1187">IF(AND(A1187="2021-02", ISNA(MATCH(B1187, _xlfn._xlws.FILTER(B:B, A:A="2021-03"), 0))), "Left", "Ativo")</f>
        <v>Ativo</v>
      </c>
      <c r="F1187" s="12" t="str" cm="1">
        <f t="array" ref="F1187">IF(AND(A1187="2021-03", ISNA(MATCH(B1187, _xlfn._xlws.FILTER(B:B, A:A="2021-04"), 0))), "Left", "Ativo")</f>
        <v>Ativo</v>
      </c>
    </row>
    <row r="1188" spans="1:6" x14ac:dyDescent="0.25">
      <c r="A1188" t="s">
        <v>1529</v>
      </c>
      <c r="B1188" t="s">
        <v>237</v>
      </c>
      <c r="C1188" s="10" t="str" cm="1">
        <f t="array" ref="C1188">IF(AND(A1188="2020-12", ISNA(MATCH(B1188, _xlfn._xlws.FILTER(B:B, A:A="2021-01"), 0))), "Left", "Ativo")</f>
        <v>Ativo</v>
      </c>
      <c r="D1188" s="10" t="str" cm="1">
        <f t="array" ref="D1188">IF(AND(A1188="2021-01", ISNA(MATCH(B1188, _xlfn._xlws.FILTER(B:B, A:A="2021-02"), 0))), "Left", "Ativo")</f>
        <v>Ativo</v>
      </c>
      <c r="E1188" s="10" t="str" cm="1">
        <f t="array" ref="E1188">IF(AND(A1188="2021-02", ISNA(MATCH(B1188, _xlfn._xlws.FILTER(B:B, A:A="2021-03"), 0))), "Left", "Ativo")</f>
        <v>Ativo</v>
      </c>
      <c r="F1188" s="12" t="str" cm="1">
        <f t="array" ref="F1188">IF(AND(A1188="2021-03", ISNA(MATCH(B1188, _xlfn._xlws.FILTER(B:B, A:A="2021-04"), 0))), "Left", "Ativo")</f>
        <v>Ativo</v>
      </c>
    </row>
    <row r="1189" spans="1:6" x14ac:dyDescent="0.25">
      <c r="A1189" t="s">
        <v>1529</v>
      </c>
      <c r="B1189" t="s">
        <v>238</v>
      </c>
      <c r="C1189" s="10" t="str" cm="1">
        <f t="array" ref="C1189">IF(AND(A1189="2020-12", ISNA(MATCH(B1189, _xlfn._xlws.FILTER(B:B, A:A="2021-01"), 0))), "Left", "Ativo")</f>
        <v>Ativo</v>
      </c>
      <c r="D1189" s="10" t="str" cm="1">
        <f t="array" ref="D1189">IF(AND(A1189="2021-01", ISNA(MATCH(B1189, _xlfn._xlws.FILTER(B:B, A:A="2021-02"), 0))), "Left", "Ativo")</f>
        <v>Ativo</v>
      </c>
      <c r="E1189" s="10" t="str" cm="1">
        <f t="array" ref="E1189">IF(AND(A1189="2021-02", ISNA(MATCH(B1189, _xlfn._xlws.FILTER(B:B, A:A="2021-03"), 0))), "Left", "Ativo")</f>
        <v>Ativo</v>
      </c>
      <c r="F1189" s="12" t="str" cm="1">
        <f t="array" ref="F1189">IF(AND(A1189="2021-03", ISNA(MATCH(B1189, _xlfn._xlws.FILTER(B:B, A:A="2021-04"), 0))), "Left", "Ativo")</f>
        <v>Ativo</v>
      </c>
    </row>
    <row r="1190" spans="1:6" x14ac:dyDescent="0.25">
      <c r="A1190" t="s">
        <v>1529</v>
      </c>
      <c r="B1190" t="s">
        <v>239</v>
      </c>
      <c r="C1190" s="10" t="str" cm="1">
        <f t="array" ref="C1190">IF(AND(A1190="2020-12", ISNA(MATCH(B1190, _xlfn._xlws.FILTER(B:B, A:A="2021-01"), 0))), "Left", "Ativo")</f>
        <v>Ativo</v>
      </c>
      <c r="D1190" s="10" t="str" cm="1">
        <f t="array" ref="D1190">IF(AND(A1190="2021-01", ISNA(MATCH(B1190, _xlfn._xlws.FILTER(B:B, A:A="2021-02"), 0))), "Left", "Ativo")</f>
        <v>Ativo</v>
      </c>
      <c r="E1190" s="10" t="str" cm="1">
        <f t="array" ref="E1190">IF(AND(A1190="2021-02", ISNA(MATCH(B1190, _xlfn._xlws.FILTER(B:B, A:A="2021-03"), 0))), "Left", "Ativo")</f>
        <v>Ativo</v>
      </c>
      <c r="F1190" s="12" t="str" cm="1">
        <f t="array" ref="F1190">IF(AND(A1190="2021-03", ISNA(MATCH(B1190, _xlfn._xlws.FILTER(B:B, A:A="2021-04"), 0))), "Left", "Ativo")</f>
        <v>Ativo</v>
      </c>
    </row>
    <row r="1191" spans="1:6" x14ac:dyDescent="0.25">
      <c r="A1191" t="s">
        <v>1529</v>
      </c>
      <c r="B1191" t="s">
        <v>240</v>
      </c>
      <c r="C1191" s="10" t="str" cm="1">
        <f t="array" ref="C1191">IF(AND(A1191="2020-12", ISNA(MATCH(B1191, _xlfn._xlws.FILTER(B:B, A:A="2021-01"), 0))), "Left", "Ativo")</f>
        <v>Ativo</v>
      </c>
      <c r="D1191" s="10" t="str" cm="1">
        <f t="array" ref="D1191">IF(AND(A1191="2021-01", ISNA(MATCH(B1191, _xlfn._xlws.FILTER(B:B, A:A="2021-02"), 0))), "Left", "Ativo")</f>
        <v>Ativo</v>
      </c>
      <c r="E1191" s="10" t="str" cm="1">
        <f t="array" ref="E1191">IF(AND(A1191="2021-02", ISNA(MATCH(B1191, _xlfn._xlws.FILTER(B:B, A:A="2021-03"), 0))), "Left", "Ativo")</f>
        <v>Ativo</v>
      </c>
      <c r="F1191" s="12" t="str" cm="1">
        <f t="array" ref="F1191">IF(AND(A1191="2021-03", ISNA(MATCH(B1191, _xlfn._xlws.FILTER(B:B, A:A="2021-04"), 0))), "Left", "Ativo")</f>
        <v>Ativo</v>
      </c>
    </row>
    <row r="1192" spans="1:6" x14ac:dyDescent="0.25">
      <c r="A1192" t="s">
        <v>1529</v>
      </c>
      <c r="B1192" t="s">
        <v>241</v>
      </c>
      <c r="C1192" s="10" t="str" cm="1">
        <f t="array" ref="C1192">IF(AND(A1192="2020-12", ISNA(MATCH(B1192, _xlfn._xlws.FILTER(B:B, A:A="2021-01"), 0))), "Left", "Ativo")</f>
        <v>Ativo</v>
      </c>
      <c r="D1192" s="10" t="str" cm="1">
        <f t="array" ref="D1192">IF(AND(A1192="2021-01", ISNA(MATCH(B1192, _xlfn._xlws.FILTER(B:B, A:A="2021-02"), 0))), "Left", "Ativo")</f>
        <v>Ativo</v>
      </c>
      <c r="E1192" s="10" t="str" cm="1">
        <f t="array" ref="E1192">IF(AND(A1192="2021-02", ISNA(MATCH(B1192, _xlfn._xlws.FILTER(B:B, A:A="2021-03"), 0))), "Left", "Ativo")</f>
        <v>Ativo</v>
      </c>
      <c r="F1192" s="12" t="str" cm="1">
        <f t="array" ref="F1192">IF(AND(A1192="2021-03", ISNA(MATCH(B1192, _xlfn._xlws.FILTER(B:B, A:A="2021-04"), 0))), "Left", "Ativo")</f>
        <v>Ativo</v>
      </c>
    </row>
    <row r="1193" spans="1:6" x14ac:dyDescent="0.25">
      <c r="A1193" t="s">
        <v>1529</v>
      </c>
      <c r="B1193" t="s">
        <v>242</v>
      </c>
      <c r="C1193" s="10" t="str" cm="1">
        <f t="array" ref="C1193">IF(AND(A1193="2020-12", ISNA(MATCH(B1193, _xlfn._xlws.FILTER(B:B, A:A="2021-01"), 0))), "Left", "Ativo")</f>
        <v>Ativo</v>
      </c>
      <c r="D1193" s="10" t="str" cm="1">
        <f t="array" ref="D1193">IF(AND(A1193="2021-01", ISNA(MATCH(B1193, _xlfn._xlws.FILTER(B:B, A:A="2021-02"), 0))), "Left", "Ativo")</f>
        <v>Ativo</v>
      </c>
      <c r="E1193" s="10" t="str" cm="1">
        <f t="array" ref="E1193">IF(AND(A1193="2021-02", ISNA(MATCH(B1193, _xlfn._xlws.FILTER(B:B, A:A="2021-03"), 0))), "Left", "Ativo")</f>
        <v>Ativo</v>
      </c>
      <c r="F1193" s="12" t="str" cm="1">
        <f t="array" ref="F1193">IF(AND(A1193="2021-03", ISNA(MATCH(B1193, _xlfn._xlws.FILTER(B:B, A:A="2021-04"), 0))), "Left", "Ativo")</f>
        <v>Ativo</v>
      </c>
    </row>
    <row r="1194" spans="1:6" x14ac:dyDescent="0.25">
      <c r="A1194" t="s">
        <v>1529</v>
      </c>
      <c r="B1194" t="s">
        <v>243</v>
      </c>
      <c r="C1194" s="10" t="str" cm="1">
        <f t="array" ref="C1194">IF(AND(A1194="2020-12", ISNA(MATCH(B1194, _xlfn._xlws.FILTER(B:B, A:A="2021-01"), 0))), "Left", "Ativo")</f>
        <v>Ativo</v>
      </c>
      <c r="D1194" s="10" t="str" cm="1">
        <f t="array" ref="D1194">IF(AND(A1194="2021-01", ISNA(MATCH(B1194, _xlfn._xlws.FILTER(B:B, A:A="2021-02"), 0))), "Left", "Ativo")</f>
        <v>Ativo</v>
      </c>
      <c r="E1194" s="10" t="str" cm="1">
        <f t="array" ref="E1194">IF(AND(A1194="2021-02", ISNA(MATCH(B1194, _xlfn._xlws.FILTER(B:B, A:A="2021-03"), 0))), "Left", "Ativo")</f>
        <v>Ativo</v>
      </c>
      <c r="F1194" s="12" t="str" cm="1">
        <f t="array" ref="F1194">IF(AND(A1194="2021-03", ISNA(MATCH(B1194, _xlfn._xlws.FILTER(B:B, A:A="2021-04"), 0))), "Left", "Ativo")</f>
        <v>Ativo</v>
      </c>
    </row>
    <row r="1195" spans="1:6" x14ac:dyDescent="0.25">
      <c r="A1195" t="s">
        <v>1529</v>
      </c>
      <c r="B1195" t="s">
        <v>244</v>
      </c>
      <c r="C1195" s="10" t="str" cm="1">
        <f t="array" ref="C1195">IF(AND(A1195="2020-12", ISNA(MATCH(B1195, _xlfn._xlws.FILTER(B:B, A:A="2021-01"), 0))), "Left", "Ativo")</f>
        <v>Ativo</v>
      </c>
      <c r="D1195" s="10" t="str" cm="1">
        <f t="array" ref="D1195">IF(AND(A1195="2021-01", ISNA(MATCH(B1195, _xlfn._xlws.FILTER(B:B, A:A="2021-02"), 0))), "Left", "Ativo")</f>
        <v>Ativo</v>
      </c>
      <c r="E1195" s="10" t="str" cm="1">
        <f t="array" ref="E1195">IF(AND(A1195="2021-02", ISNA(MATCH(B1195, _xlfn._xlws.FILTER(B:B, A:A="2021-03"), 0))), "Left", "Ativo")</f>
        <v>Ativo</v>
      </c>
      <c r="F1195" s="12" t="str" cm="1">
        <f t="array" ref="F1195">IF(AND(A1195="2021-03", ISNA(MATCH(B1195, _xlfn._xlws.FILTER(B:B, A:A="2021-04"), 0))), "Left", "Ativo")</f>
        <v>Ativo</v>
      </c>
    </row>
    <row r="1196" spans="1:6" x14ac:dyDescent="0.25">
      <c r="A1196" t="s">
        <v>1529</v>
      </c>
      <c r="B1196" t="s">
        <v>245</v>
      </c>
      <c r="C1196" s="10" t="str" cm="1">
        <f t="array" ref="C1196">IF(AND(A1196="2020-12", ISNA(MATCH(B1196, _xlfn._xlws.FILTER(B:B, A:A="2021-01"), 0))), "Left", "Ativo")</f>
        <v>Ativo</v>
      </c>
      <c r="D1196" s="10" t="str" cm="1">
        <f t="array" ref="D1196">IF(AND(A1196="2021-01", ISNA(MATCH(B1196, _xlfn._xlws.FILTER(B:B, A:A="2021-02"), 0))), "Left", "Ativo")</f>
        <v>Ativo</v>
      </c>
      <c r="E1196" s="10" t="str" cm="1">
        <f t="array" ref="E1196">IF(AND(A1196="2021-02", ISNA(MATCH(B1196, _xlfn._xlws.FILTER(B:B, A:A="2021-03"), 0))), "Left", "Ativo")</f>
        <v>Ativo</v>
      </c>
      <c r="F1196" s="12" t="str" cm="1">
        <f t="array" ref="F1196">IF(AND(A1196="2021-03", ISNA(MATCH(B1196, _xlfn._xlws.FILTER(B:B, A:A="2021-04"), 0))), "Left", "Ativo")</f>
        <v>Ativo</v>
      </c>
    </row>
    <row r="1197" spans="1:6" x14ac:dyDescent="0.25">
      <c r="A1197" t="s">
        <v>1529</v>
      </c>
      <c r="B1197" t="s">
        <v>246</v>
      </c>
      <c r="C1197" s="10" t="str" cm="1">
        <f t="array" ref="C1197">IF(AND(A1197="2020-12", ISNA(MATCH(B1197, _xlfn._xlws.FILTER(B:B, A:A="2021-01"), 0))), "Left", "Ativo")</f>
        <v>Ativo</v>
      </c>
      <c r="D1197" s="10" t="str" cm="1">
        <f t="array" ref="D1197">IF(AND(A1197="2021-01", ISNA(MATCH(B1197, _xlfn._xlws.FILTER(B:B, A:A="2021-02"), 0))), "Left", "Ativo")</f>
        <v>Ativo</v>
      </c>
      <c r="E1197" s="10" t="str" cm="1">
        <f t="array" ref="E1197">IF(AND(A1197="2021-02", ISNA(MATCH(B1197, _xlfn._xlws.FILTER(B:B, A:A="2021-03"), 0))), "Left", "Ativo")</f>
        <v>Ativo</v>
      </c>
      <c r="F1197" s="12" t="str" cm="1">
        <f t="array" ref="F1197">IF(AND(A1197="2021-03", ISNA(MATCH(B1197, _xlfn._xlws.FILTER(B:B, A:A="2021-04"), 0))), "Left", "Ativo")</f>
        <v>Ativo</v>
      </c>
    </row>
    <row r="1198" spans="1:6" x14ac:dyDescent="0.25">
      <c r="A1198" t="s">
        <v>1529</v>
      </c>
      <c r="B1198" t="s">
        <v>247</v>
      </c>
      <c r="C1198" s="10" t="str" cm="1">
        <f t="array" ref="C1198">IF(AND(A1198="2020-12", ISNA(MATCH(B1198, _xlfn._xlws.FILTER(B:B, A:A="2021-01"), 0))), "Left", "Ativo")</f>
        <v>Ativo</v>
      </c>
      <c r="D1198" s="10" t="str" cm="1">
        <f t="array" ref="D1198">IF(AND(A1198="2021-01", ISNA(MATCH(B1198, _xlfn._xlws.FILTER(B:B, A:A="2021-02"), 0))), "Left", "Ativo")</f>
        <v>Ativo</v>
      </c>
      <c r="E1198" s="10" t="str" cm="1">
        <f t="array" ref="E1198">IF(AND(A1198="2021-02", ISNA(MATCH(B1198, _xlfn._xlws.FILTER(B:B, A:A="2021-03"), 0))), "Left", "Ativo")</f>
        <v>Ativo</v>
      </c>
      <c r="F1198" s="12" t="str" cm="1">
        <f t="array" ref="F1198">IF(AND(A1198="2021-03", ISNA(MATCH(B1198, _xlfn._xlws.FILTER(B:B, A:A="2021-04"), 0))), "Left", "Ativo")</f>
        <v>Ativo</v>
      </c>
    </row>
    <row r="1199" spans="1:6" x14ac:dyDescent="0.25">
      <c r="A1199" t="s">
        <v>1529</v>
      </c>
      <c r="B1199" t="s">
        <v>248</v>
      </c>
      <c r="C1199" s="10" t="str" cm="1">
        <f t="array" ref="C1199">IF(AND(A1199="2020-12", ISNA(MATCH(B1199, _xlfn._xlws.FILTER(B:B, A:A="2021-01"), 0))), "Left", "Ativo")</f>
        <v>Ativo</v>
      </c>
      <c r="D1199" s="10" t="str" cm="1">
        <f t="array" ref="D1199">IF(AND(A1199="2021-01", ISNA(MATCH(B1199, _xlfn._xlws.FILTER(B:B, A:A="2021-02"), 0))), "Left", "Ativo")</f>
        <v>Ativo</v>
      </c>
      <c r="E1199" s="10" t="str" cm="1">
        <f t="array" ref="E1199">IF(AND(A1199="2021-02", ISNA(MATCH(B1199, _xlfn._xlws.FILTER(B:B, A:A="2021-03"), 0))), "Left", "Ativo")</f>
        <v>Ativo</v>
      </c>
      <c r="F1199" s="12" t="str" cm="1">
        <f t="array" ref="F1199">IF(AND(A1199="2021-03", ISNA(MATCH(B1199, _xlfn._xlws.FILTER(B:B, A:A="2021-04"), 0))), "Left", "Ativo")</f>
        <v>Ativo</v>
      </c>
    </row>
    <row r="1200" spans="1:6" x14ac:dyDescent="0.25">
      <c r="A1200" t="s">
        <v>1529</v>
      </c>
      <c r="B1200" t="s">
        <v>249</v>
      </c>
      <c r="C1200" s="10" t="str" cm="1">
        <f t="array" ref="C1200">IF(AND(A1200="2020-12", ISNA(MATCH(B1200, _xlfn._xlws.FILTER(B:B, A:A="2021-01"), 0))), "Left", "Ativo")</f>
        <v>Ativo</v>
      </c>
      <c r="D1200" s="10" t="str" cm="1">
        <f t="array" ref="D1200">IF(AND(A1200="2021-01", ISNA(MATCH(B1200, _xlfn._xlws.FILTER(B:B, A:A="2021-02"), 0))), "Left", "Ativo")</f>
        <v>Ativo</v>
      </c>
      <c r="E1200" s="10" t="str" cm="1">
        <f t="array" ref="E1200">IF(AND(A1200="2021-02", ISNA(MATCH(B1200, _xlfn._xlws.FILTER(B:B, A:A="2021-03"), 0))), "Left", "Ativo")</f>
        <v>Ativo</v>
      </c>
      <c r="F1200" s="12" t="str" cm="1">
        <f t="array" ref="F1200">IF(AND(A1200="2021-03", ISNA(MATCH(B1200, _xlfn._xlws.FILTER(B:B, A:A="2021-04"), 0))), "Left", "Ativo")</f>
        <v>Ativo</v>
      </c>
    </row>
    <row r="1201" spans="1:6" x14ac:dyDescent="0.25">
      <c r="A1201" t="s">
        <v>1529</v>
      </c>
      <c r="B1201" t="s">
        <v>250</v>
      </c>
      <c r="C1201" s="10" t="str" cm="1">
        <f t="array" ref="C1201">IF(AND(A1201="2020-12", ISNA(MATCH(B1201, _xlfn._xlws.FILTER(B:B, A:A="2021-01"), 0))), "Left", "Ativo")</f>
        <v>Ativo</v>
      </c>
      <c r="D1201" s="10" t="str" cm="1">
        <f t="array" ref="D1201">IF(AND(A1201="2021-01", ISNA(MATCH(B1201, _xlfn._xlws.FILTER(B:B, A:A="2021-02"), 0))), "Left", "Ativo")</f>
        <v>Ativo</v>
      </c>
      <c r="E1201" s="10" t="str" cm="1">
        <f t="array" ref="E1201">IF(AND(A1201="2021-02", ISNA(MATCH(B1201, _xlfn._xlws.FILTER(B:B, A:A="2021-03"), 0))), "Left", "Ativo")</f>
        <v>Ativo</v>
      </c>
      <c r="F1201" s="12" t="str" cm="1">
        <f t="array" ref="F1201">IF(AND(A1201="2021-03", ISNA(MATCH(B1201, _xlfn._xlws.FILTER(B:B, A:A="2021-04"), 0))), "Left", "Ativo")</f>
        <v>Ativo</v>
      </c>
    </row>
    <row r="1202" spans="1:6" x14ac:dyDescent="0.25">
      <c r="A1202" t="s">
        <v>1529</v>
      </c>
      <c r="B1202" t="s">
        <v>251</v>
      </c>
      <c r="C1202" s="10" t="str" cm="1">
        <f t="array" ref="C1202">IF(AND(A1202="2020-12", ISNA(MATCH(B1202, _xlfn._xlws.FILTER(B:B, A:A="2021-01"), 0))), "Left", "Ativo")</f>
        <v>Ativo</v>
      </c>
      <c r="D1202" s="10" t="str" cm="1">
        <f t="array" ref="D1202">IF(AND(A1202="2021-01", ISNA(MATCH(B1202, _xlfn._xlws.FILTER(B:B, A:A="2021-02"), 0))), "Left", "Ativo")</f>
        <v>Ativo</v>
      </c>
      <c r="E1202" s="10" t="str" cm="1">
        <f t="array" ref="E1202">IF(AND(A1202="2021-02", ISNA(MATCH(B1202, _xlfn._xlws.FILTER(B:B, A:A="2021-03"), 0))), "Left", "Ativo")</f>
        <v>Ativo</v>
      </c>
      <c r="F1202" s="12" t="str" cm="1">
        <f t="array" ref="F1202">IF(AND(A1202="2021-03", ISNA(MATCH(B1202, _xlfn._xlws.FILTER(B:B, A:A="2021-04"), 0))), "Left", "Ativo")</f>
        <v>Ativo</v>
      </c>
    </row>
    <row r="1203" spans="1:6" x14ac:dyDescent="0.25">
      <c r="A1203" t="s">
        <v>1529</v>
      </c>
      <c r="B1203" t="s">
        <v>252</v>
      </c>
      <c r="C1203" s="10" t="str" cm="1">
        <f t="array" ref="C1203">IF(AND(A1203="2020-12", ISNA(MATCH(B1203, _xlfn._xlws.FILTER(B:B, A:A="2021-01"), 0))), "Left", "Ativo")</f>
        <v>Ativo</v>
      </c>
      <c r="D1203" s="10" t="str" cm="1">
        <f t="array" ref="D1203">IF(AND(A1203="2021-01", ISNA(MATCH(B1203, _xlfn._xlws.FILTER(B:B, A:A="2021-02"), 0))), "Left", "Ativo")</f>
        <v>Ativo</v>
      </c>
      <c r="E1203" s="10" t="str" cm="1">
        <f t="array" ref="E1203">IF(AND(A1203="2021-02", ISNA(MATCH(B1203, _xlfn._xlws.FILTER(B:B, A:A="2021-03"), 0))), "Left", "Ativo")</f>
        <v>Ativo</v>
      </c>
      <c r="F1203" s="12" t="str" cm="1">
        <f t="array" ref="F1203">IF(AND(A1203="2021-03", ISNA(MATCH(B1203, _xlfn._xlws.FILTER(B:B, A:A="2021-04"), 0))), "Left", "Ativo")</f>
        <v>Ativo</v>
      </c>
    </row>
    <row r="1204" spans="1:6" x14ac:dyDescent="0.25">
      <c r="A1204" t="s">
        <v>1529</v>
      </c>
      <c r="B1204" t="s">
        <v>253</v>
      </c>
      <c r="C1204" s="10" t="str" cm="1">
        <f t="array" ref="C1204">IF(AND(A1204="2020-12", ISNA(MATCH(B1204, _xlfn._xlws.FILTER(B:B, A:A="2021-01"), 0))), "Left", "Ativo")</f>
        <v>Ativo</v>
      </c>
      <c r="D1204" s="10" t="str" cm="1">
        <f t="array" ref="D1204">IF(AND(A1204="2021-01", ISNA(MATCH(B1204, _xlfn._xlws.FILTER(B:B, A:A="2021-02"), 0))), "Left", "Ativo")</f>
        <v>Ativo</v>
      </c>
      <c r="E1204" s="10" t="str" cm="1">
        <f t="array" ref="E1204">IF(AND(A1204="2021-02", ISNA(MATCH(B1204, _xlfn._xlws.FILTER(B:B, A:A="2021-03"), 0))), "Left", "Ativo")</f>
        <v>Ativo</v>
      </c>
      <c r="F1204" s="12" t="str" cm="1">
        <f t="array" ref="F1204">IF(AND(A1204="2021-03", ISNA(MATCH(B1204, _xlfn._xlws.FILTER(B:B, A:A="2021-04"), 0))), "Left", "Ativo")</f>
        <v>Ativo</v>
      </c>
    </row>
    <row r="1205" spans="1:6" x14ac:dyDescent="0.25">
      <c r="A1205" t="s">
        <v>1529</v>
      </c>
      <c r="B1205" t="s">
        <v>254</v>
      </c>
      <c r="C1205" s="10" t="str" cm="1">
        <f t="array" ref="C1205">IF(AND(A1205="2020-12", ISNA(MATCH(B1205, _xlfn._xlws.FILTER(B:B, A:A="2021-01"), 0))), "Left", "Ativo")</f>
        <v>Ativo</v>
      </c>
      <c r="D1205" s="10" t="str" cm="1">
        <f t="array" ref="D1205">IF(AND(A1205="2021-01", ISNA(MATCH(B1205, _xlfn._xlws.FILTER(B:B, A:A="2021-02"), 0))), "Left", "Ativo")</f>
        <v>Ativo</v>
      </c>
      <c r="E1205" s="10" t="str" cm="1">
        <f t="array" ref="E1205">IF(AND(A1205="2021-02", ISNA(MATCH(B1205, _xlfn._xlws.FILTER(B:B, A:A="2021-03"), 0))), "Left", "Ativo")</f>
        <v>Ativo</v>
      </c>
      <c r="F1205" s="12" t="str" cm="1">
        <f t="array" ref="F1205">IF(AND(A1205="2021-03", ISNA(MATCH(B1205, _xlfn._xlws.FILTER(B:B, A:A="2021-04"), 0))), "Left", "Ativo")</f>
        <v>Ativo</v>
      </c>
    </row>
    <row r="1206" spans="1:6" x14ac:dyDescent="0.25">
      <c r="A1206" t="s">
        <v>1529</v>
      </c>
      <c r="B1206" t="s">
        <v>255</v>
      </c>
      <c r="C1206" s="10" t="str" cm="1">
        <f t="array" ref="C1206">IF(AND(A1206="2020-12", ISNA(MATCH(B1206, _xlfn._xlws.FILTER(B:B, A:A="2021-01"), 0))), "Left", "Ativo")</f>
        <v>Ativo</v>
      </c>
      <c r="D1206" s="10" t="str" cm="1">
        <f t="array" ref="D1206">IF(AND(A1206="2021-01", ISNA(MATCH(B1206, _xlfn._xlws.FILTER(B:B, A:A="2021-02"), 0))), "Left", "Ativo")</f>
        <v>Ativo</v>
      </c>
      <c r="E1206" s="10" t="str" cm="1">
        <f t="array" ref="E1206">IF(AND(A1206="2021-02", ISNA(MATCH(B1206, _xlfn._xlws.FILTER(B:B, A:A="2021-03"), 0))), "Left", "Ativo")</f>
        <v>Ativo</v>
      </c>
      <c r="F1206" s="12" t="str" cm="1">
        <f t="array" ref="F1206">IF(AND(A1206="2021-03", ISNA(MATCH(B1206, _xlfn._xlws.FILTER(B:B, A:A="2021-04"), 0))), "Left", "Ativo")</f>
        <v>Ativo</v>
      </c>
    </row>
    <row r="1207" spans="1:6" x14ac:dyDescent="0.25">
      <c r="A1207" t="s">
        <v>1529</v>
      </c>
      <c r="B1207" t="s">
        <v>256</v>
      </c>
      <c r="C1207" s="10" t="str" cm="1">
        <f t="array" ref="C1207">IF(AND(A1207="2020-12", ISNA(MATCH(B1207, _xlfn._xlws.FILTER(B:B, A:A="2021-01"), 0))), "Left", "Ativo")</f>
        <v>Ativo</v>
      </c>
      <c r="D1207" s="10" t="str" cm="1">
        <f t="array" ref="D1207">IF(AND(A1207="2021-01", ISNA(MATCH(B1207, _xlfn._xlws.FILTER(B:B, A:A="2021-02"), 0))), "Left", "Ativo")</f>
        <v>Ativo</v>
      </c>
      <c r="E1207" s="10" t="str" cm="1">
        <f t="array" ref="E1207">IF(AND(A1207="2021-02", ISNA(MATCH(B1207, _xlfn._xlws.FILTER(B:B, A:A="2021-03"), 0))), "Left", "Ativo")</f>
        <v>Ativo</v>
      </c>
      <c r="F1207" s="12" t="str" cm="1">
        <f t="array" ref="F1207">IF(AND(A1207="2021-03", ISNA(MATCH(B1207, _xlfn._xlws.FILTER(B:B, A:A="2021-04"), 0))), "Left", "Ativo")</f>
        <v>Ativo</v>
      </c>
    </row>
    <row r="1208" spans="1:6" x14ac:dyDescent="0.25">
      <c r="A1208" t="s">
        <v>1529</v>
      </c>
      <c r="B1208" t="s">
        <v>257</v>
      </c>
      <c r="C1208" s="10" t="str" cm="1">
        <f t="array" ref="C1208">IF(AND(A1208="2020-12", ISNA(MATCH(B1208, _xlfn._xlws.FILTER(B:B, A:A="2021-01"), 0))), "Left", "Ativo")</f>
        <v>Ativo</v>
      </c>
      <c r="D1208" s="10" t="str" cm="1">
        <f t="array" ref="D1208">IF(AND(A1208="2021-01", ISNA(MATCH(B1208, _xlfn._xlws.FILTER(B:B, A:A="2021-02"), 0))), "Left", "Ativo")</f>
        <v>Ativo</v>
      </c>
      <c r="E1208" s="10" t="str" cm="1">
        <f t="array" ref="E1208">IF(AND(A1208="2021-02", ISNA(MATCH(B1208, _xlfn._xlws.FILTER(B:B, A:A="2021-03"), 0))), "Left", "Ativo")</f>
        <v>Ativo</v>
      </c>
      <c r="F1208" s="12" t="str" cm="1">
        <f t="array" ref="F1208">IF(AND(A1208="2021-03", ISNA(MATCH(B1208, _xlfn._xlws.FILTER(B:B, A:A="2021-04"), 0))), "Left", "Ativo")</f>
        <v>Ativo</v>
      </c>
    </row>
    <row r="1209" spans="1:6" x14ac:dyDescent="0.25">
      <c r="A1209" t="s">
        <v>1529</v>
      </c>
      <c r="B1209" t="s">
        <v>258</v>
      </c>
      <c r="C1209" s="10" t="str" cm="1">
        <f t="array" ref="C1209">IF(AND(A1209="2020-12", ISNA(MATCH(B1209, _xlfn._xlws.FILTER(B:B, A:A="2021-01"), 0))), "Left", "Ativo")</f>
        <v>Ativo</v>
      </c>
      <c r="D1209" s="10" t="str" cm="1">
        <f t="array" ref="D1209">IF(AND(A1209="2021-01", ISNA(MATCH(B1209, _xlfn._xlws.FILTER(B:B, A:A="2021-02"), 0))), "Left", "Ativo")</f>
        <v>Ativo</v>
      </c>
      <c r="E1209" s="10" t="str" cm="1">
        <f t="array" ref="E1209">IF(AND(A1209="2021-02", ISNA(MATCH(B1209, _xlfn._xlws.FILTER(B:B, A:A="2021-03"), 0))), "Left", "Ativo")</f>
        <v>Ativo</v>
      </c>
      <c r="F1209" s="12" t="str" cm="1">
        <f t="array" ref="F1209">IF(AND(A1209="2021-03", ISNA(MATCH(B1209, _xlfn._xlws.FILTER(B:B, A:A="2021-04"), 0))), "Left", "Ativo")</f>
        <v>Ativo</v>
      </c>
    </row>
    <row r="1210" spans="1:6" x14ac:dyDescent="0.25">
      <c r="A1210" t="s">
        <v>1529</v>
      </c>
      <c r="B1210" t="s">
        <v>259</v>
      </c>
      <c r="C1210" s="10" t="str" cm="1">
        <f t="array" ref="C1210">IF(AND(A1210="2020-12", ISNA(MATCH(B1210, _xlfn._xlws.FILTER(B:B, A:A="2021-01"), 0))), "Left", "Ativo")</f>
        <v>Ativo</v>
      </c>
      <c r="D1210" s="10" t="str" cm="1">
        <f t="array" ref="D1210">IF(AND(A1210="2021-01", ISNA(MATCH(B1210, _xlfn._xlws.FILTER(B:B, A:A="2021-02"), 0))), "Left", "Ativo")</f>
        <v>Ativo</v>
      </c>
      <c r="E1210" s="10" t="str" cm="1">
        <f t="array" ref="E1210">IF(AND(A1210="2021-02", ISNA(MATCH(B1210, _xlfn._xlws.FILTER(B:B, A:A="2021-03"), 0))), "Left", "Ativo")</f>
        <v>Ativo</v>
      </c>
      <c r="F1210" s="12" t="str" cm="1">
        <f t="array" ref="F1210">IF(AND(A1210="2021-03", ISNA(MATCH(B1210, _xlfn._xlws.FILTER(B:B, A:A="2021-04"), 0))), "Left", "Ativo")</f>
        <v>Ativo</v>
      </c>
    </row>
    <row r="1211" spans="1:6" x14ac:dyDescent="0.25">
      <c r="A1211" t="s">
        <v>1529</v>
      </c>
      <c r="B1211" t="s">
        <v>260</v>
      </c>
      <c r="C1211" s="10" t="str" cm="1">
        <f t="array" ref="C1211">IF(AND(A1211="2020-12", ISNA(MATCH(B1211, _xlfn._xlws.FILTER(B:B, A:A="2021-01"), 0))), "Left", "Ativo")</f>
        <v>Ativo</v>
      </c>
      <c r="D1211" s="10" t="str" cm="1">
        <f t="array" ref="D1211">IF(AND(A1211="2021-01", ISNA(MATCH(B1211, _xlfn._xlws.FILTER(B:B, A:A="2021-02"), 0))), "Left", "Ativo")</f>
        <v>Ativo</v>
      </c>
      <c r="E1211" s="10" t="str" cm="1">
        <f t="array" ref="E1211">IF(AND(A1211="2021-02", ISNA(MATCH(B1211, _xlfn._xlws.FILTER(B:B, A:A="2021-03"), 0))), "Left", "Ativo")</f>
        <v>Ativo</v>
      </c>
      <c r="F1211" s="12" t="str" cm="1">
        <f t="array" ref="F1211">IF(AND(A1211="2021-03", ISNA(MATCH(B1211, _xlfn._xlws.FILTER(B:B, A:A="2021-04"), 0))), "Left", "Ativo")</f>
        <v>Ativo</v>
      </c>
    </row>
    <row r="1212" spans="1:6" x14ac:dyDescent="0.25">
      <c r="A1212" t="s">
        <v>1529</v>
      </c>
      <c r="B1212" t="s">
        <v>261</v>
      </c>
      <c r="C1212" s="10" t="str" cm="1">
        <f t="array" ref="C1212">IF(AND(A1212="2020-12", ISNA(MATCH(B1212, _xlfn._xlws.FILTER(B:B, A:A="2021-01"), 0))), "Left", "Ativo")</f>
        <v>Ativo</v>
      </c>
      <c r="D1212" s="10" t="str" cm="1">
        <f t="array" ref="D1212">IF(AND(A1212="2021-01", ISNA(MATCH(B1212, _xlfn._xlws.FILTER(B:B, A:A="2021-02"), 0))), "Left", "Ativo")</f>
        <v>Ativo</v>
      </c>
      <c r="E1212" s="10" t="str" cm="1">
        <f t="array" ref="E1212">IF(AND(A1212="2021-02", ISNA(MATCH(B1212, _xlfn._xlws.FILTER(B:B, A:A="2021-03"), 0))), "Left", "Ativo")</f>
        <v>Ativo</v>
      </c>
      <c r="F1212" s="12" t="str" cm="1">
        <f t="array" ref="F1212">IF(AND(A1212="2021-03", ISNA(MATCH(B1212, _xlfn._xlws.FILTER(B:B, A:A="2021-04"), 0))), "Left", "Ativo")</f>
        <v>Ativo</v>
      </c>
    </row>
    <row r="1213" spans="1:6" x14ac:dyDescent="0.25">
      <c r="A1213" t="s">
        <v>1529</v>
      </c>
      <c r="B1213" t="s">
        <v>262</v>
      </c>
      <c r="C1213" s="10" t="str" cm="1">
        <f t="array" ref="C1213">IF(AND(A1213="2020-12", ISNA(MATCH(B1213, _xlfn._xlws.FILTER(B:B, A:A="2021-01"), 0))), "Left", "Ativo")</f>
        <v>Ativo</v>
      </c>
      <c r="D1213" s="10" t="str" cm="1">
        <f t="array" ref="D1213">IF(AND(A1213="2021-01", ISNA(MATCH(B1213, _xlfn._xlws.FILTER(B:B, A:A="2021-02"), 0))), "Left", "Ativo")</f>
        <v>Ativo</v>
      </c>
      <c r="E1213" s="10" t="str" cm="1">
        <f t="array" ref="E1213">IF(AND(A1213="2021-02", ISNA(MATCH(B1213, _xlfn._xlws.FILTER(B:B, A:A="2021-03"), 0))), "Left", "Ativo")</f>
        <v>Ativo</v>
      </c>
      <c r="F1213" s="12" t="str" cm="1">
        <f t="array" ref="F1213">IF(AND(A1213="2021-03", ISNA(MATCH(B1213, _xlfn._xlws.FILTER(B:B, A:A="2021-04"), 0))), "Left", "Ativo")</f>
        <v>Ativo</v>
      </c>
    </row>
    <row r="1214" spans="1:6" x14ac:dyDescent="0.25">
      <c r="A1214" t="s">
        <v>1529</v>
      </c>
      <c r="B1214" t="s">
        <v>263</v>
      </c>
      <c r="C1214" s="10" t="str" cm="1">
        <f t="array" ref="C1214">IF(AND(A1214="2020-12", ISNA(MATCH(B1214, _xlfn._xlws.FILTER(B:B, A:A="2021-01"), 0))), "Left", "Ativo")</f>
        <v>Ativo</v>
      </c>
      <c r="D1214" s="10" t="str" cm="1">
        <f t="array" ref="D1214">IF(AND(A1214="2021-01", ISNA(MATCH(B1214, _xlfn._xlws.FILTER(B:B, A:A="2021-02"), 0))), "Left", "Ativo")</f>
        <v>Ativo</v>
      </c>
      <c r="E1214" s="10" t="str" cm="1">
        <f t="array" ref="E1214">IF(AND(A1214="2021-02", ISNA(MATCH(B1214, _xlfn._xlws.FILTER(B:B, A:A="2021-03"), 0))), "Left", "Ativo")</f>
        <v>Ativo</v>
      </c>
      <c r="F1214" s="12" t="str" cm="1">
        <f t="array" ref="F1214">IF(AND(A1214="2021-03", ISNA(MATCH(B1214, _xlfn._xlws.FILTER(B:B, A:A="2021-04"), 0))), "Left", "Ativo")</f>
        <v>Ativo</v>
      </c>
    </row>
    <row r="1215" spans="1:6" x14ac:dyDescent="0.25">
      <c r="A1215" t="s">
        <v>1529</v>
      </c>
      <c r="B1215" t="s">
        <v>264</v>
      </c>
      <c r="C1215" s="10" t="str" cm="1">
        <f t="array" ref="C1215">IF(AND(A1215="2020-12", ISNA(MATCH(B1215, _xlfn._xlws.FILTER(B:B, A:A="2021-01"), 0))), "Left", "Ativo")</f>
        <v>Ativo</v>
      </c>
      <c r="D1215" s="10" t="str" cm="1">
        <f t="array" ref="D1215">IF(AND(A1215="2021-01", ISNA(MATCH(B1215, _xlfn._xlws.FILTER(B:B, A:A="2021-02"), 0))), "Left", "Ativo")</f>
        <v>Ativo</v>
      </c>
      <c r="E1215" s="10" t="str" cm="1">
        <f t="array" ref="E1215">IF(AND(A1215="2021-02", ISNA(MATCH(B1215, _xlfn._xlws.FILTER(B:B, A:A="2021-03"), 0))), "Left", "Ativo")</f>
        <v>Ativo</v>
      </c>
      <c r="F1215" s="12" t="str" cm="1">
        <f t="array" ref="F1215">IF(AND(A1215="2021-03", ISNA(MATCH(B1215, _xlfn._xlws.FILTER(B:B, A:A="2021-04"), 0))), "Left", "Ativo")</f>
        <v>Ativo</v>
      </c>
    </row>
    <row r="1216" spans="1:6" x14ac:dyDescent="0.25">
      <c r="A1216" t="s">
        <v>1529</v>
      </c>
      <c r="B1216" t="s">
        <v>265</v>
      </c>
      <c r="C1216" s="10" t="str" cm="1">
        <f t="array" ref="C1216">IF(AND(A1216="2020-12", ISNA(MATCH(B1216, _xlfn._xlws.FILTER(B:B, A:A="2021-01"), 0))), "Left", "Ativo")</f>
        <v>Ativo</v>
      </c>
      <c r="D1216" s="10" t="str" cm="1">
        <f t="array" ref="D1216">IF(AND(A1216="2021-01", ISNA(MATCH(B1216, _xlfn._xlws.FILTER(B:B, A:A="2021-02"), 0))), "Left", "Ativo")</f>
        <v>Ativo</v>
      </c>
      <c r="E1216" s="10" t="str" cm="1">
        <f t="array" ref="E1216">IF(AND(A1216="2021-02", ISNA(MATCH(B1216, _xlfn._xlws.FILTER(B:B, A:A="2021-03"), 0))), "Left", "Ativo")</f>
        <v>Ativo</v>
      </c>
      <c r="F1216" s="12" t="str" cm="1">
        <f t="array" ref="F1216">IF(AND(A1216="2021-03", ISNA(MATCH(B1216, _xlfn._xlws.FILTER(B:B, A:A="2021-04"), 0))), "Left", "Ativo")</f>
        <v>Ativo</v>
      </c>
    </row>
    <row r="1217" spans="1:6" x14ac:dyDescent="0.25">
      <c r="A1217" t="s">
        <v>1529</v>
      </c>
      <c r="B1217" t="s">
        <v>266</v>
      </c>
      <c r="C1217" s="10" t="str" cm="1">
        <f t="array" ref="C1217">IF(AND(A1217="2020-12", ISNA(MATCH(B1217, _xlfn._xlws.FILTER(B:B, A:A="2021-01"), 0))), "Left", "Ativo")</f>
        <v>Ativo</v>
      </c>
      <c r="D1217" s="10" t="str" cm="1">
        <f t="array" ref="D1217">IF(AND(A1217="2021-01", ISNA(MATCH(B1217, _xlfn._xlws.FILTER(B:B, A:A="2021-02"), 0))), "Left", "Ativo")</f>
        <v>Ativo</v>
      </c>
      <c r="E1217" s="10" t="str" cm="1">
        <f t="array" ref="E1217">IF(AND(A1217="2021-02", ISNA(MATCH(B1217, _xlfn._xlws.FILTER(B:B, A:A="2021-03"), 0))), "Left", "Ativo")</f>
        <v>Ativo</v>
      </c>
      <c r="F1217" s="12" t="str" cm="1">
        <f t="array" ref="F1217">IF(AND(A1217="2021-03", ISNA(MATCH(B1217, _xlfn._xlws.FILTER(B:B, A:A="2021-04"), 0))), "Left", "Ativo")</f>
        <v>Ativo</v>
      </c>
    </row>
    <row r="1218" spans="1:6" x14ac:dyDescent="0.25">
      <c r="A1218" t="s">
        <v>1529</v>
      </c>
      <c r="B1218" t="s">
        <v>267</v>
      </c>
      <c r="C1218" s="10" t="str" cm="1">
        <f t="array" ref="C1218">IF(AND(A1218="2020-12", ISNA(MATCH(B1218, _xlfn._xlws.FILTER(B:B, A:A="2021-01"), 0))), "Left", "Ativo")</f>
        <v>Ativo</v>
      </c>
      <c r="D1218" s="10" t="str" cm="1">
        <f t="array" ref="D1218">IF(AND(A1218="2021-01", ISNA(MATCH(B1218, _xlfn._xlws.FILTER(B:B, A:A="2021-02"), 0))), "Left", "Ativo")</f>
        <v>Ativo</v>
      </c>
      <c r="E1218" s="10" t="str" cm="1">
        <f t="array" ref="E1218">IF(AND(A1218="2021-02", ISNA(MATCH(B1218, _xlfn._xlws.FILTER(B:B, A:A="2021-03"), 0))), "Left", "Ativo")</f>
        <v>Ativo</v>
      </c>
      <c r="F1218" s="12" t="str" cm="1">
        <f t="array" ref="F1218">IF(AND(A1218="2021-03", ISNA(MATCH(B1218, _xlfn._xlws.FILTER(B:B, A:A="2021-04"), 0))), "Left", "Ativo")</f>
        <v>Ativo</v>
      </c>
    </row>
    <row r="1219" spans="1:6" x14ac:dyDescent="0.25">
      <c r="A1219" t="s">
        <v>1529</v>
      </c>
      <c r="B1219" t="s">
        <v>268</v>
      </c>
      <c r="C1219" s="10" t="str" cm="1">
        <f t="array" ref="C1219">IF(AND(A1219="2020-12", ISNA(MATCH(B1219, _xlfn._xlws.FILTER(B:B, A:A="2021-01"), 0))), "Left", "Ativo")</f>
        <v>Ativo</v>
      </c>
      <c r="D1219" s="10" t="str" cm="1">
        <f t="array" ref="D1219">IF(AND(A1219="2021-01", ISNA(MATCH(B1219, _xlfn._xlws.FILTER(B:B, A:A="2021-02"), 0))), "Left", "Ativo")</f>
        <v>Ativo</v>
      </c>
      <c r="E1219" s="10" t="str" cm="1">
        <f t="array" ref="E1219">IF(AND(A1219="2021-02", ISNA(MATCH(B1219, _xlfn._xlws.FILTER(B:B, A:A="2021-03"), 0))), "Left", "Ativo")</f>
        <v>Ativo</v>
      </c>
      <c r="F1219" s="12" t="str" cm="1">
        <f t="array" ref="F1219">IF(AND(A1219="2021-03", ISNA(MATCH(B1219, _xlfn._xlws.FILTER(B:B, A:A="2021-04"), 0))), "Left", "Ativo")</f>
        <v>Ativo</v>
      </c>
    </row>
    <row r="1220" spans="1:6" x14ac:dyDescent="0.25">
      <c r="A1220" t="s">
        <v>1529</v>
      </c>
      <c r="B1220" t="s">
        <v>269</v>
      </c>
      <c r="C1220" s="10" t="str" cm="1">
        <f t="array" ref="C1220">IF(AND(A1220="2020-12", ISNA(MATCH(B1220, _xlfn._xlws.FILTER(B:B, A:A="2021-01"), 0))), "Left", "Ativo")</f>
        <v>Ativo</v>
      </c>
      <c r="D1220" s="10" t="str" cm="1">
        <f t="array" ref="D1220">IF(AND(A1220="2021-01", ISNA(MATCH(B1220, _xlfn._xlws.FILTER(B:B, A:A="2021-02"), 0))), "Left", "Ativo")</f>
        <v>Ativo</v>
      </c>
      <c r="E1220" s="10" t="str" cm="1">
        <f t="array" ref="E1220">IF(AND(A1220="2021-02", ISNA(MATCH(B1220, _xlfn._xlws.FILTER(B:B, A:A="2021-03"), 0))), "Left", "Ativo")</f>
        <v>Ativo</v>
      </c>
      <c r="F1220" s="12" t="str" cm="1">
        <f t="array" ref="F1220">IF(AND(A1220="2021-03", ISNA(MATCH(B1220, _xlfn._xlws.FILTER(B:B, A:A="2021-04"), 0))), "Left", "Ativo")</f>
        <v>Ativo</v>
      </c>
    </row>
    <row r="1221" spans="1:6" x14ac:dyDescent="0.25">
      <c r="A1221" t="s">
        <v>1529</v>
      </c>
      <c r="B1221" t="s">
        <v>270</v>
      </c>
      <c r="C1221" s="10" t="str" cm="1">
        <f t="array" ref="C1221">IF(AND(A1221="2020-12", ISNA(MATCH(B1221, _xlfn._xlws.FILTER(B:B, A:A="2021-01"), 0))), "Left", "Ativo")</f>
        <v>Ativo</v>
      </c>
      <c r="D1221" s="10" t="str" cm="1">
        <f t="array" ref="D1221">IF(AND(A1221="2021-01", ISNA(MATCH(B1221, _xlfn._xlws.FILTER(B:B, A:A="2021-02"), 0))), "Left", "Ativo")</f>
        <v>Ativo</v>
      </c>
      <c r="E1221" s="10" t="str" cm="1">
        <f t="array" ref="E1221">IF(AND(A1221="2021-02", ISNA(MATCH(B1221, _xlfn._xlws.FILTER(B:B, A:A="2021-03"), 0))), "Left", "Ativo")</f>
        <v>Ativo</v>
      </c>
      <c r="F1221" s="12" t="str" cm="1">
        <f t="array" ref="F1221">IF(AND(A1221="2021-03", ISNA(MATCH(B1221, _xlfn._xlws.FILTER(B:B, A:A="2021-04"), 0))), "Left", "Ativo")</f>
        <v>Ativo</v>
      </c>
    </row>
    <row r="1222" spans="1:6" x14ac:dyDescent="0.25">
      <c r="A1222" t="s">
        <v>1529</v>
      </c>
      <c r="B1222" t="s">
        <v>271</v>
      </c>
      <c r="C1222" s="10" t="str" cm="1">
        <f t="array" ref="C1222">IF(AND(A1222="2020-12", ISNA(MATCH(B1222, _xlfn._xlws.FILTER(B:B, A:A="2021-01"), 0))), "Left", "Ativo")</f>
        <v>Ativo</v>
      </c>
      <c r="D1222" s="10" t="str" cm="1">
        <f t="array" ref="D1222">IF(AND(A1222="2021-01", ISNA(MATCH(B1222, _xlfn._xlws.FILTER(B:B, A:A="2021-02"), 0))), "Left", "Ativo")</f>
        <v>Ativo</v>
      </c>
      <c r="E1222" s="10" t="str" cm="1">
        <f t="array" ref="E1222">IF(AND(A1222="2021-02", ISNA(MATCH(B1222, _xlfn._xlws.FILTER(B:B, A:A="2021-03"), 0))), "Left", "Ativo")</f>
        <v>Ativo</v>
      </c>
      <c r="F1222" s="12" t="str" cm="1">
        <f t="array" ref="F1222">IF(AND(A1222="2021-03", ISNA(MATCH(B1222, _xlfn._xlws.FILTER(B:B, A:A="2021-04"), 0))), "Left", "Ativo")</f>
        <v>Ativo</v>
      </c>
    </row>
    <row r="1223" spans="1:6" x14ac:dyDescent="0.25">
      <c r="A1223" t="s">
        <v>1529</v>
      </c>
      <c r="B1223" t="s">
        <v>272</v>
      </c>
      <c r="C1223" s="10" t="str" cm="1">
        <f t="array" ref="C1223">IF(AND(A1223="2020-12", ISNA(MATCH(B1223, _xlfn._xlws.FILTER(B:B, A:A="2021-01"), 0))), "Left", "Ativo")</f>
        <v>Ativo</v>
      </c>
      <c r="D1223" s="10" t="str" cm="1">
        <f t="array" ref="D1223">IF(AND(A1223="2021-01", ISNA(MATCH(B1223, _xlfn._xlws.FILTER(B:B, A:A="2021-02"), 0))), "Left", "Ativo")</f>
        <v>Ativo</v>
      </c>
      <c r="E1223" s="10" t="str" cm="1">
        <f t="array" ref="E1223">IF(AND(A1223="2021-02", ISNA(MATCH(B1223, _xlfn._xlws.FILTER(B:B, A:A="2021-03"), 0))), "Left", "Ativo")</f>
        <v>Ativo</v>
      </c>
      <c r="F1223" s="12" t="str" cm="1">
        <f t="array" ref="F1223">IF(AND(A1223="2021-03", ISNA(MATCH(B1223, _xlfn._xlws.FILTER(B:B, A:A="2021-04"), 0))), "Left", "Ativo")</f>
        <v>Ativo</v>
      </c>
    </row>
    <row r="1224" spans="1:6" x14ac:dyDescent="0.25">
      <c r="A1224" t="s">
        <v>1529</v>
      </c>
      <c r="B1224" t="s">
        <v>273</v>
      </c>
      <c r="C1224" s="10" t="str" cm="1">
        <f t="array" ref="C1224">IF(AND(A1224="2020-12", ISNA(MATCH(B1224, _xlfn._xlws.FILTER(B:B, A:A="2021-01"), 0))), "Left", "Ativo")</f>
        <v>Ativo</v>
      </c>
      <c r="D1224" s="10" t="str" cm="1">
        <f t="array" ref="D1224">IF(AND(A1224="2021-01", ISNA(MATCH(B1224, _xlfn._xlws.FILTER(B:B, A:A="2021-02"), 0))), "Left", "Ativo")</f>
        <v>Ativo</v>
      </c>
      <c r="E1224" s="10" t="str" cm="1">
        <f t="array" ref="E1224">IF(AND(A1224="2021-02", ISNA(MATCH(B1224, _xlfn._xlws.FILTER(B:B, A:A="2021-03"), 0))), "Left", "Ativo")</f>
        <v>Ativo</v>
      </c>
      <c r="F1224" s="12" t="str" cm="1">
        <f t="array" ref="F1224">IF(AND(A1224="2021-03", ISNA(MATCH(B1224, _xlfn._xlws.FILTER(B:B, A:A="2021-04"), 0))), "Left", "Ativo")</f>
        <v>Ativo</v>
      </c>
    </row>
    <row r="1225" spans="1:6" x14ac:dyDescent="0.25">
      <c r="A1225" t="s">
        <v>1529</v>
      </c>
      <c r="B1225" t="s">
        <v>274</v>
      </c>
      <c r="C1225" s="10" t="str" cm="1">
        <f t="array" ref="C1225">IF(AND(A1225="2020-12", ISNA(MATCH(B1225, _xlfn._xlws.FILTER(B:B, A:A="2021-01"), 0))), "Left", "Ativo")</f>
        <v>Ativo</v>
      </c>
      <c r="D1225" s="10" t="str" cm="1">
        <f t="array" ref="D1225">IF(AND(A1225="2021-01", ISNA(MATCH(B1225, _xlfn._xlws.FILTER(B:B, A:A="2021-02"), 0))), "Left", "Ativo")</f>
        <v>Ativo</v>
      </c>
      <c r="E1225" s="10" t="str" cm="1">
        <f t="array" ref="E1225">IF(AND(A1225="2021-02", ISNA(MATCH(B1225, _xlfn._xlws.FILTER(B:B, A:A="2021-03"), 0))), "Left", "Ativo")</f>
        <v>Ativo</v>
      </c>
      <c r="F1225" s="12" t="str" cm="1">
        <f t="array" ref="F1225">IF(AND(A1225="2021-03", ISNA(MATCH(B1225, _xlfn._xlws.FILTER(B:B, A:A="2021-04"), 0))), "Left", "Ativo")</f>
        <v>Ativo</v>
      </c>
    </row>
    <row r="1226" spans="1:6" x14ac:dyDescent="0.25">
      <c r="A1226" t="s">
        <v>1529</v>
      </c>
      <c r="B1226" t="s">
        <v>275</v>
      </c>
      <c r="C1226" s="10" t="str" cm="1">
        <f t="array" ref="C1226">IF(AND(A1226="2020-12", ISNA(MATCH(B1226, _xlfn._xlws.FILTER(B:B, A:A="2021-01"), 0))), "Left", "Ativo")</f>
        <v>Ativo</v>
      </c>
      <c r="D1226" s="10" t="str" cm="1">
        <f t="array" ref="D1226">IF(AND(A1226="2021-01", ISNA(MATCH(B1226, _xlfn._xlws.FILTER(B:B, A:A="2021-02"), 0))), "Left", "Ativo")</f>
        <v>Ativo</v>
      </c>
      <c r="E1226" s="10" t="str" cm="1">
        <f t="array" ref="E1226">IF(AND(A1226="2021-02", ISNA(MATCH(B1226, _xlfn._xlws.FILTER(B:B, A:A="2021-03"), 0))), "Left", "Ativo")</f>
        <v>Ativo</v>
      </c>
      <c r="F1226" s="12" t="str" cm="1">
        <f t="array" ref="F1226">IF(AND(A1226="2021-03", ISNA(MATCH(B1226, _xlfn._xlws.FILTER(B:B, A:A="2021-04"), 0))), "Left", "Ativo")</f>
        <v>Ativo</v>
      </c>
    </row>
    <row r="1227" spans="1:6" x14ac:dyDescent="0.25">
      <c r="A1227" t="s">
        <v>1529</v>
      </c>
      <c r="B1227" t="s">
        <v>276</v>
      </c>
      <c r="C1227" s="10" t="str" cm="1">
        <f t="array" ref="C1227">IF(AND(A1227="2020-12", ISNA(MATCH(B1227, _xlfn._xlws.FILTER(B:B, A:A="2021-01"), 0))), "Left", "Ativo")</f>
        <v>Ativo</v>
      </c>
      <c r="D1227" s="10" t="str" cm="1">
        <f t="array" ref="D1227">IF(AND(A1227="2021-01", ISNA(MATCH(B1227, _xlfn._xlws.FILTER(B:B, A:A="2021-02"), 0))), "Left", "Ativo")</f>
        <v>Ativo</v>
      </c>
      <c r="E1227" s="10" t="str" cm="1">
        <f t="array" ref="E1227">IF(AND(A1227="2021-02", ISNA(MATCH(B1227, _xlfn._xlws.FILTER(B:B, A:A="2021-03"), 0))), "Left", "Ativo")</f>
        <v>Ativo</v>
      </c>
      <c r="F1227" s="12" t="str" cm="1">
        <f t="array" ref="F1227">IF(AND(A1227="2021-03", ISNA(MATCH(B1227, _xlfn._xlws.FILTER(B:B, A:A="2021-04"), 0))), "Left", "Ativo")</f>
        <v>Ativo</v>
      </c>
    </row>
    <row r="1228" spans="1:6" x14ac:dyDescent="0.25">
      <c r="A1228" t="s">
        <v>1529</v>
      </c>
      <c r="B1228" t="s">
        <v>277</v>
      </c>
      <c r="C1228" s="10" t="str" cm="1">
        <f t="array" ref="C1228">IF(AND(A1228="2020-12", ISNA(MATCH(B1228, _xlfn._xlws.FILTER(B:B, A:A="2021-01"), 0))), "Left", "Ativo")</f>
        <v>Ativo</v>
      </c>
      <c r="D1228" s="10" t="str" cm="1">
        <f t="array" ref="D1228">IF(AND(A1228="2021-01", ISNA(MATCH(B1228, _xlfn._xlws.FILTER(B:B, A:A="2021-02"), 0))), "Left", "Ativo")</f>
        <v>Ativo</v>
      </c>
      <c r="E1228" s="10" t="str" cm="1">
        <f t="array" ref="E1228">IF(AND(A1228="2021-02", ISNA(MATCH(B1228, _xlfn._xlws.FILTER(B:B, A:A="2021-03"), 0))), "Left", "Ativo")</f>
        <v>Ativo</v>
      </c>
      <c r="F1228" s="12" t="str" cm="1">
        <f t="array" ref="F1228">IF(AND(A1228="2021-03", ISNA(MATCH(B1228, _xlfn._xlws.FILTER(B:B, A:A="2021-04"), 0))), "Left", "Ativo")</f>
        <v>Ativo</v>
      </c>
    </row>
    <row r="1229" spans="1:6" x14ac:dyDescent="0.25">
      <c r="A1229" t="s">
        <v>1529</v>
      </c>
      <c r="B1229" t="s">
        <v>278</v>
      </c>
      <c r="C1229" s="10" t="str" cm="1">
        <f t="array" ref="C1229">IF(AND(A1229="2020-12", ISNA(MATCH(B1229, _xlfn._xlws.FILTER(B:B, A:A="2021-01"), 0))), "Left", "Ativo")</f>
        <v>Ativo</v>
      </c>
      <c r="D1229" s="10" t="str" cm="1">
        <f t="array" ref="D1229">IF(AND(A1229="2021-01", ISNA(MATCH(B1229, _xlfn._xlws.FILTER(B:B, A:A="2021-02"), 0))), "Left", "Ativo")</f>
        <v>Ativo</v>
      </c>
      <c r="E1229" s="10" t="str" cm="1">
        <f t="array" ref="E1229">IF(AND(A1229="2021-02", ISNA(MATCH(B1229, _xlfn._xlws.FILTER(B:B, A:A="2021-03"), 0))), "Left", "Ativo")</f>
        <v>Ativo</v>
      </c>
      <c r="F1229" s="12" t="str" cm="1">
        <f t="array" ref="F1229">IF(AND(A1229="2021-03", ISNA(MATCH(B1229, _xlfn._xlws.FILTER(B:B, A:A="2021-04"), 0))), "Left", "Ativo")</f>
        <v>Ativo</v>
      </c>
    </row>
    <row r="1230" spans="1:6" x14ac:dyDescent="0.25">
      <c r="A1230" t="s">
        <v>1529</v>
      </c>
      <c r="B1230" t="s">
        <v>279</v>
      </c>
      <c r="C1230" s="10" t="str" cm="1">
        <f t="array" ref="C1230">IF(AND(A1230="2020-12", ISNA(MATCH(B1230, _xlfn._xlws.FILTER(B:B, A:A="2021-01"), 0))), "Left", "Ativo")</f>
        <v>Ativo</v>
      </c>
      <c r="D1230" s="10" t="str" cm="1">
        <f t="array" ref="D1230">IF(AND(A1230="2021-01", ISNA(MATCH(B1230, _xlfn._xlws.FILTER(B:B, A:A="2021-02"), 0))), "Left", "Ativo")</f>
        <v>Ativo</v>
      </c>
      <c r="E1230" s="10" t="str" cm="1">
        <f t="array" ref="E1230">IF(AND(A1230="2021-02", ISNA(MATCH(B1230, _xlfn._xlws.FILTER(B:B, A:A="2021-03"), 0))), "Left", "Ativo")</f>
        <v>Ativo</v>
      </c>
      <c r="F1230" s="12" t="str" cm="1">
        <f t="array" ref="F1230">IF(AND(A1230="2021-03", ISNA(MATCH(B1230, _xlfn._xlws.FILTER(B:B, A:A="2021-04"), 0))), "Left", "Ativo")</f>
        <v>Ativo</v>
      </c>
    </row>
    <row r="1231" spans="1:6" x14ac:dyDescent="0.25">
      <c r="A1231" t="s">
        <v>1529</v>
      </c>
      <c r="B1231" t="s">
        <v>280</v>
      </c>
      <c r="C1231" s="10" t="str" cm="1">
        <f t="array" ref="C1231">IF(AND(A1231="2020-12", ISNA(MATCH(B1231, _xlfn._xlws.FILTER(B:B, A:A="2021-01"), 0))), "Left", "Ativo")</f>
        <v>Ativo</v>
      </c>
      <c r="D1231" s="10" t="str" cm="1">
        <f t="array" ref="D1231">IF(AND(A1231="2021-01", ISNA(MATCH(B1231, _xlfn._xlws.FILTER(B:B, A:A="2021-02"), 0))), "Left", "Ativo")</f>
        <v>Ativo</v>
      </c>
      <c r="E1231" s="10" t="str" cm="1">
        <f t="array" ref="E1231">IF(AND(A1231="2021-02", ISNA(MATCH(B1231, _xlfn._xlws.FILTER(B:B, A:A="2021-03"), 0))), "Left", "Ativo")</f>
        <v>Ativo</v>
      </c>
      <c r="F1231" s="12" t="str" cm="1">
        <f t="array" ref="F1231">IF(AND(A1231="2021-03", ISNA(MATCH(B1231, _xlfn._xlws.FILTER(B:B, A:A="2021-04"), 0))), "Left", "Ativo")</f>
        <v>Ativo</v>
      </c>
    </row>
    <row r="1232" spans="1:6" x14ac:dyDescent="0.25">
      <c r="A1232" t="s">
        <v>1529</v>
      </c>
      <c r="B1232" t="s">
        <v>281</v>
      </c>
      <c r="C1232" s="10" t="str" cm="1">
        <f t="array" ref="C1232">IF(AND(A1232="2020-12", ISNA(MATCH(B1232, _xlfn._xlws.FILTER(B:B, A:A="2021-01"), 0))), "Left", "Ativo")</f>
        <v>Ativo</v>
      </c>
      <c r="D1232" s="10" t="str" cm="1">
        <f t="array" ref="D1232">IF(AND(A1232="2021-01", ISNA(MATCH(B1232, _xlfn._xlws.FILTER(B:B, A:A="2021-02"), 0))), "Left", "Ativo")</f>
        <v>Ativo</v>
      </c>
      <c r="E1232" s="10" t="str" cm="1">
        <f t="array" ref="E1232">IF(AND(A1232="2021-02", ISNA(MATCH(B1232, _xlfn._xlws.FILTER(B:B, A:A="2021-03"), 0))), "Left", "Ativo")</f>
        <v>Ativo</v>
      </c>
      <c r="F1232" s="12" t="str" cm="1">
        <f t="array" ref="F1232">IF(AND(A1232="2021-03", ISNA(MATCH(B1232, _xlfn._xlws.FILTER(B:B, A:A="2021-04"), 0))), "Left", "Ativo")</f>
        <v>Ativo</v>
      </c>
    </row>
    <row r="1233" spans="1:6" x14ac:dyDescent="0.25">
      <c r="A1233" t="s">
        <v>1529</v>
      </c>
      <c r="B1233" t="s">
        <v>282</v>
      </c>
      <c r="C1233" s="10" t="str" cm="1">
        <f t="array" ref="C1233">IF(AND(A1233="2020-12", ISNA(MATCH(B1233, _xlfn._xlws.FILTER(B:B, A:A="2021-01"), 0))), "Left", "Ativo")</f>
        <v>Ativo</v>
      </c>
      <c r="D1233" s="10" t="str" cm="1">
        <f t="array" ref="D1233">IF(AND(A1233="2021-01", ISNA(MATCH(B1233, _xlfn._xlws.FILTER(B:B, A:A="2021-02"), 0))), "Left", "Ativo")</f>
        <v>Ativo</v>
      </c>
      <c r="E1233" s="10" t="str" cm="1">
        <f t="array" ref="E1233">IF(AND(A1233="2021-02", ISNA(MATCH(B1233, _xlfn._xlws.FILTER(B:B, A:A="2021-03"), 0))), "Left", "Ativo")</f>
        <v>Ativo</v>
      </c>
      <c r="F1233" s="12" t="str" cm="1">
        <f t="array" ref="F1233">IF(AND(A1233="2021-03", ISNA(MATCH(B1233, _xlfn._xlws.FILTER(B:B, A:A="2021-04"), 0))), "Left", "Ativo")</f>
        <v>Ativo</v>
      </c>
    </row>
    <row r="1234" spans="1:6" x14ac:dyDescent="0.25">
      <c r="A1234" t="s">
        <v>1529</v>
      </c>
      <c r="B1234" t="s">
        <v>283</v>
      </c>
      <c r="C1234" s="10" t="str" cm="1">
        <f t="array" ref="C1234">IF(AND(A1234="2020-12", ISNA(MATCH(B1234, _xlfn._xlws.FILTER(B:B, A:A="2021-01"), 0))), "Left", "Ativo")</f>
        <v>Ativo</v>
      </c>
      <c r="D1234" s="10" t="str" cm="1">
        <f t="array" ref="D1234">IF(AND(A1234="2021-01", ISNA(MATCH(B1234, _xlfn._xlws.FILTER(B:B, A:A="2021-02"), 0))), "Left", "Ativo")</f>
        <v>Ativo</v>
      </c>
      <c r="E1234" s="10" t="str" cm="1">
        <f t="array" ref="E1234">IF(AND(A1234="2021-02", ISNA(MATCH(B1234, _xlfn._xlws.FILTER(B:B, A:A="2021-03"), 0))), "Left", "Ativo")</f>
        <v>Ativo</v>
      </c>
      <c r="F1234" s="12" t="str" cm="1">
        <f t="array" ref="F1234">IF(AND(A1234="2021-03", ISNA(MATCH(B1234, _xlfn._xlws.FILTER(B:B, A:A="2021-04"), 0))), "Left", "Ativo")</f>
        <v>Ativo</v>
      </c>
    </row>
    <row r="1235" spans="1:6" x14ac:dyDescent="0.25">
      <c r="A1235" t="s">
        <v>1529</v>
      </c>
      <c r="B1235" t="s">
        <v>284</v>
      </c>
      <c r="C1235" s="10" t="str" cm="1">
        <f t="array" ref="C1235">IF(AND(A1235="2020-12", ISNA(MATCH(B1235, _xlfn._xlws.FILTER(B:B, A:A="2021-01"), 0))), "Left", "Ativo")</f>
        <v>Ativo</v>
      </c>
      <c r="D1235" s="10" t="str" cm="1">
        <f t="array" ref="D1235">IF(AND(A1235="2021-01", ISNA(MATCH(B1235, _xlfn._xlws.FILTER(B:B, A:A="2021-02"), 0))), "Left", "Ativo")</f>
        <v>Ativo</v>
      </c>
      <c r="E1235" s="10" t="str" cm="1">
        <f t="array" ref="E1235">IF(AND(A1235="2021-02", ISNA(MATCH(B1235, _xlfn._xlws.FILTER(B:B, A:A="2021-03"), 0))), "Left", "Ativo")</f>
        <v>Ativo</v>
      </c>
      <c r="F1235" s="12" t="str" cm="1">
        <f t="array" ref="F1235">IF(AND(A1235="2021-03", ISNA(MATCH(B1235, _xlfn._xlws.FILTER(B:B, A:A="2021-04"), 0))), "Left", "Ativo")</f>
        <v>Ativo</v>
      </c>
    </row>
    <row r="1236" spans="1:6" x14ac:dyDescent="0.25">
      <c r="A1236" t="s">
        <v>1529</v>
      </c>
      <c r="B1236" t="s">
        <v>285</v>
      </c>
      <c r="C1236" s="10" t="str" cm="1">
        <f t="array" ref="C1236">IF(AND(A1236="2020-12", ISNA(MATCH(B1236, _xlfn._xlws.FILTER(B:B, A:A="2021-01"), 0))), "Left", "Ativo")</f>
        <v>Ativo</v>
      </c>
      <c r="D1236" s="10" t="str" cm="1">
        <f t="array" ref="D1236">IF(AND(A1236="2021-01", ISNA(MATCH(B1236, _xlfn._xlws.FILTER(B:B, A:A="2021-02"), 0))), "Left", "Ativo")</f>
        <v>Ativo</v>
      </c>
      <c r="E1236" s="10" t="str" cm="1">
        <f t="array" ref="E1236">IF(AND(A1236="2021-02", ISNA(MATCH(B1236, _xlfn._xlws.FILTER(B:B, A:A="2021-03"), 0))), "Left", "Ativo")</f>
        <v>Ativo</v>
      </c>
      <c r="F1236" s="12" t="str" cm="1">
        <f t="array" ref="F1236">IF(AND(A1236="2021-03", ISNA(MATCH(B1236, _xlfn._xlws.FILTER(B:B, A:A="2021-04"), 0))), "Left", "Ativo")</f>
        <v>Ativo</v>
      </c>
    </row>
    <row r="1237" spans="1:6" x14ac:dyDescent="0.25">
      <c r="A1237" t="s">
        <v>1529</v>
      </c>
      <c r="B1237" t="s">
        <v>286</v>
      </c>
      <c r="C1237" s="10" t="str" cm="1">
        <f t="array" ref="C1237">IF(AND(A1237="2020-12", ISNA(MATCH(B1237, _xlfn._xlws.FILTER(B:B, A:A="2021-01"), 0))), "Left", "Ativo")</f>
        <v>Ativo</v>
      </c>
      <c r="D1237" s="10" t="str" cm="1">
        <f t="array" ref="D1237">IF(AND(A1237="2021-01", ISNA(MATCH(B1237, _xlfn._xlws.FILTER(B:B, A:A="2021-02"), 0))), "Left", "Ativo")</f>
        <v>Ativo</v>
      </c>
      <c r="E1237" s="10" t="str" cm="1">
        <f t="array" ref="E1237">IF(AND(A1237="2021-02", ISNA(MATCH(B1237, _xlfn._xlws.FILTER(B:B, A:A="2021-03"), 0))), "Left", "Ativo")</f>
        <v>Ativo</v>
      </c>
      <c r="F1237" s="12" t="str" cm="1">
        <f t="array" ref="F1237">IF(AND(A1237="2021-03", ISNA(MATCH(B1237, _xlfn._xlws.FILTER(B:B, A:A="2021-04"), 0))), "Left", "Ativo")</f>
        <v>Ativo</v>
      </c>
    </row>
    <row r="1238" spans="1:6" x14ac:dyDescent="0.25">
      <c r="A1238" t="s">
        <v>1529</v>
      </c>
      <c r="B1238" t="s">
        <v>287</v>
      </c>
      <c r="C1238" s="10" t="str" cm="1">
        <f t="array" ref="C1238">IF(AND(A1238="2020-12", ISNA(MATCH(B1238, _xlfn._xlws.FILTER(B:B, A:A="2021-01"), 0))), "Left", "Ativo")</f>
        <v>Ativo</v>
      </c>
      <c r="D1238" s="10" t="str" cm="1">
        <f t="array" ref="D1238">IF(AND(A1238="2021-01", ISNA(MATCH(B1238, _xlfn._xlws.FILTER(B:B, A:A="2021-02"), 0))), "Left", "Ativo")</f>
        <v>Ativo</v>
      </c>
      <c r="E1238" s="10" t="str" cm="1">
        <f t="array" ref="E1238">IF(AND(A1238="2021-02", ISNA(MATCH(B1238, _xlfn._xlws.FILTER(B:B, A:A="2021-03"), 0))), "Left", "Ativo")</f>
        <v>Ativo</v>
      </c>
      <c r="F1238" s="12" t="str" cm="1">
        <f t="array" ref="F1238">IF(AND(A1238="2021-03", ISNA(MATCH(B1238, _xlfn._xlws.FILTER(B:B, A:A="2021-04"), 0))), "Left", "Ativo")</f>
        <v>Ativo</v>
      </c>
    </row>
    <row r="1239" spans="1:6" x14ac:dyDescent="0.25">
      <c r="A1239" t="s">
        <v>1529</v>
      </c>
      <c r="B1239" t="s">
        <v>288</v>
      </c>
      <c r="C1239" s="10" t="str" cm="1">
        <f t="array" ref="C1239">IF(AND(A1239="2020-12", ISNA(MATCH(B1239, _xlfn._xlws.FILTER(B:B, A:A="2021-01"), 0))), "Left", "Ativo")</f>
        <v>Ativo</v>
      </c>
      <c r="D1239" s="10" t="str" cm="1">
        <f t="array" ref="D1239">IF(AND(A1239="2021-01", ISNA(MATCH(B1239, _xlfn._xlws.FILTER(B:B, A:A="2021-02"), 0))), "Left", "Ativo")</f>
        <v>Ativo</v>
      </c>
      <c r="E1239" s="10" t="str" cm="1">
        <f t="array" ref="E1239">IF(AND(A1239="2021-02", ISNA(MATCH(B1239, _xlfn._xlws.FILTER(B:B, A:A="2021-03"), 0))), "Left", "Ativo")</f>
        <v>Ativo</v>
      </c>
      <c r="F1239" s="12" t="str" cm="1">
        <f t="array" ref="F1239">IF(AND(A1239="2021-03", ISNA(MATCH(B1239, _xlfn._xlws.FILTER(B:B, A:A="2021-04"), 0))), "Left", "Ativo")</f>
        <v>Ativo</v>
      </c>
    </row>
    <row r="1240" spans="1:6" x14ac:dyDescent="0.25">
      <c r="A1240" t="s">
        <v>1529</v>
      </c>
      <c r="B1240" t="s">
        <v>289</v>
      </c>
      <c r="C1240" s="10" t="str" cm="1">
        <f t="array" ref="C1240">IF(AND(A1240="2020-12", ISNA(MATCH(B1240, _xlfn._xlws.FILTER(B:B, A:A="2021-01"), 0))), "Left", "Ativo")</f>
        <v>Ativo</v>
      </c>
      <c r="D1240" s="10" t="str" cm="1">
        <f t="array" ref="D1240">IF(AND(A1240="2021-01", ISNA(MATCH(B1240, _xlfn._xlws.FILTER(B:B, A:A="2021-02"), 0))), "Left", "Ativo")</f>
        <v>Ativo</v>
      </c>
      <c r="E1240" s="10" t="str" cm="1">
        <f t="array" ref="E1240">IF(AND(A1240="2021-02", ISNA(MATCH(B1240, _xlfn._xlws.FILTER(B:B, A:A="2021-03"), 0))), "Left", "Ativo")</f>
        <v>Ativo</v>
      </c>
      <c r="F1240" s="12" t="str" cm="1">
        <f t="array" ref="F1240">IF(AND(A1240="2021-03", ISNA(MATCH(B1240, _xlfn._xlws.FILTER(B:B, A:A="2021-04"), 0))), "Left", "Ativo")</f>
        <v>Ativo</v>
      </c>
    </row>
    <row r="1241" spans="1:6" x14ac:dyDescent="0.25">
      <c r="A1241" t="s">
        <v>1529</v>
      </c>
      <c r="B1241" t="s">
        <v>290</v>
      </c>
      <c r="C1241" s="10" t="str" cm="1">
        <f t="array" ref="C1241">IF(AND(A1241="2020-12", ISNA(MATCH(B1241, _xlfn._xlws.FILTER(B:B, A:A="2021-01"), 0))), "Left", "Ativo")</f>
        <v>Ativo</v>
      </c>
      <c r="D1241" s="10" t="str" cm="1">
        <f t="array" ref="D1241">IF(AND(A1241="2021-01", ISNA(MATCH(B1241, _xlfn._xlws.FILTER(B:B, A:A="2021-02"), 0))), "Left", "Ativo")</f>
        <v>Ativo</v>
      </c>
      <c r="E1241" s="10" t="str" cm="1">
        <f t="array" ref="E1241">IF(AND(A1241="2021-02", ISNA(MATCH(B1241, _xlfn._xlws.FILTER(B:B, A:A="2021-03"), 0))), "Left", "Ativo")</f>
        <v>Ativo</v>
      </c>
      <c r="F1241" s="12" t="str" cm="1">
        <f t="array" ref="F1241">IF(AND(A1241="2021-03", ISNA(MATCH(B1241, _xlfn._xlws.FILTER(B:B, A:A="2021-04"), 0))), "Left", "Ativo")</f>
        <v>Ativo</v>
      </c>
    </row>
    <row r="1242" spans="1:6" x14ac:dyDescent="0.25">
      <c r="A1242" t="s">
        <v>1529</v>
      </c>
      <c r="B1242" t="s">
        <v>291</v>
      </c>
      <c r="C1242" s="10" t="str" cm="1">
        <f t="array" ref="C1242">IF(AND(A1242="2020-12", ISNA(MATCH(B1242, _xlfn._xlws.FILTER(B:B, A:A="2021-01"), 0))), "Left", "Ativo")</f>
        <v>Ativo</v>
      </c>
      <c r="D1242" s="10" t="str" cm="1">
        <f t="array" ref="D1242">IF(AND(A1242="2021-01", ISNA(MATCH(B1242, _xlfn._xlws.FILTER(B:B, A:A="2021-02"), 0))), "Left", "Ativo")</f>
        <v>Ativo</v>
      </c>
      <c r="E1242" s="10" t="str" cm="1">
        <f t="array" ref="E1242">IF(AND(A1242="2021-02", ISNA(MATCH(B1242, _xlfn._xlws.FILTER(B:B, A:A="2021-03"), 0))), "Left", "Ativo")</f>
        <v>Ativo</v>
      </c>
      <c r="F1242" s="12" t="str" cm="1">
        <f t="array" ref="F1242">IF(AND(A1242="2021-03", ISNA(MATCH(B1242, _xlfn._xlws.FILTER(B:B, A:A="2021-04"), 0))), "Left", "Ativo")</f>
        <v>Ativo</v>
      </c>
    </row>
    <row r="1243" spans="1:6" x14ac:dyDescent="0.25">
      <c r="A1243" t="s">
        <v>1529</v>
      </c>
      <c r="B1243" t="s">
        <v>292</v>
      </c>
      <c r="C1243" s="10" t="str" cm="1">
        <f t="array" ref="C1243">IF(AND(A1243="2020-12", ISNA(MATCH(B1243, _xlfn._xlws.FILTER(B:B, A:A="2021-01"), 0))), "Left", "Ativo")</f>
        <v>Ativo</v>
      </c>
      <c r="D1243" s="10" t="str" cm="1">
        <f t="array" ref="D1243">IF(AND(A1243="2021-01", ISNA(MATCH(B1243, _xlfn._xlws.FILTER(B:B, A:A="2021-02"), 0))), "Left", "Ativo")</f>
        <v>Ativo</v>
      </c>
      <c r="E1243" s="10" t="str" cm="1">
        <f t="array" ref="E1243">IF(AND(A1243="2021-02", ISNA(MATCH(B1243, _xlfn._xlws.FILTER(B:B, A:A="2021-03"), 0))), "Left", "Ativo")</f>
        <v>Ativo</v>
      </c>
      <c r="F1243" s="12" t="str" cm="1">
        <f t="array" ref="F1243">IF(AND(A1243="2021-03", ISNA(MATCH(B1243, _xlfn._xlws.FILTER(B:B, A:A="2021-04"), 0))), "Left", "Ativo")</f>
        <v>Ativo</v>
      </c>
    </row>
    <row r="1244" spans="1:6" x14ac:dyDescent="0.25">
      <c r="A1244" t="s">
        <v>1529</v>
      </c>
      <c r="B1244" t="s">
        <v>293</v>
      </c>
      <c r="C1244" s="10" t="str" cm="1">
        <f t="array" ref="C1244">IF(AND(A1244="2020-12", ISNA(MATCH(B1244, _xlfn._xlws.FILTER(B:B, A:A="2021-01"), 0))), "Left", "Ativo")</f>
        <v>Ativo</v>
      </c>
      <c r="D1244" s="10" t="str" cm="1">
        <f t="array" ref="D1244">IF(AND(A1244="2021-01", ISNA(MATCH(B1244, _xlfn._xlws.FILTER(B:B, A:A="2021-02"), 0))), "Left", "Ativo")</f>
        <v>Ativo</v>
      </c>
      <c r="E1244" s="10" t="str" cm="1">
        <f t="array" ref="E1244">IF(AND(A1244="2021-02", ISNA(MATCH(B1244, _xlfn._xlws.FILTER(B:B, A:A="2021-03"), 0))), "Left", "Ativo")</f>
        <v>Ativo</v>
      </c>
      <c r="F1244" s="12" t="str" cm="1">
        <f t="array" ref="F1244">IF(AND(A1244="2021-03", ISNA(MATCH(B1244, _xlfn._xlws.FILTER(B:B, A:A="2021-04"), 0))), "Left", "Ativo")</f>
        <v>Ativo</v>
      </c>
    </row>
    <row r="1245" spans="1:6" x14ac:dyDescent="0.25">
      <c r="A1245" t="s">
        <v>1529</v>
      </c>
      <c r="B1245" t="s">
        <v>294</v>
      </c>
      <c r="C1245" s="10" t="str" cm="1">
        <f t="array" ref="C1245">IF(AND(A1245="2020-12", ISNA(MATCH(B1245, _xlfn._xlws.FILTER(B:B, A:A="2021-01"), 0))), "Left", "Ativo")</f>
        <v>Ativo</v>
      </c>
      <c r="D1245" s="10" t="str" cm="1">
        <f t="array" ref="D1245">IF(AND(A1245="2021-01", ISNA(MATCH(B1245, _xlfn._xlws.FILTER(B:B, A:A="2021-02"), 0))), "Left", "Ativo")</f>
        <v>Ativo</v>
      </c>
      <c r="E1245" s="10" t="str" cm="1">
        <f t="array" ref="E1245">IF(AND(A1245="2021-02", ISNA(MATCH(B1245, _xlfn._xlws.FILTER(B:B, A:A="2021-03"), 0))), "Left", "Ativo")</f>
        <v>Ativo</v>
      </c>
      <c r="F1245" s="12" t="str" cm="1">
        <f t="array" ref="F1245">IF(AND(A1245="2021-03", ISNA(MATCH(B1245, _xlfn._xlws.FILTER(B:B, A:A="2021-04"), 0))), "Left", "Ativo")</f>
        <v>Ativo</v>
      </c>
    </row>
    <row r="1246" spans="1:6" x14ac:dyDescent="0.25">
      <c r="A1246" t="s">
        <v>1529</v>
      </c>
      <c r="B1246" t="s">
        <v>295</v>
      </c>
      <c r="C1246" s="10" t="str" cm="1">
        <f t="array" ref="C1246">IF(AND(A1246="2020-12", ISNA(MATCH(B1246, _xlfn._xlws.FILTER(B:B, A:A="2021-01"), 0))), "Left", "Ativo")</f>
        <v>Ativo</v>
      </c>
      <c r="D1246" s="10" t="str" cm="1">
        <f t="array" ref="D1246">IF(AND(A1246="2021-01", ISNA(MATCH(B1246, _xlfn._xlws.FILTER(B:B, A:A="2021-02"), 0))), "Left", "Ativo")</f>
        <v>Ativo</v>
      </c>
      <c r="E1246" s="10" t="str" cm="1">
        <f t="array" ref="E1246">IF(AND(A1246="2021-02", ISNA(MATCH(B1246, _xlfn._xlws.FILTER(B:B, A:A="2021-03"), 0))), "Left", "Ativo")</f>
        <v>Ativo</v>
      </c>
      <c r="F1246" s="12" t="str" cm="1">
        <f t="array" ref="F1246">IF(AND(A1246="2021-03", ISNA(MATCH(B1246, _xlfn._xlws.FILTER(B:B, A:A="2021-04"), 0))), "Left", "Ativo")</f>
        <v>Ativo</v>
      </c>
    </row>
    <row r="1247" spans="1:6" x14ac:dyDescent="0.25">
      <c r="A1247" t="s">
        <v>1529</v>
      </c>
      <c r="B1247" t="s">
        <v>296</v>
      </c>
      <c r="C1247" s="10" t="str" cm="1">
        <f t="array" ref="C1247">IF(AND(A1247="2020-12", ISNA(MATCH(B1247, _xlfn._xlws.FILTER(B:B, A:A="2021-01"), 0))), "Left", "Ativo")</f>
        <v>Ativo</v>
      </c>
      <c r="D1247" s="10" t="str" cm="1">
        <f t="array" ref="D1247">IF(AND(A1247="2021-01", ISNA(MATCH(B1247, _xlfn._xlws.FILTER(B:B, A:A="2021-02"), 0))), "Left", "Ativo")</f>
        <v>Ativo</v>
      </c>
      <c r="E1247" s="10" t="str" cm="1">
        <f t="array" ref="E1247">IF(AND(A1247="2021-02", ISNA(MATCH(B1247, _xlfn._xlws.FILTER(B:B, A:A="2021-03"), 0))), "Left", "Ativo")</f>
        <v>Ativo</v>
      </c>
      <c r="F1247" s="12" t="str" cm="1">
        <f t="array" ref="F1247">IF(AND(A1247="2021-03", ISNA(MATCH(B1247, _xlfn._xlws.FILTER(B:B, A:A="2021-04"), 0))), "Left", "Ativo")</f>
        <v>Ativo</v>
      </c>
    </row>
    <row r="1248" spans="1:6" x14ac:dyDescent="0.25">
      <c r="A1248" t="s">
        <v>1529</v>
      </c>
      <c r="B1248" t="s">
        <v>297</v>
      </c>
      <c r="C1248" s="10" t="str" cm="1">
        <f t="array" ref="C1248">IF(AND(A1248="2020-12", ISNA(MATCH(B1248, _xlfn._xlws.FILTER(B:B, A:A="2021-01"), 0))), "Left", "Ativo")</f>
        <v>Ativo</v>
      </c>
      <c r="D1248" s="10" t="str" cm="1">
        <f t="array" ref="D1248">IF(AND(A1248="2021-01", ISNA(MATCH(B1248, _xlfn._xlws.FILTER(B:B, A:A="2021-02"), 0))), "Left", "Ativo")</f>
        <v>Ativo</v>
      </c>
      <c r="E1248" s="10" t="str" cm="1">
        <f t="array" ref="E1248">IF(AND(A1248="2021-02", ISNA(MATCH(B1248, _xlfn._xlws.FILTER(B:B, A:A="2021-03"), 0))), "Left", "Ativo")</f>
        <v>Ativo</v>
      </c>
      <c r="F1248" s="12" t="str" cm="1">
        <f t="array" ref="F1248">IF(AND(A1248="2021-03", ISNA(MATCH(B1248, _xlfn._xlws.FILTER(B:B, A:A="2021-04"), 0))), "Left", "Ativo")</f>
        <v>Ativo</v>
      </c>
    </row>
    <row r="1249" spans="1:6" x14ac:dyDescent="0.25">
      <c r="A1249" t="s">
        <v>1529</v>
      </c>
      <c r="B1249" t="s">
        <v>298</v>
      </c>
      <c r="C1249" s="10" t="str" cm="1">
        <f t="array" ref="C1249">IF(AND(A1249="2020-12", ISNA(MATCH(B1249, _xlfn._xlws.FILTER(B:B, A:A="2021-01"), 0))), "Left", "Ativo")</f>
        <v>Ativo</v>
      </c>
      <c r="D1249" s="10" t="str" cm="1">
        <f t="array" ref="D1249">IF(AND(A1249="2021-01", ISNA(MATCH(B1249, _xlfn._xlws.FILTER(B:B, A:A="2021-02"), 0))), "Left", "Ativo")</f>
        <v>Ativo</v>
      </c>
      <c r="E1249" s="10" t="str" cm="1">
        <f t="array" ref="E1249">IF(AND(A1249="2021-02", ISNA(MATCH(B1249, _xlfn._xlws.FILTER(B:B, A:A="2021-03"), 0))), "Left", "Ativo")</f>
        <v>Ativo</v>
      </c>
      <c r="F1249" s="12" t="str" cm="1">
        <f t="array" ref="F1249">IF(AND(A1249="2021-03", ISNA(MATCH(B1249, _xlfn._xlws.FILTER(B:B, A:A="2021-04"), 0))), "Left", "Ativo")</f>
        <v>Ativo</v>
      </c>
    </row>
    <row r="1250" spans="1:6" x14ac:dyDescent="0.25">
      <c r="A1250" t="s">
        <v>1529</v>
      </c>
      <c r="B1250" t="s">
        <v>299</v>
      </c>
      <c r="C1250" s="10" t="str" cm="1">
        <f t="array" ref="C1250">IF(AND(A1250="2020-12", ISNA(MATCH(B1250, _xlfn._xlws.FILTER(B:B, A:A="2021-01"), 0))), "Left", "Ativo")</f>
        <v>Ativo</v>
      </c>
      <c r="D1250" s="10" t="str" cm="1">
        <f t="array" ref="D1250">IF(AND(A1250="2021-01", ISNA(MATCH(B1250, _xlfn._xlws.FILTER(B:B, A:A="2021-02"), 0))), "Left", "Ativo")</f>
        <v>Ativo</v>
      </c>
      <c r="E1250" s="10" t="str" cm="1">
        <f t="array" ref="E1250">IF(AND(A1250="2021-02", ISNA(MATCH(B1250, _xlfn._xlws.FILTER(B:B, A:A="2021-03"), 0))), "Left", "Ativo")</f>
        <v>Ativo</v>
      </c>
      <c r="F1250" s="12" t="str" cm="1">
        <f t="array" ref="F1250">IF(AND(A1250="2021-03", ISNA(MATCH(B1250, _xlfn._xlws.FILTER(B:B, A:A="2021-04"), 0))), "Left", "Ativo")</f>
        <v>Ativo</v>
      </c>
    </row>
    <row r="1251" spans="1:6" x14ac:dyDescent="0.25">
      <c r="A1251" t="s">
        <v>1529</v>
      </c>
      <c r="B1251" t="s">
        <v>300</v>
      </c>
      <c r="C1251" s="10" t="str" cm="1">
        <f t="array" ref="C1251">IF(AND(A1251="2020-12", ISNA(MATCH(B1251, _xlfn._xlws.FILTER(B:B, A:A="2021-01"), 0))), "Left", "Ativo")</f>
        <v>Ativo</v>
      </c>
      <c r="D1251" s="10" t="str" cm="1">
        <f t="array" ref="D1251">IF(AND(A1251="2021-01", ISNA(MATCH(B1251, _xlfn._xlws.FILTER(B:B, A:A="2021-02"), 0))), "Left", "Ativo")</f>
        <v>Ativo</v>
      </c>
      <c r="E1251" s="10" t="str" cm="1">
        <f t="array" ref="E1251">IF(AND(A1251="2021-02", ISNA(MATCH(B1251, _xlfn._xlws.FILTER(B:B, A:A="2021-03"), 0))), "Left", "Ativo")</f>
        <v>Ativo</v>
      </c>
      <c r="F1251" s="12" t="str" cm="1">
        <f t="array" ref="F1251">IF(AND(A1251="2021-03", ISNA(MATCH(B1251, _xlfn._xlws.FILTER(B:B, A:A="2021-04"), 0))), "Left", "Ativo")</f>
        <v>Ativo</v>
      </c>
    </row>
    <row r="1252" spans="1:6" x14ac:dyDescent="0.25">
      <c r="A1252" t="s">
        <v>1529</v>
      </c>
      <c r="B1252" t="s">
        <v>301</v>
      </c>
      <c r="C1252" s="10" t="str" cm="1">
        <f t="array" ref="C1252">IF(AND(A1252="2020-12", ISNA(MATCH(B1252, _xlfn._xlws.FILTER(B:B, A:A="2021-01"), 0))), "Left", "Ativo")</f>
        <v>Ativo</v>
      </c>
      <c r="D1252" s="10" t="str" cm="1">
        <f t="array" ref="D1252">IF(AND(A1252="2021-01", ISNA(MATCH(B1252, _xlfn._xlws.FILTER(B:B, A:A="2021-02"), 0))), "Left", "Ativo")</f>
        <v>Ativo</v>
      </c>
      <c r="E1252" s="10" t="str" cm="1">
        <f t="array" ref="E1252">IF(AND(A1252="2021-02", ISNA(MATCH(B1252, _xlfn._xlws.FILTER(B:B, A:A="2021-03"), 0))), "Left", "Ativo")</f>
        <v>Ativo</v>
      </c>
      <c r="F1252" s="12" t="str" cm="1">
        <f t="array" ref="F1252">IF(AND(A1252="2021-03", ISNA(MATCH(B1252, _xlfn._xlws.FILTER(B:B, A:A="2021-04"), 0))), "Left", "Ativo")</f>
        <v>Ativo</v>
      </c>
    </row>
    <row r="1253" spans="1:6" x14ac:dyDescent="0.25">
      <c r="A1253" t="s">
        <v>1529</v>
      </c>
      <c r="B1253" t="s">
        <v>302</v>
      </c>
      <c r="C1253" s="10" t="str" cm="1">
        <f t="array" ref="C1253">IF(AND(A1253="2020-12", ISNA(MATCH(B1253, _xlfn._xlws.FILTER(B:B, A:A="2021-01"), 0))), "Left", "Ativo")</f>
        <v>Ativo</v>
      </c>
      <c r="D1253" s="10" t="str" cm="1">
        <f t="array" ref="D1253">IF(AND(A1253="2021-01", ISNA(MATCH(B1253, _xlfn._xlws.FILTER(B:B, A:A="2021-02"), 0))), "Left", "Ativo")</f>
        <v>Ativo</v>
      </c>
      <c r="E1253" s="10" t="str" cm="1">
        <f t="array" ref="E1253">IF(AND(A1253="2021-02", ISNA(MATCH(B1253, _xlfn._xlws.FILTER(B:B, A:A="2021-03"), 0))), "Left", "Ativo")</f>
        <v>Ativo</v>
      </c>
      <c r="F1253" s="12" t="str" cm="1">
        <f t="array" ref="F1253">IF(AND(A1253="2021-03", ISNA(MATCH(B1253, _xlfn._xlws.FILTER(B:B, A:A="2021-04"), 0))), "Left", "Ativo")</f>
        <v>Ativo</v>
      </c>
    </row>
    <row r="1254" spans="1:6" x14ac:dyDescent="0.25">
      <c r="A1254" t="s">
        <v>1529</v>
      </c>
      <c r="B1254" t="s">
        <v>303</v>
      </c>
      <c r="C1254" s="10" t="str" cm="1">
        <f t="array" ref="C1254">IF(AND(A1254="2020-12", ISNA(MATCH(B1254, _xlfn._xlws.FILTER(B:B, A:A="2021-01"), 0))), "Left", "Ativo")</f>
        <v>Ativo</v>
      </c>
      <c r="D1254" s="10" t="str" cm="1">
        <f t="array" ref="D1254">IF(AND(A1254="2021-01", ISNA(MATCH(B1254, _xlfn._xlws.FILTER(B:B, A:A="2021-02"), 0))), "Left", "Ativo")</f>
        <v>Ativo</v>
      </c>
      <c r="E1254" s="10" t="str" cm="1">
        <f t="array" ref="E1254">IF(AND(A1254="2021-02", ISNA(MATCH(B1254, _xlfn._xlws.FILTER(B:B, A:A="2021-03"), 0))), "Left", "Ativo")</f>
        <v>Ativo</v>
      </c>
      <c r="F1254" s="12" t="str" cm="1">
        <f t="array" ref="F1254">IF(AND(A1254="2021-03", ISNA(MATCH(B1254, _xlfn._xlws.FILTER(B:B, A:A="2021-04"), 0))), "Left", "Ativo")</f>
        <v>Ativo</v>
      </c>
    </row>
    <row r="1255" spans="1:6" x14ac:dyDescent="0.25">
      <c r="A1255" t="s">
        <v>1529</v>
      </c>
      <c r="B1255" t="s">
        <v>304</v>
      </c>
      <c r="C1255" s="10" t="str" cm="1">
        <f t="array" ref="C1255">IF(AND(A1255="2020-12", ISNA(MATCH(B1255, _xlfn._xlws.FILTER(B:B, A:A="2021-01"), 0))), "Left", "Ativo")</f>
        <v>Ativo</v>
      </c>
      <c r="D1255" s="10" t="str" cm="1">
        <f t="array" ref="D1255">IF(AND(A1255="2021-01", ISNA(MATCH(B1255, _xlfn._xlws.FILTER(B:B, A:A="2021-02"), 0))), "Left", "Ativo")</f>
        <v>Ativo</v>
      </c>
      <c r="E1255" s="10" t="str" cm="1">
        <f t="array" ref="E1255">IF(AND(A1255="2021-02", ISNA(MATCH(B1255, _xlfn._xlws.FILTER(B:B, A:A="2021-03"), 0))), "Left", "Ativo")</f>
        <v>Ativo</v>
      </c>
      <c r="F1255" s="12" t="str" cm="1">
        <f t="array" ref="F1255">IF(AND(A1255="2021-03", ISNA(MATCH(B1255, _xlfn._xlws.FILTER(B:B, A:A="2021-04"), 0))), "Left", "Ativo")</f>
        <v>Ativo</v>
      </c>
    </row>
    <row r="1256" spans="1:6" x14ac:dyDescent="0.25">
      <c r="A1256" t="s">
        <v>1529</v>
      </c>
      <c r="B1256" t="s">
        <v>305</v>
      </c>
      <c r="C1256" s="10" t="str" cm="1">
        <f t="array" ref="C1256">IF(AND(A1256="2020-12", ISNA(MATCH(B1256, _xlfn._xlws.FILTER(B:B, A:A="2021-01"), 0))), "Left", "Ativo")</f>
        <v>Ativo</v>
      </c>
      <c r="D1256" s="10" t="str" cm="1">
        <f t="array" ref="D1256">IF(AND(A1256="2021-01", ISNA(MATCH(B1256, _xlfn._xlws.FILTER(B:B, A:A="2021-02"), 0))), "Left", "Ativo")</f>
        <v>Ativo</v>
      </c>
      <c r="E1256" s="10" t="str" cm="1">
        <f t="array" ref="E1256">IF(AND(A1256="2021-02", ISNA(MATCH(B1256, _xlfn._xlws.FILTER(B:B, A:A="2021-03"), 0))), "Left", "Ativo")</f>
        <v>Ativo</v>
      </c>
      <c r="F1256" s="12" t="str" cm="1">
        <f t="array" ref="F1256">IF(AND(A1256="2021-03", ISNA(MATCH(B1256, _xlfn._xlws.FILTER(B:B, A:A="2021-04"), 0))), "Left", "Ativo")</f>
        <v>Ativo</v>
      </c>
    </row>
    <row r="1257" spans="1:6" x14ac:dyDescent="0.25">
      <c r="A1257" t="s">
        <v>1529</v>
      </c>
      <c r="B1257" t="s">
        <v>306</v>
      </c>
      <c r="C1257" s="10" t="str" cm="1">
        <f t="array" ref="C1257">IF(AND(A1257="2020-12", ISNA(MATCH(B1257, _xlfn._xlws.FILTER(B:B, A:A="2021-01"), 0))), "Left", "Ativo")</f>
        <v>Ativo</v>
      </c>
      <c r="D1257" s="10" t="str" cm="1">
        <f t="array" ref="D1257">IF(AND(A1257="2021-01", ISNA(MATCH(B1257, _xlfn._xlws.FILTER(B:B, A:A="2021-02"), 0))), "Left", "Ativo")</f>
        <v>Ativo</v>
      </c>
      <c r="E1257" s="10" t="str" cm="1">
        <f t="array" ref="E1257">IF(AND(A1257="2021-02", ISNA(MATCH(B1257, _xlfn._xlws.FILTER(B:B, A:A="2021-03"), 0))), "Left", "Ativo")</f>
        <v>Ativo</v>
      </c>
      <c r="F1257" s="12" t="str" cm="1">
        <f t="array" ref="F1257">IF(AND(A1257="2021-03", ISNA(MATCH(B1257, _xlfn._xlws.FILTER(B:B, A:A="2021-04"), 0))), "Left", "Ativo")</f>
        <v>Ativo</v>
      </c>
    </row>
    <row r="1258" spans="1:6" x14ac:dyDescent="0.25">
      <c r="A1258" t="s">
        <v>1529</v>
      </c>
      <c r="B1258" t="s">
        <v>307</v>
      </c>
      <c r="C1258" s="10" t="str" cm="1">
        <f t="array" ref="C1258">IF(AND(A1258="2020-12", ISNA(MATCH(B1258, _xlfn._xlws.FILTER(B:B, A:A="2021-01"), 0))), "Left", "Ativo")</f>
        <v>Ativo</v>
      </c>
      <c r="D1258" s="10" t="str" cm="1">
        <f t="array" ref="D1258">IF(AND(A1258="2021-01", ISNA(MATCH(B1258, _xlfn._xlws.FILTER(B:B, A:A="2021-02"), 0))), "Left", "Ativo")</f>
        <v>Ativo</v>
      </c>
      <c r="E1258" s="10" t="str" cm="1">
        <f t="array" ref="E1258">IF(AND(A1258="2021-02", ISNA(MATCH(B1258, _xlfn._xlws.FILTER(B:B, A:A="2021-03"), 0))), "Left", "Ativo")</f>
        <v>Ativo</v>
      </c>
      <c r="F1258" s="12" t="str" cm="1">
        <f t="array" ref="F1258">IF(AND(A1258="2021-03", ISNA(MATCH(B1258, _xlfn._xlws.FILTER(B:B, A:A="2021-04"), 0))), "Left", "Ativo")</f>
        <v>Ativo</v>
      </c>
    </row>
    <row r="1259" spans="1:6" x14ac:dyDescent="0.25">
      <c r="A1259" t="s">
        <v>1529</v>
      </c>
      <c r="B1259" t="s">
        <v>308</v>
      </c>
      <c r="C1259" s="10" t="str" cm="1">
        <f t="array" ref="C1259">IF(AND(A1259="2020-12", ISNA(MATCH(B1259, _xlfn._xlws.FILTER(B:B, A:A="2021-01"), 0))), "Left", "Ativo")</f>
        <v>Ativo</v>
      </c>
      <c r="D1259" s="10" t="str" cm="1">
        <f t="array" ref="D1259">IF(AND(A1259="2021-01", ISNA(MATCH(B1259, _xlfn._xlws.FILTER(B:B, A:A="2021-02"), 0))), "Left", "Ativo")</f>
        <v>Ativo</v>
      </c>
      <c r="E1259" s="10" t="str" cm="1">
        <f t="array" ref="E1259">IF(AND(A1259="2021-02", ISNA(MATCH(B1259, _xlfn._xlws.FILTER(B:B, A:A="2021-03"), 0))), "Left", "Ativo")</f>
        <v>Ativo</v>
      </c>
      <c r="F1259" s="12" t="str" cm="1">
        <f t="array" ref="F1259">IF(AND(A1259="2021-03", ISNA(MATCH(B1259, _xlfn._xlws.FILTER(B:B, A:A="2021-04"), 0))), "Left", "Ativo")</f>
        <v>Ativo</v>
      </c>
    </row>
    <row r="1260" spans="1:6" x14ac:dyDescent="0.25">
      <c r="A1260" t="s">
        <v>1529</v>
      </c>
      <c r="B1260" t="s">
        <v>309</v>
      </c>
      <c r="C1260" s="10" t="str" cm="1">
        <f t="array" ref="C1260">IF(AND(A1260="2020-12", ISNA(MATCH(B1260, _xlfn._xlws.FILTER(B:B, A:A="2021-01"), 0))), "Left", "Ativo")</f>
        <v>Ativo</v>
      </c>
      <c r="D1260" s="10" t="str" cm="1">
        <f t="array" ref="D1260">IF(AND(A1260="2021-01", ISNA(MATCH(B1260, _xlfn._xlws.FILTER(B:B, A:A="2021-02"), 0))), "Left", "Ativo")</f>
        <v>Ativo</v>
      </c>
      <c r="E1260" s="10" t="str" cm="1">
        <f t="array" ref="E1260">IF(AND(A1260="2021-02", ISNA(MATCH(B1260, _xlfn._xlws.FILTER(B:B, A:A="2021-03"), 0))), "Left", "Ativo")</f>
        <v>Ativo</v>
      </c>
      <c r="F1260" s="12" t="str" cm="1">
        <f t="array" ref="F1260">IF(AND(A1260="2021-03", ISNA(MATCH(B1260, _xlfn._xlws.FILTER(B:B, A:A="2021-04"), 0))), "Left", "Ativo")</f>
        <v>Ativo</v>
      </c>
    </row>
    <row r="1261" spans="1:6" x14ac:dyDescent="0.25">
      <c r="A1261" t="s">
        <v>1529</v>
      </c>
      <c r="B1261" t="s">
        <v>310</v>
      </c>
      <c r="C1261" s="10" t="str" cm="1">
        <f t="array" ref="C1261">IF(AND(A1261="2020-12", ISNA(MATCH(B1261, _xlfn._xlws.FILTER(B:B, A:A="2021-01"), 0))), "Left", "Ativo")</f>
        <v>Ativo</v>
      </c>
      <c r="D1261" s="10" t="str" cm="1">
        <f t="array" ref="D1261">IF(AND(A1261="2021-01", ISNA(MATCH(B1261, _xlfn._xlws.FILTER(B:B, A:A="2021-02"), 0))), "Left", "Ativo")</f>
        <v>Ativo</v>
      </c>
      <c r="E1261" s="10" t="str" cm="1">
        <f t="array" ref="E1261">IF(AND(A1261="2021-02", ISNA(MATCH(B1261, _xlfn._xlws.FILTER(B:B, A:A="2021-03"), 0))), "Left", "Ativo")</f>
        <v>Ativo</v>
      </c>
      <c r="F1261" s="12" t="str" cm="1">
        <f t="array" ref="F1261">IF(AND(A1261="2021-03", ISNA(MATCH(B1261, _xlfn._xlws.FILTER(B:B, A:A="2021-04"), 0))), "Left", "Ativo")</f>
        <v>Ativo</v>
      </c>
    </row>
    <row r="1262" spans="1:6" x14ac:dyDescent="0.25">
      <c r="A1262" t="s">
        <v>1529</v>
      </c>
      <c r="B1262" t="s">
        <v>311</v>
      </c>
      <c r="C1262" s="10" t="str" cm="1">
        <f t="array" ref="C1262">IF(AND(A1262="2020-12", ISNA(MATCH(B1262, _xlfn._xlws.FILTER(B:B, A:A="2021-01"), 0))), "Left", "Ativo")</f>
        <v>Ativo</v>
      </c>
      <c r="D1262" s="10" t="str" cm="1">
        <f t="array" ref="D1262">IF(AND(A1262="2021-01", ISNA(MATCH(B1262, _xlfn._xlws.FILTER(B:B, A:A="2021-02"), 0))), "Left", "Ativo")</f>
        <v>Ativo</v>
      </c>
      <c r="E1262" s="10" t="str" cm="1">
        <f t="array" ref="E1262">IF(AND(A1262="2021-02", ISNA(MATCH(B1262, _xlfn._xlws.FILTER(B:B, A:A="2021-03"), 0))), "Left", "Ativo")</f>
        <v>Ativo</v>
      </c>
      <c r="F1262" s="12" t="str" cm="1">
        <f t="array" ref="F1262">IF(AND(A1262="2021-03", ISNA(MATCH(B1262, _xlfn._xlws.FILTER(B:B, A:A="2021-04"), 0))), "Left", "Ativo")</f>
        <v>Ativo</v>
      </c>
    </row>
    <row r="1263" spans="1:6" x14ac:dyDescent="0.25">
      <c r="A1263" t="s">
        <v>1529</v>
      </c>
      <c r="B1263" t="s">
        <v>312</v>
      </c>
      <c r="C1263" s="10" t="str" cm="1">
        <f t="array" ref="C1263">IF(AND(A1263="2020-12", ISNA(MATCH(B1263, _xlfn._xlws.FILTER(B:B, A:A="2021-01"), 0))), "Left", "Ativo")</f>
        <v>Ativo</v>
      </c>
      <c r="D1263" s="10" t="str" cm="1">
        <f t="array" ref="D1263">IF(AND(A1263="2021-01", ISNA(MATCH(B1263, _xlfn._xlws.FILTER(B:B, A:A="2021-02"), 0))), "Left", "Ativo")</f>
        <v>Ativo</v>
      </c>
      <c r="E1263" s="10" t="str" cm="1">
        <f t="array" ref="E1263">IF(AND(A1263="2021-02", ISNA(MATCH(B1263, _xlfn._xlws.FILTER(B:B, A:A="2021-03"), 0))), "Left", "Ativo")</f>
        <v>Ativo</v>
      </c>
      <c r="F1263" s="12" t="str" cm="1">
        <f t="array" ref="F1263">IF(AND(A1263="2021-03", ISNA(MATCH(B1263, _xlfn._xlws.FILTER(B:B, A:A="2021-04"), 0))), "Left", "Ativo")</f>
        <v>Ativo</v>
      </c>
    </row>
    <row r="1264" spans="1:6" x14ac:dyDescent="0.25">
      <c r="A1264" t="s">
        <v>1529</v>
      </c>
      <c r="B1264" t="s">
        <v>313</v>
      </c>
      <c r="C1264" s="10" t="str" cm="1">
        <f t="array" ref="C1264">IF(AND(A1264="2020-12", ISNA(MATCH(B1264, _xlfn._xlws.FILTER(B:B, A:A="2021-01"), 0))), "Left", "Ativo")</f>
        <v>Ativo</v>
      </c>
      <c r="D1264" s="10" t="str" cm="1">
        <f t="array" ref="D1264">IF(AND(A1264="2021-01", ISNA(MATCH(B1264, _xlfn._xlws.FILTER(B:B, A:A="2021-02"), 0))), "Left", "Ativo")</f>
        <v>Ativo</v>
      </c>
      <c r="E1264" s="10" t="str" cm="1">
        <f t="array" ref="E1264">IF(AND(A1264="2021-02", ISNA(MATCH(B1264, _xlfn._xlws.FILTER(B:B, A:A="2021-03"), 0))), "Left", "Ativo")</f>
        <v>Ativo</v>
      </c>
      <c r="F1264" s="12" t="str" cm="1">
        <f t="array" ref="F1264">IF(AND(A1264="2021-03", ISNA(MATCH(B1264, _xlfn._xlws.FILTER(B:B, A:A="2021-04"), 0))), "Left", "Ativo")</f>
        <v>Ativo</v>
      </c>
    </row>
    <row r="1265" spans="1:6" x14ac:dyDescent="0.25">
      <c r="A1265" t="s">
        <v>1529</v>
      </c>
      <c r="B1265" t="s">
        <v>314</v>
      </c>
      <c r="C1265" s="10" t="str" cm="1">
        <f t="array" ref="C1265">IF(AND(A1265="2020-12", ISNA(MATCH(B1265, _xlfn._xlws.FILTER(B:B, A:A="2021-01"), 0))), "Left", "Ativo")</f>
        <v>Ativo</v>
      </c>
      <c r="D1265" s="10" t="str" cm="1">
        <f t="array" ref="D1265">IF(AND(A1265="2021-01", ISNA(MATCH(B1265, _xlfn._xlws.FILTER(B:B, A:A="2021-02"), 0))), "Left", "Ativo")</f>
        <v>Ativo</v>
      </c>
      <c r="E1265" s="10" t="str" cm="1">
        <f t="array" ref="E1265">IF(AND(A1265="2021-02", ISNA(MATCH(B1265, _xlfn._xlws.FILTER(B:B, A:A="2021-03"), 0))), "Left", "Ativo")</f>
        <v>Ativo</v>
      </c>
      <c r="F1265" s="12" t="str" cm="1">
        <f t="array" ref="F1265">IF(AND(A1265="2021-03", ISNA(MATCH(B1265, _xlfn._xlws.FILTER(B:B, A:A="2021-04"), 0))), "Left", "Ativo")</f>
        <v>Ativo</v>
      </c>
    </row>
    <row r="1266" spans="1:6" x14ac:dyDescent="0.25">
      <c r="A1266" t="s">
        <v>1529</v>
      </c>
      <c r="B1266" t="s">
        <v>315</v>
      </c>
      <c r="C1266" s="10" t="str" cm="1">
        <f t="array" ref="C1266">IF(AND(A1266="2020-12", ISNA(MATCH(B1266, _xlfn._xlws.FILTER(B:B, A:A="2021-01"), 0))), "Left", "Ativo")</f>
        <v>Ativo</v>
      </c>
      <c r="D1266" s="10" t="str" cm="1">
        <f t="array" ref="D1266">IF(AND(A1266="2021-01", ISNA(MATCH(B1266, _xlfn._xlws.FILTER(B:B, A:A="2021-02"), 0))), "Left", "Ativo")</f>
        <v>Ativo</v>
      </c>
      <c r="E1266" s="10" t="str" cm="1">
        <f t="array" ref="E1266">IF(AND(A1266="2021-02", ISNA(MATCH(B1266, _xlfn._xlws.FILTER(B:B, A:A="2021-03"), 0))), "Left", "Ativo")</f>
        <v>Ativo</v>
      </c>
      <c r="F1266" s="12" t="str" cm="1">
        <f t="array" ref="F1266">IF(AND(A1266="2021-03", ISNA(MATCH(B1266, _xlfn._xlws.FILTER(B:B, A:A="2021-04"), 0))), "Left", "Ativo")</f>
        <v>Ativo</v>
      </c>
    </row>
    <row r="1267" spans="1:6" x14ac:dyDescent="0.25">
      <c r="A1267" t="s">
        <v>1529</v>
      </c>
      <c r="B1267" t="s">
        <v>316</v>
      </c>
      <c r="C1267" s="10" t="str" cm="1">
        <f t="array" ref="C1267">IF(AND(A1267="2020-12", ISNA(MATCH(B1267, _xlfn._xlws.FILTER(B:B, A:A="2021-01"), 0))), "Left", "Ativo")</f>
        <v>Ativo</v>
      </c>
      <c r="D1267" s="10" t="str" cm="1">
        <f t="array" ref="D1267">IF(AND(A1267="2021-01", ISNA(MATCH(B1267, _xlfn._xlws.FILTER(B:B, A:A="2021-02"), 0))), "Left", "Ativo")</f>
        <v>Ativo</v>
      </c>
      <c r="E1267" s="10" t="str" cm="1">
        <f t="array" ref="E1267">IF(AND(A1267="2021-02", ISNA(MATCH(B1267, _xlfn._xlws.FILTER(B:B, A:A="2021-03"), 0))), "Left", "Ativo")</f>
        <v>Ativo</v>
      </c>
      <c r="F1267" s="12" t="str" cm="1">
        <f t="array" ref="F1267">IF(AND(A1267="2021-03", ISNA(MATCH(B1267, _xlfn._xlws.FILTER(B:B, A:A="2021-04"), 0))), "Left", "Ativo")</f>
        <v>Ativo</v>
      </c>
    </row>
    <row r="1268" spans="1:6" x14ac:dyDescent="0.25">
      <c r="A1268" t="s">
        <v>1529</v>
      </c>
      <c r="B1268" t="s">
        <v>317</v>
      </c>
      <c r="C1268" s="10" t="str" cm="1">
        <f t="array" ref="C1268">IF(AND(A1268="2020-12", ISNA(MATCH(B1268, _xlfn._xlws.FILTER(B:B, A:A="2021-01"), 0))), "Left", "Ativo")</f>
        <v>Ativo</v>
      </c>
      <c r="D1268" s="10" t="str" cm="1">
        <f t="array" ref="D1268">IF(AND(A1268="2021-01", ISNA(MATCH(B1268, _xlfn._xlws.FILTER(B:B, A:A="2021-02"), 0))), "Left", "Ativo")</f>
        <v>Ativo</v>
      </c>
      <c r="E1268" s="10" t="str" cm="1">
        <f t="array" ref="E1268">IF(AND(A1268="2021-02", ISNA(MATCH(B1268, _xlfn._xlws.FILTER(B:B, A:A="2021-03"), 0))), "Left", "Ativo")</f>
        <v>Ativo</v>
      </c>
      <c r="F1268" s="12" t="str" cm="1">
        <f t="array" ref="F1268">IF(AND(A1268="2021-03", ISNA(MATCH(B1268, _xlfn._xlws.FILTER(B:B, A:A="2021-04"), 0))), "Left", "Ativo")</f>
        <v>Ativo</v>
      </c>
    </row>
    <row r="1269" spans="1:6" x14ac:dyDescent="0.25">
      <c r="A1269" t="s">
        <v>1529</v>
      </c>
      <c r="B1269" t="s">
        <v>318</v>
      </c>
      <c r="C1269" s="10" t="str" cm="1">
        <f t="array" ref="C1269">IF(AND(A1269="2020-12", ISNA(MATCH(B1269, _xlfn._xlws.FILTER(B:B, A:A="2021-01"), 0))), "Left", "Ativo")</f>
        <v>Ativo</v>
      </c>
      <c r="D1269" s="10" t="str" cm="1">
        <f t="array" ref="D1269">IF(AND(A1269="2021-01", ISNA(MATCH(B1269, _xlfn._xlws.FILTER(B:B, A:A="2021-02"), 0))), "Left", "Ativo")</f>
        <v>Ativo</v>
      </c>
      <c r="E1269" s="10" t="str" cm="1">
        <f t="array" ref="E1269">IF(AND(A1269="2021-02", ISNA(MATCH(B1269, _xlfn._xlws.FILTER(B:B, A:A="2021-03"), 0))), "Left", "Ativo")</f>
        <v>Ativo</v>
      </c>
      <c r="F1269" s="12" t="str" cm="1">
        <f t="array" ref="F1269">IF(AND(A1269="2021-03", ISNA(MATCH(B1269, _xlfn._xlws.FILTER(B:B, A:A="2021-04"), 0))), "Left", "Ativo")</f>
        <v>Ativo</v>
      </c>
    </row>
    <row r="1270" spans="1:6" x14ac:dyDescent="0.25">
      <c r="A1270" t="s">
        <v>1529</v>
      </c>
      <c r="B1270" t="s">
        <v>319</v>
      </c>
      <c r="C1270" s="10" t="str" cm="1">
        <f t="array" ref="C1270">IF(AND(A1270="2020-12", ISNA(MATCH(B1270, _xlfn._xlws.FILTER(B:B, A:A="2021-01"), 0))), "Left", "Ativo")</f>
        <v>Ativo</v>
      </c>
      <c r="D1270" s="10" t="str" cm="1">
        <f t="array" ref="D1270">IF(AND(A1270="2021-01", ISNA(MATCH(B1270, _xlfn._xlws.FILTER(B:B, A:A="2021-02"), 0))), "Left", "Ativo")</f>
        <v>Ativo</v>
      </c>
      <c r="E1270" s="10" t="str" cm="1">
        <f t="array" ref="E1270">IF(AND(A1270="2021-02", ISNA(MATCH(B1270, _xlfn._xlws.FILTER(B:B, A:A="2021-03"), 0))), "Left", "Ativo")</f>
        <v>Ativo</v>
      </c>
      <c r="F1270" s="12" t="str" cm="1">
        <f t="array" ref="F1270">IF(AND(A1270="2021-03", ISNA(MATCH(B1270, _xlfn._xlws.FILTER(B:B, A:A="2021-04"), 0))), "Left", "Ativo")</f>
        <v>Ativo</v>
      </c>
    </row>
    <row r="1271" spans="1:6" x14ac:dyDescent="0.25">
      <c r="A1271" t="s">
        <v>1529</v>
      </c>
      <c r="B1271" t="s">
        <v>320</v>
      </c>
      <c r="C1271" s="10" t="str" cm="1">
        <f t="array" ref="C1271">IF(AND(A1271="2020-12", ISNA(MATCH(B1271, _xlfn._xlws.FILTER(B:B, A:A="2021-01"), 0))), "Left", "Ativo")</f>
        <v>Ativo</v>
      </c>
      <c r="D1271" s="10" t="str" cm="1">
        <f t="array" ref="D1271">IF(AND(A1271="2021-01", ISNA(MATCH(B1271, _xlfn._xlws.FILTER(B:B, A:A="2021-02"), 0))), "Left", "Ativo")</f>
        <v>Ativo</v>
      </c>
      <c r="E1271" s="10" t="str" cm="1">
        <f t="array" ref="E1271">IF(AND(A1271="2021-02", ISNA(MATCH(B1271, _xlfn._xlws.FILTER(B:B, A:A="2021-03"), 0))), "Left", "Ativo")</f>
        <v>Ativo</v>
      </c>
      <c r="F1271" s="12" t="str" cm="1">
        <f t="array" ref="F1271">IF(AND(A1271="2021-03", ISNA(MATCH(B1271, _xlfn._xlws.FILTER(B:B, A:A="2021-04"), 0))), "Left", "Ativo")</f>
        <v>Ativo</v>
      </c>
    </row>
    <row r="1272" spans="1:6" x14ac:dyDescent="0.25">
      <c r="A1272" t="s">
        <v>1529</v>
      </c>
      <c r="B1272" t="s">
        <v>321</v>
      </c>
      <c r="C1272" s="10" t="str" cm="1">
        <f t="array" ref="C1272">IF(AND(A1272="2020-12", ISNA(MATCH(B1272, _xlfn._xlws.FILTER(B:B, A:A="2021-01"), 0))), "Left", "Ativo")</f>
        <v>Ativo</v>
      </c>
      <c r="D1272" s="10" t="str" cm="1">
        <f t="array" ref="D1272">IF(AND(A1272="2021-01", ISNA(MATCH(B1272, _xlfn._xlws.FILTER(B:B, A:A="2021-02"), 0))), "Left", "Ativo")</f>
        <v>Ativo</v>
      </c>
      <c r="E1272" s="10" t="str" cm="1">
        <f t="array" ref="E1272">IF(AND(A1272="2021-02", ISNA(MATCH(B1272, _xlfn._xlws.FILTER(B:B, A:A="2021-03"), 0))), "Left", "Ativo")</f>
        <v>Ativo</v>
      </c>
      <c r="F1272" s="12" t="str" cm="1">
        <f t="array" ref="F1272">IF(AND(A1272="2021-03", ISNA(MATCH(B1272, _xlfn._xlws.FILTER(B:B, A:A="2021-04"), 0))), "Left", "Ativo")</f>
        <v>Ativo</v>
      </c>
    </row>
    <row r="1273" spans="1:6" x14ac:dyDescent="0.25">
      <c r="A1273" t="s">
        <v>1529</v>
      </c>
      <c r="B1273" t="s">
        <v>322</v>
      </c>
      <c r="C1273" s="10" t="str" cm="1">
        <f t="array" ref="C1273">IF(AND(A1273="2020-12", ISNA(MATCH(B1273, _xlfn._xlws.FILTER(B:B, A:A="2021-01"), 0))), "Left", "Ativo")</f>
        <v>Ativo</v>
      </c>
      <c r="D1273" s="10" t="str" cm="1">
        <f t="array" ref="D1273">IF(AND(A1273="2021-01", ISNA(MATCH(B1273, _xlfn._xlws.FILTER(B:B, A:A="2021-02"), 0))), "Left", "Ativo")</f>
        <v>Ativo</v>
      </c>
      <c r="E1273" s="10" t="str" cm="1">
        <f t="array" ref="E1273">IF(AND(A1273="2021-02", ISNA(MATCH(B1273, _xlfn._xlws.FILTER(B:B, A:A="2021-03"), 0))), "Left", "Ativo")</f>
        <v>Ativo</v>
      </c>
      <c r="F1273" s="12" t="str" cm="1">
        <f t="array" ref="F1273">IF(AND(A1273="2021-03", ISNA(MATCH(B1273, _xlfn._xlws.FILTER(B:B, A:A="2021-04"), 0))), "Left", "Ativo")</f>
        <v>Ativo</v>
      </c>
    </row>
    <row r="1274" spans="1:6" x14ac:dyDescent="0.25">
      <c r="A1274" t="s">
        <v>1529</v>
      </c>
      <c r="B1274" t="s">
        <v>323</v>
      </c>
      <c r="C1274" s="10" t="str" cm="1">
        <f t="array" ref="C1274">IF(AND(A1274="2020-12", ISNA(MATCH(B1274, _xlfn._xlws.FILTER(B:B, A:A="2021-01"), 0))), "Left", "Ativo")</f>
        <v>Ativo</v>
      </c>
      <c r="D1274" s="10" t="str" cm="1">
        <f t="array" ref="D1274">IF(AND(A1274="2021-01", ISNA(MATCH(B1274, _xlfn._xlws.FILTER(B:B, A:A="2021-02"), 0))), "Left", "Ativo")</f>
        <v>Ativo</v>
      </c>
      <c r="E1274" s="10" t="str" cm="1">
        <f t="array" ref="E1274">IF(AND(A1274="2021-02", ISNA(MATCH(B1274, _xlfn._xlws.FILTER(B:B, A:A="2021-03"), 0))), "Left", "Ativo")</f>
        <v>Ativo</v>
      </c>
      <c r="F1274" s="12" t="str" cm="1">
        <f t="array" ref="F1274">IF(AND(A1274="2021-03", ISNA(MATCH(B1274, _xlfn._xlws.FILTER(B:B, A:A="2021-04"), 0))), "Left", "Ativo")</f>
        <v>Ativo</v>
      </c>
    </row>
    <row r="1275" spans="1:6" x14ac:dyDescent="0.25">
      <c r="A1275" t="s">
        <v>1529</v>
      </c>
      <c r="B1275" t="s">
        <v>324</v>
      </c>
      <c r="C1275" s="10" t="str" cm="1">
        <f t="array" ref="C1275">IF(AND(A1275="2020-12", ISNA(MATCH(B1275, _xlfn._xlws.FILTER(B:B, A:A="2021-01"), 0))), "Left", "Ativo")</f>
        <v>Ativo</v>
      </c>
      <c r="D1275" s="10" t="str" cm="1">
        <f t="array" ref="D1275">IF(AND(A1275="2021-01", ISNA(MATCH(B1275, _xlfn._xlws.FILTER(B:B, A:A="2021-02"), 0))), "Left", "Ativo")</f>
        <v>Ativo</v>
      </c>
      <c r="E1275" s="10" t="str" cm="1">
        <f t="array" ref="E1275">IF(AND(A1275="2021-02", ISNA(MATCH(B1275, _xlfn._xlws.FILTER(B:B, A:A="2021-03"), 0))), "Left", "Ativo")</f>
        <v>Ativo</v>
      </c>
      <c r="F1275" s="12" t="str" cm="1">
        <f t="array" ref="F1275">IF(AND(A1275="2021-03", ISNA(MATCH(B1275, _xlfn._xlws.FILTER(B:B, A:A="2021-04"), 0))), "Left", "Ativo")</f>
        <v>Ativo</v>
      </c>
    </row>
    <row r="1276" spans="1:6" x14ac:dyDescent="0.25">
      <c r="A1276" t="s">
        <v>1529</v>
      </c>
      <c r="B1276" t="s">
        <v>325</v>
      </c>
      <c r="C1276" s="10" t="str" cm="1">
        <f t="array" ref="C1276">IF(AND(A1276="2020-12", ISNA(MATCH(B1276, _xlfn._xlws.FILTER(B:B, A:A="2021-01"), 0))), "Left", "Ativo")</f>
        <v>Ativo</v>
      </c>
      <c r="D1276" s="10" t="str" cm="1">
        <f t="array" ref="D1276">IF(AND(A1276="2021-01", ISNA(MATCH(B1276, _xlfn._xlws.FILTER(B:B, A:A="2021-02"), 0))), "Left", "Ativo")</f>
        <v>Ativo</v>
      </c>
      <c r="E1276" s="10" t="str" cm="1">
        <f t="array" ref="E1276">IF(AND(A1276="2021-02", ISNA(MATCH(B1276, _xlfn._xlws.FILTER(B:B, A:A="2021-03"), 0))), "Left", "Ativo")</f>
        <v>Ativo</v>
      </c>
      <c r="F1276" s="12" t="str" cm="1">
        <f t="array" ref="F1276">IF(AND(A1276="2021-03", ISNA(MATCH(B1276, _xlfn._xlws.FILTER(B:B, A:A="2021-04"), 0))), "Left", "Ativo")</f>
        <v>Ativo</v>
      </c>
    </row>
    <row r="1277" spans="1:6" x14ac:dyDescent="0.25">
      <c r="A1277" t="s">
        <v>1529</v>
      </c>
      <c r="B1277" t="s">
        <v>326</v>
      </c>
      <c r="C1277" s="10" t="str" cm="1">
        <f t="array" ref="C1277">IF(AND(A1277="2020-12", ISNA(MATCH(B1277, _xlfn._xlws.FILTER(B:B, A:A="2021-01"), 0))), "Left", "Ativo")</f>
        <v>Ativo</v>
      </c>
      <c r="D1277" s="10" t="str" cm="1">
        <f t="array" ref="D1277">IF(AND(A1277="2021-01", ISNA(MATCH(B1277, _xlfn._xlws.FILTER(B:B, A:A="2021-02"), 0))), "Left", "Ativo")</f>
        <v>Ativo</v>
      </c>
      <c r="E1277" s="10" t="str" cm="1">
        <f t="array" ref="E1277">IF(AND(A1277="2021-02", ISNA(MATCH(B1277, _xlfn._xlws.FILTER(B:B, A:A="2021-03"), 0))), "Left", "Ativo")</f>
        <v>Ativo</v>
      </c>
      <c r="F1277" s="12" t="str" cm="1">
        <f t="array" ref="F1277">IF(AND(A1277="2021-03", ISNA(MATCH(B1277, _xlfn._xlws.FILTER(B:B, A:A="2021-04"), 0))), "Left", "Ativo")</f>
        <v>Ativo</v>
      </c>
    </row>
    <row r="1278" spans="1:6" x14ac:dyDescent="0.25">
      <c r="A1278" t="s">
        <v>1529</v>
      </c>
      <c r="B1278" t="s">
        <v>327</v>
      </c>
      <c r="C1278" s="10" t="str" cm="1">
        <f t="array" ref="C1278">IF(AND(A1278="2020-12", ISNA(MATCH(B1278, _xlfn._xlws.FILTER(B:B, A:A="2021-01"), 0))), "Left", "Ativo")</f>
        <v>Ativo</v>
      </c>
      <c r="D1278" s="10" t="str" cm="1">
        <f t="array" ref="D1278">IF(AND(A1278="2021-01", ISNA(MATCH(B1278, _xlfn._xlws.FILTER(B:B, A:A="2021-02"), 0))), "Left", "Ativo")</f>
        <v>Ativo</v>
      </c>
      <c r="E1278" s="10" t="str" cm="1">
        <f t="array" ref="E1278">IF(AND(A1278="2021-02", ISNA(MATCH(B1278, _xlfn._xlws.FILTER(B:B, A:A="2021-03"), 0))), "Left", "Ativo")</f>
        <v>Ativo</v>
      </c>
      <c r="F1278" s="12" t="str" cm="1">
        <f t="array" ref="F1278">IF(AND(A1278="2021-03", ISNA(MATCH(B1278, _xlfn._xlws.FILTER(B:B, A:A="2021-04"), 0))), "Left", "Ativo")</f>
        <v>Ativo</v>
      </c>
    </row>
    <row r="1279" spans="1:6" x14ac:dyDescent="0.25">
      <c r="A1279" t="s">
        <v>1529</v>
      </c>
      <c r="B1279" t="s">
        <v>328</v>
      </c>
      <c r="C1279" s="10" t="str" cm="1">
        <f t="array" ref="C1279">IF(AND(A1279="2020-12", ISNA(MATCH(B1279, _xlfn._xlws.FILTER(B:B, A:A="2021-01"), 0))), "Left", "Ativo")</f>
        <v>Ativo</v>
      </c>
      <c r="D1279" s="10" t="str" cm="1">
        <f t="array" ref="D1279">IF(AND(A1279="2021-01", ISNA(MATCH(B1279, _xlfn._xlws.FILTER(B:B, A:A="2021-02"), 0))), "Left", "Ativo")</f>
        <v>Ativo</v>
      </c>
      <c r="E1279" s="10" t="str" cm="1">
        <f t="array" ref="E1279">IF(AND(A1279="2021-02", ISNA(MATCH(B1279, _xlfn._xlws.FILTER(B:B, A:A="2021-03"), 0))), "Left", "Ativo")</f>
        <v>Ativo</v>
      </c>
      <c r="F1279" s="12" t="str" cm="1">
        <f t="array" ref="F1279">IF(AND(A1279="2021-03", ISNA(MATCH(B1279, _xlfn._xlws.FILTER(B:B, A:A="2021-04"), 0))), "Left", "Ativo")</f>
        <v>Ativo</v>
      </c>
    </row>
    <row r="1280" spans="1:6" x14ac:dyDescent="0.25">
      <c r="A1280" t="s">
        <v>1529</v>
      </c>
      <c r="B1280" t="s">
        <v>329</v>
      </c>
      <c r="C1280" s="10" t="str" cm="1">
        <f t="array" ref="C1280">IF(AND(A1280="2020-12", ISNA(MATCH(B1280, _xlfn._xlws.FILTER(B:B, A:A="2021-01"), 0))), "Left", "Ativo")</f>
        <v>Ativo</v>
      </c>
      <c r="D1280" s="10" t="str" cm="1">
        <f t="array" ref="D1280">IF(AND(A1280="2021-01", ISNA(MATCH(B1280, _xlfn._xlws.FILTER(B:B, A:A="2021-02"), 0))), "Left", "Ativo")</f>
        <v>Ativo</v>
      </c>
      <c r="E1280" s="10" t="str" cm="1">
        <f t="array" ref="E1280">IF(AND(A1280="2021-02", ISNA(MATCH(B1280, _xlfn._xlws.FILTER(B:B, A:A="2021-03"), 0))), "Left", "Ativo")</f>
        <v>Ativo</v>
      </c>
      <c r="F1280" s="12" t="str" cm="1">
        <f t="array" ref="F1280">IF(AND(A1280="2021-03", ISNA(MATCH(B1280, _xlfn._xlws.FILTER(B:B, A:A="2021-04"), 0))), "Left", "Ativo")</f>
        <v>Ativo</v>
      </c>
    </row>
    <row r="1281" spans="1:6" x14ac:dyDescent="0.25">
      <c r="A1281" t="s">
        <v>1529</v>
      </c>
      <c r="B1281" t="s">
        <v>330</v>
      </c>
      <c r="C1281" s="10" t="str" cm="1">
        <f t="array" ref="C1281">IF(AND(A1281="2020-12", ISNA(MATCH(B1281, _xlfn._xlws.FILTER(B:B, A:A="2021-01"), 0))), "Left", "Ativo")</f>
        <v>Ativo</v>
      </c>
      <c r="D1281" s="10" t="str" cm="1">
        <f t="array" ref="D1281">IF(AND(A1281="2021-01", ISNA(MATCH(B1281, _xlfn._xlws.FILTER(B:B, A:A="2021-02"), 0))), "Left", "Ativo")</f>
        <v>Ativo</v>
      </c>
      <c r="E1281" s="10" t="str" cm="1">
        <f t="array" ref="E1281">IF(AND(A1281="2021-02", ISNA(MATCH(B1281, _xlfn._xlws.FILTER(B:B, A:A="2021-03"), 0))), "Left", "Ativo")</f>
        <v>Ativo</v>
      </c>
      <c r="F1281" s="12" t="str" cm="1">
        <f t="array" ref="F1281">IF(AND(A1281="2021-03", ISNA(MATCH(B1281, _xlfn._xlws.FILTER(B:B, A:A="2021-04"), 0))), "Left", "Ativo")</f>
        <v>Ativo</v>
      </c>
    </row>
    <row r="1282" spans="1:6" x14ac:dyDescent="0.25">
      <c r="A1282" t="s">
        <v>1529</v>
      </c>
      <c r="B1282" t="s">
        <v>331</v>
      </c>
      <c r="C1282" s="10" t="str" cm="1">
        <f t="array" ref="C1282">IF(AND(A1282="2020-12", ISNA(MATCH(B1282, _xlfn._xlws.FILTER(B:B, A:A="2021-01"), 0))), "Left", "Ativo")</f>
        <v>Ativo</v>
      </c>
      <c r="D1282" s="10" t="str" cm="1">
        <f t="array" ref="D1282">IF(AND(A1282="2021-01", ISNA(MATCH(B1282, _xlfn._xlws.FILTER(B:B, A:A="2021-02"), 0))), "Left", "Ativo")</f>
        <v>Ativo</v>
      </c>
      <c r="E1282" s="10" t="str" cm="1">
        <f t="array" ref="E1282">IF(AND(A1282="2021-02", ISNA(MATCH(B1282, _xlfn._xlws.FILTER(B:B, A:A="2021-03"), 0))), "Left", "Ativo")</f>
        <v>Ativo</v>
      </c>
      <c r="F1282" s="12" t="str" cm="1">
        <f t="array" ref="F1282">IF(AND(A1282="2021-03", ISNA(MATCH(B1282, _xlfn._xlws.FILTER(B:B, A:A="2021-04"), 0))), "Left", "Ativo")</f>
        <v>Ativo</v>
      </c>
    </row>
    <row r="1283" spans="1:6" x14ac:dyDescent="0.25">
      <c r="A1283" t="s">
        <v>1529</v>
      </c>
      <c r="B1283" t="s">
        <v>332</v>
      </c>
      <c r="C1283" s="10" t="str" cm="1">
        <f t="array" ref="C1283">IF(AND(A1283="2020-12", ISNA(MATCH(B1283, _xlfn._xlws.FILTER(B:B, A:A="2021-01"), 0))), "Left", "Ativo")</f>
        <v>Ativo</v>
      </c>
      <c r="D1283" s="10" t="str" cm="1">
        <f t="array" ref="D1283">IF(AND(A1283="2021-01", ISNA(MATCH(B1283, _xlfn._xlws.FILTER(B:B, A:A="2021-02"), 0))), "Left", "Ativo")</f>
        <v>Ativo</v>
      </c>
      <c r="E1283" s="10" t="str" cm="1">
        <f t="array" ref="E1283">IF(AND(A1283="2021-02", ISNA(MATCH(B1283, _xlfn._xlws.FILTER(B:B, A:A="2021-03"), 0))), "Left", "Ativo")</f>
        <v>Ativo</v>
      </c>
      <c r="F1283" s="12" t="str" cm="1">
        <f t="array" ref="F1283">IF(AND(A1283="2021-03", ISNA(MATCH(B1283, _xlfn._xlws.FILTER(B:B, A:A="2021-04"), 0))), "Left", "Ativo")</f>
        <v>Ativo</v>
      </c>
    </row>
    <row r="1284" spans="1:6" x14ac:dyDescent="0.25">
      <c r="A1284" t="s">
        <v>1529</v>
      </c>
      <c r="B1284" t="s">
        <v>333</v>
      </c>
      <c r="C1284" s="10" t="str" cm="1">
        <f t="array" ref="C1284">IF(AND(A1284="2020-12", ISNA(MATCH(B1284, _xlfn._xlws.FILTER(B:B, A:A="2021-01"), 0))), "Left", "Ativo")</f>
        <v>Ativo</v>
      </c>
      <c r="D1284" s="10" t="str" cm="1">
        <f t="array" ref="D1284">IF(AND(A1284="2021-01", ISNA(MATCH(B1284, _xlfn._xlws.FILTER(B:B, A:A="2021-02"), 0))), "Left", "Ativo")</f>
        <v>Ativo</v>
      </c>
      <c r="E1284" s="10" t="str" cm="1">
        <f t="array" ref="E1284">IF(AND(A1284="2021-02", ISNA(MATCH(B1284, _xlfn._xlws.FILTER(B:B, A:A="2021-03"), 0))), "Left", "Ativo")</f>
        <v>Ativo</v>
      </c>
      <c r="F1284" s="12" t="str" cm="1">
        <f t="array" ref="F1284">IF(AND(A1284="2021-03", ISNA(MATCH(B1284, _xlfn._xlws.FILTER(B:B, A:A="2021-04"), 0))), "Left", "Ativo")</f>
        <v>Ativo</v>
      </c>
    </row>
    <row r="1285" spans="1:6" x14ac:dyDescent="0.25">
      <c r="A1285" t="s">
        <v>1529</v>
      </c>
      <c r="B1285" t="s">
        <v>334</v>
      </c>
      <c r="C1285" s="10" t="str" cm="1">
        <f t="array" ref="C1285">IF(AND(A1285="2020-12", ISNA(MATCH(B1285, _xlfn._xlws.FILTER(B:B, A:A="2021-01"), 0))), "Left", "Ativo")</f>
        <v>Ativo</v>
      </c>
      <c r="D1285" s="10" t="str" cm="1">
        <f t="array" ref="D1285">IF(AND(A1285="2021-01", ISNA(MATCH(B1285, _xlfn._xlws.FILTER(B:B, A:A="2021-02"), 0))), "Left", "Ativo")</f>
        <v>Ativo</v>
      </c>
      <c r="E1285" s="10" t="str" cm="1">
        <f t="array" ref="E1285">IF(AND(A1285="2021-02", ISNA(MATCH(B1285, _xlfn._xlws.FILTER(B:B, A:A="2021-03"), 0))), "Left", "Ativo")</f>
        <v>Ativo</v>
      </c>
      <c r="F1285" s="12" t="str" cm="1">
        <f t="array" ref="F1285">IF(AND(A1285="2021-03", ISNA(MATCH(B1285, _xlfn._xlws.FILTER(B:B, A:A="2021-04"), 0))), "Left", "Ativo")</f>
        <v>Ativo</v>
      </c>
    </row>
    <row r="1286" spans="1:6" x14ac:dyDescent="0.25">
      <c r="A1286" t="s">
        <v>1529</v>
      </c>
      <c r="B1286" t="s">
        <v>335</v>
      </c>
      <c r="C1286" s="10" t="str" cm="1">
        <f t="array" ref="C1286">IF(AND(A1286="2020-12", ISNA(MATCH(B1286, _xlfn._xlws.FILTER(B:B, A:A="2021-01"), 0))), "Left", "Ativo")</f>
        <v>Ativo</v>
      </c>
      <c r="D1286" s="10" t="str" cm="1">
        <f t="array" ref="D1286">IF(AND(A1286="2021-01", ISNA(MATCH(B1286, _xlfn._xlws.FILTER(B:B, A:A="2021-02"), 0))), "Left", "Ativo")</f>
        <v>Ativo</v>
      </c>
      <c r="E1286" s="10" t="str" cm="1">
        <f t="array" ref="E1286">IF(AND(A1286="2021-02", ISNA(MATCH(B1286, _xlfn._xlws.FILTER(B:B, A:A="2021-03"), 0))), "Left", "Ativo")</f>
        <v>Ativo</v>
      </c>
      <c r="F1286" s="12" t="str" cm="1">
        <f t="array" ref="F1286">IF(AND(A1286="2021-03", ISNA(MATCH(B1286, _xlfn._xlws.FILTER(B:B, A:A="2021-04"), 0))), "Left", "Ativo")</f>
        <v>Ativo</v>
      </c>
    </row>
    <row r="1287" spans="1:6" x14ac:dyDescent="0.25">
      <c r="A1287" t="s">
        <v>1529</v>
      </c>
      <c r="B1287" t="s">
        <v>336</v>
      </c>
      <c r="C1287" s="10" t="str" cm="1">
        <f t="array" ref="C1287">IF(AND(A1287="2020-12", ISNA(MATCH(B1287, _xlfn._xlws.FILTER(B:B, A:A="2021-01"), 0))), "Left", "Ativo")</f>
        <v>Ativo</v>
      </c>
      <c r="D1287" s="10" t="str" cm="1">
        <f t="array" ref="D1287">IF(AND(A1287="2021-01", ISNA(MATCH(B1287, _xlfn._xlws.FILTER(B:B, A:A="2021-02"), 0))), "Left", "Ativo")</f>
        <v>Ativo</v>
      </c>
      <c r="E1287" s="10" t="str" cm="1">
        <f t="array" ref="E1287">IF(AND(A1287="2021-02", ISNA(MATCH(B1287, _xlfn._xlws.FILTER(B:B, A:A="2021-03"), 0))), "Left", "Ativo")</f>
        <v>Ativo</v>
      </c>
      <c r="F1287" s="12" t="str" cm="1">
        <f t="array" ref="F1287">IF(AND(A1287="2021-03", ISNA(MATCH(B1287, _xlfn._xlws.FILTER(B:B, A:A="2021-04"), 0))), "Left", "Ativo")</f>
        <v>Ativo</v>
      </c>
    </row>
    <row r="1288" spans="1:6" x14ac:dyDescent="0.25">
      <c r="A1288" t="s">
        <v>1529</v>
      </c>
      <c r="B1288" t="s">
        <v>337</v>
      </c>
      <c r="C1288" s="10" t="str" cm="1">
        <f t="array" ref="C1288">IF(AND(A1288="2020-12", ISNA(MATCH(B1288, _xlfn._xlws.FILTER(B:B, A:A="2021-01"), 0))), "Left", "Ativo")</f>
        <v>Ativo</v>
      </c>
      <c r="D1288" s="10" t="str" cm="1">
        <f t="array" ref="D1288">IF(AND(A1288="2021-01", ISNA(MATCH(B1288, _xlfn._xlws.FILTER(B:B, A:A="2021-02"), 0))), "Left", "Ativo")</f>
        <v>Ativo</v>
      </c>
      <c r="E1288" s="10" t="str" cm="1">
        <f t="array" ref="E1288">IF(AND(A1288="2021-02", ISNA(MATCH(B1288, _xlfn._xlws.FILTER(B:B, A:A="2021-03"), 0))), "Left", "Ativo")</f>
        <v>Ativo</v>
      </c>
      <c r="F1288" s="12" t="str" cm="1">
        <f t="array" ref="F1288">IF(AND(A1288="2021-03", ISNA(MATCH(B1288, _xlfn._xlws.FILTER(B:B, A:A="2021-04"), 0))), "Left", "Ativo")</f>
        <v>Ativo</v>
      </c>
    </row>
    <row r="1289" spans="1:6" x14ac:dyDescent="0.25">
      <c r="A1289" t="s">
        <v>1529</v>
      </c>
      <c r="B1289" t="s">
        <v>338</v>
      </c>
      <c r="C1289" s="10" t="str" cm="1">
        <f t="array" ref="C1289">IF(AND(A1289="2020-12", ISNA(MATCH(B1289, _xlfn._xlws.FILTER(B:B, A:A="2021-01"), 0))), "Left", "Ativo")</f>
        <v>Ativo</v>
      </c>
      <c r="D1289" s="10" t="str" cm="1">
        <f t="array" ref="D1289">IF(AND(A1289="2021-01", ISNA(MATCH(B1289, _xlfn._xlws.FILTER(B:B, A:A="2021-02"), 0))), "Left", "Ativo")</f>
        <v>Ativo</v>
      </c>
      <c r="E1289" s="10" t="str" cm="1">
        <f t="array" ref="E1289">IF(AND(A1289="2021-02", ISNA(MATCH(B1289, _xlfn._xlws.FILTER(B:B, A:A="2021-03"), 0))), "Left", "Ativo")</f>
        <v>Ativo</v>
      </c>
      <c r="F1289" s="12" t="str" cm="1">
        <f t="array" ref="F1289">IF(AND(A1289="2021-03", ISNA(MATCH(B1289, _xlfn._xlws.FILTER(B:B, A:A="2021-04"), 0))), "Left", "Ativo")</f>
        <v>Ativo</v>
      </c>
    </row>
    <row r="1290" spans="1:6" x14ac:dyDescent="0.25">
      <c r="A1290" t="s">
        <v>1529</v>
      </c>
      <c r="B1290" t="s">
        <v>339</v>
      </c>
      <c r="C1290" s="10" t="str" cm="1">
        <f t="array" ref="C1290">IF(AND(A1290="2020-12", ISNA(MATCH(B1290, _xlfn._xlws.FILTER(B:B, A:A="2021-01"), 0))), "Left", "Ativo")</f>
        <v>Ativo</v>
      </c>
      <c r="D1290" s="10" t="str" cm="1">
        <f t="array" ref="D1290">IF(AND(A1290="2021-01", ISNA(MATCH(B1290, _xlfn._xlws.FILTER(B:B, A:A="2021-02"), 0))), "Left", "Ativo")</f>
        <v>Ativo</v>
      </c>
      <c r="E1290" s="10" t="str" cm="1">
        <f t="array" ref="E1290">IF(AND(A1290="2021-02", ISNA(MATCH(B1290, _xlfn._xlws.FILTER(B:B, A:A="2021-03"), 0))), "Left", "Ativo")</f>
        <v>Ativo</v>
      </c>
      <c r="F1290" s="12" t="str" cm="1">
        <f t="array" ref="F1290">IF(AND(A1290="2021-03", ISNA(MATCH(B1290, _xlfn._xlws.FILTER(B:B, A:A="2021-04"), 0))), "Left", "Ativo")</f>
        <v>Ativo</v>
      </c>
    </row>
    <row r="1291" spans="1:6" x14ac:dyDescent="0.25">
      <c r="A1291" t="s">
        <v>1529</v>
      </c>
      <c r="B1291" t="s">
        <v>340</v>
      </c>
      <c r="C1291" s="10" t="str" cm="1">
        <f t="array" ref="C1291">IF(AND(A1291="2020-12", ISNA(MATCH(B1291, _xlfn._xlws.FILTER(B:B, A:A="2021-01"), 0))), "Left", "Ativo")</f>
        <v>Ativo</v>
      </c>
      <c r="D1291" s="10" t="str" cm="1">
        <f t="array" ref="D1291">IF(AND(A1291="2021-01", ISNA(MATCH(B1291, _xlfn._xlws.FILTER(B:B, A:A="2021-02"), 0))), "Left", "Ativo")</f>
        <v>Ativo</v>
      </c>
      <c r="E1291" s="10" t="str" cm="1">
        <f t="array" ref="E1291">IF(AND(A1291="2021-02", ISNA(MATCH(B1291, _xlfn._xlws.FILTER(B:B, A:A="2021-03"), 0))), "Left", "Ativo")</f>
        <v>Ativo</v>
      </c>
      <c r="F1291" s="12" t="str" cm="1">
        <f t="array" ref="F1291">IF(AND(A1291="2021-03", ISNA(MATCH(B1291, _xlfn._xlws.FILTER(B:B, A:A="2021-04"), 0))), "Left", "Ativo")</f>
        <v>Ativo</v>
      </c>
    </row>
    <row r="1292" spans="1:6" x14ac:dyDescent="0.25">
      <c r="A1292" t="s">
        <v>1529</v>
      </c>
      <c r="B1292" t="s">
        <v>341</v>
      </c>
      <c r="C1292" s="10" t="str" cm="1">
        <f t="array" ref="C1292">IF(AND(A1292="2020-12", ISNA(MATCH(B1292, _xlfn._xlws.FILTER(B:B, A:A="2021-01"), 0))), "Left", "Ativo")</f>
        <v>Ativo</v>
      </c>
      <c r="D1292" s="10" t="str" cm="1">
        <f t="array" ref="D1292">IF(AND(A1292="2021-01", ISNA(MATCH(B1292, _xlfn._xlws.FILTER(B:B, A:A="2021-02"), 0))), "Left", "Ativo")</f>
        <v>Ativo</v>
      </c>
      <c r="E1292" s="10" t="str" cm="1">
        <f t="array" ref="E1292">IF(AND(A1292="2021-02", ISNA(MATCH(B1292, _xlfn._xlws.FILTER(B:B, A:A="2021-03"), 0))), "Left", "Ativo")</f>
        <v>Ativo</v>
      </c>
      <c r="F1292" s="12" t="str" cm="1">
        <f t="array" ref="F1292">IF(AND(A1292="2021-03", ISNA(MATCH(B1292, _xlfn._xlws.FILTER(B:B, A:A="2021-04"), 0))), "Left", "Ativo")</f>
        <v>Ativo</v>
      </c>
    </row>
    <row r="1293" spans="1:6" x14ac:dyDescent="0.25">
      <c r="A1293" t="s">
        <v>1529</v>
      </c>
      <c r="B1293" t="s">
        <v>342</v>
      </c>
      <c r="C1293" s="10" t="str" cm="1">
        <f t="array" ref="C1293">IF(AND(A1293="2020-12", ISNA(MATCH(B1293, _xlfn._xlws.FILTER(B:B, A:A="2021-01"), 0))), "Left", "Ativo")</f>
        <v>Ativo</v>
      </c>
      <c r="D1293" s="10" t="str" cm="1">
        <f t="array" ref="D1293">IF(AND(A1293="2021-01", ISNA(MATCH(B1293, _xlfn._xlws.FILTER(B:B, A:A="2021-02"), 0))), "Left", "Ativo")</f>
        <v>Ativo</v>
      </c>
      <c r="E1293" s="10" t="str" cm="1">
        <f t="array" ref="E1293">IF(AND(A1293="2021-02", ISNA(MATCH(B1293, _xlfn._xlws.FILTER(B:B, A:A="2021-03"), 0))), "Left", "Ativo")</f>
        <v>Ativo</v>
      </c>
      <c r="F1293" s="12" t="str" cm="1">
        <f t="array" ref="F1293">IF(AND(A1293="2021-03", ISNA(MATCH(B1293, _xlfn._xlws.FILTER(B:B, A:A="2021-04"), 0))), "Left", "Ativo")</f>
        <v>Ativo</v>
      </c>
    </row>
    <row r="1294" spans="1:6" x14ac:dyDescent="0.25">
      <c r="A1294" t="s">
        <v>1529</v>
      </c>
      <c r="B1294" t="s">
        <v>343</v>
      </c>
      <c r="C1294" s="10" t="str" cm="1">
        <f t="array" ref="C1294">IF(AND(A1294="2020-12", ISNA(MATCH(B1294, _xlfn._xlws.FILTER(B:B, A:A="2021-01"), 0))), "Left", "Ativo")</f>
        <v>Ativo</v>
      </c>
      <c r="D1294" s="10" t="str" cm="1">
        <f t="array" ref="D1294">IF(AND(A1294="2021-01", ISNA(MATCH(B1294, _xlfn._xlws.FILTER(B:B, A:A="2021-02"), 0))), "Left", "Ativo")</f>
        <v>Ativo</v>
      </c>
      <c r="E1294" s="10" t="str" cm="1">
        <f t="array" ref="E1294">IF(AND(A1294="2021-02", ISNA(MATCH(B1294, _xlfn._xlws.FILTER(B:B, A:A="2021-03"), 0))), "Left", "Ativo")</f>
        <v>Ativo</v>
      </c>
      <c r="F1294" s="12" t="str" cm="1">
        <f t="array" ref="F1294">IF(AND(A1294="2021-03", ISNA(MATCH(B1294, _xlfn._xlws.FILTER(B:B, A:A="2021-04"), 0))), "Left", "Ativo")</f>
        <v>Ativo</v>
      </c>
    </row>
    <row r="1295" spans="1:6" x14ac:dyDescent="0.25">
      <c r="A1295" t="s">
        <v>1529</v>
      </c>
      <c r="B1295" t="s">
        <v>344</v>
      </c>
      <c r="C1295" s="10" t="str" cm="1">
        <f t="array" ref="C1295">IF(AND(A1295="2020-12", ISNA(MATCH(B1295, _xlfn._xlws.FILTER(B:B, A:A="2021-01"), 0))), "Left", "Ativo")</f>
        <v>Ativo</v>
      </c>
      <c r="D1295" s="10" t="str" cm="1">
        <f t="array" ref="D1295">IF(AND(A1295="2021-01", ISNA(MATCH(B1295, _xlfn._xlws.FILTER(B:B, A:A="2021-02"), 0))), "Left", "Ativo")</f>
        <v>Ativo</v>
      </c>
      <c r="E1295" s="10" t="str" cm="1">
        <f t="array" ref="E1295">IF(AND(A1295="2021-02", ISNA(MATCH(B1295, _xlfn._xlws.FILTER(B:B, A:A="2021-03"), 0))), "Left", "Ativo")</f>
        <v>Ativo</v>
      </c>
      <c r="F1295" s="12" t="str" cm="1">
        <f t="array" ref="F1295">IF(AND(A1295="2021-03", ISNA(MATCH(B1295, _xlfn._xlws.FILTER(B:B, A:A="2021-04"), 0))), "Left", "Ativo")</f>
        <v>Ativo</v>
      </c>
    </row>
    <row r="1296" spans="1:6" x14ac:dyDescent="0.25">
      <c r="A1296" t="s">
        <v>1529</v>
      </c>
      <c r="B1296" t="s">
        <v>345</v>
      </c>
      <c r="C1296" s="10" t="str" cm="1">
        <f t="array" ref="C1296">IF(AND(A1296="2020-12", ISNA(MATCH(B1296, _xlfn._xlws.FILTER(B:B, A:A="2021-01"), 0))), "Left", "Ativo")</f>
        <v>Ativo</v>
      </c>
      <c r="D1296" s="10" t="str" cm="1">
        <f t="array" ref="D1296">IF(AND(A1296="2021-01", ISNA(MATCH(B1296, _xlfn._xlws.FILTER(B:B, A:A="2021-02"), 0))), "Left", "Ativo")</f>
        <v>Ativo</v>
      </c>
      <c r="E1296" s="10" t="str" cm="1">
        <f t="array" ref="E1296">IF(AND(A1296="2021-02", ISNA(MATCH(B1296, _xlfn._xlws.FILTER(B:B, A:A="2021-03"), 0))), "Left", "Ativo")</f>
        <v>Ativo</v>
      </c>
      <c r="F1296" s="12" t="str" cm="1">
        <f t="array" ref="F1296">IF(AND(A1296="2021-03", ISNA(MATCH(B1296, _xlfn._xlws.FILTER(B:B, A:A="2021-04"), 0))), "Left", "Ativo")</f>
        <v>Ativo</v>
      </c>
    </row>
    <row r="1297" spans="1:6" x14ac:dyDescent="0.25">
      <c r="A1297" t="s">
        <v>1529</v>
      </c>
      <c r="B1297" t="s">
        <v>346</v>
      </c>
      <c r="C1297" s="10" t="str" cm="1">
        <f t="array" ref="C1297">IF(AND(A1297="2020-12", ISNA(MATCH(B1297, _xlfn._xlws.FILTER(B:B, A:A="2021-01"), 0))), "Left", "Ativo")</f>
        <v>Ativo</v>
      </c>
      <c r="D1297" s="10" t="str" cm="1">
        <f t="array" ref="D1297">IF(AND(A1297="2021-01", ISNA(MATCH(B1297, _xlfn._xlws.FILTER(B:B, A:A="2021-02"), 0))), "Left", "Ativo")</f>
        <v>Ativo</v>
      </c>
      <c r="E1297" s="10" t="str" cm="1">
        <f t="array" ref="E1297">IF(AND(A1297="2021-02", ISNA(MATCH(B1297, _xlfn._xlws.FILTER(B:B, A:A="2021-03"), 0))), "Left", "Ativo")</f>
        <v>Ativo</v>
      </c>
      <c r="F1297" s="12" t="str" cm="1">
        <f t="array" ref="F1297">IF(AND(A1297="2021-03", ISNA(MATCH(B1297, _xlfn._xlws.FILTER(B:B, A:A="2021-04"), 0))), "Left", "Ativo")</f>
        <v>Ativo</v>
      </c>
    </row>
    <row r="1298" spans="1:6" x14ac:dyDescent="0.25">
      <c r="A1298" t="s">
        <v>1529</v>
      </c>
      <c r="B1298" t="s">
        <v>347</v>
      </c>
      <c r="C1298" s="10" t="str" cm="1">
        <f t="array" ref="C1298">IF(AND(A1298="2020-12", ISNA(MATCH(B1298, _xlfn._xlws.FILTER(B:B, A:A="2021-01"), 0))), "Left", "Ativo")</f>
        <v>Ativo</v>
      </c>
      <c r="D1298" s="10" t="str" cm="1">
        <f t="array" ref="D1298">IF(AND(A1298="2021-01", ISNA(MATCH(B1298, _xlfn._xlws.FILTER(B:B, A:A="2021-02"), 0))), "Left", "Ativo")</f>
        <v>Ativo</v>
      </c>
      <c r="E1298" s="10" t="str" cm="1">
        <f t="array" ref="E1298">IF(AND(A1298="2021-02", ISNA(MATCH(B1298, _xlfn._xlws.FILTER(B:B, A:A="2021-03"), 0))), "Left", "Ativo")</f>
        <v>Ativo</v>
      </c>
      <c r="F1298" s="12" t="str" cm="1">
        <f t="array" ref="F1298">IF(AND(A1298="2021-03", ISNA(MATCH(B1298, _xlfn._xlws.FILTER(B:B, A:A="2021-04"), 0))), "Left", "Ativo")</f>
        <v>Ativo</v>
      </c>
    </row>
    <row r="1299" spans="1:6" x14ac:dyDescent="0.25">
      <c r="A1299" t="s">
        <v>1529</v>
      </c>
      <c r="B1299" t="s">
        <v>348</v>
      </c>
      <c r="C1299" s="10" t="str" cm="1">
        <f t="array" ref="C1299">IF(AND(A1299="2020-12", ISNA(MATCH(B1299, _xlfn._xlws.FILTER(B:B, A:A="2021-01"), 0))), "Left", "Ativo")</f>
        <v>Ativo</v>
      </c>
      <c r="D1299" s="10" t="str" cm="1">
        <f t="array" ref="D1299">IF(AND(A1299="2021-01", ISNA(MATCH(B1299, _xlfn._xlws.FILTER(B:B, A:A="2021-02"), 0))), "Left", "Ativo")</f>
        <v>Ativo</v>
      </c>
      <c r="E1299" s="10" t="str" cm="1">
        <f t="array" ref="E1299">IF(AND(A1299="2021-02", ISNA(MATCH(B1299, _xlfn._xlws.FILTER(B:B, A:A="2021-03"), 0))), "Left", "Ativo")</f>
        <v>Ativo</v>
      </c>
      <c r="F1299" s="12" t="str" cm="1">
        <f t="array" ref="F1299">IF(AND(A1299="2021-03", ISNA(MATCH(B1299, _xlfn._xlws.FILTER(B:B, A:A="2021-04"), 0))), "Left", "Ativo")</f>
        <v>Ativo</v>
      </c>
    </row>
    <row r="1300" spans="1:6" x14ac:dyDescent="0.25">
      <c r="A1300" t="s">
        <v>1529</v>
      </c>
      <c r="B1300" t="s">
        <v>349</v>
      </c>
      <c r="C1300" s="10" t="str" cm="1">
        <f t="array" ref="C1300">IF(AND(A1300="2020-12", ISNA(MATCH(B1300, _xlfn._xlws.FILTER(B:B, A:A="2021-01"), 0))), "Left", "Ativo")</f>
        <v>Ativo</v>
      </c>
      <c r="D1300" s="10" t="str" cm="1">
        <f t="array" ref="D1300">IF(AND(A1300="2021-01", ISNA(MATCH(B1300, _xlfn._xlws.FILTER(B:B, A:A="2021-02"), 0))), "Left", "Ativo")</f>
        <v>Ativo</v>
      </c>
      <c r="E1300" s="10" t="str" cm="1">
        <f t="array" ref="E1300">IF(AND(A1300="2021-02", ISNA(MATCH(B1300, _xlfn._xlws.FILTER(B:B, A:A="2021-03"), 0))), "Left", "Ativo")</f>
        <v>Ativo</v>
      </c>
      <c r="F1300" s="12" t="str" cm="1">
        <f t="array" ref="F1300">IF(AND(A1300="2021-03", ISNA(MATCH(B1300, _xlfn._xlws.FILTER(B:B, A:A="2021-04"), 0))), "Left", "Ativo")</f>
        <v>Ativo</v>
      </c>
    </row>
    <row r="1301" spans="1:6" x14ac:dyDescent="0.25">
      <c r="A1301" t="s">
        <v>1529</v>
      </c>
      <c r="B1301" t="s">
        <v>350</v>
      </c>
      <c r="C1301" s="10" t="str" cm="1">
        <f t="array" ref="C1301">IF(AND(A1301="2020-12", ISNA(MATCH(B1301, _xlfn._xlws.FILTER(B:B, A:A="2021-01"), 0))), "Left", "Ativo")</f>
        <v>Ativo</v>
      </c>
      <c r="D1301" s="10" t="str" cm="1">
        <f t="array" ref="D1301">IF(AND(A1301="2021-01", ISNA(MATCH(B1301, _xlfn._xlws.FILTER(B:B, A:A="2021-02"), 0))), "Left", "Ativo")</f>
        <v>Ativo</v>
      </c>
      <c r="E1301" s="10" t="str" cm="1">
        <f t="array" ref="E1301">IF(AND(A1301="2021-02", ISNA(MATCH(B1301, _xlfn._xlws.FILTER(B:B, A:A="2021-03"), 0))), "Left", "Ativo")</f>
        <v>Ativo</v>
      </c>
      <c r="F1301" s="12" t="str" cm="1">
        <f t="array" ref="F1301">IF(AND(A1301="2021-03", ISNA(MATCH(B1301, _xlfn._xlws.FILTER(B:B, A:A="2021-04"), 0))), "Left", "Ativo")</f>
        <v>Ativo</v>
      </c>
    </row>
    <row r="1302" spans="1:6" x14ac:dyDescent="0.25">
      <c r="A1302" t="s">
        <v>1529</v>
      </c>
      <c r="B1302" t="s">
        <v>351</v>
      </c>
      <c r="C1302" s="10" t="str" cm="1">
        <f t="array" ref="C1302">IF(AND(A1302="2020-12", ISNA(MATCH(B1302, _xlfn._xlws.FILTER(B:B, A:A="2021-01"), 0))), "Left", "Ativo")</f>
        <v>Ativo</v>
      </c>
      <c r="D1302" s="10" t="str" cm="1">
        <f t="array" ref="D1302">IF(AND(A1302="2021-01", ISNA(MATCH(B1302, _xlfn._xlws.FILTER(B:B, A:A="2021-02"), 0))), "Left", "Ativo")</f>
        <v>Ativo</v>
      </c>
      <c r="E1302" s="10" t="str" cm="1">
        <f t="array" ref="E1302">IF(AND(A1302="2021-02", ISNA(MATCH(B1302, _xlfn._xlws.FILTER(B:B, A:A="2021-03"), 0))), "Left", "Ativo")</f>
        <v>Ativo</v>
      </c>
      <c r="F1302" s="12" t="str" cm="1">
        <f t="array" ref="F1302">IF(AND(A1302="2021-03", ISNA(MATCH(B1302, _xlfn._xlws.FILTER(B:B, A:A="2021-04"), 0))), "Left", "Ativo")</f>
        <v>Ativo</v>
      </c>
    </row>
    <row r="1303" spans="1:6" x14ac:dyDescent="0.25">
      <c r="A1303" t="s">
        <v>1529</v>
      </c>
      <c r="B1303" t="s">
        <v>352</v>
      </c>
      <c r="C1303" s="10" t="str" cm="1">
        <f t="array" ref="C1303">IF(AND(A1303="2020-12", ISNA(MATCH(B1303, _xlfn._xlws.FILTER(B:B, A:A="2021-01"), 0))), "Left", "Ativo")</f>
        <v>Ativo</v>
      </c>
      <c r="D1303" s="10" t="str" cm="1">
        <f t="array" ref="D1303">IF(AND(A1303="2021-01", ISNA(MATCH(B1303, _xlfn._xlws.FILTER(B:B, A:A="2021-02"), 0))), "Left", "Ativo")</f>
        <v>Ativo</v>
      </c>
      <c r="E1303" s="10" t="str" cm="1">
        <f t="array" ref="E1303">IF(AND(A1303="2021-02", ISNA(MATCH(B1303, _xlfn._xlws.FILTER(B:B, A:A="2021-03"), 0))), "Left", "Ativo")</f>
        <v>Ativo</v>
      </c>
      <c r="F1303" s="12" t="str" cm="1">
        <f t="array" ref="F1303">IF(AND(A1303="2021-03", ISNA(MATCH(B1303, _xlfn._xlws.FILTER(B:B, A:A="2021-04"), 0))), "Left", "Ativo")</f>
        <v>Ativo</v>
      </c>
    </row>
    <row r="1304" spans="1:6" x14ac:dyDescent="0.25">
      <c r="A1304" t="s">
        <v>1529</v>
      </c>
      <c r="B1304" t="s">
        <v>353</v>
      </c>
      <c r="C1304" s="10" t="str" cm="1">
        <f t="array" ref="C1304">IF(AND(A1304="2020-12", ISNA(MATCH(B1304, _xlfn._xlws.FILTER(B:B, A:A="2021-01"), 0))), "Left", "Ativo")</f>
        <v>Ativo</v>
      </c>
      <c r="D1304" s="10" t="str" cm="1">
        <f t="array" ref="D1304">IF(AND(A1304="2021-01", ISNA(MATCH(B1304, _xlfn._xlws.FILTER(B:B, A:A="2021-02"), 0))), "Left", "Ativo")</f>
        <v>Ativo</v>
      </c>
      <c r="E1304" s="10" t="str" cm="1">
        <f t="array" ref="E1304">IF(AND(A1304="2021-02", ISNA(MATCH(B1304, _xlfn._xlws.FILTER(B:B, A:A="2021-03"), 0))), "Left", "Ativo")</f>
        <v>Ativo</v>
      </c>
      <c r="F1304" s="12" t="str" cm="1">
        <f t="array" ref="F1304">IF(AND(A1304="2021-03", ISNA(MATCH(B1304, _xlfn._xlws.FILTER(B:B, A:A="2021-04"), 0))), "Left", "Ativo")</f>
        <v>Ativo</v>
      </c>
    </row>
    <row r="1305" spans="1:6" x14ac:dyDescent="0.25">
      <c r="A1305" t="s">
        <v>1529</v>
      </c>
      <c r="B1305" t="s">
        <v>354</v>
      </c>
      <c r="C1305" s="10" t="str" cm="1">
        <f t="array" ref="C1305">IF(AND(A1305="2020-12", ISNA(MATCH(B1305, _xlfn._xlws.FILTER(B:B, A:A="2021-01"), 0))), "Left", "Ativo")</f>
        <v>Ativo</v>
      </c>
      <c r="D1305" s="10" t="str" cm="1">
        <f t="array" ref="D1305">IF(AND(A1305="2021-01", ISNA(MATCH(B1305, _xlfn._xlws.FILTER(B:B, A:A="2021-02"), 0))), "Left", "Ativo")</f>
        <v>Ativo</v>
      </c>
      <c r="E1305" s="10" t="str" cm="1">
        <f t="array" ref="E1305">IF(AND(A1305="2021-02", ISNA(MATCH(B1305, _xlfn._xlws.FILTER(B:B, A:A="2021-03"), 0))), "Left", "Ativo")</f>
        <v>Ativo</v>
      </c>
      <c r="F1305" s="12" t="str" cm="1">
        <f t="array" ref="F1305">IF(AND(A1305="2021-03", ISNA(MATCH(B1305, _xlfn._xlws.FILTER(B:B, A:A="2021-04"), 0))), "Left", "Ativo")</f>
        <v>Ativo</v>
      </c>
    </row>
    <row r="1306" spans="1:6" x14ac:dyDescent="0.25">
      <c r="A1306" t="s">
        <v>1529</v>
      </c>
      <c r="B1306" t="s">
        <v>355</v>
      </c>
      <c r="C1306" s="10" t="str" cm="1">
        <f t="array" ref="C1306">IF(AND(A1306="2020-12", ISNA(MATCH(B1306, _xlfn._xlws.FILTER(B:B, A:A="2021-01"), 0))), "Left", "Ativo")</f>
        <v>Ativo</v>
      </c>
      <c r="D1306" s="10" t="str" cm="1">
        <f t="array" ref="D1306">IF(AND(A1306="2021-01", ISNA(MATCH(B1306, _xlfn._xlws.FILTER(B:B, A:A="2021-02"), 0))), "Left", "Ativo")</f>
        <v>Ativo</v>
      </c>
      <c r="E1306" s="10" t="str" cm="1">
        <f t="array" ref="E1306">IF(AND(A1306="2021-02", ISNA(MATCH(B1306, _xlfn._xlws.FILTER(B:B, A:A="2021-03"), 0))), "Left", "Ativo")</f>
        <v>Ativo</v>
      </c>
      <c r="F1306" s="12" t="str" cm="1">
        <f t="array" ref="F1306">IF(AND(A1306="2021-03", ISNA(MATCH(B1306, _xlfn._xlws.FILTER(B:B, A:A="2021-04"), 0))), "Left", "Ativo")</f>
        <v>Ativo</v>
      </c>
    </row>
    <row r="1307" spans="1:6" x14ac:dyDescent="0.25">
      <c r="A1307" t="s">
        <v>1529</v>
      </c>
      <c r="B1307" t="s">
        <v>356</v>
      </c>
      <c r="C1307" s="10" t="str" cm="1">
        <f t="array" ref="C1307">IF(AND(A1307="2020-12", ISNA(MATCH(B1307, _xlfn._xlws.FILTER(B:B, A:A="2021-01"), 0))), "Left", "Ativo")</f>
        <v>Ativo</v>
      </c>
      <c r="D1307" s="10" t="str" cm="1">
        <f t="array" ref="D1307">IF(AND(A1307="2021-01", ISNA(MATCH(B1307, _xlfn._xlws.FILTER(B:B, A:A="2021-02"), 0))), "Left", "Ativo")</f>
        <v>Ativo</v>
      </c>
      <c r="E1307" s="10" t="str" cm="1">
        <f t="array" ref="E1307">IF(AND(A1307="2021-02", ISNA(MATCH(B1307, _xlfn._xlws.FILTER(B:B, A:A="2021-03"), 0))), "Left", "Ativo")</f>
        <v>Ativo</v>
      </c>
      <c r="F1307" s="12" t="str" cm="1">
        <f t="array" ref="F1307">IF(AND(A1307="2021-03", ISNA(MATCH(B1307, _xlfn._xlws.FILTER(B:B, A:A="2021-04"), 0))), "Left", "Ativo")</f>
        <v>Ativo</v>
      </c>
    </row>
    <row r="1308" spans="1:6" x14ac:dyDescent="0.25">
      <c r="A1308" t="s">
        <v>1529</v>
      </c>
      <c r="B1308" t="s">
        <v>357</v>
      </c>
      <c r="C1308" s="10" t="str" cm="1">
        <f t="array" ref="C1308">IF(AND(A1308="2020-12", ISNA(MATCH(B1308, _xlfn._xlws.FILTER(B:B, A:A="2021-01"), 0))), "Left", "Ativo")</f>
        <v>Ativo</v>
      </c>
      <c r="D1308" s="10" t="str" cm="1">
        <f t="array" ref="D1308">IF(AND(A1308="2021-01", ISNA(MATCH(B1308, _xlfn._xlws.FILTER(B:B, A:A="2021-02"), 0))), "Left", "Ativo")</f>
        <v>Ativo</v>
      </c>
      <c r="E1308" s="10" t="str" cm="1">
        <f t="array" ref="E1308">IF(AND(A1308="2021-02", ISNA(MATCH(B1308, _xlfn._xlws.FILTER(B:B, A:A="2021-03"), 0))), "Left", "Ativo")</f>
        <v>Ativo</v>
      </c>
      <c r="F1308" s="12" t="str" cm="1">
        <f t="array" ref="F1308">IF(AND(A1308="2021-03", ISNA(MATCH(B1308, _xlfn._xlws.FILTER(B:B, A:A="2021-04"), 0))), "Left", "Ativo")</f>
        <v>Ativo</v>
      </c>
    </row>
    <row r="1309" spans="1:6" x14ac:dyDescent="0.25">
      <c r="A1309" t="s">
        <v>1529</v>
      </c>
      <c r="B1309" t="s">
        <v>358</v>
      </c>
      <c r="C1309" s="10" t="str" cm="1">
        <f t="array" ref="C1309">IF(AND(A1309="2020-12", ISNA(MATCH(B1309, _xlfn._xlws.FILTER(B:B, A:A="2021-01"), 0))), "Left", "Ativo")</f>
        <v>Ativo</v>
      </c>
      <c r="D1309" s="10" t="str" cm="1">
        <f t="array" ref="D1309">IF(AND(A1309="2021-01", ISNA(MATCH(B1309, _xlfn._xlws.FILTER(B:B, A:A="2021-02"), 0))), "Left", "Ativo")</f>
        <v>Ativo</v>
      </c>
      <c r="E1309" s="10" t="str" cm="1">
        <f t="array" ref="E1309">IF(AND(A1309="2021-02", ISNA(MATCH(B1309, _xlfn._xlws.FILTER(B:B, A:A="2021-03"), 0))), "Left", "Ativo")</f>
        <v>Ativo</v>
      </c>
      <c r="F1309" s="12" t="str" cm="1">
        <f t="array" ref="F1309">IF(AND(A1309="2021-03", ISNA(MATCH(B1309, _xlfn._xlws.FILTER(B:B, A:A="2021-04"), 0))), "Left", "Ativo")</f>
        <v>Ativo</v>
      </c>
    </row>
    <row r="1310" spans="1:6" x14ac:dyDescent="0.25">
      <c r="A1310" t="s">
        <v>1529</v>
      </c>
      <c r="B1310" t="s">
        <v>359</v>
      </c>
      <c r="C1310" s="10" t="str" cm="1">
        <f t="array" ref="C1310">IF(AND(A1310="2020-12", ISNA(MATCH(B1310, _xlfn._xlws.FILTER(B:B, A:A="2021-01"), 0))), "Left", "Ativo")</f>
        <v>Ativo</v>
      </c>
      <c r="D1310" s="10" t="str" cm="1">
        <f t="array" ref="D1310">IF(AND(A1310="2021-01", ISNA(MATCH(B1310, _xlfn._xlws.FILTER(B:B, A:A="2021-02"), 0))), "Left", "Ativo")</f>
        <v>Ativo</v>
      </c>
      <c r="E1310" s="10" t="str" cm="1">
        <f t="array" ref="E1310">IF(AND(A1310="2021-02", ISNA(MATCH(B1310, _xlfn._xlws.FILTER(B:B, A:A="2021-03"), 0))), "Left", "Ativo")</f>
        <v>Ativo</v>
      </c>
      <c r="F1310" s="12" t="str" cm="1">
        <f t="array" ref="F1310">IF(AND(A1310="2021-03", ISNA(MATCH(B1310, _xlfn._xlws.FILTER(B:B, A:A="2021-04"), 0))), "Left", "Ativo")</f>
        <v>Ativo</v>
      </c>
    </row>
    <row r="1311" spans="1:6" x14ac:dyDescent="0.25">
      <c r="A1311" t="s">
        <v>1529</v>
      </c>
      <c r="B1311" t="s">
        <v>360</v>
      </c>
      <c r="C1311" s="10" t="str" cm="1">
        <f t="array" ref="C1311">IF(AND(A1311="2020-12", ISNA(MATCH(B1311, _xlfn._xlws.FILTER(B:B, A:A="2021-01"), 0))), "Left", "Ativo")</f>
        <v>Ativo</v>
      </c>
      <c r="D1311" s="10" t="str" cm="1">
        <f t="array" ref="D1311">IF(AND(A1311="2021-01", ISNA(MATCH(B1311, _xlfn._xlws.FILTER(B:B, A:A="2021-02"), 0))), "Left", "Ativo")</f>
        <v>Ativo</v>
      </c>
      <c r="E1311" s="10" t="str" cm="1">
        <f t="array" ref="E1311">IF(AND(A1311="2021-02", ISNA(MATCH(B1311, _xlfn._xlws.FILTER(B:B, A:A="2021-03"), 0))), "Left", "Ativo")</f>
        <v>Ativo</v>
      </c>
      <c r="F1311" s="12" t="str" cm="1">
        <f t="array" ref="F1311">IF(AND(A1311="2021-03", ISNA(MATCH(B1311, _xlfn._xlws.FILTER(B:B, A:A="2021-04"), 0))), "Left", "Ativo")</f>
        <v>Ativo</v>
      </c>
    </row>
    <row r="1312" spans="1:6" x14ac:dyDescent="0.25">
      <c r="A1312" t="s">
        <v>1529</v>
      </c>
      <c r="B1312" t="s">
        <v>361</v>
      </c>
      <c r="C1312" s="10" t="str" cm="1">
        <f t="array" ref="C1312">IF(AND(A1312="2020-12", ISNA(MATCH(B1312, _xlfn._xlws.FILTER(B:B, A:A="2021-01"), 0))), "Left", "Ativo")</f>
        <v>Ativo</v>
      </c>
      <c r="D1312" s="10" t="str" cm="1">
        <f t="array" ref="D1312">IF(AND(A1312="2021-01", ISNA(MATCH(B1312, _xlfn._xlws.FILTER(B:B, A:A="2021-02"), 0))), "Left", "Ativo")</f>
        <v>Ativo</v>
      </c>
      <c r="E1312" s="10" t="str" cm="1">
        <f t="array" ref="E1312">IF(AND(A1312="2021-02", ISNA(MATCH(B1312, _xlfn._xlws.FILTER(B:B, A:A="2021-03"), 0))), "Left", "Ativo")</f>
        <v>Ativo</v>
      </c>
      <c r="F1312" s="12" t="str" cm="1">
        <f t="array" ref="F1312">IF(AND(A1312="2021-03", ISNA(MATCH(B1312, _xlfn._xlws.FILTER(B:B, A:A="2021-04"), 0))), "Left", "Ativo")</f>
        <v>Ativo</v>
      </c>
    </row>
    <row r="1313" spans="1:6" x14ac:dyDescent="0.25">
      <c r="A1313" t="s">
        <v>1529</v>
      </c>
      <c r="B1313" t="s">
        <v>362</v>
      </c>
      <c r="C1313" s="10" t="str" cm="1">
        <f t="array" ref="C1313">IF(AND(A1313="2020-12", ISNA(MATCH(B1313, _xlfn._xlws.FILTER(B:B, A:A="2021-01"), 0))), "Left", "Ativo")</f>
        <v>Ativo</v>
      </c>
      <c r="D1313" s="10" t="str" cm="1">
        <f t="array" ref="D1313">IF(AND(A1313="2021-01", ISNA(MATCH(B1313, _xlfn._xlws.FILTER(B:B, A:A="2021-02"), 0))), "Left", "Ativo")</f>
        <v>Ativo</v>
      </c>
      <c r="E1313" s="10" t="str" cm="1">
        <f t="array" ref="E1313">IF(AND(A1313="2021-02", ISNA(MATCH(B1313, _xlfn._xlws.FILTER(B:B, A:A="2021-03"), 0))), "Left", "Ativo")</f>
        <v>Ativo</v>
      </c>
      <c r="F1313" s="12" t="str" cm="1">
        <f t="array" ref="F1313">IF(AND(A1313="2021-03", ISNA(MATCH(B1313, _xlfn._xlws.FILTER(B:B, A:A="2021-04"), 0))), "Left", "Ativo")</f>
        <v>Ativo</v>
      </c>
    </row>
    <row r="1314" spans="1:6" x14ac:dyDescent="0.25">
      <c r="A1314" t="s">
        <v>1529</v>
      </c>
      <c r="B1314" t="s">
        <v>363</v>
      </c>
      <c r="C1314" s="10" t="str" cm="1">
        <f t="array" ref="C1314">IF(AND(A1314="2020-12", ISNA(MATCH(B1314, _xlfn._xlws.FILTER(B:B, A:A="2021-01"), 0))), "Left", "Ativo")</f>
        <v>Ativo</v>
      </c>
      <c r="D1314" s="10" t="str" cm="1">
        <f t="array" ref="D1314">IF(AND(A1314="2021-01", ISNA(MATCH(B1314, _xlfn._xlws.FILTER(B:B, A:A="2021-02"), 0))), "Left", "Ativo")</f>
        <v>Ativo</v>
      </c>
      <c r="E1314" s="10" t="str" cm="1">
        <f t="array" ref="E1314">IF(AND(A1314="2021-02", ISNA(MATCH(B1314, _xlfn._xlws.FILTER(B:B, A:A="2021-03"), 0))), "Left", "Ativo")</f>
        <v>Ativo</v>
      </c>
      <c r="F1314" s="12" t="str" cm="1">
        <f t="array" ref="F1314">IF(AND(A1314="2021-03", ISNA(MATCH(B1314, _xlfn._xlws.FILTER(B:B, A:A="2021-04"), 0))), "Left", "Ativo")</f>
        <v>Ativo</v>
      </c>
    </row>
    <row r="1315" spans="1:6" x14ac:dyDescent="0.25">
      <c r="A1315" t="s">
        <v>1529</v>
      </c>
      <c r="B1315" t="s">
        <v>364</v>
      </c>
      <c r="C1315" s="10" t="str" cm="1">
        <f t="array" ref="C1315">IF(AND(A1315="2020-12", ISNA(MATCH(B1315, _xlfn._xlws.FILTER(B:B, A:A="2021-01"), 0))), "Left", "Ativo")</f>
        <v>Ativo</v>
      </c>
      <c r="D1315" s="10" t="str" cm="1">
        <f t="array" ref="D1315">IF(AND(A1315="2021-01", ISNA(MATCH(B1315, _xlfn._xlws.FILTER(B:B, A:A="2021-02"), 0))), "Left", "Ativo")</f>
        <v>Ativo</v>
      </c>
      <c r="E1315" s="10" t="str" cm="1">
        <f t="array" ref="E1315">IF(AND(A1315="2021-02", ISNA(MATCH(B1315, _xlfn._xlws.FILTER(B:B, A:A="2021-03"), 0))), "Left", "Ativo")</f>
        <v>Ativo</v>
      </c>
      <c r="F1315" s="12" t="str" cm="1">
        <f t="array" ref="F1315">IF(AND(A1315="2021-03", ISNA(MATCH(B1315, _xlfn._xlws.FILTER(B:B, A:A="2021-04"), 0))), "Left", "Ativo")</f>
        <v>Ativo</v>
      </c>
    </row>
    <row r="1316" spans="1:6" x14ac:dyDescent="0.25">
      <c r="A1316" t="s">
        <v>1529</v>
      </c>
      <c r="B1316" t="s">
        <v>365</v>
      </c>
      <c r="C1316" s="10" t="str" cm="1">
        <f t="array" ref="C1316">IF(AND(A1316="2020-12", ISNA(MATCH(B1316, _xlfn._xlws.FILTER(B:B, A:A="2021-01"), 0))), "Left", "Ativo")</f>
        <v>Ativo</v>
      </c>
      <c r="D1316" s="10" t="str" cm="1">
        <f t="array" ref="D1316">IF(AND(A1316="2021-01", ISNA(MATCH(B1316, _xlfn._xlws.FILTER(B:B, A:A="2021-02"), 0))), "Left", "Ativo")</f>
        <v>Ativo</v>
      </c>
      <c r="E1316" s="10" t="str" cm="1">
        <f t="array" ref="E1316">IF(AND(A1316="2021-02", ISNA(MATCH(B1316, _xlfn._xlws.FILTER(B:B, A:A="2021-03"), 0))), "Left", "Ativo")</f>
        <v>Ativo</v>
      </c>
      <c r="F1316" s="12" t="str" cm="1">
        <f t="array" ref="F1316">IF(AND(A1316="2021-03", ISNA(MATCH(B1316, _xlfn._xlws.FILTER(B:B, A:A="2021-04"), 0))), "Left", "Ativo")</f>
        <v>Ativo</v>
      </c>
    </row>
    <row r="1317" spans="1:6" x14ac:dyDescent="0.25">
      <c r="A1317" t="s">
        <v>1529</v>
      </c>
      <c r="B1317" t="s">
        <v>366</v>
      </c>
      <c r="C1317" s="10" t="str" cm="1">
        <f t="array" ref="C1317">IF(AND(A1317="2020-12", ISNA(MATCH(B1317, _xlfn._xlws.FILTER(B:B, A:A="2021-01"), 0))), "Left", "Ativo")</f>
        <v>Ativo</v>
      </c>
      <c r="D1317" s="10" t="str" cm="1">
        <f t="array" ref="D1317">IF(AND(A1317="2021-01", ISNA(MATCH(B1317, _xlfn._xlws.FILTER(B:B, A:A="2021-02"), 0))), "Left", "Ativo")</f>
        <v>Ativo</v>
      </c>
      <c r="E1317" s="10" t="str" cm="1">
        <f t="array" ref="E1317">IF(AND(A1317="2021-02", ISNA(MATCH(B1317, _xlfn._xlws.FILTER(B:B, A:A="2021-03"), 0))), "Left", "Ativo")</f>
        <v>Ativo</v>
      </c>
      <c r="F1317" s="12" t="str" cm="1">
        <f t="array" ref="F1317">IF(AND(A1317="2021-03", ISNA(MATCH(B1317, _xlfn._xlws.FILTER(B:B, A:A="2021-04"), 0))), "Left", "Ativo")</f>
        <v>Ativo</v>
      </c>
    </row>
    <row r="1318" spans="1:6" x14ac:dyDescent="0.25">
      <c r="A1318" t="s">
        <v>1529</v>
      </c>
      <c r="B1318" t="s">
        <v>367</v>
      </c>
      <c r="C1318" s="10" t="str" cm="1">
        <f t="array" ref="C1318">IF(AND(A1318="2020-12", ISNA(MATCH(B1318, _xlfn._xlws.FILTER(B:B, A:A="2021-01"), 0))), "Left", "Ativo")</f>
        <v>Ativo</v>
      </c>
      <c r="D1318" s="10" t="str" cm="1">
        <f t="array" ref="D1318">IF(AND(A1318="2021-01", ISNA(MATCH(B1318, _xlfn._xlws.FILTER(B:B, A:A="2021-02"), 0))), "Left", "Ativo")</f>
        <v>Ativo</v>
      </c>
      <c r="E1318" s="10" t="str" cm="1">
        <f t="array" ref="E1318">IF(AND(A1318="2021-02", ISNA(MATCH(B1318, _xlfn._xlws.FILTER(B:B, A:A="2021-03"), 0))), "Left", "Ativo")</f>
        <v>Ativo</v>
      </c>
      <c r="F1318" s="12" t="str" cm="1">
        <f t="array" ref="F1318">IF(AND(A1318="2021-03", ISNA(MATCH(B1318, _xlfn._xlws.FILTER(B:B, A:A="2021-04"), 0))), "Left", "Ativo")</f>
        <v>Ativo</v>
      </c>
    </row>
    <row r="1319" spans="1:6" x14ac:dyDescent="0.25">
      <c r="A1319" t="s">
        <v>1529</v>
      </c>
      <c r="B1319" t="s">
        <v>368</v>
      </c>
      <c r="C1319" s="10" t="str" cm="1">
        <f t="array" ref="C1319">IF(AND(A1319="2020-12", ISNA(MATCH(B1319, _xlfn._xlws.FILTER(B:B, A:A="2021-01"), 0))), "Left", "Ativo")</f>
        <v>Ativo</v>
      </c>
      <c r="D1319" s="10" t="str" cm="1">
        <f t="array" ref="D1319">IF(AND(A1319="2021-01", ISNA(MATCH(B1319, _xlfn._xlws.FILTER(B:B, A:A="2021-02"), 0))), "Left", "Ativo")</f>
        <v>Ativo</v>
      </c>
      <c r="E1319" s="10" t="str" cm="1">
        <f t="array" ref="E1319">IF(AND(A1319="2021-02", ISNA(MATCH(B1319, _xlfn._xlws.FILTER(B:B, A:A="2021-03"), 0))), "Left", "Ativo")</f>
        <v>Ativo</v>
      </c>
      <c r="F1319" s="12" t="str" cm="1">
        <f t="array" ref="F1319">IF(AND(A1319="2021-03", ISNA(MATCH(B1319, _xlfn._xlws.FILTER(B:B, A:A="2021-04"), 0))), "Left", "Ativo")</f>
        <v>Ativo</v>
      </c>
    </row>
    <row r="1320" spans="1:6" x14ac:dyDescent="0.25">
      <c r="A1320" t="s">
        <v>1529</v>
      </c>
      <c r="B1320" t="s">
        <v>369</v>
      </c>
      <c r="C1320" s="10" t="str" cm="1">
        <f t="array" ref="C1320">IF(AND(A1320="2020-12", ISNA(MATCH(B1320, _xlfn._xlws.FILTER(B:B, A:A="2021-01"), 0))), "Left", "Ativo")</f>
        <v>Ativo</v>
      </c>
      <c r="D1320" s="10" t="str" cm="1">
        <f t="array" ref="D1320">IF(AND(A1320="2021-01", ISNA(MATCH(B1320, _xlfn._xlws.FILTER(B:B, A:A="2021-02"), 0))), "Left", "Ativo")</f>
        <v>Ativo</v>
      </c>
      <c r="E1320" s="10" t="str" cm="1">
        <f t="array" ref="E1320">IF(AND(A1320="2021-02", ISNA(MATCH(B1320, _xlfn._xlws.FILTER(B:B, A:A="2021-03"), 0))), "Left", "Ativo")</f>
        <v>Ativo</v>
      </c>
      <c r="F1320" s="12" t="str" cm="1">
        <f t="array" ref="F1320">IF(AND(A1320="2021-03", ISNA(MATCH(B1320, _xlfn._xlws.FILTER(B:B, A:A="2021-04"), 0))), "Left", "Ativo")</f>
        <v>Ativo</v>
      </c>
    </row>
    <row r="1321" spans="1:6" x14ac:dyDescent="0.25">
      <c r="A1321" t="s">
        <v>1529</v>
      </c>
      <c r="B1321" t="s">
        <v>370</v>
      </c>
      <c r="C1321" s="10" t="str" cm="1">
        <f t="array" ref="C1321">IF(AND(A1321="2020-12", ISNA(MATCH(B1321, _xlfn._xlws.FILTER(B:B, A:A="2021-01"), 0))), "Left", "Ativo")</f>
        <v>Ativo</v>
      </c>
      <c r="D1321" s="10" t="str" cm="1">
        <f t="array" ref="D1321">IF(AND(A1321="2021-01", ISNA(MATCH(B1321, _xlfn._xlws.FILTER(B:B, A:A="2021-02"), 0))), "Left", "Ativo")</f>
        <v>Ativo</v>
      </c>
      <c r="E1321" s="10" t="str" cm="1">
        <f t="array" ref="E1321">IF(AND(A1321="2021-02", ISNA(MATCH(B1321, _xlfn._xlws.FILTER(B:B, A:A="2021-03"), 0))), "Left", "Ativo")</f>
        <v>Ativo</v>
      </c>
      <c r="F1321" s="12" t="str" cm="1">
        <f t="array" ref="F1321">IF(AND(A1321="2021-03", ISNA(MATCH(B1321, _xlfn._xlws.FILTER(B:B, A:A="2021-04"), 0))), "Left", "Ativo")</f>
        <v>Ativo</v>
      </c>
    </row>
    <row r="1322" spans="1:6" x14ac:dyDescent="0.25">
      <c r="A1322" t="s">
        <v>1529</v>
      </c>
      <c r="B1322" t="s">
        <v>371</v>
      </c>
      <c r="C1322" s="10" t="str" cm="1">
        <f t="array" ref="C1322">IF(AND(A1322="2020-12", ISNA(MATCH(B1322, _xlfn._xlws.FILTER(B:B, A:A="2021-01"), 0))), "Left", "Ativo")</f>
        <v>Ativo</v>
      </c>
      <c r="D1322" s="10" t="str" cm="1">
        <f t="array" ref="D1322">IF(AND(A1322="2021-01", ISNA(MATCH(B1322, _xlfn._xlws.FILTER(B:B, A:A="2021-02"), 0))), "Left", "Ativo")</f>
        <v>Ativo</v>
      </c>
      <c r="E1322" s="10" t="str" cm="1">
        <f t="array" ref="E1322">IF(AND(A1322="2021-02", ISNA(MATCH(B1322, _xlfn._xlws.FILTER(B:B, A:A="2021-03"), 0))), "Left", "Ativo")</f>
        <v>Ativo</v>
      </c>
      <c r="F1322" s="12" t="str" cm="1">
        <f t="array" ref="F1322">IF(AND(A1322="2021-03", ISNA(MATCH(B1322, _xlfn._xlws.FILTER(B:B, A:A="2021-04"), 0))), "Left", "Ativo")</f>
        <v>Ativo</v>
      </c>
    </row>
    <row r="1323" spans="1:6" x14ac:dyDescent="0.25">
      <c r="A1323" t="s">
        <v>1529</v>
      </c>
      <c r="B1323" t="s">
        <v>372</v>
      </c>
      <c r="C1323" s="10" t="str" cm="1">
        <f t="array" ref="C1323">IF(AND(A1323="2020-12", ISNA(MATCH(B1323, _xlfn._xlws.FILTER(B:B, A:A="2021-01"), 0))), "Left", "Ativo")</f>
        <v>Ativo</v>
      </c>
      <c r="D1323" s="10" t="str" cm="1">
        <f t="array" ref="D1323">IF(AND(A1323="2021-01", ISNA(MATCH(B1323, _xlfn._xlws.FILTER(B:B, A:A="2021-02"), 0))), "Left", "Ativo")</f>
        <v>Ativo</v>
      </c>
      <c r="E1323" s="10" t="str" cm="1">
        <f t="array" ref="E1323">IF(AND(A1323="2021-02", ISNA(MATCH(B1323, _xlfn._xlws.FILTER(B:B, A:A="2021-03"), 0))), "Left", "Ativo")</f>
        <v>Ativo</v>
      </c>
      <c r="F1323" s="12" t="str" cm="1">
        <f t="array" ref="F1323">IF(AND(A1323="2021-03", ISNA(MATCH(B1323, _xlfn._xlws.FILTER(B:B, A:A="2021-04"), 0))), "Left", "Ativo")</f>
        <v>Ativo</v>
      </c>
    </row>
    <row r="1324" spans="1:6" x14ac:dyDescent="0.25">
      <c r="A1324" t="s">
        <v>1529</v>
      </c>
      <c r="B1324" t="s">
        <v>373</v>
      </c>
      <c r="C1324" s="10" t="str" cm="1">
        <f t="array" ref="C1324">IF(AND(A1324="2020-12", ISNA(MATCH(B1324, _xlfn._xlws.FILTER(B:B, A:A="2021-01"), 0))), "Left", "Ativo")</f>
        <v>Ativo</v>
      </c>
      <c r="D1324" s="10" t="str" cm="1">
        <f t="array" ref="D1324">IF(AND(A1324="2021-01", ISNA(MATCH(B1324, _xlfn._xlws.FILTER(B:B, A:A="2021-02"), 0))), "Left", "Ativo")</f>
        <v>Ativo</v>
      </c>
      <c r="E1324" s="10" t="str" cm="1">
        <f t="array" ref="E1324">IF(AND(A1324="2021-02", ISNA(MATCH(B1324, _xlfn._xlws.FILTER(B:B, A:A="2021-03"), 0))), "Left", "Ativo")</f>
        <v>Ativo</v>
      </c>
      <c r="F1324" s="12" t="str" cm="1">
        <f t="array" ref="F1324">IF(AND(A1324="2021-03", ISNA(MATCH(B1324, _xlfn._xlws.FILTER(B:B, A:A="2021-04"), 0))), "Left", "Ativo")</f>
        <v>Ativo</v>
      </c>
    </row>
    <row r="1325" spans="1:6" x14ac:dyDescent="0.25">
      <c r="A1325" t="s">
        <v>1529</v>
      </c>
      <c r="B1325" t="s">
        <v>374</v>
      </c>
      <c r="C1325" s="10" t="str" cm="1">
        <f t="array" ref="C1325">IF(AND(A1325="2020-12", ISNA(MATCH(B1325, _xlfn._xlws.FILTER(B:B, A:A="2021-01"), 0))), "Left", "Ativo")</f>
        <v>Ativo</v>
      </c>
      <c r="D1325" s="10" t="str" cm="1">
        <f t="array" ref="D1325">IF(AND(A1325="2021-01", ISNA(MATCH(B1325, _xlfn._xlws.FILTER(B:B, A:A="2021-02"), 0))), "Left", "Ativo")</f>
        <v>Ativo</v>
      </c>
      <c r="E1325" s="10" t="str" cm="1">
        <f t="array" ref="E1325">IF(AND(A1325="2021-02", ISNA(MATCH(B1325, _xlfn._xlws.FILTER(B:B, A:A="2021-03"), 0))), "Left", "Ativo")</f>
        <v>Ativo</v>
      </c>
      <c r="F1325" s="12" t="str" cm="1">
        <f t="array" ref="F1325">IF(AND(A1325="2021-03", ISNA(MATCH(B1325, _xlfn._xlws.FILTER(B:B, A:A="2021-04"), 0))), "Left", "Ativo")</f>
        <v>Ativo</v>
      </c>
    </row>
    <row r="1326" spans="1:6" x14ac:dyDescent="0.25">
      <c r="A1326" t="s">
        <v>1529</v>
      </c>
      <c r="B1326" t="s">
        <v>375</v>
      </c>
      <c r="C1326" s="10" t="str" cm="1">
        <f t="array" ref="C1326">IF(AND(A1326="2020-12", ISNA(MATCH(B1326, _xlfn._xlws.FILTER(B:B, A:A="2021-01"), 0))), "Left", "Ativo")</f>
        <v>Ativo</v>
      </c>
      <c r="D1326" s="10" t="str" cm="1">
        <f t="array" ref="D1326">IF(AND(A1326="2021-01", ISNA(MATCH(B1326, _xlfn._xlws.FILTER(B:B, A:A="2021-02"), 0))), "Left", "Ativo")</f>
        <v>Ativo</v>
      </c>
      <c r="E1326" s="10" t="str" cm="1">
        <f t="array" ref="E1326">IF(AND(A1326="2021-02", ISNA(MATCH(B1326, _xlfn._xlws.FILTER(B:B, A:A="2021-03"), 0))), "Left", "Ativo")</f>
        <v>Ativo</v>
      </c>
      <c r="F1326" s="12" t="str" cm="1">
        <f t="array" ref="F1326">IF(AND(A1326="2021-03", ISNA(MATCH(B1326, _xlfn._xlws.FILTER(B:B, A:A="2021-04"), 0))), "Left", "Ativo")</f>
        <v>Ativo</v>
      </c>
    </row>
    <row r="1327" spans="1:6" x14ac:dyDescent="0.25">
      <c r="A1327" t="s">
        <v>1529</v>
      </c>
      <c r="B1327" t="s">
        <v>376</v>
      </c>
      <c r="C1327" s="10" t="str" cm="1">
        <f t="array" ref="C1327">IF(AND(A1327="2020-12", ISNA(MATCH(B1327, _xlfn._xlws.FILTER(B:B, A:A="2021-01"), 0))), "Left", "Ativo")</f>
        <v>Ativo</v>
      </c>
      <c r="D1327" s="10" t="str" cm="1">
        <f t="array" ref="D1327">IF(AND(A1327="2021-01", ISNA(MATCH(B1327, _xlfn._xlws.FILTER(B:B, A:A="2021-02"), 0))), "Left", "Ativo")</f>
        <v>Ativo</v>
      </c>
      <c r="E1327" s="10" t="str" cm="1">
        <f t="array" ref="E1327">IF(AND(A1327="2021-02", ISNA(MATCH(B1327, _xlfn._xlws.FILTER(B:B, A:A="2021-03"), 0))), "Left", "Ativo")</f>
        <v>Ativo</v>
      </c>
      <c r="F1327" s="12" t="str" cm="1">
        <f t="array" ref="F1327">IF(AND(A1327="2021-03", ISNA(MATCH(B1327, _xlfn._xlws.FILTER(B:B, A:A="2021-04"), 0))), "Left", "Ativo")</f>
        <v>Ativo</v>
      </c>
    </row>
    <row r="1328" spans="1:6" x14ac:dyDescent="0.25">
      <c r="A1328" t="s">
        <v>1529</v>
      </c>
      <c r="B1328" t="s">
        <v>377</v>
      </c>
      <c r="C1328" s="10" t="str" cm="1">
        <f t="array" ref="C1328">IF(AND(A1328="2020-12", ISNA(MATCH(B1328, _xlfn._xlws.FILTER(B:B, A:A="2021-01"), 0))), "Left", "Ativo")</f>
        <v>Ativo</v>
      </c>
      <c r="D1328" s="10" t="str" cm="1">
        <f t="array" ref="D1328">IF(AND(A1328="2021-01", ISNA(MATCH(B1328, _xlfn._xlws.FILTER(B:B, A:A="2021-02"), 0))), "Left", "Ativo")</f>
        <v>Left</v>
      </c>
      <c r="E1328" s="10" t="str" cm="1">
        <f t="array" ref="E1328">IF(AND(A1328="2021-02", ISNA(MATCH(B1328, _xlfn._xlws.FILTER(B:B, A:A="2021-03"), 0))), "Left", "Ativo")</f>
        <v>Ativo</v>
      </c>
      <c r="F1328" s="12" t="str" cm="1">
        <f t="array" ref="F1328">IF(AND(A1328="2021-03", ISNA(MATCH(B1328, _xlfn._xlws.FILTER(B:B, A:A="2021-04"), 0))), "Left", "Ativo")</f>
        <v>Ativo</v>
      </c>
    </row>
    <row r="1329" spans="1:6" x14ac:dyDescent="0.25">
      <c r="A1329" t="s">
        <v>1529</v>
      </c>
      <c r="B1329" t="s">
        <v>378</v>
      </c>
      <c r="C1329" s="10" t="str" cm="1">
        <f t="array" ref="C1329">IF(AND(A1329="2020-12", ISNA(MATCH(B1329, _xlfn._xlws.FILTER(B:B, A:A="2021-01"), 0))), "Left", "Ativo")</f>
        <v>Ativo</v>
      </c>
      <c r="D1329" s="10" t="str" cm="1">
        <f t="array" ref="D1329">IF(AND(A1329="2021-01", ISNA(MATCH(B1329, _xlfn._xlws.FILTER(B:B, A:A="2021-02"), 0))), "Left", "Ativo")</f>
        <v>Left</v>
      </c>
      <c r="E1329" s="10" t="str" cm="1">
        <f t="array" ref="E1329">IF(AND(A1329="2021-02", ISNA(MATCH(B1329, _xlfn._xlws.FILTER(B:B, A:A="2021-03"), 0))), "Left", "Ativo")</f>
        <v>Ativo</v>
      </c>
      <c r="F1329" s="12" t="str" cm="1">
        <f t="array" ref="F1329">IF(AND(A1329="2021-03", ISNA(MATCH(B1329, _xlfn._xlws.FILTER(B:B, A:A="2021-04"), 0))), "Left", "Ativo")</f>
        <v>Ativo</v>
      </c>
    </row>
    <row r="1330" spans="1:6" x14ac:dyDescent="0.25">
      <c r="A1330" t="s">
        <v>1529</v>
      </c>
      <c r="B1330" t="s">
        <v>380</v>
      </c>
      <c r="C1330" s="10" t="str" cm="1">
        <f t="array" ref="C1330">IF(AND(A1330="2020-12", ISNA(MATCH(B1330, _xlfn._xlws.FILTER(B:B, A:A="2021-01"), 0))), "Left", "Ativo")</f>
        <v>Ativo</v>
      </c>
      <c r="D1330" s="10" t="str" cm="1">
        <f t="array" ref="D1330">IF(AND(A1330="2021-01", ISNA(MATCH(B1330, _xlfn._xlws.FILTER(B:B, A:A="2021-02"), 0))), "Left", "Ativo")</f>
        <v>Left</v>
      </c>
      <c r="E1330" s="10" t="str" cm="1">
        <f t="array" ref="E1330">IF(AND(A1330="2021-02", ISNA(MATCH(B1330, _xlfn._xlws.FILTER(B:B, A:A="2021-03"), 0))), "Left", "Ativo")</f>
        <v>Ativo</v>
      </c>
      <c r="F1330" s="12" t="str" cm="1">
        <f t="array" ref="F1330">IF(AND(A1330="2021-03", ISNA(MATCH(B1330, _xlfn._xlws.FILTER(B:B, A:A="2021-04"), 0))), "Left", "Ativo")</f>
        <v>Ativo</v>
      </c>
    </row>
    <row r="1331" spans="1:6" x14ac:dyDescent="0.25">
      <c r="A1331" t="s">
        <v>1529</v>
      </c>
      <c r="B1331" t="s">
        <v>381</v>
      </c>
      <c r="C1331" s="10" t="str" cm="1">
        <f t="array" ref="C1331">IF(AND(A1331="2020-12", ISNA(MATCH(B1331, _xlfn._xlws.FILTER(B:B, A:A="2021-01"), 0))), "Left", "Ativo")</f>
        <v>Ativo</v>
      </c>
      <c r="D1331" s="10" t="str" cm="1">
        <f t="array" ref="D1331">IF(AND(A1331="2021-01", ISNA(MATCH(B1331, _xlfn._xlws.FILTER(B:B, A:A="2021-02"), 0))), "Left", "Ativo")</f>
        <v>Left</v>
      </c>
      <c r="E1331" s="10" t="str" cm="1">
        <f t="array" ref="E1331">IF(AND(A1331="2021-02", ISNA(MATCH(B1331, _xlfn._xlws.FILTER(B:B, A:A="2021-03"), 0))), "Left", "Ativo")</f>
        <v>Ativo</v>
      </c>
      <c r="F1331" s="12" t="str" cm="1">
        <f t="array" ref="F1331">IF(AND(A1331="2021-03", ISNA(MATCH(B1331, _xlfn._xlws.FILTER(B:B, A:A="2021-04"), 0))), "Left", "Ativo")</f>
        <v>Ativo</v>
      </c>
    </row>
    <row r="1332" spans="1:6" x14ac:dyDescent="0.25">
      <c r="A1332" t="s">
        <v>1529</v>
      </c>
      <c r="B1332" t="s">
        <v>383</v>
      </c>
      <c r="C1332" s="10" t="str" cm="1">
        <f t="array" ref="C1332">IF(AND(A1332="2020-12", ISNA(MATCH(B1332, _xlfn._xlws.FILTER(B:B, A:A="2021-01"), 0))), "Left", "Ativo")</f>
        <v>Ativo</v>
      </c>
      <c r="D1332" s="10" t="str" cm="1">
        <f t="array" ref="D1332">IF(AND(A1332="2021-01", ISNA(MATCH(B1332, _xlfn._xlws.FILTER(B:B, A:A="2021-02"), 0))), "Left", "Ativo")</f>
        <v>Left</v>
      </c>
      <c r="E1332" s="10" t="str" cm="1">
        <f t="array" ref="E1332">IF(AND(A1332="2021-02", ISNA(MATCH(B1332, _xlfn._xlws.FILTER(B:B, A:A="2021-03"), 0))), "Left", "Ativo")</f>
        <v>Ativo</v>
      </c>
      <c r="F1332" s="12" t="str" cm="1">
        <f t="array" ref="F1332">IF(AND(A1332="2021-03", ISNA(MATCH(B1332, _xlfn._xlws.FILTER(B:B, A:A="2021-04"), 0))), "Left", "Ativo")</f>
        <v>Ativo</v>
      </c>
    </row>
    <row r="1333" spans="1:6" x14ac:dyDescent="0.25">
      <c r="A1333" t="s">
        <v>1529</v>
      </c>
      <c r="B1333" t="s">
        <v>386</v>
      </c>
      <c r="C1333" s="10" t="str" cm="1">
        <f t="array" ref="C1333">IF(AND(A1333="2020-12", ISNA(MATCH(B1333, _xlfn._xlws.FILTER(B:B, A:A="2021-01"), 0))), "Left", "Ativo")</f>
        <v>Ativo</v>
      </c>
      <c r="D1333" s="10" t="str" cm="1">
        <f t="array" ref="D1333">IF(AND(A1333="2021-01", ISNA(MATCH(B1333, _xlfn._xlws.FILTER(B:B, A:A="2021-02"), 0))), "Left", "Ativo")</f>
        <v>Left</v>
      </c>
      <c r="E1333" s="10" t="str" cm="1">
        <f t="array" ref="E1333">IF(AND(A1333="2021-02", ISNA(MATCH(B1333, _xlfn._xlws.FILTER(B:B, A:A="2021-03"), 0))), "Left", "Ativo")</f>
        <v>Ativo</v>
      </c>
      <c r="F1333" s="12" t="str" cm="1">
        <f t="array" ref="F1333">IF(AND(A1333="2021-03", ISNA(MATCH(B1333, _xlfn._xlws.FILTER(B:B, A:A="2021-04"), 0))), "Left", "Ativo")</f>
        <v>Ativo</v>
      </c>
    </row>
    <row r="1334" spans="1:6" x14ac:dyDescent="0.25">
      <c r="A1334" t="s">
        <v>1529</v>
      </c>
      <c r="B1334" t="s">
        <v>959</v>
      </c>
      <c r="C1334" s="10" t="str" cm="1">
        <f t="array" ref="C1334">IF(AND(A1334="2020-12", ISNA(MATCH(B1334, _xlfn._xlws.FILTER(B:B, A:A="2021-01"), 0))), "Left", "Ativo")</f>
        <v>Ativo</v>
      </c>
      <c r="D1334" s="10" t="str" cm="1">
        <f t="array" ref="D1334">IF(AND(A1334="2021-01", ISNA(MATCH(B1334, _xlfn._xlws.FILTER(B:B, A:A="2021-02"), 0))), "Left", "Ativo")</f>
        <v>Left</v>
      </c>
      <c r="E1334" s="10" t="str" cm="1">
        <f t="array" ref="E1334">IF(AND(A1334="2021-02", ISNA(MATCH(B1334, _xlfn._xlws.FILTER(B:B, A:A="2021-03"), 0))), "Left", "Ativo")</f>
        <v>Ativo</v>
      </c>
      <c r="F1334" s="12" t="str" cm="1">
        <f t="array" ref="F1334">IF(AND(A1334="2021-03", ISNA(MATCH(B1334, _xlfn._xlws.FILTER(B:B, A:A="2021-04"), 0))), "Left", "Ativo")</f>
        <v>Ativo</v>
      </c>
    </row>
    <row r="1335" spans="1:6" x14ac:dyDescent="0.25">
      <c r="A1335" t="s">
        <v>1529</v>
      </c>
      <c r="B1335" t="s">
        <v>960</v>
      </c>
      <c r="C1335" s="10" t="str" cm="1">
        <f t="array" ref="C1335">IF(AND(A1335="2020-12", ISNA(MATCH(B1335, _xlfn._xlws.FILTER(B:B, A:A="2021-01"), 0))), "Left", "Ativo")</f>
        <v>Ativo</v>
      </c>
      <c r="D1335" s="10" t="str" cm="1">
        <f t="array" ref="D1335">IF(AND(A1335="2021-01", ISNA(MATCH(B1335, _xlfn._xlws.FILTER(B:B, A:A="2021-02"), 0))), "Left", "Ativo")</f>
        <v>Left</v>
      </c>
      <c r="E1335" s="10" t="str" cm="1">
        <f t="array" ref="E1335">IF(AND(A1335="2021-02", ISNA(MATCH(B1335, _xlfn._xlws.FILTER(B:B, A:A="2021-03"), 0))), "Left", "Ativo")</f>
        <v>Ativo</v>
      </c>
      <c r="F1335" s="12" t="str" cm="1">
        <f t="array" ref="F1335">IF(AND(A1335="2021-03", ISNA(MATCH(B1335, _xlfn._xlws.FILTER(B:B, A:A="2021-04"), 0))), "Left", "Ativo")</f>
        <v>Ativo</v>
      </c>
    </row>
    <row r="1336" spans="1:6" x14ac:dyDescent="0.25">
      <c r="A1336" t="s">
        <v>1529</v>
      </c>
      <c r="B1336" t="s">
        <v>961</v>
      </c>
      <c r="C1336" s="10" t="str" cm="1">
        <f t="array" ref="C1336">IF(AND(A1336="2020-12", ISNA(MATCH(B1336, _xlfn._xlws.FILTER(B:B, A:A="2021-01"), 0))), "Left", "Ativo")</f>
        <v>Ativo</v>
      </c>
      <c r="D1336" s="10" t="str" cm="1">
        <f t="array" ref="D1336">IF(AND(A1336="2021-01", ISNA(MATCH(B1336, _xlfn._xlws.FILTER(B:B, A:A="2021-02"), 0))), "Left", "Ativo")</f>
        <v>Left</v>
      </c>
      <c r="E1336" s="10" t="str" cm="1">
        <f t="array" ref="E1336">IF(AND(A1336="2021-02", ISNA(MATCH(B1336, _xlfn._xlws.FILTER(B:B, A:A="2021-03"), 0))), "Left", "Ativo")</f>
        <v>Ativo</v>
      </c>
      <c r="F1336" s="12" t="str" cm="1">
        <f t="array" ref="F1336">IF(AND(A1336="2021-03", ISNA(MATCH(B1336, _xlfn._xlws.FILTER(B:B, A:A="2021-04"), 0))), "Left", "Ativo")</f>
        <v>Ativo</v>
      </c>
    </row>
    <row r="1337" spans="1:6" x14ac:dyDescent="0.25">
      <c r="A1337" t="s">
        <v>1529</v>
      </c>
      <c r="B1337" t="s">
        <v>962</v>
      </c>
      <c r="C1337" s="10" t="str" cm="1">
        <f t="array" ref="C1337">IF(AND(A1337="2020-12", ISNA(MATCH(B1337, _xlfn._xlws.FILTER(B:B, A:A="2021-01"), 0))), "Left", "Ativo")</f>
        <v>Ativo</v>
      </c>
      <c r="D1337" s="10" t="str" cm="1">
        <f t="array" ref="D1337">IF(AND(A1337="2021-01", ISNA(MATCH(B1337, _xlfn._xlws.FILTER(B:B, A:A="2021-02"), 0))), "Left", "Ativo")</f>
        <v>Left</v>
      </c>
      <c r="E1337" s="10" t="str" cm="1">
        <f t="array" ref="E1337">IF(AND(A1337="2021-02", ISNA(MATCH(B1337, _xlfn._xlws.FILTER(B:B, A:A="2021-03"), 0))), "Left", "Ativo")</f>
        <v>Ativo</v>
      </c>
      <c r="F1337" s="12" t="str" cm="1">
        <f t="array" ref="F1337">IF(AND(A1337="2021-03", ISNA(MATCH(B1337, _xlfn._xlws.FILTER(B:B, A:A="2021-04"), 0))), "Left", "Ativo")</f>
        <v>Ativo</v>
      </c>
    </row>
    <row r="1338" spans="1:6" x14ac:dyDescent="0.25">
      <c r="A1338" t="s">
        <v>1529</v>
      </c>
      <c r="B1338" t="s">
        <v>963</v>
      </c>
      <c r="C1338" s="10" t="str" cm="1">
        <f t="array" ref="C1338">IF(AND(A1338="2020-12", ISNA(MATCH(B1338, _xlfn._xlws.FILTER(B:B, A:A="2021-01"), 0))), "Left", "Ativo")</f>
        <v>Ativo</v>
      </c>
      <c r="D1338" s="10" t="str" cm="1">
        <f t="array" ref="D1338">IF(AND(A1338="2021-01", ISNA(MATCH(B1338, _xlfn._xlws.FILTER(B:B, A:A="2021-02"), 0))), "Left", "Ativo")</f>
        <v>Left</v>
      </c>
      <c r="E1338" s="10" t="str" cm="1">
        <f t="array" ref="E1338">IF(AND(A1338="2021-02", ISNA(MATCH(B1338, _xlfn._xlws.FILTER(B:B, A:A="2021-03"), 0))), "Left", "Ativo")</f>
        <v>Ativo</v>
      </c>
      <c r="F1338" s="12" t="str" cm="1">
        <f t="array" ref="F1338">IF(AND(A1338="2021-03", ISNA(MATCH(B1338, _xlfn._xlws.FILTER(B:B, A:A="2021-04"), 0))), "Left", "Ativo")</f>
        <v>Ativo</v>
      </c>
    </row>
    <row r="1339" spans="1:6" x14ac:dyDescent="0.25">
      <c r="A1339" t="s">
        <v>1529</v>
      </c>
      <c r="B1339" t="s">
        <v>964</v>
      </c>
      <c r="C1339" s="10" t="str" cm="1">
        <f t="array" ref="C1339">IF(AND(A1339="2020-12", ISNA(MATCH(B1339, _xlfn._xlws.FILTER(B:B, A:A="2021-01"), 0))), "Left", "Ativo")</f>
        <v>Ativo</v>
      </c>
      <c r="D1339" s="10" t="str" cm="1">
        <f t="array" ref="D1339">IF(AND(A1339="2021-01", ISNA(MATCH(B1339, _xlfn._xlws.FILTER(B:B, A:A="2021-02"), 0))), "Left", "Ativo")</f>
        <v>Left</v>
      </c>
      <c r="E1339" s="10" t="str" cm="1">
        <f t="array" ref="E1339">IF(AND(A1339="2021-02", ISNA(MATCH(B1339, _xlfn._xlws.FILTER(B:B, A:A="2021-03"), 0))), "Left", "Ativo")</f>
        <v>Ativo</v>
      </c>
      <c r="F1339" s="12" t="str" cm="1">
        <f t="array" ref="F1339">IF(AND(A1339="2021-03", ISNA(MATCH(B1339, _xlfn._xlws.FILTER(B:B, A:A="2021-04"), 0))), "Left", "Ativo")</f>
        <v>Ativo</v>
      </c>
    </row>
    <row r="1340" spans="1:6" x14ac:dyDescent="0.25">
      <c r="A1340" t="s">
        <v>1529</v>
      </c>
      <c r="B1340" t="s">
        <v>965</v>
      </c>
      <c r="C1340" s="10" t="str" cm="1">
        <f t="array" ref="C1340">IF(AND(A1340="2020-12", ISNA(MATCH(B1340, _xlfn._xlws.FILTER(B:B, A:A="2021-01"), 0))), "Left", "Ativo")</f>
        <v>Ativo</v>
      </c>
      <c r="D1340" s="10" t="str" cm="1">
        <f t="array" ref="D1340">IF(AND(A1340="2021-01", ISNA(MATCH(B1340, _xlfn._xlws.FILTER(B:B, A:A="2021-02"), 0))), "Left", "Ativo")</f>
        <v>Left</v>
      </c>
      <c r="E1340" s="10" t="str" cm="1">
        <f t="array" ref="E1340">IF(AND(A1340="2021-02", ISNA(MATCH(B1340, _xlfn._xlws.FILTER(B:B, A:A="2021-03"), 0))), "Left", "Ativo")</f>
        <v>Ativo</v>
      </c>
      <c r="F1340" s="12" t="str" cm="1">
        <f t="array" ref="F1340">IF(AND(A1340="2021-03", ISNA(MATCH(B1340, _xlfn._xlws.FILTER(B:B, A:A="2021-04"), 0))), "Left", "Ativo")</f>
        <v>Ativo</v>
      </c>
    </row>
    <row r="1341" spans="1:6" x14ac:dyDescent="0.25">
      <c r="A1341" t="s">
        <v>1529</v>
      </c>
      <c r="B1341" t="s">
        <v>966</v>
      </c>
      <c r="C1341" s="10" t="str" cm="1">
        <f t="array" ref="C1341">IF(AND(A1341="2020-12", ISNA(MATCH(B1341, _xlfn._xlws.FILTER(B:B, A:A="2021-01"), 0))), "Left", "Ativo")</f>
        <v>Ativo</v>
      </c>
      <c r="D1341" s="10" t="str" cm="1">
        <f t="array" ref="D1341">IF(AND(A1341="2021-01", ISNA(MATCH(B1341, _xlfn._xlws.FILTER(B:B, A:A="2021-02"), 0))), "Left", "Ativo")</f>
        <v>Left</v>
      </c>
      <c r="E1341" s="10" t="str" cm="1">
        <f t="array" ref="E1341">IF(AND(A1341="2021-02", ISNA(MATCH(B1341, _xlfn._xlws.FILTER(B:B, A:A="2021-03"), 0))), "Left", "Ativo")</f>
        <v>Ativo</v>
      </c>
      <c r="F1341" s="12" t="str" cm="1">
        <f t="array" ref="F1341">IF(AND(A1341="2021-03", ISNA(MATCH(B1341, _xlfn._xlws.FILTER(B:B, A:A="2021-04"), 0))), "Left", "Ativo")</f>
        <v>Ativo</v>
      </c>
    </row>
    <row r="1342" spans="1:6" x14ac:dyDescent="0.25">
      <c r="A1342" t="s">
        <v>1529</v>
      </c>
      <c r="B1342" t="s">
        <v>967</v>
      </c>
      <c r="C1342" s="10" t="str" cm="1">
        <f t="array" ref="C1342">IF(AND(A1342="2020-12", ISNA(MATCH(B1342, _xlfn._xlws.FILTER(B:B, A:A="2021-01"), 0))), "Left", "Ativo")</f>
        <v>Ativo</v>
      </c>
      <c r="D1342" s="10" t="str" cm="1">
        <f t="array" ref="D1342">IF(AND(A1342="2021-01", ISNA(MATCH(B1342, _xlfn._xlws.FILTER(B:B, A:A="2021-02"), 0))), "Left", "Ativo")</f>
        <v>Left</v>
      </c>
      <c r="E1342" s="10" t="str" cm="1">
        <f t="array" ref="E1342">IF(AND(A1342="2021-02", ISNA(MATCH(B1342, _xlfn._xlws.FILTER(B:B, A:A="2021-03"), 0))), "Left", "Ativo")</f>
        <v>Ativo</v>
      </c>
      <c r="F1342" s="12" t="str" cm="1">
        <f t="array" ref="F1342">IF(AND(A1342="2021-03", ISNA(MATCH(B1342, _xlfn._xlws.FILTER(B:B, A:A="2021-04"), 0))), "Left", "Ativo")</f>
        <v>Ativo</v>
      </c>
    </row>
    <row r="1343" spans="1:6" x14ac:dyDescent="0.25">
      <c r="A1343" t="s">
        <v>1529</v>
      </c>
      <c r="B1343" t="s">
        <v>387</v>
      </c>
      <c r="C1343" s="10" t="str" cm="1">
        <f t="array" ref="C1343">IF(AND(A1343="2020-12", ISNA(MATCH(B1343, _xlfn._xlws.FILTER(B:B, A:A="2021-01"), 0))), "Left", "Ativo")</f>
        <v>Ativo</v>
      </c>
      <c r="D1343" s="10" t="str" cm="1">
        <f t="array" ref="D1343">IF(AND(A1343="2021-01", ISNA(MATCH(B1343, _xlfn._xlws.FILTER(B:B, A:A="2021-02"), 0))), "Left", "Ativo")</f>
        <v>Ativo</v>
      </c>
      <c r="E1343" s="10" t="str" cm="1">
        <f t="array" ref="E1343">IF(AND(A1343="2021-02", ISNA(MATCH(B1343, _xlfn._xlws.FILTER(B:B, A:A="2021-03"), 0))), "Left", "Ativo")</f>
        <v>Ativo</v>
      </c>
      <c r="F1343" s="12" t="str" cm="1">
        <f t="array" ref="F1343">IF(AND(A1343="2021-03", ISNA(MATCH(B1343, _xlfn._xlws.FILTER(B:B, A:A="2021-04"), 0))), "Left", "Ativo")</f>
        <v>Ativo</v>
      </c>
    </row>
    <row r="1344" spans="1:6" x14ac:dyDescent="0.25">
      <c r="A1344" t="s">
        <v>1529</v>
      </c>
      <c r="B1344" t="s">
        <v>388</v>
      </c>
      <c r="C1344" s="10" t="str" cm="1">
        <f t="array" ref="C1344">IF(AND(A1344="2020-12", ISNA(MATCH(B1344, _xlfn._xlws.FILTER(B:B, A:A="2021-01"), 0))), "Left", "Ativo")</f>
        <v>Ativo</v>
      </c>
      <c r="D1344" s="10" t="str" cm="1">
        <f t="array" ref="D1344">IF(AND(A1344="2021-01", ISNA(MATCH(B1344, _xlfn._xlws.FILTER(B:B, A:A="2021-02"), 0))), "Left", "Ativo")</f>
        <v>Ativo</v>
      </c>
      <c r="E1344" s="10" t="str" cm="1">
        <f t="array" ref="E1344">IF(AND(A1344="2021-02", ISNA(MATCH(B1344, _xlfn._xlws.FILTER(B:B, A:A="2021-03"), 0))), "Left", "Ativo")</f>
        <v>Ativo</v>
      </c>
      <c r="F1344" s="12" t="str" cm="1">
        <f t="array" ref="F1344">IF(AND(A1344="2021-03", ISNA(MATCH(B1344, _xlfn._xlws.FILTER(B:B, A:A="2021-04"), 0))), "Left", "Ativo")</f>
        <v>Ativo</v>
      </c>
    </row>
    <row r="1345" spans="1:6" x14ac:dyDescent="0.25">
      <c r="A1345" t="s">
        <v>1529</v>
      </c>
      <c r="B1345" t="s">
        <v>389</v>
      </c>
      <c r="C1345" s="10" t="str" cm="1">
        <f t="array" ref="C1345">IF(AND(A1345="2020-12", ISNA(MATCH(B1345, _xlfn._xlws.FILTER(B:B, A:A="2021-01"), 0))), "Left", "Ativo")</f>
        <v>Ativo</v>
      </c>
      <c r="D1345" s="10" t="str" cm="1">
        <f t="array" ref="D1345">IF(AND(A1345="2021-01", ISNA(MATCH(B1345, _xlfn._xlws.FILTER(B:B, A:A="2021-02"), 0))), "Left", "Ativo")</f>
        <v>Ativo</v>
      </c>
      <c r="E1345" s="10" t="str" cm="1">
        <f t="array" ref="E1345">IF(AND(A1345="2021-02", ISNA(MATCH(B1345, _xlfn._xlws.FILTER(B:B, A:A="2021-03"), 0))), "Left", "Ativo")</f>
        <v>Ativo</v>
      </c>
      <c r="F1345" s="12" t="str" cm="1">
        <f t="array" ref="F1345">IF(AND(A1345="2021-03", ISNA(MATCH(B1345, _xlfn._xlws.FILTER(B:B, A:A="2021-04"), 0))), "Left", "Ativo")</f>
        <v>Ativo</v>
      </c>
    </row>
    <row r="1346" spans="1:6" x14ac:dyDescent="0.25">
      <c r="A1346" t="s">
        <v>1529</v>
      </c>
      <c r="B1346" t="s">
        <v>390</v>
      </c>
      <c r="C1346" s="10" t="str" cm="1">
        <f t="array" ref="C1346">IF(AND(A1346="2020-12", ISNA(MATCH(B1346, _xlfn._xlws.FILTER(B:B, A:A="2021-01"), 0))), "Left", "Ativo")</f>
        <v>Ativo</v>
      </c>
      <c r="D1346" s="10" t="str" cm="1">
        <f t="array" ref="D1346">IF(AND(A1346="2021-01", ISNA(MATCH(B1346, _xlfn._xlws.FILTER(B:B, A:A="2021-02"), 0))), "Left", "Ativo")</f>
        <v>Ativo</v>
      </c>
      <c r="E1346" s="10" t="str" cm="1">
        <f t="array" ref="E1346">IF(AND(A1346="2021-02", ISNA(MATCH(B1346, _xlfn._xlws.FILTER(B:B, A:A="2021-03"), 0))), "Left", "Ativo")</f>
        <v>Ativo</v>
      </c>
      <c r="F1346" s="12" t="str" cm="1">
        <f t="array" ref="F1346">IF(AND(A1346="2021-03", ISNA(MATCH(B1346, _xlfn._xlws.FILTER(B:B, A:A="2021-04"), 0))), "Left", "Ativo")</f>
        <v>Ativo</v>
      </c>
    </row>
    <row r="1347" spans="1:6" x14ac:dyDescent="0.25">
      <c r="A1347" t="s">
        <v>1529</v>
      </c>
      <c r="B1347" t="s">
        <v>391</v>
      </c>
      <c r="C1347" s="10" t="str" cm="1">
        <f t="array" ref="C1347">IF(AND(A1347="2020-12", ISNA(MATCH(B1347, _xlfn._xlws.FILTER(B:B, A:A="2021-01"), 0))), "Left", "Ativo")</f>
        <v>Ativo</v>
      </c>
      <c r="D1347" s="10" t="str" cm="1">
        <f t="array" ref="D1347">IF(AND(A1347="2021-01", ISNA(MATCH(B1347, _xlfn._xlws.FILTER(B:B, A:A="2021-02"), 0))), "Left", "Ativo")</f>
        <v>Ativo</v>
      </c>
      <c r="E1347" s="10" t="str" cm="1">
        <f t="array" ref="E1347">IF(AND(A1347="2021-02", ISNA(MATCH(B1347, _xlfn._xlws.FILTER(B:B, A:A="2021-03"), 0))), "Left", "Ativo")</f>
        <v>Ativo</v>
      </c>
      <c r="F1347" s="12" t="str" cm="1">
        <f t="array" ref="F1347">IF(AND(A1347="2021-03", ISNA(MATCH(B1347, _xlfn._xlws.FILTER(B:B, A:A="2021-04"), 0))), "Left", "Ativo")</f>
        <v>Ativo</v>
      </c>
    </row>
    <row r="1348" spans="1:6" x14ac:dyDescent="0.25">
      <c r="A1348" t="s">
        <v>1529</v>
      </c>
      <c r="B1348" t="s">
        <v>392</v>
      </c>
      <c r="C1348" s="10" t="str" cm="1">
        <f t="array" ref="C1348">IF(AND(A1348="2020-12", ISNA(MATCH(B1348, _xlfn._xlws.FILTER(B:B, A:A="2021-01"), 0))), "Left", "Ativo")</f>
        <v>Ativo</v>
      </c>
      <c r="D1348" s="10" t="str" cm="1">
        <f t="array" ref="D1348">IF(AND(A1348="2021-01", ISNA(MATCH(B1348, _xlfn._xlws.FILTER(B:B, A:A="2021-02"), 0))), "Left", "Ativo")</f>
        <v>Ativo</v>
      </c>
      <c r="E1348" s="10" t="str" cm="1">
        <f t="array" ref="E1348">IF(AND(A1348="2021-02", ISNA(MATCH(B1348, _xlfn._xlws.FILTER(B:B, A:A="2021-03"), 0))), "Left", "Ativo")</f>
        <v>Ativo</v>
      </c>
      <c r="F1348" s="12" t="str" cm="1">
        <f t="array" ref="F1348">IF(AND(A1348="2021-03", ISNA(MATCH(B1348, _xlfn._xlws.FILTER(B:B, A:A="2021-04"), 0))), "Left", "Ativo")</f>
        <v>Ativo</v>
      </c>
    </row>
    <row r="1349" spans="1:6" x14ac:dyDescent="0.25">
      <c r="A1349" t="s">
        <v>1529</v>
      </c>
      <c r="B1349" t="s">
        <v>393</v>
      </c>
      <c r="C1349" s="10" t="str" cm="1">
        <f t="array" ref="C1349">IF(AND(A1349="2020-12", ISNA(MATCH(B1349, _xlfn._xlws.FILTER(B:B, A:A="2021-01"), 0))), "Left", "Ativo")</f>
        <v>Ativo</v>
      </c>
      <c r="D1349" s="10" t="str" cm="1">
        <f t="array" ref="D1349">IF(AND(A1349="2021-01", ISNA(MATCH(B1349, _xlfn._xlws.FILTER(B:B, A:A="2021-02"), 0))), "Left", "Ativo")</f>
        <v>Ativo</v>
      </c>
      <c r="E1349" s="10" t="str" cm="1">
        <f t="array" ref="E1349">IF(AND(A1349="2021-02", ISNA(MATCH(B1349, _xlfn._xlws.FILTER(B:B, A:A="2021-03"), 0))), "Left", "Ativo")</f>
        <v>Ativo</v>
      </c>
      <c r="F1349" s="12" t="str" cm="1">
        <f t="array" ref="F1349">IF(AND(A1349="2021-03", ISNA(MATCH(B1349, _xlfn._xlws.FILTER(B:B, A:A="2021-04"), 0))), "Left", "Ativo")</f>
        <v>Ativo</v>
      </c>
    </row>
    <row r="1350" spans="1:6" x14ac:dyDescent="0.25">
      <c r="A1350" t="s">
        <v>1529</v>
      </c>
      <c r="B1350" t="s">
        <v>394</v>
      </c>
      <c r="C1350" s="10" t="str" cm="1">
        <f t="array" ref="C1350">IF(AND(A1350="2020-12", ISNA(MATCH(B1350, _xlfn._xlws.FILTER(B:B, A:A="2021-01"), 0))), "Left", "Ativo")</f>
        <v>Ativo</v>
      </c>
      <c r="D1350" s="10" t="str" cm="1">
        <f t="array" ref="D1350">IF(AND(A1350="2021-01", ISNA(MATCH(B1350, _xlfn._xlws.FILTER(B:B, A:A="2021-02"), 0))), "Left", "Ativo")</f>
        <v>Ativo</v>
      </c>
      <c r="E1350" s="10" t="str" cm="1">
        <f t="array" ref="E1350">IF(AND(A1350="2021-02", ISNA(MATCH(B1350, _xlfn._xlws.FILTER(B:B, A:A="2021-03"), 0))), "Left", "Ativo")</f>
        <v>Ativo</v>
      </c>
      <c r="F1350" s="12" t="str" cm="1">
        <f t="array" ref="F1350">IF(AND(A1350="2021-03", ISNA(MATCH(B1350, _xlfn._xlws.FILTER(B:B, A:A="2021-04"), 0))), "Left", "Ativo")</f>
        <v>Ativo</v>
      </c>
    </row>
    <row r="1351" spans="1:6" x14ac:dyDescent="0.25">
      <c r="A1351" t="s">
        <v>1529</v>
      </c>
      <c r="B1351" t="s">
        <v>395</v>
      </c>
      <c r="C1351" s="10" t="str" cm="1">
        <f t="array" ref="C1351">IF(AND(A1351="2020-12", ISNA(MATCH(B1351, _xlfn._xlws.FILTER(B:B, A:A="2021-01"), 0))), "Left", "Ativo")</f>
        <v>Ativo</v>
      </c>
      <c r="D1351" s="10" t="str" cm="1">
        <f t="array" ref="D1351">IF(AND(A1351="2021-01", ISNA(MATCH(B1351, _xlfn._xlws.FILTER(B:B, A:A="2021-02"), 0))), "Left", "Ativo")</f>
        <v>Ativo</v>
      </c>
      <c r="E1351" s="10" t="str" cm="1">
        <f t="array" ref="E1351">IF(AND(A1351="2021-02", ISNA(MATCH(B1351, _xlfn._xlws.FILTER(B:B, A:A="2021-03"), 0))), "Left", "Ativo")</f>
        <v>Ativo</v>
      </c>
      <c r="F1351" s="12" t="str" cm="1">
        <f t="array" ref="F1351">IF(AND(A1351="2021-03", ISNA(MATCH(B1351, _xlfn._xlws.FILTER(B:B, A:A="2021-04"), 0))), "Left", "Ativo")</f>
        <v>Ativo</v>
      </c>
    </row>
    <row r="1352" spans="1:6" x14ac:dyDescent="0.25">
      <c r="A1352" t="s">
        <v>1529</v>
      </c>
      <c r="B1352" t="s">
        <v>396</v>
      </c>
      <c r="C1352" s="10" t="str" cm="1">
        <f t="array" ref="C1352">IF(AND(A1352="2020-12", ISNA(MATCH(B1352, _xlfn._xlws.FILTER(B:B, A:A="2021-01"), 0))), "Left", "Ativo")</f>
        <v>Ativo</v>
      </c>
      <c r="D1352" s="10" t="str" cm="1">
        <f t="array" ref="D1352">IF(AND(A1352="2021-01", ISNA(MATCH(B1352, _xlfn._xlws.FILTER(B:B, A:A="2021-02"), 0))), "Left", "Ativo")</f>
        <v>Ativo</v>
      </c>
      <c r="E1352" s="10" t="str" cm="1">
        <f t="array" ref="E1352">IF(AND(A1352="2021-02", ISNA(MATCH(B1352, _xlfn._xlws.FILTER(B:B, A:A="2021-03"), 0))), "Left", "Ativo")</f>
        <v>Ativo</v>
      </c>
      <c r="F1352" s="12" t="str" cm="1">
        <f t="array" ref="F1352">IF(AND(A1352="2021-03", ISNA(MATCH(B1352, _xlfn._xlws.FILTER(B:B, A:A="2021-04"), 0))), "Left", "Ativo")</f>
        <v>Ativo</v>
      </c>
    </row>
    <row r="1353" spans="1:6" x14ac:dyDescent="0.25">
      <c r="A1353" t="s">
        <v>1529</v>
      </c>
      <c r="B1353" t="s">
        <v>397</v>
      </c>
      <c r="C1353" s="10" t="str" cm="1">
        <f t="array" ref="C1353">IF(AND(A1353="2020-12", ISNA(MATCH(B1353, _xlfn._xlws.FILTER(B:B, A:A="2021-01"), 0))), "Left", "Ativo")</f>
        <v>Ativo</v>
      </c>
      <c r="D1353" s="10" t="str" cm="1">
        <f t="array" ref="D1353">IF(AND(A1353="2021-01", ISNA(MATCH(B1353, _xlfn._xlws.FILTER(B:B, A:A="2021-02"), 0))), "Left", "Ativo")</f>
        <v>Ativo</v>
      </c>
      <c r="E1353" s="10" t="str" cm="1">
        <f t="array" ref="E1353">IF(AND(A1353="2021-02", ISNA(MATCH(B1353, _xlfn._xlws.FILTER(B:B, A:A="2021-03"), 0))), "Left", "Ativo")</f>
        <v>Ativo</v>
      </c>
      <c r="F1353" s="12" t="str" cm="1">
        <f t="array" ref="F1353">IF(AND(A1353="2021-03", ISNA(MATCH(B1353, _xlfn._xlws.FILTER(B:B, A:A="2021-04"), 0))), "Left", "Ativo")</f>
        <v>Ativo</v>
      </c>
    </row>
    <row r="1354" spans="1:6" x14ac:dyDescent="0.25">
      <c r="A1354" t="s">
        <v>1529</v>
      </c>
      <c r="B1354" t="s">
        <v>398</v>
      </c>
      <c r="C1354" s="10" t="str" cm="1">
        <f t="array" ref="C1354">IF(AND(A1354="2020-12", ISNA(MATCH(B1354, _xlfn._xlws.FILTER(B:B, A:A="2021-01"), 0))), "Left", "Ativo")</f>
        <v>Ativo</v>
      </c>
      <c r="D1354" s="10" t="str" cm="1">
        <f t="array" ref="D1354">IF(AND(A1354="2021-01", ISNA(MATCH(B1354, _xlfn._xlws.FILTER(B:B, A:A="2021-02"), 0))), "Left", "Ativo")</f>
        <v>Ativo</v>
      </c>
      <c r="E1354" s="10" t="str" cm="1">
        <f t="array" ref="E1354">IF(AND(A1354="2021-02", ISNA(MATCH(B1354, _xlfn._xlws.FILTER(B:B, A:A="2021-03"), 0))), "Left", "Ativo")</f>
        <v>Ativo</v>
      </c>
      <c r="F1354" s="12" t="str" cm="1">
        <f t="array" ref="F1354">IF(AND(A1354="2021-03", ISNA(MATCH(B1354, _xlfn._xlws.FILTER(B:B, A:A="2021-04"), 0))), "Left", "Ativo")</f>
        <v>Ativo</v>
      </c>
    </row>
    <row r="1355" spans="1:6" x14ac:dyDescent="0.25">
      <c r="A1355" t="s">
        <v>1529</v>
      </c>
      <c r="B1355" t="s">
        <v>399</v>
      </c>
      <c r="C1355" s="10" t="str" cm="1">
        <f t="array" ref="C1355">IF(AND(A1355="2020-12", ISNA(MATCH(B1355, _xlfn._xlws.FILTER(B:B, A:A="2021-01"), 0))), "Left", "Ativo")</f>
        <v>Ativo</v>
      </c>
      <c r="D1355" s="10" t="str" cm="1">
        <f t="array" ref="D1355">IF(AND(A1355="2021-01", ISNA(MATCH(B1355, _xlfn._xlws.FILTER(B:B, A:A="2021-02"), 0))), "Left", "Ativo")</f>
        <v>Ativo</v>
      </c>
      <c r="E1355" s="10" t="str" cm="1">
        <f t="array" ref="E1355">IF(AND(A1355="2021-02", ISNA(MATCH(B1355, _xlfn._xlws.FILTER(B:B, A:A="2021-03"), 0))), "Left", "Ativo")</f>
        <v>Ativo</v>
      </c>
      <c r="F1355" s="12" t="str" cm="1">
        <f t="array" ref="F1355">IF(AND(A1355="2021-03", ISNA(MATCH(B1355, _xlfn._xlws.FILTER(B:B, A:A="2021-04"), 0))), "Left", "Ativo")</f>
        <v>Ativo</v>
      </c>
    </row>
    <row r="1356" spans="1:6" x14ac:dyDescent="0.25">
      <c r="A1356" t="s">
        <v>1529</v>
      </c>
      <c r="B1356" t="s">
        <v>400</v>
      </c>
      <c r="C1356" s="10" t="str" cm="1">
        <f t="array" ref="C1356">IF(AND(A1356="2020-12", ISNA(MATCH(B1356, _xlfn._xlws.FILTER(B:B, A:A="2021-01"), 0))), "Left", "Ativo")</f>
        <v>Ativo</v>
      </c>
      <c r="D1356" s="10" t="str" cm="1">
        <f t="array" ref="D1356">IF(AND(A1356="2021-01", ISNA(MATCH(B1356, _xlfn._xlws.FILTER(B:B, A:A="2021-02"), 0))), "Left", "Ativo")</f>
        <v>Ativo</v>
      </c>
      <c r="E1356" s="10" t="str" cm="1">
        <f t="array" ref="E1356">IF(AND(A1356="2021-02", ISNA(MATCH(B1356, _xlfn._xlws.FILTER(B:B, A:A="2021-03"), 0))), "Left", "Ativo")</f>
        <v>Ativo</v>
      </c>
      <c r="F1356" s="12" t="str" cm="1">
        <f t="array" ref="F1356">IF(AND(A1356="2021-03", ISNA(MATCH(B1356, _xlfn._xlws.FILTER(B:B, A:A="2021-04"), 0))), "Left", "Ativo")</f>
        <v>Ativo</v>
      </c>
    </row>
    <row r="1357" spans="1:6" x14ac:dyDescent="0.25">
      <c r="A1357" t="s">
        <v>1529</v>
      </c>
      <c r="B1357" t="s">
        <v>401</v>
      </c>
      <c r="C1357" s="10" t="str" cm="1">
        <f t="array" ref="C1357">IF(AND(A1357="2020-12", ISNA(MATCH(B1357, _xlfn._xlws.FILTER(B:B, A:A="2021-01"), 0))), "Left", "Ativo")</f>
        <v>Ativo</v>
      </c>
      <c r="D1357" s="10" t="str" cm="1">
        <f t="array" ref="D1357">IF(AND(A1357="2021-01", ISNA(MATCH(B1357, _xlfn._xlws.FILTER(B:B, A:A="2021-02"), 0))), "Left", "Ativo")</f>
        <v>Ativo</v>
      </c>
      <c r="E1357" s="10" t="str" cm="1">
        <f t="array" ref="E1357">IF(AND(A1357="2021-02", ISNA(MATCH(B1357, _xlfn._xlws.FILTER(B:B, A:A="2021-03"), 0))), "Left", "Ativo")</f>
        <v>Ativo</v>
      </c>
      <c r="F1357" s="12" t="str" cm="1">
        <f t="array" ref="F1357">IF(AND(A1357="2021-03", ISNA(MATCH(B1357, _xlfn._xlws.FILTER(B:B, A:A="2021-04"), 0))), "Left", "Ativo")</f>
        <v>Ativo</v>
      </c>
    </row>
    <row r="1358" spans="1:6" x14ac:dyDescent="0.25">
      <c r="A1358" t="s">
        <v>1529</v>
      </c>
      <c r="B1358" t="s">
        <v>402</v>
      </c>
      <c r="C1358" s="10" t="str" cm="1">
        <f t="array" ref="C1358">IF(AND(A1358="2020-12", ISNA(MATCH(B1358, _xlfn._xlws.FILTER(B:B, A:A="2021-01"), 0))), "Left", "Ativo")</f>
        <v>Ativo</v>
      </c>
      <c r="D1358" s="10" t="str" cm="1">
        <f t="array" ref="D1358">IF(AND(A1358="2021-01", ISNA(MATCH(B1358, _xlfn._xlws.FILTER(B:B, A:A="2021-02"), 0))), "Left", "Ativo")</f>
        <v>Ativo</v>
      </c>
      <c r="E1358" s="10" t="str" cm="1">
        <f t="array" ref="E1358">IF(AND(A1358="2021-02", ISNA(MATCH(B1358, _xlfn._xlws.FILTER(B:B, A:A="2021-03"), 0))), "Left", "Ativo")</f>
        <v>Ativo</v>
      </c>
      <c r="F1358" s="12" t="str" cm="1">
        <f t="array" ref="F1358">IF(AND(A1358="2021-03", ISNA(MATCH(B1358, _xlfn._xlws.FILTER(B:B, A:A="2021-04"), 0))), "Left", "Ativo")</f>
        <v>Ativo</v>
      </c>
    </row>
    <row r="1359" spans="1:6" x14ac:dyDescent="0.25">
      <c r="A1359" t="s">
        <v>1529</v>
      </c>
      <c r="B1359" t="s">
        <v>403</v>
      </c>
      <c r="C1359" s="10" t="str" cm="1">
        <f t="array" ref="C1359">IF(AND(A1359="2020-12", ISNA(MATCH(B1359, _xlfn._xlws.FILTER(B:B, A:A="2021-01"), 0))), "Left", "Ativo")</f>
        <v>Ativo</v>
      </c>
      <c r="D1359" s="10" t="str" cm="1">
        <f t="array" ref="D1359">IF(AND(A1359="2021-01", ISNA(MATCH(B1359, _xlfn._xlws.FILTER(B:B, A:A="2021-02"), 0))), "Left", "Ativo")</f>
        <v>Ativo</v>
      </c>
      <c r="E1359" s="10" t="str" cm="1">
        <f t="array" ref="E1359">IF(AND(A1359="2021-02", ISNA(MATCH(B1359, _xlfn._xlws.FILTER(B:B, A:A="2021-03"), 0))), "Left", "Ativo")</f>
        <v>Ativo</v>
      </c>
      <c r="F1359" s="12" t="str" cm="1">
        <f t="array" ref="F1359">IF(AND(A1359="2021-03", ISNA(MATCH(B1359, _xlfn._xlws.FILTER(B:B, A:A="2021-04"), 0))), "Left", "Ativo")</f>
        <v>Ativo</v>
      </c>
    </row>
    <row r="1360" spans="1:6" x14ac:dyDescent="0.25">
      <c r="A1360" t="s">
        <v>1529</v>
      </c>
      <c r="B1360" t="s">
        <v>404</v>
      </c>
      <c r="C1360" s="10" t="str" cm="1">
        <f t="array" ref="C1360">IF(AND(A1360="2020-12", ISNA(MATCH(B1360, _xlfn._xlws.FILTER(B:B, A:A="2021-01"), 0))), "Left", "Ativo")</f>
        <v>Ativo</v>
      </c>
      <c r="D1360" s="10" t="str" cm="1">
        <f t="array" ref="D1360">IF(AND(A1360="2021-01", ISNA(MATCH(B1360, _xlfn._xlws.FILTER(B:B, A:A="2021-02"), 0))), "Left", "Ativo")</f>
        <v>Ativo</v>
      </c>
      <c r="E1360" s="10" t="str" cm="1">
        <f t="array" ref="E1360">IF(AND(A1360="2021-02", ISNA(MATCH(B1360, _xlfn._xlws.FILTER(B:B, A:A="2021-03"), 0))), "Left", "Ativo")</f>
        <v>Ativo</v>
      </c>
      <c r="F1360" s="12" t="str" cm="1">
        <f t="array" ref="F1360">IF(AND(A1360="2021-03", ISNA(MATCH(B1360, _xlfn._xlws.FILTER(B:B, A:A="2021-04"), 0))), "Left", "Ativo")</f>
        <v>Ativo</v>
      </c>
    </row>
    <row r="1361" spans="1:6" x14ac:dyDescent="0.25">
      <c r="A1361" t="s">
        <v>1529</v>
      </c>
      <c r="B1361" t="s">
        <v>405</v>
      </c>
      <c r="C1361" s="10" t="str" cm="1">
        <f t="array" ref="C1361">IF(AND(A1361="2020-12", ISNA(MATCH(B1361, _xlfn._xlws.FILTER(B:B, A:A="2021-01"), 0))), "Left", "Ativo")</f>
        <v>Ativo</v>
      </c>
      <c r="D1361" s="10" t="str" cm="1">
        <f t="array" ref="D1361">IF(AND(A1361="2021-01", ISNA(MATCH(B1361, _xlfn._xlws.FILTER(B:B, A:A="2021-02"), 0))), "Left", "Ativo")</f>
        <v>Ativo</v>
      </c>
      <c r="E1361" s="10" t="str" cm="1">
        <f t="array" ref="E1361">IF(AND(A1361="2021-02", ISNA(MATCH(B1361, _xlfn._xlws.FILTER(B:B, A:A="2021-03"), 0))), "Left", "Ativo")</f>
        <v>Ativo</v>
      </c>
      <c r="F1361" s="12" t="str" cm="1">
        <f t="array" ref="F1361">IF(AND(A1361="2021-03", ISNA(MATCH(B1361, _xlfn._xlws.FILTER(B:B, A:A="2021-04"), 0))), "Left", "Ativo")</f>
        <v>Ativo</v>
      </c>
    </row>
    <row r="1362" spans="1:6" x14ac:dyDescent="0.25">
      <c r="A1362" t="s">
        <v>1529</v>
      </c>
      <c r="B1362" t="s">
        <v>406</v>
      </c>
      <c r="C1362" s="10" t="str" cm="1">
        <f t="array" ref="C1362">IF(AND(A1362="2020-12", ISNA(MATCH(B1362, _xlfn._xlws.FILTER(B:B, A:A="2021-01"), 0))), "Left", "Ativo")</f>
        <v>Ativo</v>
      </c>
      <c r="D1362" s="10" t="str" cm="1">
        <f t="array" ref="D1362">IF(AND(A1362="2021-01", ISNA(MATCH(B1362, _xlfn._xlws.FILTER(B:B, A:A="2021-02"), 0))), "Left", "Ativo")</f>
        <v>Ativo</v>
      </c>
      <c r="E1362" s="10" t="str" cm="1">
        <f t="array" ref="E1362">IF(AND(A1362="2021-02", ISNA(MATCH(B1362, _xlfn._xlws.FILTER(B:B, A:A="2021-03"), 0))), "Left", "Ativo")</f>
        <v>Ativo</v>
      </c>
      <c r="F1362" s="12" t="str" cm="1">
        <f t="array" ref="F1362">IF(AND(A1362="2021-03", ISNA(MATCH(B1362, _xlfn._xlws.FILTER(B:B, A:A="2021-04"), 0))), "Left", "Ativo")</f>
        <v>Ativo</v>
      </c>
    </row>
    <row r="1363" spans="1:6" x14ac:dyDescent="0.25">
      <c r="A1363" t="s">
        <v>1529</v>
      </c>
      <c r="B1363" t="s">
        <v>407</v>
      </c>
      <c r="C1363" s="10" t="str" cm="1">
        <f t="array" ref="C1363">IF(AND(A1363="2020-12", ISNA(MATCH(B1363, _xlfn._xlws.FILTER(B:B, A:A="2021-01"), 0))), "Left", "Ativo")</f>
        <v>Ativo</v>
      </c>
      <c r="D1363" s="10" t="str" cm="1">
        <f t="array" ref="D1363">IF(AND(A1363="2021-01", ISNA(MATCH(B1363, _xlfn._xlws.FILTER(B:B, A:A="2021-02"), 0))), "Left", "Ativo")</f>
        <v>Ativo</v>
      </c>
      <c r="E1363" s="10" t="str" cm="1">
        <f t="array" ref="E1363">IF(AND(A1363="2021-02", ISNA(MATCH(B1363, _xlfn._xlws.FILTER(B:B, A:A="2021-03"), 0))), "Left", "Ativo")</f>
        <v>Ativo</v>
      </c>
      <c r="F1363" s="12" t="str" cm="1">
        <f t="array" ref="F1363">IF(AND(A1363="2021-03", ISNA(MATCH(B1363, _xlfn._xlws.FILTER(B:B, A:A="2021-04"), 0))), "Left", "Ativo")</f>
        <v>Ativo</v>
      </c>
    </row>
    <row r="1364" spans="1:6" x14ac:dyDescent="0.25">
      <c r="A1364" t="s">
        <v>1529</v>
      </c>
      <c r="B1364" t="s">
        <v>408</v>
      </c>
      <c r="C1364" s="10" t="str" cm="1">
        <f t="array" ref="C1364">IF(AND(A1364="2020-12", ISNA(MATCH(B1364, _xlfn._xlws.FILTER(B:B, A:A="2021-01"), 0))), "Left", "Ativo")</f>
        <v>Ativo</v>
      </c>
      <c r="D1364" s="10" t="str" cm="1">
        <f t="array" ref="D1364">IF(AND(A1364="2021-01", ISNA(MATCH(B1364, _xlfn._xlws.FILTER(B:B, A:A="2021-02"), 0))), "Left", "Ativo")</f>
        <v>Ativo</v>
      </c>
      <c r="E1364" s="10" t="str" cm="1">
        <f t="array" ref="E1364">IF(AND(A1364="2021-02", ISNA(MATCH(B1364, _xlfn._xlws.FILTER(B:B, A:A="2021-03"), 0))), "Left", "Ativo")</f>
        <v>Ativo</v>
      </c>
      <c r="F1364" s="12" t="str" cm="1">
        <f t="array" ref="F1364">IF(AND(A1364="2021-03", ISNA(MATCH(B1364, _xlfn._xlws.FILTER(B:B, A:A="2021-04"), 0))), "Left", "Ativo")</f>
        <v>Ativo</v>
      </c>
    </row>
    <row r="1365" spans="1:6" x14ac:dyDescent="0.25">
      <c r="A1365" t="s">
        <v>1529</v>
      </c>
      <c r="B1365" t="s">
        <v>409</v>
      </c>
      <c r="C1365" s="10" t="str" cm="1">
        <f t="array" ref="C1365">IF(AND(A1365="2020-12", ISNA(MATCH(B1365, _xlfn._xlws.FILTER(B:B, A:A="2021-01"), 0))), "Left", "Ativo")</f>
        <v>Ativo</v>
      </c>
      <c r="D1365" s="10" t="str" cm="1">
        <f t="array" ref="D1365">IF(AND(A1365="2021-01", ISNA(MATCH(B1365, _xlfn._xlws.FILTER(B:B, A:A="2021-02"), 0))), "Left", "Ativo")</f>
        <v>Ativo</v>
      </c>
      <c r="E1365" s="10" t="str" cm="1">
        <f t="array" ref="E1365">IF(AND(A1365="2021-02", ISNA(MATCH(B1365, _xlfn._xlws.FILTER(B:B, A:A="2021-03"), 0))), "Left", "Ativo")</f>
        <v>Ativo</v>
      </c>
      <c r="F1365" s="12" t="str" cm="1">
        <f t="array" ref="F1365">IF(AND(A1365="2021-03", ISNA(MATCH(B1365, _xlfn._xlws.FILTER(B:B, A:A="2021-04"), 0))), "Left", "Ativo")</f>
        <v>Ativo</v>
      </c>
    </row>
    <row r="1366" spans="1:6" x14ac:dyDescent="0.25">
      <c r="A1366" t="s">
        <v>1529</v>
      </c>
      <c r="B1366" t="s">
        <v>410</v>
      </c>
      <c r="C1366" s="10" t="str" cm="1">
        <f t="array" ref="C1366">IF(AND(A1366="2020-12", ISNA(MATCH(B1366, _xlfn._xlws.FILTER(B:B, A:A="2021-01"), 0))), "Left", "Ativo")</f>
        <v>Ativo</v>
      </c>
      <c r="D1366" s="10" t="str" cm="1">
        <f t="array" ref="D1366">IF(AND(A1366="2021-01", ISNA(MATCH(B1366, _xlfn._xlws.FILTER(B:B, A:A="2021-02"), 0))), "Left", "Ativo")</f>
        <v>Ativo</v>
      </c>
      <c r="E1366" s="10" t="str" cm="1">
        <f t="array" ref="E1366">IF(AND(A1366="2021-02", ISNA(MATCH(B1366, _xlfn._xlws.FILTER(B:B, A:A="2021-03"), 0))), "Left", "Ativo")</f>
        <v>Ativo</v>
      </c>
      <c r="F1366" s="12" t="str" cm="1">
        <f t="array" ref="F1366">IF(AND(A1366="2021-03", ISNA(MATCH(B1366, _xlfn._xlws.FILTER(B:B, A:A="2021-04"), 0))), "Left", "Ativo")</f>
        <v>Ativo</v>
      </c>
    </row>
    <row r="1367" spans="1:6" x14ac:dyDescent="0.25">
      <c r="A1367" t="s">
        <v>1529</v>
      </c>
      <c r="B1367" t="s">
        <v>411</v>
      </c>
      <c r="C1367" s="10" t="str" cm="1">
        <f t="array" ref="C1367">IF(AND(A1367="2020-12", ISNA(MATCH(B1367, _xlfn._xlws.FILTER(B:B, A:A="2021-01"), 0))), "Left", "Ativo")</f>
        <v>Ativo</v>
      </c>
      <c r="D1367" s="10" t="str" cm="1">
        <f t="array" ref="D1367">IF(AND(A1367="2021-01", ISNA(MATCH(B1367, _xlfn._xlws.FILTER(B:B, A:A="2021-02"), 0))), "Left", "Ativo")</f>
        <v>Ativo</v>
      </c>
      <c r="E1367" s="10" t="str" cm="1">
        <f t="array" ref="E1367">IF(AND(A1367="2021-02", ISNA(MATCH(B1367, _xlfn._xlws.FILTER(B:B, A:A="2021-03"), 0))), "Left", "Ativo")</f>
        <v>Ativo</v>
      </c>
      <c r="F1367" s="12" t="str" cm="1">
        <f t="array" ref="F1367">IF(AND(A1367="2021-03", ISNA(MATCH(B1367, _xlfn._xlws.FILTER(B:B, A:A="2021-04"), 0))), "Left", "Ativo")</f>
        <v>Ativo</v>
      </c>
    </row>
    <row r="1368" spans="1:6" x14ac:dyDescent="0.25">
      <c r="A1368" t="s">
        <v>1529</v>
      </c>
      <c r="B1368" t="s">
        <v>412</v>
      </c>
      <c r="C1368" s="10" t="str" cm="1">
        <f t="array" ref="C1368">IF(AND(A1368="2020-12", ISNA(MATCH(B1368, _xlfn._xlws.FILTER(B:B, A:A="2021-01"), 0))), "Left", "Ativo")</f>
        <v>Ativo</v>
      </c>
      <c r="D1368" s="10" t="str" cm="1">
        <f t="array" ref="D1368">IF(AND(A1368="2021-01", ISNA(MATCH(B1368, _xlfn._xlws.FILTER(B:B, A:A="2021-02"), 0))), "Left", "Ativo")</f>
        <v>Ativo</v>
      </c>
      <c r="E1368" s="10" t="str" cm="1">
        <f t="array" ref="E1368">IF(AND(A1368="2021-02", ISNA(MATCH(B1368, _xlfn._xlws.FILTER(B:B, A:A="2021-03"), 0))), "Left", "Ativo")</f>
        <v>Ativo</v>
      </c>
      <c r="F1368" s="12" t="str" cm="1">
        <f t="array" ref="F1368">IF(AND(A1368="2021-03", ISNA(MATCH(B1368, _xlfn._xlws.FILTER(B:B, A:A="2021-04"), 0))), "Left", "Ativo")</f>
        <v>Ativo</v>
      </c>
    </row>
    <row r="1369" spans="1:6" x14ac:dyDescent="0.25">
      <c r="A1369" t="s">
        <v>1529</v>
      </c>
      <c r="B1369" t="s">
        <v>413</v>
      </c>
      <c r="C1369" s="10" t="str" cm="1">
        <f t="array" ref="C1369">IF(AND(A1369="2020-12", ISNA(MATCH(B1369, _xlfn._xlws.FILTER(B:B, A:A="2021-01"), 0))), "Left", "Ativo")</f>
        <v>Ativo</v>
      </c>
      <c r="D1369" s="10" t="str" cm="1">
        <f t="array" ref="D1369">IF(AND(A1369="2021-01", ISNA(MATCH(B1369, _xlfn._xlws.FILTER(B:B, A:A="2021-02"), 0))), "Left", "Ativo")</f>
        <v>Ativo</v>
      </c>
      <c r="E1369" s="10" t="str" cm="1">
        <f t="array" ref="E1369">IF(AND(A1369="2021-02", ISNA(MATCH(B1369, _xlfn._xlws.FILTER(B:B, A:A="2021-03"), 0))), "Left", "Ativo")</f>
        <v>Ativo</v>
      </c>
      <c r="F1369" s="12" t="str" cm="1">
        <f t="array" ref="F1369">IF(AND(A1369="2021-03", ISNA(MATCH(B1369, _xlfn._xlws.FILTER(B:B, A:A="2021-04"), 0))), "Left", "Ativo")</f>
        <v>Ativo</v>
      </c>
    </row>
    <row r="1370" spans="1:6" x14ac:dyDescent="0.25">
      <c r="A1370" t="s">
        <v>1529</v>
      </c>
      <c r="B1370" t="s">
        <v>414</v>
      </c>
      <c r="C1370" s="10" t="str" cm="1">
        <f t="array" ref="C1370">IF(AND(A1370="2020-12", ISNA(MATCH(B1370, _xlfn._xlws.FILTER(B:B, A:A="2021-01"), 0))), "Left", "Ativo")</f>
        <v>Ativo</v>
      </c>
      <c r="D1370" s="10" t="str" cm="1">
        <f t="array" ref="D1370">IF(AND(A1370="2021-01", ISNA(MATCH(B1370, _xlfn._xlws.FILTER(B:B, A:A="2021-02"), 0))), "Left", "Ativo")</f>
        <v>Ativo</v>
      </c>
      <c r="E1370" s="10" t="str" cm="1">
        <f t="array" ref="E1370">IF(AND(A1370="2021-02", ISNA(MATCH(B1370, _xlfn._xlws.FILTER(B:B, A:A="2021-03"), 0))), "Left", "Ativo")</f>
        <v>Ativo</v>
      </c>
      <c r="F1370" s="12" t="str" cm="1">
        <f t="array" ref="F1370">IF(AND(A1370="2021-03", ISNA(MATCH(B1370, _xlfn._xlws.FILTER(B:B, A:A="2021-04"), 0))), "Left", "Ativo")</f>
        <v>Ativo</v>
      </c>
    </row>
    <row r="1371" spans="1:6" x14ac:dyDescent="0.25">
      <c r="A1371" t="s">
        <v>1529</v>
      </c>
      <c r="B1371" t="s">
        <v>415</v>
      </c>
      <c r="C1371" s="10" t="str" cm="1">
        <f t="array" ref="C1371">IF(AND(A1371="2020-12", ISNA(MATCH(B1371, _xlfn._xlws.FILTER(B:B, A:A="2021-01"), 0))), "Left", "Ativo")</f>
        <v>Ativo</v>
      </c>
      <c r="D1371" s="10" t="str" cm="1">
        <f t="array" ref="D1371">IF(AND(A1371="2021-01", ISNA(MATCH(B1371, _xlfn._xlws.FILTER(B:B, A:A="2021-02"), 0))), "Left", "Ativo")</f>
        <v>Ativo</v>
      </c>
      <c r="E1371" s="10" t="str" cm="1">
        <f t="array" ref="E1371">IF(AND(A1371="2021-02", ISNA(MATCH(B1371, _xlfn._xlws.FILTER(B:B, A:A="2021-03"), 0))), "Left", "Ativo")</f>
        <v>Ativo</v>
      </c>
      <c r="F1371" s="12" t="str" cm="1">
        <f t="array" ref="F1371">IF(AND(A1371="2021-03", ISNA(MATCH(B1371, _xlfn._xlws.FILTER(B:B, A:A="2021-04"), 0))), "Left", "Ativo")</f>
        <v>Ativo</v>
      </c>
    </row>
    <row r="1372" spans="1:6" x14ac:dyDescent="0.25">
      <c r="A1372" t="s">
        <v>1529</v>
      </c>
      <c r="B1372" t="s">
        <v>416</v>
      </c>
      <c r="C1372" s="10" t="str" cm="1">
        <f t="array" ref="C1372">IF(AND(A1372="2020-12", ISNA(MATCH(B1372, _xlfn._xlws.FILTER(B:B, A:A="2021-01"), 0))), "Left", "Ativo")</f>
        <v>Ativo</v>
      </c>
      <c r="D1372" s="10" t="str" cm="1">
        <f t="array" ref="D1372">IF(AND(A1372="2021-01", ISNA(MATCH(B1372, _xlfn._xlws.FILTER(B:B, A:A="2021-02"), 0))), "Left", "Ativo")</f>
        <v>Ativo</v>
      </c>
      <c r="E1372" s="10" t="str" cm="1">
        <f t="array" ref="E1372">IF(AND(A1372="2021-02", ISNA(MATCH(B1372, _xlfn._xlws.FILTER(B:B, A:A="2021-03"), 0))), "Left", "Ativo")</f>
        <v>Ativo</v>
      </c>
      <c r="F1372" s="12" t="str" cm="1">
        <f t="array" ref="F1372">IF(AND(A1372="2021-03", ISNA(MATCH(B1372, _xlfn._xlws.FILTER(B:B, A:A="2021-04"), 0))), "Left", "Ativo")</f>
        <v>Ativo</v>
      </c>
    </row>
    <row r="1373" spans="1:6" x14ac:dyDescent="0.25">
      <c r="A1373" t="s">
        <v>1529</v>
      </c>
      <c r="B1373" t="s">
        <v>417</v>
      </c>
      <c r="C1373" s="10" t="str" cm="1">
        <f t="array" ref="C1373">IF(AND(A1373="2020-12", ISNA(MATCH(B1373, _xlfn._xlws.FILTER(B:B, A:A="2021-01"), 0))), "Left", "Ativo")</f>
        <v>Ativo</v>
      </c>
      <c r="D1373" s="10" t="str" cm="1">
        <f t="array" ref="D1373">IF(AND(A1373="2021-01", ISNA(MATCH(B1373, _xlfn._xlws.FILTER(B:B, A:A="2021-02"), 0))), "Left", "Ativo")</f>
        <v>Ativo</v>
      </c>
      <c r="E1373" s="10" t="str" cm="1">
        <f t="array" ref="E1373">IF(AND(A1373="2021-02", ISNA(MATCH(B1373, _xlfn._xlws.FILTER(B:B, A:A="2021-03"), 0))), "Left", "Ativo")</f>
        <v>Ativo</v>
      </c>
      <c r="F1373" s="12" t="str" cm="1">
        <f t="array" ref="F1373">IF(AND(A1373="2021-03", ISNA(MATCH(B1373, _xlfn._xlws.FILTER(B:B, A:A="2021-04"), 0))), "Left", "Ativo")</f>
        <v>Ativo</v>
      </c>
    </row>
    <row r="1374" spans="1:6" x14ac:dyDescent="0.25">
      <c r="A1374" t="s">
        <v>1529</v>
      </c>
      <c r="B1374" t="s">
        <v>418</v>
      </c>
      <c r="C1374" s="10" t="str" cm="1">
        <f t="array" ref="C1374">IF(AND(A1374="2020-12", ISNA(MATCH(B1374, _xlfn._xlws.FILTER(B:B, A:A="2021-01"), 0))), "Left", "Ativo")</f>
        <v>Ativo</v>
      </c>
      <c r="D1374" s="10" t="str" cm="1">
        <f t="array" ref="D1374">IF(AND(A1374="2021-01", ISNA(MATCH(B1374, _xlfn._xlws.FILTER(B:B, A:A="2021-02"), 0))), "Left", "Ativo")</f>
        <v>Ativo</v>
      </c>
      <c r="E1374" s="10" t="str" cm="1">
        <f t="array" ref="E1374">IF(AND(A1374="2021-02", ISNA(MATCH(B1374, _xlfn._xlws.FILTER(B:B, A:A="2021-03"), 0))), "Left", "Ativo")</f>
        <v>Ativo</v>
      </c>
      <c r="F1374" s="12" t="str" cm="1">
        <f t="array" ref="F1374">IF(AND(A1374="2021-03", ISNA(MATCH(B1374, _xlfn._xlws.FILTER(B:B, A:A="2021-04"), 0))), "Left", "Ativo")</f>
        <v>Ativo</v>
      </c>
    </row>
    <row r="1375" spans="1:6" x14ac:dyDescent="0.25">
      <c r="A1375" t="s">
        <v>1529</v>
      </c>
      <c r="B1375" t="s">
        <v>419</v>
      </c>
      <c r="C1375" s="10" t="str" cm="1">
        <f t="array" ref="C1375">IF(AND(A1375="2020-12", ISNA(MATCH(B1375, _xlfn._xlws.FILTER(B:B, A:A="2021-01"), 0))), "Left", "Ativo")</f>
        <v>Ativo</v>
      </c>
      <c r="D1375" s="10" t="str" cm="1">
        <f t="array" ref="D1375">IF(AND(A1375="2021-01", ISNA(MATCH(B1375, _xlfn._xlws.FILTER(B:B, A:A="2021-02"), 0))), "Left", "Ativo")</f>
        <v>Ativo</v>
      </c>
      <c r="E1375" s="10" t="str" cm="1">
        <f t="array" ref="E1375">IF(AND(A1375="2021-02", ISNA(MATCH(B1375, _xlfn._xlws.FILTER(B:B, A:A="2021-03"), 0))), "Left", "Ativo")</f>
        <v>Ativo</v>
      </c>
      <c r="F1375" s="12" t="str" cm="1">
        <f t="array" ref="F1375">IF(AND(A1375="2021-03", ISNA(MATCH(B1375, _xlfn._xlws.FILTER(B:B, A:A="2021-04"), 0))), "Left", "Ativo")</f>
        <v>Ativo</v>
      </c>
    </row>
    <row r="1376" spans="1:6" x14ac:dyDescent="0.25">
      <c r="A1376" t="s">
        <v>1529</v>
      </c>
      <c r="B1376" t="s">
        <v>420</v>
      </c>
      <c r="C1376" s="10" t="str" cm="1">
        <f t="array" ref="C1376">IF(AND(A1376="2020-12", ISNA(MATCH(B1376, _xlfn._xlws.FILTER(B:B, A:A="2021-01"), 0))), "Left", "Ativo")</f>
        <v>Ativo</v>
      </c>
      <c r="D1376" s="10" t="str" cm="1">
        <f t="array" ref="D1376">IF(AND(A1376="2021-01", ISNA(MATCH(B1376, _xlfn._xlws.FILTER(B:B, A:A="2021-02"), 0))), "Left", "Ativo")</f>
        <v>Ativo</v>
      </c>
      <c r="E1376" s="10" t="str" cm="1">
        <f t="array" ref="E1376">IF(AND(A1376="2021-02", ISNA(MATCH(B1376, _xlfn._xlws.FILTER(B:B, A:A="2021-03"), 0))), "Left", "Ativo")</f>
        <v>Ativo</v>
      </c>
      <c r="F1376" s="12" t="str" cm="1">
        <f t="array" ref="F1376">IF(AND(A1376="2021-03", ISNA(MATCH(B1376, _xlfn._xlws.FILTER(B:B, A:A="2021-04"), 0))), "Left", "Ativo")</f>
        <v>Ativo</v>
      </c>
    </row>
    <row r="1377" spans="1:6" x14ac:dyDescent="0.25">
      <c r="A1377" t="s">
        <v>1529</v>
      </c>
      <c r="B1377" t="s">
        <v>421</v>
      </c>
      <c r="C1377" s="10" t="str" cm="1">
        <f t="array" ref="C1377">IF(AND(A1377="2020-12", ISNA(MATCH(B1377, _xlfn._xlws.FILTER(B:B, A:A="2021-01"), 0))), "Left", "Ativo")</f>
        <v>Ativo</v>
      </c>
      <c r="D1377" s="10" t="str" cm="1">
        <f t="array" ref="D1377">IF(AND(A1377="2021-01", ISNA(MATCH(B1377, _xlfn._xlws.FILTER(B:B, A:A="2021-02"), 0))), "Left", "Ativo")</f>
        <v>Ativo</v>
      </c>
      <c r="E1377" s="10" t="str" cm="1">
        <f t="array" ref="E1377">IF(AND(A1377="2021-02", ISNA(MATCH(B1377, _xlfn._xlws.FILTER(B:B, A:A="2021-03"), 0))), "Left", "Ativo")</f>
        <v>Ativo</v>
      </c>
      <c r="F1377" s="12" t="str" cm="1">
        <f t="array" ref="F1377">IF(AND(A1377="2021-03", ISNA(MATCH(B1377, _xlfn._xlws.FILTER(B:B, A:A="2021-04"), 0))), "Left", "Ativo")</f>
        <v>Ativo</v>
      </c>
    </row>
    <row r="1378" spans="1:6" x14ac:dyDescent="0.25">
      <c r="A1378" t="s">
        <v>1529</v>
      </c>
      <c r="B1378" t="s">
        <v>422</v>
      </c>
      <c r="C1378" s="10" t="str" cm="1">
        <f t="array" ref="C1378">IF(AND(A1378="2020-12", ISNA(MATCH(B1378, _xlfn._xlws.FILTER(B:B, A:A="2021-01"), 0))), "Left", "Ativo")</f>
        <v>Ativo</v>
      </c>
      <c r="D1378" s="10" t="str" cm="1">
        <f t="array" ref="D1378">IF(AND(A1378="2021-01", ISNA(MATCH(B1378, _xlfn._xlws.FILTER(B:B, A:A="2021-02"), 0))), "Left", "Ativo")</f>
        <v>Ativo</v>
      </c>
      <c r="E1378" s="10" t="str" cm="1">
        <f t="array" ref="E1378">IF(AND(A1378="2021-02", ISNA(MATCH(B1378, _xlfn._xlws.FILTER(B:B, A:A="2021-03"), 0))), "Left", "Ativo")</f>
        <v>Ativo</v>
      </c>
      <c r="F1378" s="12" t="str" cm="1">
        <f t="array" ref="F1378">IF(AND(A1378="2021-03", ISNA(MATCH(B1378, _xlfn._xlws.FILTER(B:B, A:A="2021-04"), 0))), "Left", "Ativo")</f>
        <v>Ativo</v>
      </c>
    </row>
    <row r="1379" spans="1:6" x14ac:dyDescent="0.25">
      <c r="A1379" t="s">
        <v>1529</v>
      </c>
      <c r="B1379" t="s">
        <v>423</v>
      </c>
      <c r="C1379" s="10" t="str" cm="1">
        <f t="array" ref="C1379">IF(AND(A1379="2020-12", ISNA(MATCH(B1379, _xlfn._xlws.FILTER(B:B, A:A="2021-01"), 0))), "Left", "Ativo")</f>
        <v>Ativo</v>
      </c>
      <c r="D1379" s="10" t="str" cm="1">
        <f t="array" ref="D1379">IF(AND(A1379="2021-01", ISNA(MATCH(B1379, _xlfn._xlws.FILTER(B:B, A:A="2021-02"), 0))), "Left", "Ativo")</f>
        <v>Ativo</v>
      </c>
      <c r="E1379" s="10" t="str" cm="1">
        <f t="array" ref="E1379">IF(AND(A1379="2021-02", ISNA(MATCH(B1379, _xlfn._xlws.FILTER(B:B, A:A="2021-03"), 0))), "Left", "Ativo")</f>
        <v>Ativo</v>
      </c>
      <c r="F1379" s="12" t="str" cm="1">
        <f t="array" ref="F1379">IF(AND(A1379="2021-03", ISNA(MATCH(B1379, _xlfn._xlws.FILTER(B:B, A:A="2021-04"), 0))), "Left", "Ativo")</f>
        <v>Ativo</v>
      </c>
    </row>
    <row r="1380" spans="1:6" x14ac:dyDescent="0.25">
      <c r="A1380" t="s">
        <v>1529</v>
      </c>
      <c r="B1380" t="s">
        <v>424</v>
      </c>
      <c r="C1380" s="10" t="str" cm="1">
        <f t="array" ref="C1380">IF(AND(A1380="2020-12", ISNA(MATCH(B1380, _xlfn._xlws.FILTER(B:B, A:A="2021-01"), 0))), "Left", "Ativo")</f>
        <v>Ativo</v>
      </c>
      <c r="D1380" s="10" t="str" cm="1">
        <f t="array" ref="D1380">IF(AND(A1380="2021-01", ISNA(MATCH(B1380, _xlfn._xlws.FILTER(B:B, A:A="2021-02"), 0))), "Left", "Ativo")</f>
        <v>Ativo</v>
      </c>
      <c r="E1380" s="10" t="str" cm="1">
        <f t="array" ref="E1380">IF(AND(A1380="2021-02", ISNA(MATCH(B1380, _xlfn._xlws.FILTER(B:B, A:A="2021-03"), 0))), "Left", "Ativo")</f>
        <v>Ativo</v>
      </c>
      <c r="F1380" s="12" t="str" cm="1">
        <f t="array" ref="F1380">IF(AND(A1380="2021-03", ISNA(MATCH(B1380, _xlfn._xlws.FILTER(B:B, A:A="2021-04"), 0))), "Left", "Ativo")</f>
        <v>Ativo</v>
      </c>
    </row>
    <row r="1381" spans="1:6" x14ac:dyDescent="0.25">
      <c r="A1381" t="s">
        <v>1529</v>
      </c>
      <c r="B1381" t="s">
        <v>425</v>
      </c>
      <c r="C1381" s="10" t="str" cm="1">
        <f t="array" ref="C1381">IF(AND(A1381="2020-12", ISNA(MATCH(B1381, _xlfn._xlws.FILTER(B:B, A:A="2021-01"), 0))), "Left", "Ativo")</f>
        <v>Ativo</v>
      </c>
      <c r="D1381" s="10" t="str" cm="1">
        <f t="array" ref="D1381">IF(AND(A1381="2021-01", ISNA(MATCH(B1381, _xlfn._xlws.FILTER(B:B, A:A="2021-02"), 0))), "Left", "Ativo")</f>
        <v>Ativo</v>
      </c>
      <c r="E1381" s="10" t="str" cm="1">
        <f t="array" ref="E1381">IF(AND(A1381="2021-02", ISNA(MATCH(B1381, _xlfn._xlws.FILTER(B:B, A:A="2021-03"), 0))), "Left", "Ativo")</f>
        <v>Ativo</v>
      </c>
      <c r="F1381" s="12" t="str" cm="1">
        <f t="array" ref="F1381">IF(AND(A1381="2021-03", ISNA(MATCH(B1381, _xlfn._xlws.FILTER(B:B, A:A="2021-04"), 0))), "Left", "Ativo")</f>
        <v>Ativo</v>
      </c>
    </row>
    <row r="1382" spans="1:6" x14ac:dyDescent="0.25">
      <c r="A1382" t="s">
        <v>1529</v>
      </c>
      <c r="B1382" t="s">
        <v>426</v>
      </c>
      <c r="C1382" s="10" t="str" cm="1">
        <f t="array" ref="C1382">IF(AND(A1382="2020-12", ISNA(MATCH(B1382, _xlfn._xlws.FILTER(B:B, A:A="2021-01"), 0))), "Left", "Ativo")</f>
        <v>Ativo</v>
      </c>
      <c r="D1382" s="10" t="str" cm="1">
        <f t="array" ref="D1382">IF(AND(A1382="2021-01", ISNA(MATCH(B1382, _xlfn._xlws.FILTER(B:B, A:A="2021-02"), 0))), "Left", "Ativo")</f>
        <v>Ativo</v>
      </c>
      <c r="E1382" s="10" t="str" cm="1">
        <f t="array" ref="E1382">IF(AND(A1382="2021-02", ISNA(MATCH(B1382, _xlfn._xlws.FILTER(B:B, A:A="2021-03"), 0))), "Left", "Ativo")</f>
        <v>Ativo</v>
      </c>
      <c r="F1382" s="12" t="str" cm="1">
        <f t="array" ref="F1382">IF(AND(A1382="2021-03", ISNA(MATCH(B1382, _xlfn._xlws.FILTER(B:B, A:A="2021-04"), 0))), "Left", "Ativo")</f>
        <v>Ativo</v>
      </c>
    </row>
    <row r="1383" spans="1:6" x14ac:dyDescent="0.25">
      <c r="A1383" t="s">
        <v>1529</v>
      </c>
      <c r="B1383" t="s">
        <v>427</v>
      </c>
      <c r="C1383" s="10" t="str" cm="1">
        <f t="array" ref="C1383">IF(AND(A1383="2020-12", ISNA(MATCH(B1383, _xlfn._xlws.FILTER(B:B, A:A="2021-01"), 0))), "Left", "Ativo")</f>
        <v>Ativo</v>
      </c>
      <c r="D1383" s="10" t="str" cm="1">
        <f t="array" ref="D1383">IF(AND(A1383="2021-01", ISNA(MATCH(B1383, _xlfn._xlws.FILTER(B:B, A:A="2021-02"), 0))), "Left", "Ativo")</f>
        <v>Ativo</v>
      </c>
      <c r="E1383" s="10" t="str" cm="1">
        <f t="array" ref="E1383">IF(AND(A1383="2021-02", ISNA(MATCH(B1383, _xlfn._xlws.FILTER(B:B, A:A="2021-03"), 0))), "Left", "Ativo")</f>
        <v>Ativo</v>
      </c>
      <c r="F1383" s="12" t="str" cm="1">
        <f t="array" ref="F1383">IF(AND(A1383="2021-03", ISNA(MATCH(B1383, _xlfn._xlws.FILTER(B:B, A:A="2021-04"), 0))), "Left", "Ativo")</f>
        <v>Ativo</v>
      </c>
    </row>
    <row r="1384" spans="1:6" x14ac:dyDescent="0.25">
      <c r="A1384" t="s">
        <v>1529</v>
      </c>
      <c r="B1384" t="s">
        <v>428</v>
      </c>
      <c r="C1384" s="10" t="str" cm="1">
        <f t="array" ref="C1384">IF(AND(A1384="2020-12", ISNA(MATCH(B1384, _xlfn._xlws.FILTER(B:B, A:A="2021-01"), 0))), "Left", "Ativo")</f>
        <v>Ativo</v>
      </c>
      <c r="D1384" s="10" t="str" cm="1">
        <f t="array" ref="D1384">IF(AND(A1384="2021-01", ISNA(MATCH(B1384, _xlfn._xlws.FILTER(B:B, A:A="2021-02"), 0))), "Left", "Ativo")</f>
        <v>Ativo</v>
      </c>
      <c r="E1384" s="10" t="str" cm="1">
        <f t="array" ref="E1384">IF(AND(A1384="2021-02", ISNA(MATCH(B1384, _xlfn._xlws.FILTER(B:B, A:A="2021-03"), 0))), "Left", "Ativo")</f>
        <v>Ativo</v>
      </c>
      <c r="F1384" s="12" t="str" cm="1">
        <f t="array" ref="F1384">IF(AND(A1384="2021-03", ISNA(MATCH(B1384, _xlfn._xlws.FILTER(B:B, A:A="2021-04"), 0))), "Left", "Ativo")</f>
        <v>Ativo</v>
      </c>
    </row>
    <row r="1385" spans="1:6" x14ac:dyDescent="0.25">
      <c r="A1385" t="s">
        <v>1529</v>
      </c>
      <c r="B1385" t="s">
        <v>429</v>
      </c>
      <c r="C1385" s="10" t="str" cm="1">
        <f t="array" ref="C1385">IF(AND(A1385="2020-12", ISNA(MATCH(B1385, _xlfn._xlws.FILTER(B:B, A:A="2021-01"), 0))), "Left", "Ativo")</f>
        <v>Ativo</v>
      </c>
      <c r="D1385" s="10" t="str" cm="1">
        <f t="array" ref="D1385">IF(AND(A1385="2021-01", ISNA(MATCH(B1385, _xlfn._xlws.FILTER(B:B, A:A="2021-02"), 0))), "Left", "Ativo")</f>
        <v>Ativo</v>
      </c>
      <c r="E1385" s="10" t="str" cm="1">
        <f t="array" ref="E1385">IF(AND(A1385="2021-02", ISNA(MATCH(B1385, _xlfn._xlws.FILTER(B:B, A:A="2021-03"), 0))), "Left", "Ativo")</f>
        <v>Ativo</v>
      </c>
      <c r="F1385" s="12" t="str" cm="1">
        <f t="array" ref="F1385">IF(AND(A1385="2021-03", ISNA(MATCH(B1385, _xlfn._xlws.FILTER(B:B, A:A="2021-04"), 0))), "Left", "Ativo")</f>
        <v>Ativo</v>
      </c>
    </row>
    <row r="1386" spans="1:6" x14ac:dyDescent="0.25">
      <c r="A1386" t="s">
        <v>1529</v>
      </c>
      <c r="B1386" t="s">
        <v>430</v>
      </c>
      <c r="C1386" s="10" t="str" cm="1">
        <f t="array" ref="C1386">IF(AND(A1386="2020-12", ISNA(MATCH(B1386, _xlfn._xlws.FILTER(B:B, A:A="2021-01"), 0))), "Left", "Ativo")</f>
        <v>Ativo</v>
      </c>
      <c r="D1386" s="10" t="str" cm="1">
        <f t="array" ref="D1386">IF(AND(A1386="2021-01", ISNA(MATCH(B1386, _xlfn._xlws.FILTER(B:B, A:A="2021-02"), 0))), "Left", "Ativo")</f>
        <v>Ativo</v>
      </c>
      <c r="E1386" s="10" t="str" cm="1">
        <f t="array" ref="E1386">IF(AND(A1386="2021-02", ISNA(MATCH(B1386, _xlfn._xlws.FILTER(B:B, A:A="2021-03"), 0))), "Left", "Ativo")</f>
        <v>Ativo</v>
      </c>
      <c r="F1386" s="12" t="str" cm="1">
        <f t="array" ref="F1386">IF(AND(A1386="2021-03", ISNA(MATCH(B1386, _xlfn._xlws.FILTER(B:B, A:A="2021-04"), 0))), "Left", "Ativo")</f>
        <v>Ativo</v>
      </c>
    </row>
    <row r="1387" spans="1:6" x14ac:dyDescent="0.25">
      <c r="A1387" t="s">
        <v>1529</v>
      </c>
      <c r="B1387" t="s">
        <v>431</v>
      </c>
      <c r="C1387" s="10" t="str" cm="1">
        <f t="array" ref="C1387">IF(AND(A1387="2020-12", ISNA(MATCH(B1387, _xlfn._xlws.FILTER(B:B, A:A="2021-01"), 0))), "Left", "Ativo")</f>
        <v>Ativo</v>
      </c>
      <c r="D1387" s="10" t="str" cm="1">
        <f t="array" ref="D1387">IF(AND(A1387="2021-01", ISNA(MATCH(B1387, _xlfn._xlws.FILTER(B:B, A:A="2021-02"), 0))), "Left", "Ativo")</f>
        <v>Ativo</v>
      </c>
      <c r="E1387" s="10" t="str" cm="1">
        <f t="array" ref="E1387">IF(AND(A1387="2021-02", ISNA(MATCH(B1387, _xlfn._xlws.FILTER(B:B, A:A="2021-03"), 0))), "Left", "Ativo")</f>
        <v>Ativo</v>
      </c>
      <c r="F1387" s="12" t="str" cm="1">
        <f t="array" ref="F1387">IF(AND(A1387="2021-03", ISNA(MATCH(B1387, _xlfn._xlws.FILTER(B:B, A:A="2021-04"), 0))), "Left", "Ativo")</f>
        <v>Ativo</v>
      </c>
    </row>
    <row r="1388" spans="1:6" x14ac:dyDescent="0.25">
      <c r="A1388" t="s">
        <v>1529</v>
      </c>
      <c r="B1388" t="s">
        <v>432</v>
      </c>
      <c r="C1388" s="10" t="str" cm="1">
        <f t="array" ref="C1388">IF(AND(A1388="2020-12", ISNA(MATCH(B1388, _xlfn._xlws.FILTER(B:B, A:A="2021-01"), 0))), "Left", "Ativo")</f>
        <v>Ativo</v>
      </c>
      <c r="D1388" s="10" t="str" cm="1">
        <f t="array" ref="D1388">IF(AND(A1388="2021-01", ISNA(MATCH(B1388, _xlfn._xlws.FILTER(B:B, A:A="2021-02"), 0))), "Left", "Ativo")</f>
        <v>Ativo</v>
      </c>
      <c r="E1388" s="10" t="str" cm="1">
        <f t="array" ref="E1388">IF(AND(A1388="2021-02", ISNA(MATCH(B1388, _xlfn._xlws.FILTER(B:B, A:A="2021-03"), 0))), "Left", "Ativo")</f>
        <v>Ativo</v>
      </c>
      <c r="F1388" s="12" t="str" cm="1">
        <f t="array" ref="F1388">IF(AND(A1388="2021-03", ISNA(MATCH(B1388, _xlfn._xlws.FILTER(B:B, A:A="2021-04"), 0))), "Left", "Ativo")</f>
        <v>Ativo</v>
      </c>
    </row>
    <row r="1389" spans="1:6" x14ac:dyDescent="0.25">
      <c r="A1389" t="s">
        <v>1529</v>
      </c>
      <c r="B1389" t="s">
        <v>433</v>
      </c>
      <c r="C1389" s="10" t="str" cm="1">
        <f t="array" ref="C1389">IF(AND(A1389="2020-12", ISNA(MATCH(B1389, _xlfn._xlws.FILTER(B:B, A:A="2021-01"), 0))), "Left", "Ativo")</f>
        <v>Ativo</v>
      </c>
      <c r="D1389" s="10" t="str" cm="1">
        <f t="array" ref="D1389">IF(AND(A1389="2021-01", ISNA(MATCH(B1389, _xlfn._xlws.FILTER(B:B, A:A="2021-02"), 0))), "Left", "Ativo")</f>
        <v>Ativo</v>
      </c>
      <c r="E1389" s="10" t="str" cm="1">
        <f t="array" ref="E1389">IF(AND(A1389="2021-02", ISNA(MATCH(B1389, _xlfn._xlws.FILTER(B:B, A:A="2021-03"), 0))), "Left", "Ativo")</f>
        <v>Ativo</v>
      </c>
      <c r="F1389" s="12" t="str" cm="1">
        <f t="array" ref="F1389">IF(AND(A1389="2021-03", ISNA(MATCH(B1389, _xlfn._xlws.FILTER(B:B, A:A="2021-04"), 0))), "Left", "Ativo")</f>
        <v>Ativo</v>
      </c>
    </row>
    <row r="1390" spans="1:6" x14ac:dyDescent="0.25">
      <c r="A1390" t="s">
        <v>1529</v>
      </c>
      <c r="B1390" t="s">
        <v>434</v>
      </c>
      <c r="C1390" s="10" t="str" cm="1">
        <f t="array" ref="C1390">IF(AND(A1390="2020-12", ISNA(MATCH(B1390, _xlfn._xlws.FILTER(B:B, A:A="2021-01"), 0))), "Left", "Ativo")</f>
        <v>Ativo</v>
      </c>
      <c r="D1390" s="10" t="str" cm="1">
        <f t="array" ref="D1390">IF(AND(A1390="2021-01", ISNA(MATCH(B1390, _xlfn._xlws.FILTER(B:B, A:A="2021-02"), 0))), "Left", "Ativo")</f>
        <v>Ativo</v>
      </c>
      <c r="E1390" s="10" t="str" cm="1">
        <f t="array" ref="E1390">IF(AND(A1390="2021-02", ISNA(MATCH(B1390, _xlfn._xlws.FILTER(B:B, A:A="2021-03"), 0))), "Left", "Ativo")</f>
        <v>Ativo</v>
      </c>
      <c r="F1390" s="12" t="str" cm="1">
        <f t="array" ref="F1390">IF(AND(A1390="2021-03", ISNA(MATCH(B1390, _xlfn._xlws.FILTER(B:B, A:A="2021-04"), 0))), "Left", "Ativo")</f>
        <v>Ativo</v>
      </c>
    </row>
    <row r="1391" spans="1:6" x14ac:dyDescent="0.25">
      <c r="A1391" t="s">
        <v>1529</v>
      </c>
      <c r="B1391" t="s">
        <v>435</v>
      </c>
      <c r="C1391" s="10" t="str" cm="1">
        <f t="array" ref="C1391">IF(AND(A1391="2020-12", ISNA(MATCH(B1391, _xlfn._xlws.FILTER(B:B, A:A="2021-01"), 0))), "Left", "Ativo")</f>
        <v>Ativo</v>
      </c>
      <c r="D1391" s="10" t="str" cm="1">
        <f t="array" ref="D1391">IF(AND(A1391="2021-01", ISNA(MATCH(B1391, _xlfn._xlws.FILTER(B:B, A:A="2021-02"), 0))), "Left", "Ativo")</f>
        <v>Ativo</v>
      </c>
      <c r="E1391" s="10" t="str" cm="1">
        <f t="array" ref="E1391">IF(AND(A1391="2021-02", ISNA(MATCH(B1391, _xlfn._xlws.FILTER(B:B, A:A="2021-03"), 0))), "Left", "Ativo")</f>
        <v>Ativo</v>
      </c>
      <c r="F1391" s="12" t="str" cm="1">
        <f t="array" ref="F1391">IF(AND(A1391="2021-03", ISNA(MATCH(B1391, _xlfn._xlws.FILTER(B:B, A:A="2021-04"), 0))), "Left", "Ativo")</f>
        <v>Ativo</v>
      </c>
    </row>
    <row r="1392" spans="1:6" x14ac:dyDescent="0.25">
      <c r="A1392" t="s">
        <v>1529</v>
      </c>
      <c r="B1392" t="s">
        <v>436</v>
      </c>
      <c r="C1392" s="10" t="str" cm="1">
        <f t="array" ref="C1392">IF(AND(A1392="2020-12", ISNA(MATCH(B1392, _xlfn._xlws.FILTER(B:B, A:A="2021-01"), 0))), "Left", "Ativo")</f>
        <v>Ativo</v>
      </c>
      <c r="D1392" s="10" t="str" cm="1">
        <f t="array" ref="D1392">IF(AND(A1392="2021-01", ISNA(MATCH(B1392, _xlfn._xlws.FILTER(B:B, A:A="2021-02"), 0))), "Left", "Ativo")</f>
        <v>Ativo</v>
      </c>
      <c r="E1392" s="10" t="str" cm="1">
        <f t="array" ref="E1392">IF(AND(A1392="2021-02", ISNA(MATCH(B1392, _xlfn._xlws.FILTER(B:B, A:A="2021-03"), 0))), "Left", "Ativo")</f>
        <v>Ativo</v>
      </c>
      <c r="F1392" s="12" t="str" cm="1">
        <f t="array" ref="F1392">IF(AND(A1392="2021-03", ISNA(MATCH(B1392, _xlfn._xlws.FILTER(B:B, A:A="2021-04"), 0))), "Left", "Ativo")</f>
        <v>Ativo</v>
      </c>
    </row>
    <row r="1393" spans="1:6" x14ac:dyDescent="0.25">
      <c r="A1393" t="s">
        <v>1529</v>
      </c>
      <c r="B1393" t="s">
        <v>437</v>
      </c>
      <c r="C1393" s="10" t="str" cm="1">
        <f t="array" ref="C1393">IF(AND(A1393="2020-12", ISNA(MATCH(B1393, _xlfn._xlws.FILTER(B:B, A:A="2021-01"), 0))), "Left", "Ativo")</f>
        <v>Ativo</v>
      </c>
      <c r="D1393" s="10" t="str" cm="1">
        <f t="array" ref="D1393">IF(AND(A1393="2021-01", ISNA(MATCH(B1393, _xlfn._xlws.FILTER(B:B, A:A="2021-02"), 0))), "Left", "Ativo")</f>
        <v>Ativo</v>
      </c>
      <c r="E1393" s="10" t="str" cm="1">
        <f t="array" ref="E1393">IF(AND(A1393="2021-02", ISNA(MATCH(B1393, _xlfn._xlws.FILTER(B:B, A:A="2021-03"), 0))), "Left", "Ativo")</f>
        <v>Ativo</v>
      </c>
      <c r="F1393" s="12" t="str" cm="1">
        <f t="array" ref="F1393">IF(AND(A1393="2021-03", ISNA(MATCH(B1393, _xlfn._xlws.FILTER(B:B, A:A="2021-04"), 0))), "Left", "Ativo")</f>
        <v>Ativo</v>
      </c>
    </row>
    <row r="1394" spans="1:6" x14ac:dyDescent="0.25">
      <c r="A1394" t="s">
        <v>1529</v>
      </c>
      <c r="B1394" t="s">
        <v>438</v>
      </c>
      <c r="C1394" s="10" t="str" cm="1">
        <f t="array" ref="C1394">IF(AND(A1394="2020-12", ISNA(MATCH(B1394, _xlfn._xlws.FILTER(B:B, A:A="2021-01"), 0))), "Left", "Ativo")</f>
        <v>Ativo</v>
      </c>
      <c r="D1394" s="10" t="str" cm="1">
        <f t="array" ref="D1394">IF(AND(A1394="2021-01", ISNA(MATCH(B1394, _xlfn._xlws.FILTER(B:B, A:A="2021-02"), 0))), "Left", "Ativo")</f>
        <v>Ativo</v>
      </c>
      <c r="E1394" s="10" t="str" cm="1">
        <f t="array" ref="E1394">IF(AND(A1394="2021-02", ISNA(MATCH(B1394, _xlfn._xlws.FILTER(B:B, A:A="2021-03"), 0))), "Left", "Ativo")</f>
        <v>Ativo</v>
      </c>
      <c r="F1394" s="12" t="str" cm="1">
        <f t="array" ref="F1394">IF(AND(A1394="2021-03", ISNA(MATCH(B1394, _xlfn._xlws.FILTER(B:B, A:A="2021-04"), 0))), "Left", "Ativo")</f>
        <v>Ativo</v>
      </c>
    </row>
    <row r="1395" spans="1:6" x14ac:dyDescent="0.25">
      <c r="A1395" t="s">
        <v>1529</v>
      </c>
      <c r="B1395" t="s">
        <v>439</v>
      </c>
      <c r="C1395" s="10" t="str" cm="1">
        <f t="array" ref="C1395">IF(AND(A1395="2020-12", ISNA(MATCH(B1395, _xlfn._xlws.FILTER(B:B, A:A="2021-01"), 0))), "Left", "Ativo")</f>
        <v>Ativo</v>
      </c>
      <c r="D1395" s="10" t="str" cm="1">
        <f t="array" ref="D1395">IF(AND(A1395="2021-01", ISNA(MATCH(B1395, _xlfn._xlws.FILTER(B:B, A:A="2021-02"), 0))), "Left", "Ativo")</f>
        <v>Ativo</v>
      </c>
      <c r="E1395" s="10" t="str" cm="1">
        <f t="array" ref="E1395">IF(AND(A1395="2021-02", ISNA(MATCH(B1395, _xlfn._xlws.FILTER(B:B, A:A="2021-03"), 0))), "Left", "Ativo")</f>
        <v>Ativo</v>
      </c>
      <c r="F1395" s="12" t="str" cm="1">
        <f t="array" ref="F1395">IF(AND(A1395="2021-03", ISNA(MATCH(B1395, _xlfn._xlws.FILTER(B:B, A:A="2021-04"), 0))), "Left", "Ativo")</f>
        <v>Ativo</v>
      </c>
    </row>
    <row r="1396" spans="1:6" x14ac:dyDescent="0.25">
      <c r="A1396" t="s">
        <v>1529</v>
      </c>
      <c r="B1396" t="s">
        <v>440</v>
      </c>
      <c r="C1396" s="10" t="str" cm="1">
        <f t="array" ref="C1396">IF(AND(A1396="2020-12", ISNA(MATCH(B1396, _xlfn._xlws.FILTER(B:B, A:A="2021-01"), 0))), "Left", "Ativo")</f>
        <v>Ativo</v>
      </c>
      <c r="D1396" s="10" t="str" cm="1">
        <f t="array" ref="D1396">IF(AND(A1396="2021-01", ISNA(MATCH(B1396, _xlfn._xlws.FILTER(B:B, A:A="2021-02"), 0))), "Left", "Ativo")</f>
        <v>Ativo</v>
      </c>
      <c r="E1396" s="10" t="str" cm="1">
        <f t="array" ref="E1396">IF(AND(A1396="2021-02", ISNA(MATCH(B1396, _xlfn._xlws.FILTER(B:B, A:A="2021-03"), 0))), "Left", "Ativo")</f>
        <v>Ativo</v>
      </c>
      <c r="F1396" s="12" t="str" cm="1">
        <f t="array" ref="F1396">IF(AND(A1396="2021-03", ISNA(MATCH(B1396, _xlfn._xlws.FILTER(B:B, A:A="2021-04"), 0))), "Left", "Ativo")</f>
        <v>Ativo</v>
      </c>
    </row>
    <row r="1397" spans="1:6" x14ac:dyDescent="0.25">
      <c r="A1397" t="s">
        <v>1529</v>
      </c>
      <c r="B1397" t="s">
        <v>441</v>
      </c>
      <c r="C1397" s="10" t="str" cm="1">
        <f t="array" ref="C1397">IF(AND(A1397="2020-12", ISNA(MATCH(B1397, _xlfn._xlws.FILTER(B:B, A:A="2021-01"), 0))), "Left", "Ativo")</f>
        <v>Ativo</v>
      </c>
      <c r="D1397" s="10" t="str" cm="1">
        <f t="array" ref="D1397">IF(AND(A1397="2021-01", ISNA(MATCH(B1397, _xlfn._xlws.FILTER(B:B, A:A="2021-02"), 0))), "Left", "Ativo")</f>
        <v>Ativo</v>
      </c>
      <c r="E1397" s="10" t="str" cm="1">
        <f t="array" ref="E1397">IF(AND(A1397="2021-02", ISNA(MATCH(B1397, _xlfn._xlws.FILTER(B:B, A:A="2021-03"), 0))), "Left", "Ativo")</f>
        <v>Ativo</v>
      </c>
      <c r="F1397" s="12" t="str" cm="1">
        <f t="array" ref="F1397">IF(AND(A1397="2021-03", ISNA(MATCH(B1397, _xlfn._xlws.FILTER(B:B, A:A="2021-04"), 0))), "Left", "Ativo")</f>
        <v>Ativo</v>
      </c>
    </row>
    <row r="1398" spans="1:6" x14ac:dyDescent="0.25">
      <c r="A1398" t="s">
        <v>1529</v>
      </c>
      <c r="B1398" t="s">
        <v>442</v>
      </c>
      <c r="C1398" s="10" t="str" cm="1">
        <f t="array" ref="C1398">IF(AND(A1398="2020-12", ISNA(MATCH(B1398, _xlfn._xlws.FILTER(B:B, A:A="2021-01"), 0))), "Left", "Ativo")</f>
        <v>Ativo</v>
      </c>
      <c r="D1398" s="10" t="str" cm="1">
        <f t="array" ref="D1398">IF(AND(A1398="2021-01", ISNA(MATCH(B1398, _xlfn._xlws.FILTER(B:B, A:A="2021-02"), 0))), "Left", "Ativo")</f>
        <v>Ativo</v>
      </c>
      <c r="E1398" s="10" t="str" cm="1">
        <f t="array" ref="E1398">IF(AND(A1398="2021-02", ISNA(MATCH(B1398, _xlfn._xlws.FILTER(B:B, A:A="2021-03"), 0))), "Left", "Ativo")</f>
        <v>Ativo</v>
      </c>
      <c r="F1398" s="12" t="str" cm="1">
        <f t="array" ref="F1398">IF(AND(A1398="2021-03", ISNA(MATCH(B1398, _xlfn._xlws.FILTER(B:B, A:A="2021-04"), 0))), "Left", "Ativo")</f>
        <v>Ativo</v>
      </c>
    </row>
    <row r="1399" spans="1:6" x14ac:dyDescent="0.25">
      <c r="A1399" t="s">
        <v>1529</v>
      </c>
      <c r="B1399" t="s">
        <v>443</v>
      </c>
      <c r="C1399" s="10" t="str" cm="1">
        <f t="array" ref="C1399">IF(AND(A1399="2020-12", ISNA(MATCH(B1399, _xlfn._xlws.FILTER(B:B, A:A="2021-01"), 0))), "Left", "Ativo")</f>
        <v>Ativo</v>
      </c>
      <c r="D1399" s="10" t="str" cm="1">
        <f t="array" ref="D1399">IF(AND(A1399="2021-01", ISNA(MATCH(B1399, _xlfn._xlws.FILTER(B:B, A:A="2021-02"), 0))), "Left", "Ativo")</f>
        <v>Ativo</v>
      </c>
      <c r="E1399" s="10" t="str" cm="1">
        <f t="array" ref="E1399">IF(AND(A1399="2021-02", ISNA(MATCH(B1399, _xlfn._xlws.FILTER(B:B, A:A="2021-03"), 0))), "Left", "Ativo")</f>
        <v>Ativo</v>
      </c>
      <c r="F1399" s="12" t="str" cm="1">
        <f t="array" ref="F1399">IF(AND(A1399="2021-03", ISNA(MATCH(B1399, _xlfn._xlws.FILTER(B:B, A:A="2021-04"), 0))), "Left", "Ativo")</f>
        <v>Ativo</v>
      </c>
    </row>
    <row r="1400" spans="1:6" x14ac:dyDescent="0.25">
      <c r="A1400" t="s">
        <v>1529</v>
      </c>
      <c r="B1400" t="s">
        <v>444</v>
      </c>
      <c r="C1400" s="10" t="str" cm="1">
        <f t="array" ref="C1400">IF(AND(A1400="2020-12", ISNA(MATCH(B1400, _xlfn._xlws.FILTER(B:B, A:A="2021-01"), 0))), "Left", "Ativo")</f>
        <v>Ativo</v>
      </c>
      <c r="D1400" s="10" t="str" cm="1">
        <f t="array" ref="D1400">IF(AND(A1400="2021-01", ISNA(MATCH(B1400, _xlfn._xlws.FILTER(B:B, A:A="2021-02"), 0))), "Left", "Ativo")</f>
        <v>Ativo</v>
      </c>
      <c r="E1400" s="10" t="str" cm="1">
        <f t="array" ref="E1400">IF(AND(A1400="2021-02", ISNA(MATCH(B1400, _xlfn._xlws.FILTER(B:B, A:A="2021-03"), 0))), "Left", "Ativo")</f>
        <v>Ativo</v>
      </c>
      <c r="F1400" s="12" t="str" cm="1">
        <f t="array" ref="F1400">IF(AND(A1400="2021-03", ISNA(MATCH(B1400, _xlfn._xlws.FILTER(B:B, A:A="2021-04"), 0))), "Left", "Ativo")</f>
        <v>Ativo</v>
      </c>
    </row>
    <row r="1401" spans="1:6" x14ac:dyDescent="0.25">
      <c r="A1401" t="s">
        <v>1529</v>
      </c>
      <c r="B1401" t="s">
        <v>445</v>
      </c>
      <c r="C1401" s="10" t="str" cm="1">
        <f t="array" ref="C1401">IF(AND(A1401="2020-12", ISNA(MATCH(B1401, _xlfn._xlws.FILTER(B:B, A:A="2021-01"), 0))), "Left", "Ativo")</f>
        <v>Ativo</v>
      </c>
      <c r="D1401" s="10" t="str" cm="1">
        <f t="array" ref="D1401">IF(AND(A1401="2021-01", ISNA(MATCH(B1401, _xlfn._xlws.FILTER(B:B, A:A="2021-02"), 0))), "Left", "Ativo")</f>
        <v>Ativo</v>
      </c>
      <c r="E1401" s="10" t="str" cm="1">
        <f t="array" ref="E1401">IF(AND(A1401="2021-02", ISNA(MATCH(B1401, _xlfn._xlws.FILTER(B:B, A:A="2021-03"), 0))), "Left", "Ativo")</f>
        <v>Ativo</v>
      </c>
      <c r="F1401" s="12" t="str" cm="1">
        <f t="array" ref="F1401">IF(AND(A1401="2021-03", ISNA(MATCH(B1401, _xlfn._xlws.FILTER(B:B, A:A="2021-04"), 0))), "Left", "Ativo")</f>
        <v>Ativo</v>
      </c>
    </row>
    <row r="1402" spans="1:6" x14ac:dyDescent="0.25">
      <c r="A1402" t="s">
        <v>1529</v>
      </c>
      <c r="B1402" t="s">
        <v>446</v>
      </c>
      <c r="C1402" s="10" t="str" cm="1">
        <f t="array" ref="C1402">IF(AND(A1402="2020-12", ISNA(MATCH(B1402, _xlfn._xlws.FILTER(B:B, A:A="2021-01"), 0))), "Left", "Ativo")</f>
        <v>Ativo</v>
      </c>
      <c r="D1402" s="10" t="str" cm="1">
        <f t="array" ref="D1402">IF(AND(A1402="2021-01", ISNA(MATCH(B1402, _xlfn._xlws.FILTER(B:B, A:A="2021-02"), 0))), "Left", "Ativo")</f>
        <v>Ativo</v>
      </c>
      <c r="E1402" s="10" t="str" cm="1">
        <f t="array" ref="E1402">IF(AND(A1402="2021-02", ISNA(MATCH(B1402, _xlfn._xlws.FILTER(B:B, A:A="2021-03"), 0))), "Left", "Ativo")</f>
        <v>Ativo</v>
      </c>
      <c r="F1402" s="12" t="str" cm="1">
        <f t="array" ref="F1402">IF(AND(A1402="2021-03", ISNA(MATCH(B1402, _xlfn._xlws.FILTER(B:B, A:A="2021-04"), 0))), "Left", "Ativo")</f>
        <v>Ativo</v>
      </c>
    </row>
    <row r="1403" spans="1:6" x14ac:dyDescent="0.25">
      <c r="A1403" t="s">
        <v>1529</v>
      </c>
      <c r="B1403" t="s">
        <v>447</v>
      </c>
      <c r="C1403" s="10" t="str" cm="1">
        <f t="array" ref="C1403">IF(AND(A1403="2020-12", ISNA(MATCH(B1403, _xlfn._xlws.FILTER(B:B, A:A="2021-01"), 0))), "Left", "Ativo")</f>
        <v>Ativo</v>
      </c>
      <c r="D1403" s="10" t="str" cm="1">
        <f t="array" ref="D1403">IF(AND(A1403="2021-01", ISNA(MATCH(B1403, _xlfn._xlws.FILTER(B:B, A:A="2021-02"), 0))), "Left", "Ativo")</f>
        <v>Ativo</v>
      </c>
      <c r="E1403" s="10" t="str" cm="1">
        <f t="array" ref="E1403">IF(AND(A1403="2021-02", ISNA(MATCH(B1403, _xlfn._xlws.FILTER(B:B, A:A="2021-03"), 0))), "Left", "Ativo")</f>
        <v>Ativo</v>
      </c>
      <c r="F1403" s="12" t="str" cm="1">
        <f t="array" ref="F1403">IF(AND(A1403="2021-03", ISNA(MATCH(B1403, _xlfn._xlws.FILTER(B:B, A:A="2021-04"), 0))), "Left", "Ativo")</f>
        <v>Ativo</v>
      </c>
    </row>
    <row r="1404" spans="1:6" x14ac:dyDescent="0.25">
      <c r="A1404" t="s">
        <v>1529</v>
      </c>
      <c r="B1404" t="s">
        <v>448</v>
      </c>
      <c r="C1404" s="10" t="str" cm="1">
        <f t="array" ref="C1404">IF(AND(A1404="2020-12", ISNA(MATCH(B1404, _xlfn._xlws.FILTER(B:B, A:A="2021-01"), 0))), "Left", "Ativo")</f>
        <v>Ativo</v>
      </c>
      <c r="D1404" s="10" t="str" cm="1">
        <f t="array" ref="D1404">IF(AND(A1404="2021-01", ISNA(MATCH(B1404, _xlfn._xlws.FILTER(B:B, A:A="2021-02"), 0))), "Left", "Ativo")</f>
        <v>Ativo</v>
      </c>
      <c r="E1404" s="10" t="str" cm="1">
        <f t="array" ref="E1404">IF(AND(A1404="2021-02", ISNA(MATCH(B1404, _xlfn._xlws.FILTER(B:B, A:A="2021-03"), 0))), "Left", "Ativo")</f>
        <v>Ativo</v>
      </c>
      <c r="F1404" s="12" t="str" cm="1">
        <f t="array" ref="F1404">IF(AND(A1404="2021-03", ISNA(MATCH(B1404, _xlfn._xlws.FILTER(B:B, A:A="2021-04"), 0))), "Left", "Ativo")</f>
        <v>Ativo</v>
      </c>
    </row>
    <row r="1405" spans="1:6" x14ac:dyDescent="0.25">
      <c r="A1405" t="s">
        <v>1529</v>
      </c>
      <c r="B1405" t="s">
        <v>449</v>
      </c>
      <c r="C1405" s="10" t="str" cm="1">
        <f t="array" ref="C1405">IF(AND(A1405="2020-12", ISNA(MATCH(B1405, _xlfn._xlws.FILTER(B:B, A:A="2021-01"), 0))), "Left", "Ativo")</f>
        <v>Ativo</v>
      </c>
      <c r="D1405" s="10" t="str" cm="1">
        <f t="array" ref="D1405">IF(AND(A1405="2021-01", ISNA(MATCH(B1405, _xlfn._xlws.FILTER(B:B, A:A="2021-02"), 0))), "Left", "Ativo")</f>
        <v>Ativo</v>
      </c>
      <c r="E1405" s="10" t="str" cm="1">
        <f t="array" ref="E1405">IF(AND(A1405="2021-02", ISNA(MATCH(B1405, _xlfn._xlws.FILTER(B:B, A:A="2021-03"), 0))), "Left", "Ativo")</f>
        <v>Ativo</v>
      </c>
      <c r="F1405" s="12" t="str" cm="1">
        <f t="array" ref="F1405">IF(AND(A1405="2021-03", ISNA(MATCH(B1405, _xlfn._xlws.FILTER(B:B, A:A="2021-04"), 0))), "Left", "Ativo")</f>
        <v>Ativo</v>
      </c>
    </row>
    <row r="1406" spans="1:6" x14ac:dyDescent="0.25">
      <c r="A1406" t="s">
        <v>1529</v>
      </c>
      <c r="B1406" t="s">
        <v>450</v>
      </c>
      <c r="C1406" s="10" t="str" cm="1">
        <f t="array" ref="C1406">IF(AND(A1406="2020-12", ISNA(MATCH(B1406, _xlfn._xlws.FILTER(B:B, A:A="2021-01"), 0))), "Left", "Ativo")</f>
        <v>Ativo</v>
      </c>
      <c r="D1406" s="10" t="str" cm="1">
        <f t="array" ref="D1406">IF(AND(A1406="2021-01", ISNA(MATCH(B1406, _xlfn._xlws.FILTER(B:B, A:A="2021-02"), 0))), "Left", "Ativo")</f>
        <v>Ativo</v>
      </c>
      <c r="E1406" s="10" t="str" cm="1">
        <f t="array" ref="E1406">IF(AND(A1406="2021-02", ISNA(MATCH(B1406, _xlfn._xlws.FILTER(B:B, A:A="2021-03"), 0))), "Left", "Ativo")</f>
        <v>Ativo</v>
      </c>
      <c r="F1406" s="12" t="str" cm="1">
        <f t="array" ref="F1406">IF(AND(A1406="2021-03", ISNA(MATCH(B1406, _xlfn._xlws.FILTER(B:B, A:A="2021-04"), 0))), "Left", "Ativo")</f>
        <v>Ativo</v>
      </c>
    </row>
    <row r="1407" spans="1:6" x14ac:dyDescent="0.25">
      <c r="A1407" t="s">
        <v>1529</v>
      </c>
      <c r="B1407" t="s">
        <v>451</v>
      </c>
      <c r="C1407" s="10" t="str" cm="1">
        <f t="array" ref="C1407">IF(AND(A1407="2020-12", ISNA(MATCH(B1407, _xlfn._xlws.FILTER(B:B, A:A="2021-01"), 0))), "Left", "Ativo")</f>
        <v>Ativo</v>
      </c>
      <c r="D1407" s="10" t="str" cm="1">
        <f t="array" ref="D1407">IF(AND(A1407="2021-01", ISNA(MATCH(B1407, _xlfn._xlws.FILTER(B:B, A:A="2021-02"), 0))), "Left", "Ativo")</f>
        <v>Ativo</v>
      </c>
      <c r="E1407" s="10" t="str" cm="1">
        <f t="array" ref="E1407">IF(AND(A1407="2021-02", ISNA(MATCH(B1407, _xlfn._xlws.FILTER(B:B, A:A="2021-03"), 0))), "Left", "Ativo")</f>
        <v>Ativo</v>
      </c>
      <c r="F1407" s="12" t="str" cm="1">
        <f t="array" ref="F1407">IF(AND(A1407="2021-03", ISNA(MATCH(B1407, _xlfn._xlws.FILTER(B:B, A:A="2021-04"), 0))), "Left", "Ativo")</f>
        <v>Ativo</v>
      </c>
    </row>
    <row r="1408" spans="1:6" x14ac:dyDescent="0.25">
      <c r="A1408" t="s">
        <v>1529</v>
      </c>
      <c r="B1408" t="s">
        <v>452</v>
      </c>
      <c r="C1408" s="10" t="str" cm="1">
        <f t="array" ref="C1408">IF(AND(A1408="2020-12", ISNA(MATCH(B1408, _xlfn._xlws.FILTER(B:B, A:A="2021-01"), 0))), "Left", "Ativo")</f>
        <v>Ativo</v>
      </c>
      <c r="D1408" s="10" t="str" cm="1">
        <f t="array" ref="D1408">IF(AND(A1408="2021-01", ISNA(MATCH(B1408, _xlfn._xlws.FILTER(B:B, A:A="2021-02"), 0))), "Left", "Ativo")</f>
        <v>Ativo</v>
      </c>
      <c r="E1408" s="10" t="str" cm="1">
        <f t="array" ref="E1408">IF(AND(A1408="2021-02", ISNA(MATCH(B1408, _xlfn._xlws.FILTER(B:B, A:A="2021-03"), 0))), "Left", "Ativo")</f>
        <v>Ativo</v>
      </c>
      <c r="F1408" s="12" t="str" cm="1">
        <f t="array" ref="F1408">IF(AND(A1408="2021-03", ISNA(MATCH(B1408, _xlfn._xlws.FILTER(B:B, A:A="2021-04"), 0))), "Left", "Ativo")</f>
        <v>Ativo</v>
      </c>
    </row>
    <row r="1409" spans="1:6" x14ac:dyDescent="0.25">
      <c r="A1409" t="s">
        <v>1529</v>
      </c>
      <c r="B1409" t="s">
        <v>453</v>
      </c>
      <c r="C1409" s="10" t="str" cm="1">
        <f t="array" ref="C1409">IF(AND(A1409="2020-12", ISNA(MATCH(B1409, _xlfn._xlws.FILTER(B:B, A:A="2021-01"), 0))), "Left", "Ativo")</f>
        <v>Ativo</v>
      </c>
      <c r="D1409" s="10" t="str" cm="1">
        <f t="array" ref="D1409">IF(AND(A1409="2021-01", ISNA(MATCH(B1409, _xlfn._xlws.FILTER(B:B, A:A="2021-02"), 0))), "Left", "Ativo")</f>
        <v>Ativo</v>
      </c>
      <c r="E1409" s="10" t="str" cm="1">
        <f t="array" ref="E1409">IF(AND(A1409="2021-02", ISNA(MATCH(B1409, _xlfn._xlws.FILTER(B:B, A:A="2021-03"), 0))), "Left", "Ativo")</f>
        <v>Ativo</v>
      </c>
      <c r="F1409" s="12" t="str" cm="1">
        <f t="array" ref="F1409">IF(AND(A1409="2021-03", ISNA(MATCH(B1409, _xlfn._xlws.FILTER(B:B, A:A="2021-04"), 0))), "Left", "Ativo")</f>
        <v>Ativo</v>
      </c>
    </row>
    <row r="1410" spans="1:6" x14ac:dyDescent="0.25">
      <c r="A1410" t="s">
        <v>1529</v>
      </c>
      <c r="B1410" t="s">
        <v>454</v>
      </c>
      <c r="C1410" s="10" t="str" cm="1">
        <f t="array" ref="C1410">IF(AND(A1410="2020-12", ISNA(MATCH(B1410, _xlfn._xlws.FILTER(B:B, A:A="2021-01"), 0))), "Left", "Ativo")</f>
        <v>Ativo</v>
      </c>
      <c r="D1410" s="10" t="str" cm="1">
        <f t="array" ref="D1410">IF(AND(A1410="2021-01", ISNA(MATCH(B1410, _xlfn._xlws.FILTER(B:B, A:A="2021-02"), 0))), "Left", "Ativo")</f>
        <v>Ativo</v>
      </c>
      <c r="E1410" s="10" t="str" cm="1">
        <f t="array" ref="E1410">IF(AND(A1410="2021-02", ISNA(MATCH(B1410, _xlfn._xlws.FILTER(B:B, A:A="2021-03"), 0))), "Left", "Ativo")</f>
        <v>Ativo</v>
      </c>
      <c r="F1410" s="12" t="str" cm="1">
        <f t="array" ref="F1410">IF(AND(A1410="2021-03", ISNA(MATCH(B1410, _xlfn._xlws.FILTER(B:B, A:A="2021-04"), 0))), "Left", "Ativo")</f>
        <v>Ativo</v>
      </c>
    </row>
    <row r="1411" spans="1:6" x14ac:dyDescent="0.25">
      <c r="A1411" t="s">
        <v>1529</v>
      </c>
      <c r="B1411" t="s">
        <v>455</v>
      </c>
      <c r="C1411" s="10" t="str" cm="1">
        <f t="array" ref="C1411">IF(AND(A1411="2020-12", ISNA(MATCH(B1411, _xlfn._xlws.FILTER(B:B, A:A="2021-01"), 0))), "Left", "Ativo")</f>
        <v>Ativo</v>
      </c>
      <c r="D1411" s="10" t="str" cm="1">
        <f t="array" ref="D1411">IF(AND(A1411="2021-01", ISNA(MATCH(B1411, _xlfn._xlws.FILTER(B:B, A:A="2021-02"), 0))), "Left", "Ativo")</f>
        <v>Ativo</v>
      </c>
      <c r="E1411" s="10" t="str" cm="1">
        <f t="array" ref="E1411">IF(AND(A1411="2021-02", ISNA(MATCH(B1411, _xlfn._xlws.FILTER(B:B, A:A="2021-03"), 0))), "Left", "Ativo")</f>
        <v>Ativo</v>
      </c>
      <c r="F1411" s="12" t="str" cm="1">
        <f t="array" ref="F1411">IF(AND(A1411="2021-03", ISNA(MATCH(B1411, _xlfn._xlws.FILTER(B:B, A:A="2021-04"), 0))), "Left", "Ativo")</f>
        <v>Ativo</v>
      </c>
    </row>
    <row r="1412" spans="1:6" x14ac:dyDescent="0.25">
      <c r="A1412" t="s">
        <v>1529</v>
      </c>
      <c r="B1412" t="s">
        <v>456</v>
      </c>
      <c r="C1412" s="10" t="str" cm="1">
        <f t="array" ref="C1412">IF(AND(A1412="2020-12", ISNA(MATCH(B1412, _xlfn._xlws.FILTER(B:B, A:A="2021-01"), 0))), "Left", "Ativo")</f>
        <v>Ativo</v>
      </c>
      <c r="D1412" s="10" t="str" cm="1">
        <f t="array" ref="D1412">IF(AND(A1412="2021-01", ISNA(MATCH(B1412, _xlfn._xlws.FILTER(B:B, A:A="2021-02"), 0))), "Left", "Ativo")</f>
        <v>Ativo</v>
      </c>
      <c r="E1412" s="10" t="str" cm="1">
        <f t="array" ref="E1412">IF(AND(A1412="2021-02", ISNA(MATCH(B1412, _xlfn._xlws.FILTER(B:B, A:A="2021-03"), 0))), "Left", "Ativo")</f>
        <v>Ativo</v>
      </c>
      <c r="F1412" s="12" t="str" cm="1">
        <f t="array" ref="F1412">IF(AND(A1412="2021-03", ISNA(MATCH(B1412, _xlfn._xlws.FILTER(B:B, A:A="2021-04"), 0))), "Left", "Ativo")</f>
        <v>Ativo</v>
      </c>
    </row>
    <row r="1413" spans="1:6" x14ac:dyDescent="0.25">
      <c r="A1413" t="s">
        <v>1529</v>
      </c>
      <c r="B1413" t="s">
        <v>457</v>
      </c>
      <c r="C1413" s="10" t="str" cm="1">
        <f t="array" ref="C1413">IF(AND(A1413="2020-12", ISNA(MATCH(B1413, _xlfn._xlws.FILTER(B:B, A:A="2021-01"), 0))), "Left", "Ativo")</f>
        <v>Ativo</v>
      </c>
      <c r="D1413" s="10" t="str" cm="1">
        <f t="array" ref="D1413">IF(AND(A1413="2021-01", ISNA(MATCH(B1413, _xlfn._xlws.FILTER(B:B, A:A="2021-02"), 0))), "Left", "Ativo")</f>
        <v>Ativo</v>
      </c>
      <c r="E1413" s="10" t="str" cm="1">
        <f t="array" ref="E1413">IF(AND(A1413="2021-02", ISNA(MATCH(B1413, _xlfn._xlws.FILTER(B:B, A:A="2021-03"), 0))), "Left", "Ativo")</f>
        <v>Ativo</v>
      </c>
      <c r="F1413" s="12" t="str" cm="1">
        <f t="array" ref="F1413">IF(AND(A1413="2021-03", ISNA(MATCH(B1413, _xlfn._xlws.FILTER(B:B, A:A="2021-04"), 0))), "Left", "Ativo")</f>
        <v>Ativo</v>
      </c>
    </row>
    <row r="1414" spans="1:6" x14ac:dyDescent="0.25">
      <c r="A1414" t="s">
        <v>1529</v>
      </c>
      <c r="B1414" t="s">
        <v>458</v>
      </c>
      <c r="C1414" s="10" t="str" cm="1">
        <f t="array" ref="C1414">IF(AND(A1414="2020-12", ISNA(MATCH(B1414, _xlfn._xlws.FILTER(B:B, A:A="2021-01"), 0))), "Left", "Ativo")</f>
        <v>Ativo</v>
      </c>
      <c r="D1414" s="10" t="str" cm="1">
        <f t="array" ref="D1414">IF(AND(A1414="2021-01", ISNA(MATCH(B1414, _xlfn._xlws.FILTER(B:B, A:A="2021-02"), 0))), "Left", "Ativo")</f>
        <v>Ativo</v>
      </c>
      <c r="E1414" s="10" t="str" cm="1">
        <f t="array" ref="E1414">IF(AND(A1414="2021-02", ISNA(MATCH(B1414, _xlfn._xlws.FILTER(B:B, A:A="2021-03"), 0))), "Left", "Ativo")</f>
        <v>Ativo</v>
      </c>
      <c r="F1414" s="12" t="str" cm="1">
        <f t="array" ref="F1414">IF(AND(A1414="2021-03", ISNA(MATCH(B1414, _xlfn._xlws.FILTER(B:B, A:A="2021-04"), 0))), "Left", "Ativo")</f>
        <v>Ativo</v>
      </c>
    </row>
    <row r="1415" spans="1:6" x14ac:dyDescent="0.25">
      <c r="A1415" t="s">
        <v>1529</v>
      </c>
      <c r="B1415" t="s">
        <v>459</v>
      </c>
      <c r="C1415" s="10" t="str" cm="1">
        <f t="array" ref="C1415">IF(AND(A1415="2020-12", ISNA(MATCH(B1415, _xlfn._xlws.FILTER(B:B, A:A="2021-01"), 0))), "Left", "Ativo")</f>
        <v>Ativo</v>
      </c>
      <c r="D1415" s="10" t="str" cm="1">
        <f t="array" ref="D1415">IF(AND(A1415="2021-01", ISNA(MATCH(B1415, _xlfn._xlws.FILTER(B:B, A:A="2021-02"), 0))), "Left", "Ativo")</f>
        <v>Ativo</v>
      </c>
      <c r="E1415" s="10" t="str" cm="1">
        <f t="array" ref="E1415">IF(AND(A1415="2021-02", ISNA(MATCH(B1415, _xlfn._xlws.FILTER(B:B, A:A="2021-03"), 0))), "Left", "Ativo")</f>
        <v>Ativo</v>
      </c>
      <c r="F1415" s="12" t="str" cm="1">
        <f t="array" ref="F1415">IF(AND(A1415="2021-03", ISNA(MATCH(B1415, _xlfn._xlws.FILTER(B:B, A:A="2021-04"), 0))), "Left", "Ativo")</f>
        <v>Ativo</v>
      </c>
    </row>
    <row r="1416" spans="1:6" x14ac:dyDescent="0.25">
      <c r="A1416" t="s">
        <v>1529</v>
      </c>
      <c r="B1416" t="s">
        <v>460</v>
      </c>
      <c r="C1416" s="10" t="str" cm="1">
        <f t="array" ref="C1416">IF(AND(A1416="2020-12", ISNA(MATCH(B1416, _xlfn._xlws.FILTER(B:B, A:A="2021-01"), 0))), "Left", "Ativo")</f>
        <v>Ativo</v>
      </c>
      <c r="D1416" s="10" t="str" cm="1">
        <f t="array" ref="D1416">IF(AND(A1416="2021-01", ISNA(MATCH(B1416, _xlfn._xlws.FILTER(B:B, A:A="2021-02"), 0))), "Left", "Ativo")</f>
        <v>Ativo</v>
      </c>
      <c r="E1416" s="10" t="str" cm="1">
        <f t="array" ref="E1416">IF(AND(A1416="2021-02", ISNA(MATCH(B1416, _xlfn._xlws.FILTER(B:B, A:A="2021-03"), 0))), "Left", "Ativo")</f>
        <v>Ativo</v>
      </c>
      <c r="F1416" s="12" t="str" cm="1">
        <f t="array" ref="F1416">IF(AND(A1416="2021-03", ISNA(MATCH(B1416, _xlfn._xlws.FILTER(B:B, A:A="2021-04"), 0))), "Left", "Ativo")</f>
        <v>Ativo</v>
      </c>
    </row>
    <row r="1417" spans="1:6" x14ac:dyDescent="0.25">
      <c r="A1417" t="s">
        <v>1529</v>
      </c>
      <c r="B1417" t="s">
        <v>461</v>
      </c>
      <c r="C1417" s="10" t="str" cm="1">
        <f t="array" ref="C1417">IF(AND(A1417="2020-12", ISNA(MATCH(B1417, _xlfn._xlws.FILTER(B:B, A:A="2021-01"), 0))), "Left", "Ativo")</f>
        <v>Ativo</v>
      </c>
      <c r="D1417" s="10" t="str" cm="1">
        <f t="array" ref="D1417">IF(AND(A1417="2021-01", ISNA(MATCH(B1417, _xlfn._xlws.FILTER(B:B, A:A="2021-02"), 0))), "Left", "Ativo")</f>
        <v>Ativo</v>
      </c>
      <c r="E1417" s="10" t="str" cm="1">
        <f t="array" ref="E1417">IF(AND(A1417="2021-02", ISNA(MATCH(B1417, _xlfn._xlws.FILTER(B:B, A:A="2021-03"), 0))), "Left", "Ativo")</f>
        <v>Ativo</v>
      </c>
      <c r="F1417" s="12" t="str" cm="1">
        <f t="array" ref="F1417">IF(AND(A1417="2021-03", ISNA(MATCH(B1417, _xlfn._xlws.FILTER(B:B, A:A="2021-04"), 0))), "Left", "Ativo")</f>
        <v>Ativo</v>
      </c>
    </row>
    <row r="1418" spans="1:6" x14ac:dyDescent="0.25">
      <c r="A1418" t="s">
        <v>1529</v>
      </c>
      <c r="B1418" t="s">
        <v>462</v>
      </c>
      <c r="C1418" s="10" t="str" cm="1">
        <f t="array" ref="C1418">IF(AND(A1418="2020-12", ISNA(MATCH(B1418, _xlfn._xlws.FILTER(B:B, A:A="2021-01"), 0))), "Left", "Ativo")</f>
        <v>Ativo</v>
      </c>
      <c r="D1418" s="10" t="str" cm="1">
        <f t="array" ref="D1418">IF(AND(A1418="2021-01", ISNA(MATCH(B1418, _xlfn._xlws.FILTER(B:B, A:A="2021-02"), 0))), "Left", "Ativo")</f>
        <v>Ativo</v>
      </c>
      <c r="E1418" s="10" t="str" cm="1">
        <f t="array" ref="E1418">IF(AND(A1418="2021-02", ISNA(MATCH(B1418, _xlfn._xlws.FILTER(B:B, A:A="2021-03"), 0))), "Left", "Ativo")</f>
        <v>Ativo</v>
      </c>
      <c r="F1418" s="12" t="str" cm="1">
        <f t="array" ref="F1418">IF(AND(A1418="2021-03", ISNA(MATCH(B1418, _xlfn._xlws.FILTER(B:B, A:A="2021-04"), 0))), "Left", "Ativo")</f>
        <v>Ativo</v>
      </c>
    </row>
    <row r="1419" spans="1:6" x14ac:dyDescent="0.25">
      <c r="A1419" t="s">
        <v>1529</v>
      </c>
      <c r="B1419" t="s">
        <v>463</v>
      </c>
      <c r="C1419" s="10" t="str" cm="1">
        <f t="array" ref="C1419">IF(AND(A1419="2020-12", ISNA(MATCH(B1419, _xlfn._xlws.FILTER(B:B, A:A="2021-01"), 0))), "Left", "Ativo")</f>
        <v>Ativo</v>
      </c>
      <c r="D1419" s="10" t="str" cm="1">
        <f t="array" ref="D1419">IF(AND(A1419="2021-01", ISNA(MATCH(B1419, _xlfn._xlws.FILTER(B:B, A:A="2021-02"), 0))), "Left", "Ativo")</f>
        <v>Ativo</v>
      </c>
      <c r="E1419" s="10" t="str" cm="1">
        <f t="array" ref="E1419">IF(AND(A1419="2021-02", ISNA(MATCH(B1419, _xlfn._xlws.FILTER(B:B, A:A="2021-03"), 0))), "Left", "Ativo")</f>
        <v>Ativo</v>
      </c>
      <c r="F1419" s="12" t="str" cm="1">
        <f t="array" ref="F1419">IF(AND(A1419="2021-03", ISNA(MATCH(B1419, _xlfn._xlws.FILTER(B:B, A:A="2021-04"), 0))), "Left", "Ativo")</f>
        <v>Ativo</v>
      </c>
    </row>
    <row r="1420" spans="1:6" x14ac:dyDescent="0.25">
      <c r="A1420" t="s">
        <v>1529</v>
      </c>
      <c r="B1420" t="s">
        <v>464</v>
      </c>
      <c r="C1420" s="10" t="str" cm="1">
        <f t="array" ref="C1420">IF(AND(A1420="2020-12", ISNA(MATCH(B1420, _xlfn._xlws.FILTER(B:B, A:A="2021-01"), 0))), "Left", "Ativo")</f>
        <v>Ativo</v>
      </c>
      <c r="D1420" s="10" t="str" cm="1">
        <f t="array" ref="D1420">IF(AND(A1420="2021-01", ISNA(MATCH(B1420, _xlfn._xlws.FILTER(B:B, A:A="2021-02"), 0))), "Left", "Ativo")</f>
        <v>Ativo</v>
      </c>
      <c r="E1420" s="10" t="str" cm="1">
        <f t="array" ref="E1420">IF(AND(A1420="2021-02", ISNA(MATCH(B1420, _xlfn._xlws.FILTER(B:B, A:A="2021-03"), 0))), "Left", "Ativo")</f>
        <v>Ativo</v>
      </c>
      <c r="F1420" s="12" t="str" cm="1">
        <f t="array" ref="F1420">IF(AND(A1420="2021-03", ISNA(MATCH(B1420, _xlfn._xlws.FILTER(B:B, A:A="2021-04"), 0))), "Left", "Ativo")</f>
        <v>Ativo</v>
      </c>
    </row>
    <row r="1421" spans="1:6" x14ac:dyDescent="0.25">
      <c r="A1421" t="s">
        <v>1529</v>
      </c>
      <c r="B1421" t="s">
        <v>465</v>
      </c>
      <c r="C1421" s="10" t="str" cm="1">
        <f t="array" ref="C1421">IF(AND(A1421="2020-12", ISNA(MATCH(B1421, _xlfn._xlws.FILTER(B:B, A:A="2021-01"), 0))), "Left", "Ativo")</f>
        <v>Ativo</v>
      </c>
      <c r="D1421" s="10" t="str" cm="1">
        <f t="array" ref="D1421">IF(AND(A1421="2021-01", ISNA(MATCH(B1421, _xlfn._xlws.FILTER(B:B, A:A="2021-02"), 0))), "Left", "Ativo")</f>
        <v>Ativo</v>
      </c>
      <c r="E1421" s="10" t="str" cm="1">
        <f t="array" ref="E1421">IF(AND(A1421="2021-02", ISNA(MATCH(B1421, _xlfn._xlws.FILTER(B:B, A:A="2021-03"), 0))), "Left", "Ativo")</f>
        <v>Ativo</v>
      </c>
      <c r="F1421" s="12" t="str" cm="1">
        <f t="array" ref="F1421">IF(AND(A1421="2021-03", ISNA(MATCH(B1421, _xlfn._xlws.FILTER(B:B, A:A="2021-04"), 0))), "Left", "Ativo")</f>
        <v>Ativo</v>
      </c>
    </row>
    <row r="1422" spans="1:6" x14ac:dyDescent="0.25">
      <c r="A1422" t="s">
        <v>1529</v>
      </c>
      <c r="B1422" t="s">
        <v>466</v>
      </c>
      <c r="C1422" s="10" t="str" cm="1">
        <f t="array" ref="C1422">IF(AND(A1422="2020-12", ISNA(MATCH(B1422, _xlfn._xlws.FILTER(B:B, A:A="2021-01"), 0))), "Left", "Ativo")</f>
        <v>Ativo</v>
      </c>
      <c r="D1422" s="10" t="str" cm="1">
        <f t="array" ref="D1422">IF(AND(A1422="2021-01", ISNA(MATCH(B1422, _xlfn._xlws.FILTER(B:B, A:A="2021-02"), 0))), "Left", "Ativo")</f>
        <v>Ativo</v>
      </c>
      <c r="E1422" s="10" t="str" cm="1">
        <f t="array" ref="E1422">IF(AND(A1422="2021-02", ISNA(MATCH(B1422, _xlfn._xlws.FILTER(B:B, A:A="2021-03"), 0))), "Left", "Ativo")</f>
        <v>Ativo</v>
      </c>
      <c r="F1422" s="12" t="str" cm="1">
        <f t="array" ref="F1422">IF(AND(A1422="2021-03", ISNA(MATCH(B1422, _xlfn._xlws.FILTER(B:B, A:A="2021-04"), 0))), "Left", "Ativo")</f>
        <v>Ativo</v>
      </c>
    </row>
    <row r="1423" spans="1:6" x14ac:dyDescent="0.25">
      <c r="A1423" t="s">
        <v>1529</v>
      </c>
      <c r="B1423" t="s">
        <v>467</v>
      </c>
      <c r="C1423" s="10" t="str" cm="1">
        <f t="array" ref="C1423">IF(AND(A1423="2020-12", ISNA(MATCH(B1423, _xlfn._xlws.FILTER(B:B, A:A="2021-01"), 0))), "Left", "Ativo")</f>
        <v>Ativo</v>
      </c>
      <c r="D1423" s="10" t="str" cm="1">
        <f t="array" ref="D1423">IF(AND(A1423="2021-01", ISNA(MATCH(B1423, _xlfn._xlws.FILTER(B:B, A:A="2021-02"), 0))), "Left", "Ativo")</f>
        <v>Ativo</v>
      </c>
      <c r="E1423" s="10" t="str" cm="1">
        <f t="array" ref="E1423">IF(AND(A1423="2021-02", ISNA(MATCH(B1423, _xlfn._xlws.FILTER(B:B, A:A="2021-03"), 0))), "Left", "Ativo")</f>
        <v>Ativo</v>
      </c>
      <c r="F1423" s="12" t="str" cm="1">
        <f t="array" ref="F1423">IF(AND(A1423="2021-03", ISNA(MATCH(B1423, _xlfn._xlws.FILTER(B:B, A:A="2021-04"), 0))), "Left", "Ativo")</f>
        <v>Ativo</v>
      </c>
    </row>
    <row r="1424" spans="1:6" x14ac:dyDescent="0.25">
      <c r="A1424" t="s">
        <v>1529</v>
      </c>
      <c r="B1424" t="s">
        <v>468</v>
      </c>
      <c r="C1424" s="10" t="str" cm="1">
        <f t="array" ref="C1424">IF(AND(A1424="2020-12", ISNA(MATCH(B1424, _xlfn._xlws.FILTER(B:B, A:A="2021-01"), 0))), "Left", "Ativo")</f>
        <v>Ativo</v>
      </c>
      <c r="D1424" s="10" t="str" cm="1">
        <f t="array" ref="D1424">IF(AND(A1424="2021-01", ISNA(MATCH(B1424, _xlfn._xlws.FILTER(B:B, A:A="2021-02"), 0))), "Left", "Ativo")</f>
        <v>Ativo</v>
      </c>
      <c r="E1424" s="10" t="str" cm="1">
        <f t="array" ref="E1424">IF(AND(A1424="2021-02", ISNA(MATCH(B1424, _xlfn._xlws.FILTER(B:B, A:A="2021-03"), 0))), "Left", "Ativo")</f>
        <v>Ativo</v>
      </c>
      <c r="F1424" s="12" t="str" cm="1">
        <f t="array" ref="F1424">IF(AND(A1424="2021-03", ISNA(MATCH(B1424, _xlfn._xlws.FILTER(B:B, A:A="2021-04"), 0))), "Left", "Ativo")</f>
        <v>Ativo</v>
      </c>
    </row>
    <row r="1425" spans="1:6" x14ac:dyDescent="0.25">
      <c r="A1425" t="s">
        <v>1529</v>
      </c>
      <c r="B1425" t="s">
        <v>469</v>
      </c>
      <c r="C1425" s="10" t="str" cm="1">
        <f t="array" ref="C1425">IF(AND(A1425="2020-12", ISNA(MATCH(B1425, _xlfn._xlws.FILTER(B:B, A:A="2021-01"), 0))), "Left", "Ativo")</f>
        <v>Ativo</v>
      </c>
      <c r="D1425" s="10" t="str" cm="1">
        <f t="array" ref="D1425">IF(AND(A1425="2021-01", ISNA(MATCH(B1425, _xlfn._xlws.FILTER(B:B, A:A="2021-02"), 0))), "Left", "Ativo")</f>
        <v>Ativo</v>
      </c>
      <c r="E1425" s="10" t="str" cm="1">
        <f t="array" ref="E1425">IF(AND(A1425="2021-02", ISNA(MATCH(B1425, _xlfn._xlws.FILTER(B:B, A:A="2021-03"), 0))), "Left", "Ativo")</f>
        <v>Ativo</v>
      </c>
      <c r="F1425" s="12" t="str" cm="1">
        <f t="array" ref="F1425">IF(AND(A1425="2021-03", ISNA(MATCH(B1425, _xlfn._xlws.FILTER(B:B, A:A="2021-04"), 0))), "Left", "Ativo")</f>
        <v>Ativo</v>
      </c>
    </row>
    <row r="1426" spans="1:6" x14ac:dyDescent="0.25">
      <c r="A1426" t="s">
        <v>1529</v>
      </c>
      <c r="B1426" t="s">
        <v>470</v>
      </c>
      <c r="C1426" s="10" t="str" cm="1">
        <f t="array" ref="C1426">IF(AND(A1426="2020-12", ISNA(MATCH(B1426, _xlfn._xlws.FILTER(B:B, A:A="2021-01"), 0))), "Left", "Ativo")</f>
        <v>Ativo</v>
      </c>
      <c r="D1426" s="10" t="str" cm="1">
        <f t="array" ref="D1426">IF(AND(A1426="2021-01", ISNA(MATCH(B1426, _xlfn._xlws.FILTER(B:B, A:A="2021-02"), 0))), "Left", "Ativo")</f>
        <v>Ativo</v>
      </c>
      <c r="E1426" s="10" t="str" cm="1">
        <f t="array" ref="E1426">IF(AND(A1426="2021-02", ISNA(MATCH(B1426, _xlfn._xlws.FILTER(B:B, A:A="2021-03"), 0))), "Left", "Ativo")</f>
        <v>Ativo</v>
      </c>
      <c r="F1426" s="12" t="str" cm="1">
        <f t="array" ref="F1426">IF(AND(A1426="2021-03", ISNA(MATCH(B1426, _xlfn._xlws.FILTER(B:B, A:A="2021-04"), 0))), "Left", "Ativo")</f>
        <v>Ativo</v>
      </c>
    </row>
    <row r="1427" spans="1:6" x14ac:dyDescent="0.25">
      <c r="A1427" t="s">
        <v>1529</v>
      </c>
      <c r="B1427" t="s">
        <v>471</v>
      </c>
      <c r="C1427" s="10" t="str" cm="1">
        <f t="array" ref="C1427">IF(AND(A1427="2020-12", ISNA(MATCH(B1427, _xlfn._xlws.FILTER(B:B, A:A="2021-01"), 0))), "Left", "Ativo")</f>
        <v>Ativo</v>
      </c>
      <c r="D1427" s="10" t="str" cm="1">
        <f t="array" ref="D1427">IF(AND(A1427="2021-01", ISNA(MATCH(B1427, _xlfn._xlws.FILTER(B:B, A:A="2021-02"), 0))), "Left", "Ativo")</f>
        <v>Ativo</v>
      </c>
      <c r="E1427" s="10" t="str" cm="1">
        <f t="array" ref="E1427">IF(AND(A1427="2021-02", ISNA(MATCH(B1427, _xlfn._xlws.FILTER(B:B, A:A="2021-03"), 0))), "Left", "Ativo")</f>
        <v>Ativo</v>
      </c>
      <c r="F1427" s="12" t="str" cm="1">
        <f t="array" ref="F1427">IF(AND(A1427="2021-03", ISNA(MATCH(B1427, _xlfn._xlws.FILTER(B:B, A:A="2021-04"), 0))), "Left", "Ativo")</f>
        <v>Ativo</v>
      </c>
    </row>
    <row r="1428" spans="1:6" x14ac:dyDescent="0.25">
      <c r="A1428" t="s">
        <v>1529</v>
      </c>
      <c r="B1428" t="s">
        <v>472</v>
      </c>
      <c r="C1428" s="10" t="str" cm="1">
        <f t="array" ref="C1428">IF(AND(A1428="2020-12", ISNA(MATCH(B1428, _xlfn._xlws.FILTER(B:B, A:A="2021-01"), 0))), "Left", "Ativo")</f>
        <v>Ativo</v>
      </c>
      <c r="D1428" s="10" t="str" cm="1">
        <f t="array" ref="D1428">IF(AND(A1428="2021-01", ISNA(MATCH(B1428, _xlfn._xlws.FILTER(B:B, A:A="2021-02"), 0))), "Left", "Ativo")</f>
        <v>Ativo</v>
      </c>
      <c r="E1428" s="10" t="str" cm="1">
        <f t="array" ref="E1428">IF(AND(A1428="2021-02", ISNA(MATCH(B1428, _xlfn._xlws.FILTER(B:B, A:A="2021-03"), 0))), "Left", "Ativo")</f>
        <v>Ativo</v>
      </c>
      <c r="F1428" s="12" t="str" cm="1">
        <f t="array" ref="F1428">IF(AND(A1428="2021-03", ISNA(MATCH(B1428, _xlfn._xlws.FILTER(B:B, A:A="2021-04"), 0))), "Left", "Ativo")</f>
        <v>Ativo</v>
      </c>
    </row>
    <row r="1429" spans="1:6" x14ac:dyDescent="0.25">
      <c r="A1429" t="s">
        <v>1529</v>
      </c>
      <c r="B1429" t="s">
        <v>473</v>
      </c>
      <c r="C1429" s="10" t="str" cm="1">
        <f t="array" ref="C1429">IF(AND(A1429="2020-12", ISNA(MATCH(B1429, _xlfn._xlws.FILTER(B:B, A:A="2021-01"), 0))), "Left", "Ativo")</f>
        <v>Ativo</v>
      </c>
      <c r="D1429" s="10" t="str" cm="1">
        <f t="array" ref="D1429">IF(AND(A1429="2021-01", ISNA(MATCH(B1429, _xlfn._xlws.FILTER(B:B, A:A="2021-02"), 0))), "Left", "Ativo")</f>
        <v>Ativo</v>
      </c>
      <c r="E1429" s="10" t="str" cm="1">
        <f t="array" ref="E1429">IF(AND(A1429="2021-02", ISNA(MATCH(B1429, _xlfn._xlws.FILTER(B:B, A:A="2021-03"), 0))), "Left", "Ativo")</f>
        <v>Ativo</v>
      </c>
      <c r="F1429" s="12" t="str" cm="1">
        <f t="array" ref="F1429">IF(AND(A1429="2021-03", ISNA(MATCH(B1429, _xlfn._xlws.FILTER(B:B, A:A="2021-04"), 0))), "Left", "Ativo")</f>
        <v>Ativo</v>
      </c>
    </row>
    <row r="1430" spans="1:6" x14ac:dyDescent="0.25">
      <c r="A1430" t="s">
        <v>1529</v>
      </c>
      <c r="B1430" t="s">
        <v>474</v>
      </c>
      <c r="C1430" s="10" t="str" cm="1">
        <f t="array" ref="C1430">IF(AND(A1430="2020-12", ISNA(MATCH(B1430, _xlfn._xlws.FILTER(B:B, A:A="2021-01"), 0))), "Left", "Ativo")</f>
        <v>Ativo</v>
      </c>
      <c r="D1430" s="10" t="str" cm="1">
        <f t="array" ref="D1430">IF(AND(A1430="2021-01", ISNA(MATCH(B1430, _xlfn._xlws.FILTER(B:B, A:A="2021-02"), 0))), "Left", "Ativo")</f>
        <v>Ativo</v>
      </c>
      <c r="E1430" s="10" t="str" cm="1">
        <f t="array" ref="E1430">IF(AND(A1430="2021-02", ISNA(MATCH(B1430, _xlfn._xlws.FILTER(B:B, A:A="2021-03"), 0))), "Left", "Ativo")</f>
        <v>Ativo</v>
      </c>
      <c r="F1430" s="12" t="str" cm="1">
        <f t="array" ref="F1430">IF(AND(A1430="2021-03", ISNA(MATCH(B1430, _xlfn._xlws.FILTER(B:B, A:A="2021-04"), 0))), "Left", "Ativo")</f>
        <v>Ativo</v>
      </c>
    </row>
    <row r="1431" spans="1:6" x14ac:dyDescent="0.25">
      <c r="A1431" t="s">
        <v>1529</v>
      </c>
      <c r="B1431" t="s">
        <v>475</v>
      </c>
      <c r="C1431" s="10" t="str" cm="1">
        <f t="array" ref="C1431">IF(AND(A1431="2020-12", ISNA(MATCH(B1431, _xlfn._xlws.FILTER(B:B, A:A="2021-01"), 0))), "Left", "Ativo")</f>
        <v>Ativo</v>
      </c>
      <c r="D1431" s="10" t="str" cm="1">
        <f t="array" ref="D1431">IF(AND(A1431="2021-01", ISNA(MATCH(B1431, _xlfn._xlws.FILTER(B:B, A:A="2021-02"), 0))), "Left", "Ativo")</f>
        <v>Ativo</v>
      </c>
      <c r="E1431" s="10" t="str" cm="1">
        <f t="array" ref="E1431">IF(AND(A1431="2021-02", ISNA(MATCH(B1431, _xlfn._xlws.FILTER(B:B, A:A="2021-03"), 0))), "Left", "Ativo")</f>
        <v>Ativo</v>
      </c>
      <c r="F1431" s="12" t="str" cm="1">
        <f t="array" ref="F1431">IF(AND(A1431="2021-03", ISNA(MATCH(B1431, _xlfn._xlws.FILTER(B:B, A:A="2021-04"), 0))), "Left", "Ativo")</f>
        <v>Ativo</v>
      </c>
    </row>
    <row r="1432" spans="1:6" x14ac:dyDescent="0.25">
      <c r="A1432" t="s">
        <v>1529</v>
      </c>
      <c r="B1432" t="s">
        <v>476</v>
      </c>
      <c r="C1432" s="10" t="str" cm="1">
        <f t="array" ref="C1432">IF(AND(A1432="2020-12", ISNA(MATCH(B1432, _xlfn._xlws.FILTER(B:B, A:A="2021-01"), 0))), "Left", "Ativo")</f>
        <v>Ativo</v>
      </c>
      <c r="D1432" s="10" t="str" cm="1">
        <f t="array" ref="D1432">IF(AND(A1432="2021-01", ISNA(MATCH(B1432, _xlfn._xlws.FILTER(B:B, A:A="2021-02"), 0))), "Left", "Ativo")</f>
        <v>Ativo</v>
      </c>
      <c r="E1432" s="10" t="str" cm="1">
        <f t="array" ref="E1432">IF(AND(A1432="2021-02", ISNA(MATCH(B1432, _xlfn._xlws.FILTER(B:B, A:A="2021-03"), 0))), "Left", "Ativo")</f>
        <v>Ativo</v>
      </c>
      <c r="F1432" s="12" t="str" cm="1">
        <f t="array" ref="F1432">IF(AND(A1432="2021-03", ISNA(MATCH(B1432, _xlfn._xlws.FILTER(B:B, A:A="2021-04"), 0))), "Left", "Ativo")</f>
        <v>Ativo</v>
      </c>
    </row>
    <row r="1433" spans="1:6" x14ac:dyDescent="0.25">
      <c r="A1433" t="s">
        <v>1529</v>
      </c>
      <c r="B1433" t="s">
        <v>477</v>
      </c>
      <c r="C1433" s="10" t="str" cm="1">
        <f t="array" ref="C1433">IF(AND(A1433="2020-12", ISNA(MATCH(B1433, _xlfn._xlws.FILTER(B:B, A:A="2021-01"), 0))), "Left", "Ativo")</f>
        <v>Ativo</v>
      </c>
      <c r="D1433" s="10" t="str" cm="1">
        <f t="array" ref="D1433">IF(AND(A1433="2021-01", ISNA(MATCH(B1433, _xlfn._xlws.FILTER(B:B, A:A="2021-02"), 0))), "Left", "Ativo")</f>
        <v>Ativo</v>
      </c>
      <c r="E1433" s="10" t="str" cm="1">
        <f t="array" ref="E1433">IF(AND(A1433="2021-02", ISNA(MATCH(B1433, _xlfn._xlws.FILTER(B:B, A:A="2021-03"), 0))), "Left", "Ativo")</f>
        <v>Ativo</v>
      </c>
      <c r="F1433" s="12" t="str" cm="1">
        <f t="array" ref="F1433">IF(AND(A1433="2021-03", ISNA(MATCH(B1433, _xlfn._xlws.FILTER(B:B, A:A="2021-04"), 0))), "Left", "Ativo")</f>
        <v>Ativo</v>
      </c>
    </row>
    <row r="1434" spans="1:6" x14ac:dyDescent="0.25">
      <c r="A1434" t="s">
        <v>1529</v>
      </c>
      <c r="B1434" t="s">
        <v>478</v>
      </c>
      <c r="C1434" s="10" t="str" cm="1">
        <f t="array" ref="C1434">IF(AND(A1434="2020-12", ISNA(MATCH(B1434, _xlfn._xlws.FILTER(B:B, A:A="2021-01"), 0))), "Left", "Ativo")</f>
        <v>Ativo</v>
      </c>
      <c r="D1434" s="10" t="str" cm="1">
        <f t="array" ref="D1434">IF(AND(A1434="2021-01", ISNA(MATCH(B1434, _xlfn._xlws.FILTER(B:B, A:A="2021-02"), 0))), "Left", "Ativo")</f>
        <v>Ativo</v>
      </c>
      <c r="E1434" s="10" t="str" cm="1">
        <f t="array" ref="E1434">IF(AND(A1434="2021-02", ISNA(MATCH(B1434, _xlfn._xlws.FILTER(B:B, A:A="2021-03"), 0))), "Left", "Ativo")</f>
        <v>Ativo</v>
      </c>
      <c r="F1434" s="12" t="str" cm="1">
        <f t="array" ref="F1434">IF(AND(A1434="2021-03", ISNA(MATCH(B1434, _xlfn._xlws.FILTER(B:B, A:A="2021-04"), 0))), "Left", "Ativo")</f>
        <v>Ativo</v>
      </c>
    </row>
    <row r="1435" spans="1:6" x14ac:dyDescent="0.25">
      <c r="A1435" t="s">
        <v>1529</v>
      </c>
      <c r="B1435" t="s">
        <v>479</v>
      </c>
      <c r="C1435" s="10" t="str" cm="1">
        <f t="array" ref="C1435">IF(AND(A1435="2020-12", ISNA(MATCH(B1435, _xlfn._xlws.FILTER(B:B, A:A="2021-01"), 0))), "Left", "Ativo")</f>
        <v>Ativo</v>
      </c>
      <c r="D1435" s="10" t="str" cm="1">
        <f t="array" ref="D1435">IF(AND(A1435="2021-01", ISNA(MATCH(B1435, _xlfn._xlws.FILTER(B:B, A:A="2021-02"), 0))), "Left", "Ativo")</f>
        <v>Ativo</v>
      </c>
      <c r="E1435" s="10" t="str" cm="1">
        <f t="array" ref="E1435">IF(AND(A1435="2021-02", ISNA(MATCH(B1435, _xlfn._xlws.FILTER(B:B, A:A="2021-03"), 0))), "Left", "Ativo")</f>
        <v>Ativo</v>
      </c>
      <c r="F1435" s="12" t="str" cm="1">
        <f t="array" ref="F1435">IF(AND(A1435="2021-03", ISNA(MATCH(B1435, _xlfn._xlws.FILTER(B:B, A:A="2021-04"), 0))), "Left", "Ativo")</f>
        <v>Ativo</v>
      </c>
    </row>
    <row r="1436" spans="1:6" x14ac:dyDescent="0.25">
      <c r="A1436" t="s">
        <v>1529</v>
      </c>
      <c r="B1436" t="s">
        <v>480</v>
      </c>
      <c r="C1436" s="10" t="str" cm="1">
        <f t="array" ref="C1436">IF(AND(A1436="2020-12", ISNA(MATCH(B1436, _xlfn._xlws.FILTER(B:B, A:A="2021-01"), 0))), "Left", "Ativo")</f>
        <v>Ativo</v>
      </c>
      <c r="D1436" s="10" t="str" cm="1">
        <f t="array" ref="D1436">IF(AND(A1436="2021-01", ISNA(MATCH(B1436, _xlfn._xlws.FILTER(B:B, A:A="2021-02"), 0))), "Left", "Ativo")</f>
        <v>Ativo</v>
      </c>
      <c r="E1436" s="10" t="str" cm="1">
        <f t="array" ref="E1436">IF(AND(A1436="2021-02", ISNA(MATCH(B1436, _xlfn._xlws.FILTER(B:B, A:A="2021-03"), 0))), "Left", "Ativo")</f>
        <v>Ativo</v>
      </c>
      <c r="F1436" s="12" t="str" cm="1">
        <f t="array" ref="F1436">IF(AND(A1436="2021-03", ISNA(MATCH(B1436, _xlfn._xlws.FILTER(B:B, A:A="2021-04"), 0))), "Left", "Ativo")</f>
        <v>Ativo</v>
      </c>
    </row>
    <row r="1437" spans="1:6" x14ac:dyDescent="0.25">
      <c r="A1437" t="s">
        <v>1529</v>
      </c>
      <c r="B1437" t="s">
        <v>481</v>
      </c>
      <c r="C1437" s="10" t="str" cm="1">
        <f t="array" ref="C1437">IF(AND(A1437="2020-12", ISNA(MATCH(B1437, _xlfn._xlws.FILTER(B:B, A:A="2021-01"), 0))), "Left", "Ativo")</f>
        <v>Ativo</v>
      </c>
      <c r="D1437" s="10" t="str" cm="1">
        <f t="array" ref="D1437">IF(AND(A1437="2021-01", ISNA(MATCH(B1437, _xlfn._xlws.FILTER(B:B, A:A="2021-02"), 0))), "Left", "Ativo")</f>
        <v>Ativo</v>
      </c>
      <c r="E1437" s="10" t="str" cm="1">
        <f t="array" ref="E1437">IF(AND(A1437="2021-02", ISNA(MATCH(B1437, _xlfn._xlws.FILTER(B:B, A:A="2021-03"), 0))), "Left", "Ativo")</f>
        <v>Ativo</v>
      </c>
      <c r="F1437" s="12" t="str" cm="1">
        <f t="array" ref="F1437">IF(AND(A1437="2021-03", ISNA(MATCH(B1437, _xlfn._xlws.FILTER(B:B, A:A="2021-04"), 0))), "Left", "Ativo")</f>
        <v>Ativo</v>
      </c>
    </row>
    <row r="1438" spans="1:6" x14ac:dyDescent="0.25">
      <c r="A1438" t="s">
        <v>1529</v>
      </c>
      <c r="B1438" t="s">
        <v>482</v>
      </c>
      <c r="C1438" s="10" t="str" cm="1">
        <f t="array" ref="C1438">IF(AND(A1438="2020-12", ISNA(MATCH(B1438, _xlfn._xlws.FILTER(B:B, A:A="2021-01"), 0))), "Left", "Ativo")</f>
        <v>Ativo</v>
      </c>
      <c r="D1438" s="10" t="str" cm="1">
        <f t="array" ref="D1438">IF(AND(A1438="2021-01", ISNA(MATCH(B1438, _xlfn._xlws.FILTER(B:B, A:A="2021-02"), 0))), "Left", "Ativo")</f>
        <v>Ativo</v>
      </c>
      <c r="E1438" s="10" t="str" cm="1">
        <f t="array" ref="E1438">IF(AND(A1438="2021-02", ISNA(MATCH(B1438, _xlfn._xlws.FILTER(B:B, A:A="2021-03"), 0))), "Left", "Ativo")</f>
        <v>Ativo</v>
      </c>
      <c r="F1438" s="12" t="str" cm="1">
        <f t="array" ref="F1438">IF(AND(A1438="2021-03", ISNA(MATCH(B1438, _xlfn._xlws.FILTER(B:B, A:A="2021-04"), 0))), "Left", "Ativo")</f>
        <v>Ativo</v>
      </c>
    </row>
    <row r="1439" spans="1:6" x14ac:dyDescent="0.25">
      <c r="A1439" t="s">
        <v>1529</v>
      </c>
      <c r="B1439" t="s">
        <v>483</v>
      </c>
      <c r="C1439" s="10" t="str" cm="1">
        <f t="array" ref="C1439">IF(AND(A1439="2020-12", ISNA(MATCH(B1439, _xlfn._xlws.FILTER(B:B, A:A="2021-01"), 0))), "Left", "Ativo")</f>
        <v>Ativo</v>
      </c>
      <c r="D1439" s="10" t="str" cm="1">
        <f t="array" ref="D1439">IF(AND(A1439="2021-01", ISNA(MATCH(B1439, _xlfn._xlws.FILTER(B:B, A:A="2021-02"), 0))), "Left", "Ativo")</f>
        <v>Ativo</v>
      </c>
      <c r="E1439" s="10" t="str" cm="1">
        <f t="array" ref="E1439">IF(AND(A1439="2021-02", ISNA(MATCH(B1439, _xlfn._xlws.FILTER(B:B, A:A="2021-03"), 0))), "Left", "Ativo")</f>
        <v>Ativo</v>
      </c>
      <c r="F1439" s="12" t="str" cm="1">
        <f t="array" ref="F1439">IF(AND(A1439="2021-03", ISNA(MATCH(B1439, _xlfn._xlws.FILTER(B:B, A:A="2021-04"), 0))), "Left", "Ativo")</f>
        <v>Ativo</v>
      </c>
    </row>
    <row r="1440" spans="1:6" x14ac:dyDescent="0.25">
      <c r="A1440" t="s">
        <v>1529</v>
      </c>
      <c r="B1440" t="s">
        <v>484</v>
      </c>
      <c r="C1440" s="10" t="str" cm="1">
        <f t="array" ref="C1440">IF(AND(A1440="2020-12", ISNA(MATCH(B1440, _xlfn._xlws.FILTER(B:B, A:A="2021-01"), 0))), "Left", "Ativo")</f>
        <v>Ativo</v>
      </c>
      <c r="D1440" s="10" t="str" cm="1">
        <f t="array" ref="D1440">IF(AND(A1440="2021-01", ISNA(MATCH(B1440, _xlfn._xlws.FILTER(B:B, A:A="2021-02"), 0))), "Left", "Ativo")</f>
        <v>Ativo</v>
      </c>
      <c r="E1440" s="10" t="str" cm="1">
        <f t="array" ref="E1440">IF(AND(A1440="2021-02", ISNA(MATCH(B1440, _xlfn._xlws.FILTER(B:B, A:A="2021-03"), 0))), "Left", "Ativo")</f>
        <v>Ativo</v>
      </c>
      <c r="F1440" s="12" t="str" cm="1">
        <f t="array" ref="F1440">IF(AND(A1440="2021-03", ISNA(MATCH(B1440, _xlfn._xlws.FILTER(B:B, A:A="2021-04"), 0))), "Left", "Ativo")</f>
        <v>Ativo</v>
      </c>
    </row>
    <row r="1441" spans="1:6" x14ac:dyDescent="0.25">
      <c r="A1441" t="s">
        <v>1529</v>
      </c>
      <c r="B1441" t="s">
        <v>485</v>
      </c>
      <c r="C1441" s="10" t="str" cm="1">
        <f t="array" ref="C1441">IF(AND(A1441="2020-12", ISNA(MATCH(B1441, _xlfn._xlws.FILTER(B:B, A:A="2021-01"), 0))), "Left", "Ativo")</f>
        <v>Ativo</v>
      </c>
      <c r="D1441" s="10" t="str" cm="1">
        <f t="array" ref="D1441">IF(AND(A1441="2021-01", ISNA(MATCH(B1441, _xlfn._xlws.FILTER(B:B, A:A="2021-02"), 0))), "Left", "Ativo")</f>
        <v>Ativo</v>
      </c>
      <c r="E1441" s="10" t="str" cm="1">
        <f t="array" ref="E1441">IF(AND(A1441="2021-02", ISNA(MATCH(B1441, _xlfn._xlws.FILTER(B:B, A:A="2021-03"), 0))), "Left", "Ativo")</f>
        <v>Ativo</v>
      </c>
      <c r="F1441" s="12" t="str" cm="1">
        <f t="array" ref="F1441">IF(AND(A1441="2021-03", ISNA(MATCH(B1441, _xlfn._xlws.FILTER(B:B, A:A="2021-04"), 0))), "Left", "Ativo")</f>
        <v>Ativo</v>
      </c>
    </row>
    <row r="1442" spans="1:6" x14ac:dyDescent="0.25">
      <c r="A1442" t="s">
        <v>1529</v>
      </c>
      <c r="B1442" t="s">
        <v>486</v>
      </c>
      <c r="C1442" s="10" t="str" cm="1">
        <f t="array" ref="C1442">IF(AND(A1442="2020-12", ISNA(MATCH(B1442, _xlfn._xlws.FILTER(B:B, A:A="2021-01"), 0))), "Left", "Ativo")</f>
        <v>Ativo</v>
      </c>
      <c r="D1442" s="10" t="str" cm="1">
        <f t="array" ref="D1442">IF(AND(A1442="2021-01", ISNA(MATCH(B1442, _xlfn._xlws.FILTER(B:B, A:A="2021-02"), 0))), "Left", "Ativo")</f>
        <v>Ativo</v>
      </c>
      <c r="E1442" s="10" t="str" cm="1">
        <f t="array" ref="E1442">IF(AND(A1442="2021-02", ISNA(MATCH(B1442, _xlfn._xlws.FILTER(B:B, A:A="2021-03"), 0))), "Left", "Ativo")</f>
        <v>Ativo</v>
      </c>
      <c r="F1442" s="12" t="str" cm="1">
        <f t="array" ref="F1442">IF(AND(A1442="2021-03", ISNA(MATCH(B1442, _xlfn._xlws.FILTER(B:B, A:A="2021-04"), 0))), "Left", "Ativo")</f>
        <v>Ativo</v>
      </c>
    </row>
    <row r="1443" spans="1:6" x14ac:dyDescent="0.25">
      <c r="A1443" t="s">
        <v>1529</v>
      </c>
      <c r="B1443" t="s">
        <v>487</v>
      </c>
      <c r="C1443" s="10" t="str" cm="1">
        <f t="array" ref="C1443">IF(AND(A1443="2020-12", ISNA(MATCH(B1443, _xlfn._xlws.FILTER(B:B, A:A="2021-01"), 0))), "Left", "Ativo")</f>
        <v>Ativo</v>
      </c>
      <c r="D1443" s="10" t="str" cm="1">
        <f t="array" ref="D1443">IF(AND(A1443="2021-01", ISNA(MATCH(B1443, _xlfn._xlws.FILTER(B:B, A:A="2021-02"), 0))), "Left", "Ativo")</f>
        <v>Ativo</v>
      </c>
      <c r="E1443" s="10" t="str" cm="1">
        <f t="array" ref="E1443">IF(AND(A1443="2021-02", ISNA(MATCH(B1443, _xlfn._xlws.FILTER(B:B, A:A="2021-03"), 0))), "Left", "Ativo")</f>
        <v>Ativo</v>
      </c>
      <c r="F1443" s="12" t="str" cm="1">
        <f t="array" ref="F1443">IF(AND(A1443="2021-03", ISNA(MATCH(B1443, _xlfn._xlws.FILTER(B:B, A:A="2021-04"), 0))), "Left", "Ativo")</f>
        <v>Ativo</v>
      </c>
    </row>
    <row r="1444" spans="1:6" x14ac:dyDescent="0.25">
      <c r="A1444" t="s">
        <v>1529</v>
      </c>
      <c r="B1444" t="s">
        <v>488</v>
      </c>
      <c r="C1444" s="10" t="str" cm="1">
        <f t="array" ref="C1444">IF(AND(A1444="2020-12", ISNA(MATCH(B1444, _xlfn._xlws.FILTER(B:B, A:A="2021-01"), 0))), "Left", "Ativo")</f>
        <v>Ativo</v>
      </c>
      <c r="D1444" s="10" t="str" cm="1">
        <f t="array" ref="D1444">IF(AND(A1444="2021-01", ISNA(MATCH(B1444, _xlfn._xlws.FILTER(B:B, A:A="2021-02"), 0))), "Left", "Ativo")</f>
        <v>Ativo</v>
      </c>
      <c r="E1444" s="10" t="str" cm="1">
        <f t="array" ref="E1444">IF(AND(A1444="2021-02", ISNA(MATCH(B1444, _xlfn._xlws.FILTER(B:B, A:A="2021-03"), 0))), "Left", "Ativo")</f>
        <v>Ativo</v>
      </c>
      <c r="F1444" s="12" t="str" cm="1">
        <f t="array" ref="F1444">IF(AND(A1444="2021-03", ISNA(MATCH(B1444, _xlfn._xlws.FILTER(B:B, A:A="2021-04"), 0))), "Left", "Ativo")</f>
        <v>Ativo</v>
      </c>
    </row>
    <row r="1445" spans="1:6" x14ac:dyDescent="0.25">
      <c r="A1445" t="s">
        <v>1529</v>
      </c>
      <c r="B1445" t="s">
        <v>489</v>
      </c>
      <c r="C1445" s="10" t="str" cm="1">
        <f t="array" ref="C1445">IF(AND(A1445="2020-12", ISNA(MATCH(B1445, _xlfn._xlws.FILTER(B:B, A:A="2021-01"), 0))), "Left", "Ativo")</f>
        <v>Ativo</v>
      </c>
      <c r="D1445" s="10" t="str" cm="1">
        <f t="array" ref="D1445">IF(AND(A1445="2021-01", ISNA(MATCH(B1445, _xlfn._xlws.FILTER(B:B, A:A="2021-02"), 0))), "Left", "Ativo")</f>
        <v>Ativo</v>
      </c>
      <c r="E1445" s="10" t="str" cm="1">
        <f t="array" ref="E1445">IF(AND(A1445="2021-02", ISNA(MATCH(B1445, _xlfn._xlws.FILTER(B:B, A:A="2021-03"), 0))), "Left", "Ativo")</f>
        <v>Ativo</v>
      </c>
      <c r="F1445" s="12" t="str" cm="1">
        <f t="array" ref="F1445">IF(AND(A1445="2021-03", ISNA(MATCH(B1445, _xlfn._xlws.FILTER(B:B, A:A="2021-04"), 0))), "Left", "Ativo")</f>
        <v>Ativo</v>
      </c>
    </row>
    <row r="1446" spans="1:6" x14ac:dyDescent="0.25">
      <c r="A1446" t="s">
        <v>1529</v>
      </c>
      <c r="B1446" t="s">
        <v>490</v>
      </c>
      <c r="C1446" s="10" t="str" cm="1">
        <f t="array" ref="C1446">IF(AND(A1446="2020-12", ISNA(MATCH(B1446, _xlfn._xlws.FILTER(B:B, A:A="2021-01"), 0))), "Left", "Ativo")</f>
        <v>Ativo</v>
      </c>
      <c r="D1446" s="10" t="str" cm="1">
        <f t="array" ref="D1446">IF(AND(A1446="2021-01", ISNA(MATCH(B1446, _xlfn._xlws.FILTER(B:B, A:A="2021-02"), 0))), "Left", "Ativo")</f>
        <v>Ativo</v>
      </c>
      <c r="E1446" s="10" t="str" cm="1">
        <f t="array" ref="E1446">IF(AND(A1446="2021-02", ISNA(MATCH(B1446, _xlfn._xlws.FILTER(B:B, A:A="2021-03"), 0))), "Left", "Ativo")</f>
        <v>Ativo</v>
      </c>
      <c r="F1446" s="12" t="str" cm="1">
        <f t="array" ref="F1446">IF(AND(A1446="2021-03", ISNA(MATCH(B1446, _xlfn._xlws.FILTER(B:B, A:A="2021-04"), 0))), "Left", "Ativo")</f>
        <v>Ativo</v>
      </c>
    </row>
    <row r="1447" spans="1:6" x14ac:dyDescent="0.25">
      <c r="A1447" t="s">
        <v>1529</v>
      </c>
      <c r="B1447" t="s">
        <v>491</v>
      </c>
      <c r="C1447" s="10" t="str" cm="1">
        <f t="array" ref="C1447">IF(AND(A1447="2020-12", ISNA(MATCH(B1447, _xlfn._xlws.FILTER(B:B, A:A="2021-01"), 0))), "Left", "Ativo")</f>
        <v>Ativo</v>
      </c>
      <c r="D1447" s="10" t="str" cm="1">
        <f t="array" ref="D1447">IF(AND(A1447="2021-01", ISNA(MATCH(B1447, _xlfn._xlws.FILTER(B:B, A:A="2021-02"), 0))), "Left", "Ativo")</f>
        <v>Ativo</v>
      </c>
      <c r="E1447" s="10" t="str" cm="1">
        <f t="array" ref="E1447">IF(AND(A1447="2021-02", ISNA(MATCH(B1447, _xlfn._xlws.FILTER(B:B, A:A="2021-03"), 0))), "Left", "Ativo")</f>
        <v>Ativo</v>
      </c>
      <c r="F1447" s="12" t="str" cm="1">
        <f t="array" ref="F1447">IF(AND(A1447="2021-03", ISNA(MATCH(B1447, _xlfn._xlws.FILTER(B:B, A:A="2021-04"), 0))), "Left", "Ativo")</f>
        <v>Ativo</v>
      </c>
    </row>
    <row r="1448" spans="1:6" x14ac:dyDescent="0.25">
      <c r="A1448" t="s">
        <v>1529</v>
      </c>
      <c r="B1448" t="s">
        <v>492</v>
      </c>
      <c r="C1448" s="10" t="str" cm="1">
        <f t="array" ref="C1448">IF(AND(A1448="2020-12", ISNA(MATCH(B1448, _xlfn._xlws.FILTER(B:B, A:A="2021-01"), 0))), "Left", "Ativo")</f>
        <v>Ativo</v>
      </c>
      <c r="D1448" s="10" t="str" cm="1">
        <f t="array" ref="D1448">IF(AND(A1448="2021-01", ISNA(MATCH(B1448, _xlfn._xlws.FILTER(B:B, A:A="2021-02"), 0))), "Left", "Ativo")</f>
        <v>Ativo</v>
      </c>
      <c r="E1448" s="10" t="str" cm="1">
        <f t="array" ref="E1448">IF(AND(A1448="2021-02", ISNA(MATCH(B1448, _xlfn._xlws.FILTER(B:B, A:A="2021-03"), 0))), "Left", "Ativo")</f>
        <v>Ativo</v>
      </c>
      <c r="F1448" s="12" t="str" cm="1">
        <f t="array" ref="F1448">IF(AND(A1448="2021-03", ISNA(MATCH(B1448, _xlfn._xlws.FILTER(B:B, A:A="2021-04"), 0))), "Left", "Ativo")</f>
        <v>Ativo</v>
      </c>
    </row>
    <row r="1449" spans="1:6" x14ac:dyDescent="0.25">
      <c r="A1449" t="s">
        <v>1529</v>
      </c>
      <c r="B1449" t="s">
        <v>493</v>
      </c>
      <c r="C1449" s="10" t="str" cm="1">
        <f t="array" ref="C1449">IF(AND(A1449="2020-12", ISNA(MATCH(B1449, _xlfn._xlws.FILTER(B:B, A:A="2021-01"), 0))), "Left", "Ativo")</f>
        <v>Ativo</v>
      </c>
      <c r="D1449" s="10" t="str" cm="1">
        <f t="array" ref="D1449">IF(AND(A1449="2021-01", ISNA(MATCH(B1449, _xlfn._xlws.FILTER(B:B, A:A="2021-02"), 0))), "Left", "Ativo")</f>
        <v>Ativo</v>
      </c>
      <c r="E1449" s="10" t="str" cm="1">
        <f t="array" ref="E1449">IF(AND(A1449="2021-02", ISNA(MATCH(B1449, _xlfn._xlws.FILTER(B:B, A:A="2021-03"), 0))), "Left", "Ativo")</f>
        <v>Ativo</v>
      </c>
      <c r="F1449" s="12" t="str" cm="1">
        <f t="array" ref="F1449">IF(AND(A1449="2021-03", ISNA(MATCH(B1449, _xlfn._xlws.FILTER(B:B, A:A="2021-04"), 0))), "Left", "Ativo")</f>
        <v>Ativo</v>
      </c>
    </row>
    <row r="1450" spans="1:6" x14ac:dyDescent="0.25">
      <c r="A1450" t="s">
        <v>1529</v>
      </c>
      <c r="B1450" t="s">
        <v>494</v>
      </c>
      <c r="C1450" s="10" t="str" cm="1">
        <f t="array" ref="C1450">IF(AND(A1450="2020-12", ISNA(MATCH(B1450, _xlfn._xlws.FILTER(B:B, A:A="2021-01"), 0))), "Left", "Ativo")</f>
        <v>Ativo</v>
      </c>
      <c r="D1450" s="10" t="str" cm="1">
        <f t="array" ref="D1450">IF(AND(A1450="2021-01", ISNA(MATCH(B1450, _xlfn._xlws.FILTER(B:B, A:A="2021-02"), 0))), "Left", "Ativo")</f>
        <v>Ativo</v>
      </c>
      <c r="E1450" s="10" t="str" cm="1">
        <f t="array" ref="E1450">IF(AND(A1450="2021-02", ISNA(MATCH(B1450, _xlfn._xlws.FILTER(B:B, A:A="2021-03"), 0))), "Left", "Ativo")</f>
        <v>Ativo</v>
      </c>
      <c r="F1450" s="12" t="str" cm="1">
        <f t="array" ref="F1450">IF(AND(A1450="2021-03", ISNA(MATCH(B1450, _xlfn._xlws.FILTER(B:B, A:A="2021-04"), 0))), "Left", "Ativo")</f>
        <v>Ativo</v>
      </c>
    </row>
    <row r="1451" spans="1:6" x14ac:dyDescent="0.25">
      <c r="A1451" t="s">
        <v>1529</v>
      </c>
      <c r="B1451" t="s">
        <v>495</v>
      </c>
      <c r="C1451" s="10" t="str" cm="1">
        <f t="array" ref="C1451">IF(AND(A1451="2020-12", ISNA(MATCH(B1451, _xlfn._xlws.FILTER(B:B, A:A="2021-01"), 0))), "Left", "Ativo")</f>
        <v>Ativo</v>
      </c>
      <c r="D1451" s="10" t="str" cm="1">
        <f t="array" ref="D1451">IF(AND(A1451="2021-01", ISNA(MATCH(B1451, _xlfn._xlws.FILTER(B:B, A:A="2021-02"), 0))), "Left", "Ativo")</f>
        <v>Ativo</v>
      </c>
      <c r="E1451" s="10" t="str" cm="1">
        <f t="array" ref="E1451">IF(AND(A1451="2021-02", ISNA(MATCH(B1451, _xlfn._xlws.FILTER(B:B, A:A="2021-03"), 0))), "Left", "Ativo")</f>
        <v>Ativo</v>
      </c>
      <c r="F1451" s="12" t="str" cm="1">
        <f t="array" ref="F1451">IF(AND(A1451="2021-03", ISNA(MATCH(B1451, _xlfn._xlws.FILTER(B:B, A:A="2021-04"), 0))), "Left", "Ativo")</f>
        <v>Ativo</v>
      </c>
    </row>
    <row r="1452" spans="1:6" x14ac:dyDescent="0.25">
      <c r="A1452" t="s">
        <v>1529</v>
      </c>
      <c r="B1452" t="s">
        <v>496</v>
      </c>
      <c r="C1452" s="10" t="str" cm="1">
        <f t="array" ref="C1452">IF(AND(A1452="2020-12", ISNA(MATCH(B1452, _xlfn._xlws.FILTER(B:B, A:A="2021-01"), 0))), "Left", "Ativo")</f>
        <v>Ativo</v>
      </c>
      <c r="D1452" s="10" t="str" cm="1">
        <f t="array" ref="D1452">IF(AND(A1452="2021-01", ISNA(MATCH(B1452, _xlfn._xlws.FILTER(B:B, A:A="2021-02"), 0))), "Left", "Ativo")</f>
        <v>Ativo</v>
      </c>
      <c r="E1452" s="10" t="str" cm="1">
        <f t="array" ref="E1452">IF(AND(A1452="2021-02", ISNA(MATCH(B1452, _xlfn._xlws.FILTER(B:B, A:A="2021-03"), 0))), "Left", "Ativo")</f>
        <v>Ativo</v>
      </c>
      <c r="F1452" s="12" t="str" cm="1">
        <f t="array" ref="F1452">IF(AND(A1452="2021-03", ISNA(MATCH(B1452, _xlfn._xlws.FILTER(B:B, A:A="2021-04"), 0))), "Left", "Ativo")</f>
        <v>Ativo</v>
      </c>
    </row>
    <row r="1453" spans="1:6" x14ac:dyDescent="0.25">
      <c r="A1453" t="s">
        <v>1529</v>
      </c>
      <c r="B1453" t="s">
        <v>497</v>
      </c>
      <c r="C1453" s="10" t="str" cm="1">
        <f t="array" ref="C1453">IF(AND(A1453="2020-12", ISNA(MATCH(B1453, _xlfn._xlws.FILTER(B:B, A:A="2021-01"), 0))), "Left", "Ativo")</f>
        <v>Ativo</v>
      </c>
      <c r="D1453" s="10" t="str" cm="1">
        <f t="array" ref="D1453">IF(AND(A1453="2021-01", ISNA(MATCH(B1453, _xlfn._xlws.FILTER(B:B, A:A="2021-02"), 0))), "Left", "Ativo")</f>
        <v>Ativo</v>
      </c>
      <c r="E1453" s="10" t="str" cm="1">
        <f t="array" ref="E1453">IF(AND(A1453="2021-02", ISNA(MATCH(B1453, _xlfn._xlws.FILTER(B:B, A:A="2021-03"), 0))), "Left", "Ativo")</f>
        <v>Ativo</v>
      </c>
      <c r="F1453" s="12" t="str" cm="1">
        <f t="array" ref="F1453">IF(AND(A1453="2021-03", ISNA(MATCH(B1453, _xlfn._xlws.FILTER(B:B, A:A="2021-04"), 0))), "Left", "Ativo")</f>
        <v>Ativo</v>
      </c>
    </row>
    <row r="1454" spans="1:6" x14ac:dyDescent="0.25">
      <c r="A1454" t="s">
        <v>1529</v>
      </c>
      <c r="B1454" t="s">
        <v>498</v>
      </c>
      <c r="C1454" s="10" t="str" cm="1">
        <f t="array" ref="C1454">IF(AND(A1454="2020-12", ISNA(MATCH(B1454, _xlfn._xlws.FILTER(B:B, A:A="2021-01"), 0))), "Left", "Ativo")</f>
        <v>Ativo</v>
      </c>
      <c r="D1454" s="10" t="str" cm="1">
        <f t="array" ref="D1454">IF(AND(A1454="2021-01", ISNA(MATCH(B1454, _xlfn._xlws.FILTER(B:B, A:A="2021-02"), 0))), "Left", "Ativo")</f>
        <v>Ativo</v>
      </c>
      <c r="E1454" s="10" t="str" cm="1">
        <f t="array" ref="E1454">IF(AND(A1454="2021-02", ISNA(MATCH(B1454, _xlfn._xlws.FILTER(B:B, A:A="2021-03"), 0))), "Left", "Ativo")</f>
        <v>Ativo</v>
      </c>
      <c r="F1454" s="12" t="str" cm="1">
        <f t="array" ref="F1454">IF(AND(A1454="2021-03", ISNA(MATCH(B1454, _xlfn._xlws.FILTER(B:B, A:A="2021-04"), 0))), "Left", "Ativo")</f>
        <v>Ativo</v>
      </c>
    </row>
    <row r="1455" spans="1:6" x14ac:dyDescent="0.25">
      <c r="A1455" t="s">
        <v>1529</v>
      </c>
      <c r="B1455" t="s">
        <v>499</v>
      </c>
      <c r="C1455" s="10" t="str" cm="1">
        <f t="array" ref="C1455">IF(AND(A1455="2020-12", ISNA(MATCH(B1455, _xlfn._xlws.FILTER(B:B, A:A="2021-01"), 0))), "Left", "Ativo")</f>
        <v>Ativo</v>
      </c>
      <c r="D1455" s="10" t="str" cm="1">
        <f t="array" ref="D1455">IF(AND(A1455="2021-01", ISNA(MATCH(B1455, _xlfn._xlws.FILTER(B:B, A:A="2021-02"), 0))), "Left", "Ativo")</f>
        <v>Ativo</v>
      </c>
      <c r="E1455" s="10" t="str" cm="1">
        <f t="array" ref="E1455">IF(AND(A1455="2021-02", ISNA(MATCH(B1455, _xlfn._xlws.FILTER(B:B, A:A="2021-03"), 0))), "Left", "Ativo")</f>
        <v>Ativo</v>
      </c>
      <c r="F1455" s="12" t="str" cm="1">
        <f t="array" ref="F1455">IF(AND(A1455="2021-03", ISNA(MATCH(B1455, _xlfn._xlws.FILTER(B:B, A:A="2021-04"), 0))), "Left", "Ativo")</f>
        <v>Ativo</v>
      </c>
    </row>
    <row r="1456" spans="1:6" x14ac:dyDescent="0.25">
      <c r="A1456" t="s">
        <v>1529</v>
      </c>
      <c r="B1456" t="s">
        <v>500</v>
      </c>
      <c r="C1456" s="10" t="str" cm="1">
        <f t="array" ref="C1456">IF(AND(A1456="2020-12", ISNA(MATCH(B1456, _xlfn._xlws.FILTER(B:B, A:A="2021-01"), 0))), "Left", "Ativo")</f>
        <v>Ativo</v>
      </c>
      <c r="D1456" s="10" t="str" cm="1">
        <f t="array" ref="D1456">IF(AND(A1456="2021-01", ISNA(MATCH(B1456, _xlfn._xlws.FILTER(B:B, A:A="2021-02"), 0))), "Left", "Ativo")</f>
        <v>Ativo</v>
      </c>
      <c r="E1456" s="10" t="str" cm="1">
        <f t="array" ref="E1456">IF(AND(A1456="2021-02", ISNA(MATCH(B1456, _xlfn._xlws.FILTER(B:B, A:A="2021-03"), 0))), "Left", "Ativo")</f>
        <v>Ativo</v>
      </c>
      <c r="F1456" s="12" t="str" cm="1">
        <f t="array" ref="F1456">IF(AND(A1456="2021-03", ISNA(MATCH(B1456, _xlfn._xlws.FILTER(B:B, A:A="2021-04"), 0))), "Left", "Ativo")</f>
        <v>Ativo</v>
      </c>
    </row>
    <row r="1457" spans="1:6" x14ac:dyDescent="0.25">
      <c r="A1457" t="s">
        <v>1529</v>
      </c>
      <c r="B1457" t="s">
        <v>501</v>
      </c>
      <c r="C1457" s="10" t="str" cm="1">
        <f t="array" ref="C1457">IF(AND(A1457="2020-12", ISNA(MATCH(B1457, _xlfn._xlws.FILTER(B:B, A:A="2021-01"), 0))), "Left", "Ativo")</f>
        <v>Ativo</v>
      </c>
      <c r="D1457" s="10" t="str" cm="1">
        <f t="array" ref="D1457">IF(AND(A1457="2021-01", ISNA(MATCH(B1457, _xlfn._xlws.FILTER(B:B, A:A="2021-02"), 0))), "Left", "Ativo")</f>
        <v>Ativo</v>
      </c>
      <c r="E1457" s="10" t="str" cm="1">
        <f t="array" ref="E1457">IF(AND(A1457="2021-02", ISNA(MATCH(B1457, _xlfn._xlws.FILTER(B:B, A:A="2021-03"), 0))), "Left", "Ativo")</f>
        <v>Ativo</v>
      </c>
      <c r="F1457" s="12" t="str" cm="1">
        <f t="array" ref="F1457">IF(AND(A1457="2021-03", ISNA(MATCH(B1457, _xlfn._xlws.FILTER(B:B, A:A="2021-04"), 0))), "Left", "Ativo")</f>
        <v>Ativo</v>
      </c>
    </row>
    <row r="1458" spans="1:6" x14ac:dyDescent="0.25">
      <c r="A1458" t="s">
        <v>1529</v>
      </c>
      <c r="B1458" t="s">
        <v>502</v>
      </c>
      <c r="C1458" s="10" t="str" cm="1">
        <f t="array" ref="C1458">IF(AND(A1458="2020-12", ISNA(MATCH(B1458, _xlfn._xlws.FILTER(B:B, A:A="2021-01"), 0))), "Left", "Ativo")</f>
        <v>Ativo</v>
      </c>
      <c r="D1458" s="10" t="str" cm="1">
        <f t="array" ref="D1458">IF(AND(A1458="2021-01", ISNA(MATCH(B1458, _xlfn._xlws.FILTER(B:B, A:A="2021-02"), 0))), "Left", "Ativo")</f>
        <v>Ativo</v>
      </c>
      <c r="E1458" s="10" t="str" cm="1">
        <f t="array" ref="E1458">IF(AND(A1458="2021-02", ISNA(MATCH(B1458, _xlfn._xlws.FILTER(B:B, A:A="2021-03"), 0))), "Left", "Ativo")</f>
        <v>Ativo</v>
      </c>
      <c r="F1458" s="12" t="str" cm="1">
        <f t="array" ref="F1458">IF(AND(A1458="2021-03", ISNA(MATCH(B1458, _xlfn._xlws.FILTER(B:B, A:A="2021-04"), 0))), "Left", "Ativo")</f>
        <v>Ativo</v>
      </c>
    </row>
    <row r="1459" spans="1:6" x14ac:dyDescent="0.25">
      <c r="A1459" t="s">
        <v>1529</v>
      </c>
      <c r="B1459" t="s">
        <v>503</v>
      </c>
      <c r="C1459" s="10" t="str" cm="1">
        <f t="array" ref="C1459">IF(AND(A1459="2020-12", ISNA(MATCH(B1459, _xlfn._xlws.FILTER(B:B, A:A="2021-01"), 0))), "Left", "Ativo")</f>
        <v>Ativo</v>
      </c>
      <c r="D1459" s="10" t="str" cm="1">
        <f t="array" ref="D1459">IF(AND(A1459="2021-01", ISNA(MATCH(B1459, _xlfn._xlws.FILTER(B:B, A:A="2021-02"), 0))), "Left", "Ativo")</f>
        <v>Ativo</v>
      </c>
      <c r="E1459" s="10" t="str" cm="1">
        <f t="array" ref="E1459">IF(AND(A1459="2021-02", ISNA(MATCH(B1459, _xlfn._xlws.FILTER(B:B, A:A="2021-03"), 0))), "Left", "Ativo")</f>
        <v>Ativo</v>
      </c>
      <c r="F1459" s="12" t="str" cm="1">
        <f t="array" ref="F1459">IF(AND(A1459="2021-03", ISNA(MATCH(B1459, _xlfn._xlws.FILTER(B:B, A:A="2021-04"), 0))), "Left", "Ativo")</f>
        <v>Ativo</v>
      </c>
    </row>
    <row r="1460" spans="1:6" x14ac:dyDescent="0.25">
      <c r="A1460" t="s">
        <v>1529</v>
      </c>
      <c r="B1460" t="s">
        <v>504</v>
      </c>
      <c r="C1460" s="10" t="str" cm="1">
        <f t="array" ref="C1460">IF(AND(A1460="2020-12", ISNA(MATCH(B1460, _xlfn._xlws.FILTER(B:B, A:A="2021-01"), 0))), "Left", "Ativo")</f>
        <v>Ativo</v>
      </c>
      <c r="D1460" s="10" t="str" cm="1">
        <f t="array" ref="D1460">IF(AND(A1460="2021-01", ISNA(MATCH(B1460, _xlfn._xlws.FILTER(B:B, A:A="2021-02"), 0))), "Left", "Ativo")</f>
        <v>Ativo</v>
      </c>
      <c r="E1460" s="10" t="str" cm="1">
        <f t="array" ref="E1460">IF(AND(A1460="2021-02", ISNA(MATCH(B1460, _xlfn._xlws.FILTER(B:B, A:A="2021-03"), 0))), "Left", "Ativo")</f>
        <v>Ativo</v>
      </c>
      <c r="F1460" s="12" t="str" cm="1">
        <f t="array" ref="F1460">IF(AND(A1460="2021-03", ISNA(MATCH(B1460, _xlfn._xlws.FILTER(B:B, A:A="2021-04"), 0))), "Left", "Ativo")</f>
        <v>Ativo</v>
      </c>
    </row>
    <row r="1461" spans="1:6" x14ac:dyDescent="0.25">
      <c r="A1461" t="s">
        <v>1529</v>
      </c>
      <c r="B1461" t="s">
        <v>505</v>
      </c>
      <c r="C1461" s="10" t="str" cm="1">
        <f t="array" ref="C1461">IF(AND(A1461="2020-12", ISNA(MATCH(B1461, _xlfn._xlws.FILTER(B:B, A:A="2021-01"), 0))), "Left", "Ativo")</f>
        <v>Ativo</v>
      </c>
      <c r="D1461" s="10" t="str" cm="1">
        <f t="array" ref="D1461">IF(AND(A1461="2021-01", ISNA(MATCH(B1461, _xlfn._xlws.FILTER(B:B, A:A="2021-02"), 0))), "Left", "Ativo")</f>
        <v>Ativo</v>
      </c>
      <c r="E1461" s="10" t="str" cm="1">
        <f t="array" ref="E1461">IF(AND(A1461="2021-02", ISNA(MATCH(B1461, _xlfn._xlws.FILTER(B:B, A:A="2021-03"), 0))), "Left", "Ativo")</f>
        <v>Ativo</v>
      </c>
      <c r="F1461" s="12" t="str" cm="1">
        <f t="array" ref="F1461">IF(AND(A1461="2021-03", ISNA(MATCH(B1461, _xlfn._xlws.FILTER(B:B, A:A="2021-04"), 0))), "Left", "Ativo")</f>
        <v>Ativo</v>
      </c>
    </row>
    <row r="1462" spans="1:6" x14ac:dyDescent="0.25">
      <c r="A1462" t="s">
        <v>1529</v>
      </c>
      <c r="B1462" t="s">
        <v>506</v>
      </c>
      <c r="C1462" s="10" t="str" cm="1">
        <f t="array" ref="C1462">IF(AND(A1462="2020-12", ISNA(MATCH(B1462, _xlfn._xlws.FILTER(B:B, A:A="2021-01"), 0))), "Left", "Ativo")</f>
        <v>Ativo</v>
      </c>
      <c r="D1462" s="10" t="str" cm="1">
        <f t="array" ref="D1462">IF(AND(A1462="2021-01", ISNA(MATCH(B1462, _xlfn._xlws.FILTER(B:B, A:A="2021-02"), 0))), "Left", "Ativo")</f>
        <v>Ativo</v>
      </c>
      <c r="E1462" s="10" t="str" cm="1">
        <f t="array" ref="E1462">IF(AND(A1462="2021-02", ISNA(MATCH(B1462, _xlfn._xlws.FILTER(B:B, A:A="2021-03"), 0))), "Left", "Ativo")</f>
        <v>Ativo</v>
      </c>
      <c r="F1462" s="12" t="str" cm="1">
        <f t="array" ref="F1462">IF(AND(A1462="2021-03", ISNA(MATCH(B1462, _xlfn._xlws.FILTER(B:B, A:A="2021-04"), 0))), "Left", "Ativo")</f>
        <v>Ativo</v>
      </c>
    </row>
    <row r="1463" spans="1:6" x14ac:dyDescent="0.25">
      <c r="A1463" t="s">
        <v>1529</v>
      </c>
      <c r="B1463" t="s">
        <v>507</v>
      </c>
      <c r="C1463" s="10" t="str" cm="1">
        <f t="array" ref="C1463">IF(AND(A1463="2020-12", ISNA(MATCH(B1463, _xlfn._xlws.FILTER(B:B, A:A="2021-01"), 0))), "Left", "Ativo")</f>
        <v>Ativo</v>
      </c>
      <c r="D1463" s="10" t="str" cm="1">
        <f t="array" ref="D1463">IF(AND(A1463="2021-01", ISNA(MATCH(B1463, _xlfn._xlws.FILTER(B:B, A:A="2021-02"), 0))), "Left", "Ativo")</f>
        <v>Ativo</v>
      </c>
      <c r="E1463" s="10" t="str" cm="1">
        <f t="array" ref="E1463">IF(AND(A1463="2021-02", ISNA(MATCH(B1463, _xlfn._xlws.FILTER(B:B, A:A="2021-03"), 0))), "Left", "Ativo")</f>
        <v>Ativo</v>
      </c>
      <c r="F1463" s="12" t="str" cm="1">
        <f t="array" ref="F1463">IF(AND(A1463="2021-03", ISNA(MATCH(B1463, _xlfn._xlws.FILTER(B:B, A:A="2021-04"), 0))), "Left", "Ativo")</f>
        <v>Ativo</v>
      </c>
    </row>
    <row r="1464" spans="1:6" x14ac:dyDescent="0.25">
      <c r="A1464" t="s">
        <v>1529</v>
      </c>
      <c r="B1464" t="s">
        <v>508</v>
      </c>
      <c r="C1464" s="10" t="str" cm="1">
        <f t="array" ref="C1464">IF(AND(A1464="2020-12", ISNA(MATCH(B1464, _xlfn._xlws.FILTER(B:B, A:A="2021-01"), 0))), "Left", "Ativo")</f>
        <v>Ativo</v>
      </c>
      <c r="D1464" s="10" t="str" cm="1">
        <f t="array" ref="D1464">IF(AND(A1464="2021-01", ISNA(MATCH(B1464, _xlfn._xlws.FILTER(B:B, A:A="2021-02"), 0))), "Left", "Ativo")</f>
        <v>Ativo</v>
      </c>
      <c r="E1464" s="10" t="str" cm="1">
        <f t="array" ref="E1464">IF(AND(A1464="2021-02", ISNA(MATCH(B1464, _xlfn._xlws.FILTER(B:B, A:A="2021-03"), 0))), "Left", "Ativo")</f>
        <v>Ativo</v>
      </c>
      <c r="F1464" s="12" t="str" cm="1">
        <f t="array" ref="F1464">IF(AND(A1464="2021-03", ISNA(MATCH(B1464, _xlfn._xlws.FILTER(B:B, A:A="2021-04"), 0))), "Left", "Ativo")</f>
        <v>Ativo</v>
      </c>
    </row>
    <row r="1465" spans="1:6" x14ac:dyDescent="0.25">
      <c r="A1465" t="s">
        <v>1529</v>
      </c>
      <c r="B1465" t="s">
        <v>509</v>
      </c>
      <c r="C1465" s="10" t="str" cm="1">
        <f t="array" ref="C1465">IF(AND(A1465="2020-12", ISNA(MATCH(B1465, _xlfn._xlws.FILTER(B:B, A:A="2021-01"), 0))), "Left", "Ativo")</f>
        <v>Ativo</v>
      </c>
      <c r="D1465" s="10" t="str" cm="1">
        <f t="array" ref="D1465">IF(AND(A1465="2021-01", ISNA(MATCH(B1465, _xlfn._xlws.FILTER(B:B, A:A="2021-02"), 0))), "Left", "Ativo")</f>
        <v>Ativo</v>
      </c>
      <c r="E1465" s="10" t="str" cm="1">
        <f t="array" ref="E1465">IF(AND(A1465="2021-02", ISNA(MATCH(B1465, _xlfn._xlws.FILTER(B:B, A:A="2021-03"), 0))), "Left", "Ativo")</f>
        <v>Ativo</v>
      </c>
      <c r="F1465" s="12" t="str" cm="1">
        <f t="array" ref="F1465">IF(AND(A1465="2021-03", ISNA(MATCH(B1465, _xlfn._xlws.FILTER(B:B, A:A="2021-04"), 0))), "Left", "Ativo")</f>
        <v>Ativo</v>
      </c>
    </row>
    <row r="1466" spans="1:6" x14ac:dyDescent="0.25">
      <c r="A1466" t="s">
        <v>1529</v>
      </c>
      <c r="B1466" t="s">
        <v>510</v>
      </c>
      <c r="C1466" s="10" t="str" cm="1">
        <f t="array" ref="C1466">IF(AND(A1466="2020-12", ISNA(MATCH(B1466, _xlfn._xlws.FILTER(B:B, A:A="2021-01"), 0))), "Left", "Ativo")</f>
        <v>Ativo</v>
      </c>
      <c r="D1466" s="10" t="str" cm="1">
        <f t="array" ref="D1466">IF(AND(A1466="2021-01", ISNA(MATCH(B1466, _xlfn._xlws.FILTER(B:B, A:A="2021-02"), 0))), "Left", "Ativo")</f>
        <v>Ativo</v>
      </c>
      <c r="E1466" s="10" t="str" cm="1">
        <f t="array" ref="E1466">IF(AND(A1466="2021-02", ISNA(MATCH(B1466, _xlfn._xlws.FILTER(B:B, A:A="2021-03"), 0))), "Left", "Ativo")</f>
        <v>Ativo</v>
      </c>
      <c r="F1466" s="12" t="str" cm="1">
        <f t="array" ref="F1466">IF(AND(A1466="2021-03", ISNA(MATCH(B1466, _xlfn._xlws.FILTER(B:B, A:A="2021-04"), 0))), "Left", "Ativo")</f>
        <v>Ativo</v>
      </c>
    </row>
    <row r="1467" spans="1:6" x14ac:dyDescent="0.25">
      <c r="A1467" t="s">
        <v>1529</v>
      </c>
      <c r="B1467" t="s">
        <v>511</v>
      </c>
      <c r="C1467" s="10" t="str" cm="1">
        <f t="array" ref="C1467">IF(AND(A1467="2020-12", ISNA(MATCH(B1467, _xlfn._xlws.FILTER(B:B, A:A="2021-01"), 0))), "Left", "Ativo")</f>
        <v>Ativo</v>
      </c>
      <c r="D1467" s="10" t="str" cm="1">
        <f t="array" ref="D1467">IF(AND(A1467="2021-01", ISNA(MATCH(B1467, _xlfn._xlws.FILTER(B:B, A:A="2021-02"), 0))), "Left", "Ativo")</f>
        <v>Ativo</v>
      </c>
      <c r="E1467" s="10" t="str" cm="1">
        <f t="array" ref="E1467">IF(AND(A1467="2021-02", ISNA(MATCH(B1467, _xlfn._xlws.FILTER(B:B, A:A="2021-03"), 0))), "Left", "Ativo")</f>
        <v>Ativo</v>
      </c>
      <c r="F1467" s="12" t="str" cm="1">
        <f t="array" ref="F1467">IF(AND(A1467="2021-03", ISNA(MATCH(B1467, _xlfn._xlws.FILTER(B:B, A:A="2021-04"), 0))), "Left", "Ativo")</f>
        <v>Ativo</v>
      </c>
    </row>
    <row r="1468" spans="1:6" x14ac:dyDescent="0.25">
      <c r="A1468" t="s">
        <v>1529</v>
      </c>
      <c r="B1468" t="s">
        <v>512</v>
      </c>
      <c r="C1468" s="10" t="str" cm="1">
        <f t="array" ref="C1468">IF(AND(A1468="2020-12", ISNA(MATCH(B1468, _xlfn._xlws.FILTER(B:B, A:A="2021-01"), 0))), "Left", "Ativo")</f>
        <v>Ativo</v>
      </c>
      <c r="D1468" s="10" t="str" cm="1">
        <f t="array" ref="D1468">IF(AND(A1468="2021-01", ISNA(MATCH(B1468, _xlfn._xlws.FILTER(B:B, A:A="2021-02"), 0))), "Left", "Ativo")</f>
        <v>Ativo</v>
      </c>
      <c r="E1468" s="10" t="str" cm="1">
        <f t="array" ref="E1468">IF(AND(A1468="2021-02", ISNA(MATCH(B1468, _xlfn._xlws.FILTER(B:B, A:A="2021-03"), 0))), "Left", "Ativo")</f>
        <v>Ativo</v>
      </c>
      <c r="F1468" s="12" t="str" cm="1">
        <f t="array" ref="F1468">IF(AND(A1468="2021-03", ISNA(MATCH(B1468, _xlfn._xlws.FILTER(B:B, A:A="2021-04"), 0))), "Left", "Ativo")</f>
        <v>Ativo</v>
      </c>
    </row>
    <row r="1469" spans="1:6" x14ac:dyDescent="0.25">
      <c r="A1469" t="s">
        <v>1529</v>
      </c>
      <c r="B1469" t="s">
        <v>513</v>
      </c>
      <c r="C1469" s="10" t="str" cm="1">
        <f t="array" ref="C1469">IF(AND(A1469="2020-12", ISNA(MATCH(B1469, _xlfn._xlws.FILTER(B:B, A:A="2021-01"), 0))), "Left", "Ativo")</f>
        <v>Ativo</v>
      </c>
      <c r="D1469" s="10" t="str" cm="1">
        <f t="array" ref="D1469">IF(AND(A1469="2021-01", ISNA(MATCH(B1469, _xlfn._xlws.FILTER(B:B, A:A="2021-02"), 0))), "Left", "Ativo")</f>
        <v>Ativo</v>
      </c>
      <c r="E1469" s="10" t="str" cm="1">
        <f t="array" ref="E1469">IF(AND(A1469="2021-02", ISNA(MATCH(B1469, _xlfn._xlws.FILTER(B:B, A:A="2021-03"), 0))), "Left", "Ativo")</f>
        <v>Ativo</v>
      </c>
      <c r="F1469" s="12" t="str" cm="1">
        <f t="array" ref="F1469">IF(AND(A1469="2021-03", ISNA(MATCH(B1469, _xlfn._xlws.FILTER(B:B, A:A="2021-04"), 0))), "Left", "Ativo")</f>
        <v>Ativo</v>
      </c>
    </row>
    <row r="1470" spans="1:6" x14ac:dyDescent="0.25">
      <c r="A1470" t="s">
        <v>1529</v>
      </c>
      <c r="B1470" t="s">
        <v>514</v>
      </c>
      <c r="C1470" s="10" t="str" cm="1">
        <f t="array" ref="C1470">IF(AND(A1470="2020-12", ISNA(MATCH(B1470, _xlfn._xlws.FILTER(B:B, A:A="2021-01"), 0))), "Left", "Ativo")</f>
        <v>Ativo</v>
      </c>
      <c r="D1470" s="10" t="str" cm="1">
        <f t="array" ref="D1470">IF(AND(A1470="2021-01", ISNA(MATCH(B1470, _xlfn._xlws.FILTER(B:B, A:A="2021-02"), 0))), "Left", "Ativo")</f>
        <v>Ativo</v>
      </c>
      <c r="E1470" s="10" t="str" cm="1">
        <f t="array" ref="E1470">IF(AND(A1470="2021-02", ISNA(MATCH(B1470, _xlfn._xlws.FILTER(B:B, A:A="2021-03"), 0))), "Left", "Ativo")</f>
        <v>Ativo</v>
      </c>
      <c r="F1470" s="12" t="str" cm="1">
        <f t="array" ref="F1470">IF(AND(A1470="2021-03", ISNA(MATCH(B1470, _xlfn._xlws.FILTER(B:B, A:A="2021-04"), 0))), "Left", "Ativo")</f>
        <v>Ativo</v>
      </c>
    </row>
    <row r="1471" spans="1:6" x14ac:dyDescent="0.25">
      <c r="A1471" t="s">
        <v>1529</v>
      </c>
      <c r="B1471" t="s">
        <v>515</v>
      </c>
      <c r="C1471" s="10" t="str" cm="1">
        <f t="array" ref="C1471">IF(AND(A1471="2020-12", ISNA(MATCH(B1471, _xlfn._xlws.FILTER(B:B, A:A="2021-01"), 0))), "Left", "Ativo")</f>
        <v>Ativo</v>
      </c>
      <c r="D1471" s="10" t="str" cm="1">
        <f t="array" ref="D1471">IF(AND(A1471="2021-01", ISNA(MATCH(B1471, _xlfn._xlws.FILTER(B:B, A:A="2021-02"), 0))), "Left", "Ativo")</f>
        <v>Ativo</v>
      </c>
      <c r="E1471" s="10" t="str" cm="1">
        <f t="array" ref="E1471">IF(AND(A1471="2021-02", ISNA(MATCH(B1471, _xlfn._xlws.FILTER(B:B, A:A="2021-03"), 0))), "Left", "Ativo")</f>
        <v>Ativo</v>
      </c>
      <c r="F1471" s="12" t="str" cm="1">
        <f t="array" ref="F1471">IF(AND(A1471="2021-03", ISNA(MATCH(B1471, _xlfn._xlws.FILTER(B:B, A:A="2021-04"), 0))), "Left", "Ativo")</f>
        <v>Ativo</v>
      </c>
    </row>
    <row r="1472" spans="1:6" x14ac:dyDescent="0.25">
      <c r="A1472" t="s">
        <v>1529</v>
      </c>
      <c r="B1472" t="s">
        <v>516</v>
      </c>
      <c r="C1472" s="10" t="str" cm="1">
        <f t="array" ref="C1472">IF(AND(A1472="2020-12", ISNA(MATCH(B1472, _xlfn._xlws.FILTER(B:B, A:A="2021-01"), 0))), "Left", "Ativo")</f>
        <v>Ativo</v>
      </c>
      <c r="D1472" s="10" t="str" cm="1">
        <f t="array" ref="D1472">IF(AND(A1472="2021-01", ISNA(MATCH(B1472, _xlfn._xlws.FILTER(B:B, A:A="2021-02"), 0))), "Left", "Ativo")</f>
        <v>Ativo</v>
      </c>
      <c r="E1472" s="10" t="str" cm="1">
        <f t="array" ref="E1472">IF(AND(A1472="2021-02", ISNA(MATCH(B1472, _xlfn._xlws.FILTER(B:B, A:A="2021-03"), 0))), "Left", "Ativo")</f>
        <v>Ativo</v>
      </c>
      <c r="F1472" s="12" t="str" cm="1">
        <f t="array" ref="F1472">IF(AND(A1472="2021-03", ISNA(MATCH(B1472, _xlfn._xlws.FILTER(B:B, A:A="2021-04"), 0))), "Left", "Ativo")</f>
        <v>Ativo</v>
      </c>
    </row>
    <row r="1473" spans="1:6" x14ac:dyDescent="0.25">
      <c r="A1473" t="s">
        <v>1529</v>
      </c>
      <c r="B1473" t="s">
        <v>517</v>
      </c>
      <c r="C1473" s="10" t="str" cm="1">
        <f t="array" ref="C1473">IF(AND(A1473="2020-12", ISNA(MATCH(B1473, _xlfn._xlws.FILTER(B:B, A:A="2021-01"), 0))), "Left", "Ativo")</f>
        <v>Ativo</v>
      </c>
      <c r="D1473" s="10" t="str" cm="1">
        <f t="array" ref="D1473">IF(AND(A1473="2021-01", ISNA(MATCH(B1473, _xlfn._xlws.FILTER(B:B, A:A="2021-02"), 0))), "Left", "Ativo")</f>
        <v>Ativo</v>
      </c>
      <c r="E1473" s="10" t="str" cm="1">
        <f t="array" ref="E1473">IF(AND(A1473="2021-02", ISNA(MATCH(B1473, _xlfn._xlws.FILTER(B:B, A:A="2021-03"), 0))), "Left", "Ativo")</f>
        <v>Ativo</v>
      </c>
      <c r="F1473" s="12" t="str" cm="1">
        <f t="array" ref="F1473">IF(AND(A1473="2021-03", ISNA(MATCH(B1473, _xlfn._xlws.FILTER(B:B, A:A="2021-04"), 0))), "Left", "Ativo")</f>
        <v>Ativo</v>
      </c>
    </row>
    <row r="1474" spans="1:6" x14ac:dyDescent="0.25">
      <c r="A1474" t="s">
        <v>1529</v>
      </c>
      <c r="B1474" t="s">
        <v>518</v>
      </c>
      <c r="C1474" s="10" t="str" cm="1">
        <f t="array" ref="C1474">IF(AND(A1474="2020-12", ISNA(MATCH(B1474, _xlfn._xlws.FILTER(B:B, A:A="2021-01"), 0))), "Left", "Ativo")</f>
        <v>Ativo</v>
      </c>
      <c r="D1474" s="10" t="str" cm="1">
        <f t="array" ref="D1474">IF(AND(A1474="2021-01", ISNA(MATCH(B1474, _xlfn._xlws.FILTER(B:B, A:A="2021-02"), 0))), "Left", "Ativo")</f>
        <v>Ativo</v>
      </c>
      <c r="E1474" s="10" t="str" cm="1">
        <f t="array" ref="E1474">IF(AND(A1474="2021-02", ISNA(MATCH(B1474, _xlfn._xlws.FILTER(B:B, A:A="2021-03"), 0))), "Left", "Ativo")</f>
        <v>Ativo</v>
      </c>
      <c r="F1474" s="12" t="str" cm="1">
        <f t="array" ref="F1474">IF(AND(A1474="2021-03", ISNA(MATCH(B1474, _xlfn._xlws.FILTER(B:B, A:A="2021-04"), 0))), "Left", "Ativo")</f>
        <v>Ativo</v>
      </c>
    </row>
    <row r="1475" spans="1:6" x14ac:dyDescent="0.25">
      <c r="A1475" t="s">
        <v>1529</v>
      </c>
      <c r="B1475" t="s">
        <v>519</v>
      </c>
      <c r="C1475" s="10" t="str" cm="1">
        <f t="array" ref="C1475">IF(AND(A1475="2020-12", ISNA(MATCH(B1475, _xlfn._xlws.FILTER(B:B, A:A="2021-01"), 0))), "Left", "Ativo")</f>
        <v>Ativo</v>
      </c>
      <c r="D1475" s="10" t="str" cm="1">
        <f t="array" ref="D1475">IF(AND(A1475="2021-01", ISNA(MATCH(B1475, _xlfn._xlws.FILTER(B:B, A:A="2021-02"), 0))), "Left", "Ativo")</f>
        <v>Ativo</v>
      </c>
      <c r="E1475" s="10" t="str" cm="1">
        <f t="array" ref="E1475">IF(AND(A1475="2021-02", ISNA(MATCH(B1475, _xlfn._xlws.FILTER(B:B, A:A="2021-03"), 0))), "Left", "Ativo")</f>
        <v>Ativo</v>
      </c>
      <c r="F1475" s="12" t="str" cm="1">
        <f t="array" ref="F1475">IF(AND(A1475="2021-03", ISNA(MATCH(B1475, _xlfn._xlws.FILTER(B:B, A:A="2021-04"), 0))), "Left", "Ativo")</f>
        <v>Ativo</v>
      </c>
    </row>
    <row r="1476" spans="1:6" x14ac:dyDescent="0.25">
      <c r="A1476" t="s">
        <v>1529</v>
      </c>
      <c r="B1476" t="s">
        <v>520</v>
      </c>
      <c r="C1476" s="10" t="str" cm="1">
        <f t="array" ref="C1476">IF(AND(A1476="2020-12", ISNA(MATCH(B1476, _xlfn._xlws.FILTER(B:B, A:A="2021-01"), 0))), "Left", "Ativo")</f>
        <v>Ativo</v>
      </c>
      <c r="D1476" s="10" t="str" cm="1">
        <f t="array" ref="D1476">IF(AND(A1476="2021-01", ISNA(MATCH(B1476, _xlfn._xlws.FILTER(B:B, A:A="2021-02"), 0))), "Left", "Ativo")</f>
        <v>Ativo</v>
      </c>
      <c r="E1476" s="10" t="str" cm="1">
        <f t="array" ref="E1476">IF(AND(A1476="2021-02", ISNA(MATCH(B1476, _xlfn._xlws.FILTER(B:B, A:A="2021-03"), 0))), "Left", "Ativo")</f>
        <v>Ativo</v>
      </c>
      <c r="F1476" s="12" t="str" cm="1">
        <f t="array" ref="F1476">IF(AND(A1476="2021-03", ISNA(MATCH(B1476, _xlfn._xlws.FILTER(B:B, A:A="2021-04"), 0))), "Left", "Ativo")</f>
        <v>Ativo</v>
      </c>
    </row>
    <row r="1477" spans="1:6" x14ac:dyDescent="0.25">
      <c r="A1477" t="s">
        <v>1529</v>
      </c>
      <c r="B1477" t="s">
        <v>521</v>
      </c>
      <c r="C1477" s="10" t="str" cm="1">
        <f t="array" ref="C1477">IF(AND(A1477="2020-12", ISNA(MATCH(B1477, _xlfn._xlws.FILTER(B:B, A:A="2021-01"), 0))), "Left", "Ativo")</f>
        <v>Ativo</v>
      </c>
      <c r="D1477" s="10" t="str" cm="1">
        <f t="array" ref="D1477">IF(AND(A1477="2021-01", ISNA(MATCH(B1477, _xlfn._xlws.FILTER(B:B, A:A="2021-02"), 0))), "Left", "Ativo")</f>
        <v>Ativo</v>
      </c>
      <c r="E1477" s="10" t="str" cm="1">
        <f t="array" ref="E1477">IF(AND(A1477="2021-02", ISNA(MATCH(B1477, _xlfn._xlws.FILTER(B:B, A:A="2021-03"), 0))), "Left", "Ativo")</f>
        <v>Ativo</v>
      </c>
      <c r="F1477" s="12" t="str" cm="1">
        <f t="array" ref="F1477">IF(AND(A1477="2021-03", ISNA(MATCH(B1477, _xlfn._xlws.FILTER(B:B, A:A="2021-04"), 0))), "Left", "Ativo")</f>
        <v>Ativo</v>
      </c>
    </row>
    <row r="1478" spans="1:6" x14ac:dyDescent="0.25">
      <c r="A1478" t="s">
        <v>1529</v>
      </c>
      <c r="B1478" t="s">
        <v>522</v>
      </c>
      <c r="C1478" s="10" t="str" cm="1">
        <f t="array" ref="C1478">IF(AND(A1478="2020-12", ISNA(MATCH(B1478, _xlfn._xlws.FILTER(B:B, A:A="2021-01"), 0))), "Left", "Ativo")</f>
        <v>Ativo</v>
      </c>
      <c r="D1478" s="10" t="str" cm="1">
        <f t="array" ref="D1478">IF(AND(A1478="2021-01", ISNA(MATCH(B1478, _xlfn._xlws.FILTER(B:B, A:A="2021-02"), 0))), "Left", "Ativo")</f>
        <v>Ativo</v>
      </c>
      <c r="E1478" s="10" t="str" cm="1">
        <f t="array" ref="E1478">IF(AND(A1478="2021-02", ISNA(MATCH(B1478, _xlfn._xlws.FILTER(B:B, A:A="2021-03"), 0))), "Left", "Ativo")</f>
        <v>Ativo</v>
      </c>
      <c r="F1478" s="12" t="str" cm="1">
        <f t="array" ref="F1478">IF(AND(A1478="2021-03", ISNA(MATCH(B1478, _xlfn._xlws.FILTER(B:B, A:A="2021-04"), 0))), "Left", "Ativo")</f>
        <v>Ativo</v>
      </c>
    </row>
    <row r="1479" spans="1:6" x14ac:dyDescent="0.25">
      <c r="A1479" t="s">
        <v>1529</v>
      </c>
      <c r="B1479" t="s">
        <v>523</v>
      </c>
      <c r="C1479" s="10" t="str" cm="1">
        <f t="array" ref="C1479">IF(AND(A1479="2020-12", ISNA(MATCH(B1479, _xlfn._xlws.FILTER(B:B, A:A="2021-01"), 0))), "Left", "Ativo")</f>
        <v>Ativo</v>
      </c>
      <c r="D1479" s="10" t="str" cm="1">
        <f t="array" ref="D1479">IF(AND(A1479="2021-01", ISNA(MATCH(B1479, _xlfn._xlws.FILTER(B:B, A:A="2021-02"), 0))), "Left", "Ativo")</f>
        <v>Ativo</v>
      </c>
      <c r="E1479" s="10" t="str" cm="1">
        <f t="array" ref="E1479">IF(AND(A1479="2021-02", ISNA(MATCH(B1479, _xlfn._xlws.FILTER(B:B, A:A="2021-03"), 0))), "Left", "Ativo")</f>
        <v>Ativo</v>
      </c>
      <c r="F1479" s="12" t="str" cm="1">
        <f t="array" ref="F1479">IF(AND(A1479="2021-03", ISNA(MATCH(B1479, _xlfn._xlws.FILTER(B:B, A:A="2021-04"), 0))), "Left", "Ativo")</f>
        <v>Ativo</v>
      </c>
    </row>
    <row r="1480" spans="1:6" x14ac:dyDescent="0.25">
      <c r="A1480" t="s">
        <v>1529</v>
      </c>
      <c r="B1480" t="s">
        <v>524</v>
      </c>
      <c r="C1480" s="10" t="str" cm="1">
        <f t="array" ref="C1480">IF(AND(A1480="2020-12", ISNA(MATCH(B1480, _xlfn._xlws.FILTER(B:B, A:A="2021-01"), 0))), "Left", "Ativo")</f>
        <v>Ativo</v>
      </c>
      <c r="D1480" s="10" t="str" cm="1">
        <f t="array" ref="D1480">IF(AND(A1480="2021-01", ISNA(MATCH(B1480, _xlfn._xlws.FILTER(B:B, A:A="2021-02"), 0))), "Left", "Ativo")</f>
        <v>Ativo</v>
      </c>
      <c r="E1480" s="10" t="str" cm="1">
        <f t="array" ref="E1480">IF(AND(A1480="2021-02", ISNA(MATCH(B1480, _xlfn._xlws.FILTER(B:B, A:A="2021-03"), 0))), "Left", "Ativo")</f>
        <v>Ativo</v>
      </c>
      <c r="F1480" s="12" t="str" cm="1">
        <f t="array" ref="F1480">IF(AND(A1480="2021-03", ISNA(MATCH(B1480, _xlfn._xlws.FILTER(B:B, A:A="2021-04"), 0))), "Left", "Ativo")</f>
        <v>Ativo</v>
      </c>
    </row>
    <row r="1481" spans="1:6" x14ac:dyDescent="0.25">
      <c r="A1481" t="s">
        <v>1529</v>
      </c>
      <c r="B1481" t="s">
        <v>525</v>
      </c>
      <c r="C1481" s="10" t="str" cm="1">
        <f t="array" ref="C1481">IF(AND(A1481="2020-12", ISNA(MATCH(B1481, _xlfn._xlws.FILTER(B:B, A:A="2021-01"), 0))), "Left", "Ativo")</f>
        <v>Ativo</v>
      </c>
      <c r="D1481" s="10" t="str" cm="1">
        <f t="array" ref="D1481">IF(AND(A1481="2021-01", ISNA(MATCH(B1481, _xlfn._xlws.FILTER(B:B, A:A="2021-02"), 0))), "Left", "Ativo")</f>
        <v>Ativo</v>
      </c>
      <c r="E1481" s="10" t="str" cm="1">
        <f t="array" ref="E1481">IF(AND(A1481="2021-02", ISNA(MATCH(B1481, _xlfn._xlws.FILTER(B:B, A:A="2021-03"), 0))), "Left", "Ativo")</f>
        <v>Ativo</v>
      </c>
      <c r="F1481" s="12" t="str" cm="1">
        <f t="array" ref="F1481">IF(AND(A1481="2021-03", ISNA(MATCH(B1481, _xlfn._xlws.FILTER(B:B, A:A="2021-04"), 0))), "Left", "Ativo")</f>
        <v>Ativo</v>
      </c>
    </row>
    <row r="1482" spans="1:6" x14ac:dyDescent="0.25">
      <c r="A1482" t="s">
        <v>1529</v>
      </c>
      <c r="B1482" t="s">
        <v>526</v>
      </c>
      <c r="C1482" s="10" t="str" cm="1">
        <f t="array" ref="C1482">IF(AND(A1482="2020-12", ISNA(MATCH(B1482, _xlfn._xlws.FILTER(B:B, A:A="2021-01"), 0))), "Left", "Ativo")</f>
        <v>Ativo</v>
      </c>
      <c r="D1482" s="10" t="str" cm="1">
        <f t="array" ref="D1482">IF(AND(A1482="2021-01", ISNA(MATCH(B1482, _xlfn._xlws.FILTER(B:B, A:A="2021-02"), 0))), "Left", "Ativo")</f>
        <v>Ativo</v>
      </c>
      <c r="E1482" s="10" t="str" cm="1">
        <f t="array" ref="E1482">IF(AND(A1482="2021-02", ISNA(MATCH(B1482, _xlfn._xlws.FILTER(B:B, A:A="2021-03"), 0))), "Left", "Ativo")</f>
        <v>Ativo</v>
      </c>
      <c r="F1482" s="12" t="str" cm="1">
        <f t="array" ref="F1482">IF(AND(A1482="2021-03", ISNA(MATCH(B1482, _xlfn._xlws.FILTER(B:B, A:A="2021-04"), 0))), "Left", "Ativo")</f>
        <v>Ativo</v>
      </c>
    </row>
    <row r="1483" spans="1:6" x14ac:dyDescent="0.25">
      <c r="A1483" t="s">
        <v>1529</v>
      </c>
      <c r="B1483" t="s">
        <v>527</v>
      </c>
      <c r="C1483" s="10" t="str" cm="1">
        <f t="array" ref="C1483">IF(AND(A1483="2020-12", ISNA(MATCH(B1483, _xlfn._xlws.FILTER(B:B, A:A="2021-01"), 0))), "Left", "Ativo")</f>
        <v>Ativo</v>
      </c>
      <c r="D1483" s="10" t="str" cm="1">
        <f t="array" ref="D1483">IF(AND(A1483="2021-01", ISNA(MATCH(B1483, _xlfn._xlws.FILTER(B:B, A:A="2021-02"), 0))), "Left", "Ativo")</f>
        <v>Ativo</v>
      </c>
      <c r="E1483" s="10" t="str" cm="1">
        <f t="array" ref="E1483">IF(AND(A1483="2021-02", ISNA(MATCH(B1483, _xlfn._xlws.FILTER(B:B, A:A="2021-03"), 0))), "Left", "Ativo")</f>
        <v>Ativo</v>
      </c>
      <c r="F1483" s="12" t="str" cm="1">
        <f t="array" ref="F1483">IF(AND(A1483="2021-03", ISNA(MATCH(B1483, _xlfn._xlws.FILTER(B:B, A:A="2021-04"), 0))), "Left", "Ativo")</f>
        <v>Ativo</v>
      </c>
    </row>
    <row r="1484" spans="1:6" x14ac:dyDescent="0.25">
      <c r="A1484" t="s">
        <v>1529</v>
      </c>
      <c r="B1484" t="s">
        <v>528</v>
      </c>
      <c r="C1484" s="10" t="str" cm="1">
        <f t="array" ref="C1484">IF(AND(A1484="2020-12", ISNA(MATCH(B1484, _xlfn._xlws.FILTER(B:B, A:A="2021-01"), 0))), "Left", "Ativo")</f>
        <v>Ativo</v>
      </c>
      <c r="D1484" s="10" t="str" cm="1">
        <f t="array" ref="D1484">IF(AND(A1484="2021-01", ISNA(MATCH(B1484, _xlfn._xlws.FILTER(B:B, A:A="2021-02"), 0))), "Left", "Ativo")</f>
        <v>Ativo</v>
      </c>
      <c r="E1484" s="10" t="str" cm="1">
        <f t="array" ref="E1484">IF(AND(A1484="2021-02", ISNA(MATCH(B1484, _xlfn._xlws.FILTER(B:B, A:A="2021-03"), 0))), "Left", "Ativo")</f>
        <v>Ativo</v>
      </c>
      <c r="F1484" s="12" t="str" cm="1">
        <f t="array" ref="F1484">IF(AND(A1484="2021-03", ISNA(MATCH(B1484, _xlfn._xlws.FILTER(B:B, A:A="2021-04"), 0))), "Left", "Ativo")</f>
        <v>Ativo</v>
      </c>
    </row>
    <row r="1485" spans="1:6" x14ac:dyDescent="0.25">
      <c r="A1485" t="s">
        <v>1529</v>
      </c>
      <c r="B1485" t="s">
        <v>529</v>
      </c>
      <c r="C1485" s="10" t="str" cm="1">
        <f t="array" ref="C1485">IF(AND(A1485="2020-12", ISNA(MATCH(B1485, _xlfn._xlws.FILTER(B:B, A:A="2021-01"), 0))), "Left", "Ativo")</f>
        <v>Ativo</v>
      </c>
      <c r="D1485" s="10" t="str" cm="1">
        <f t="array" ref="D1485">IF(AND(A1485="2021-01", ISNA(MATCH(B1485, _xlfn._xlws.FILTER(B:B, A:A="2021-02"), 0))), "Left", "Ativo")</f>
        <v>Ativo</v>
      </c>
      <c r="E1485" s="10" t="str" cm="1">
        <f t="array" ref="E1485">IF(AND(A1485="2021-02", ISNA(MATCH(B1485, _xlfn._xlws.FILTER(B:B, A:A="2021-03"), 0))), "Left", "Ativo")</f>
        <v>Ativo</v>
      </c>
      <c r="F1485" s="12" t="str" cm="1">
        <f t="array" ref="F1485">IF(AND(A1485="2021-03", ISNA(MATCH(B1485, _xlfn._xlws.FILTER(B:B, A:A="2021-04"), 0))), "Left", "Ativo")</f>
        <v>Ativo</v>
      </c>
    </row>
    <row r="1486" spans="1:6" x14ac:dyDescent="0.25">
      <c r="A1486" t="s">
        <v>1529</v>
      </c>
      <c r="B1486" t="s">
        <v>530</v>
      </c>
      <c r="C1486" s="10" t="str" cm="1">
        <f t="array" ref="C1486">IF(AND(A1486="2020-12", ISNA(MATCH(B1486, _xlfn._xlws.FILTER(B:B, A:A="2021-01"), 0))), "Left", "Ativo")</f>
        <v>Ativo</v>
      </c>
      <c r="D1486" s="10" t="str" cm="1">
        <f t="array" ref="D1486">IF(AND(A1486="2021-01", ISNA(MATCH(B1486, _xlfn._xlws.FILTER(B:B, A:A="2021-02"), 0))), "Left", "Ativo")</f>
        <v>Ativo</v>
      </c>
      <c r="E1486" s="10" t="str" cm="1">
        <f t="array" ref="E1486">IF(AND(A1486="2021-02", ISNA(MATCH(B1486, _xlfn._xlws.FILTER(B:B, A:A="2021-03"), 0))), "Left", "Ativo")</f>
        <v>Ativo</v>
      </c>
      <c r="F1486" s="12" t="str" cm="1">
        <f t="array" ref="F1486">IF(AND(A1486="2021-03", ISNA(MATCH(B1486, _xlfn._xlws.FILTER(B:B, A:A="2021-04"), 0))), "Left", "Ativo")</f>
        <v>Ativo</v>
      </c>
    </row>
    <row r="1487" spans="1:6" x14ac:dyDescent="0.25">
      <c r="A1487" t="s">
        <v>1529</v>
      </c>
      <c r="B1487" t="s">
        <v>531</v>
      </c>
      <c r="C1487" s="10" t="str" cm="1">
        <f t="array" ref="C1487">IF(AND(A1487="2020-12", ISNA(MATCH(B1487, _xlfn._xlws.FILTER(B:B, A:A="2021-01"), 0))), "Left", "Ativo")</f>
        <v>Ativo</v>
      </c>
      <c r="D1487" s="10" t="str" cm="1">
        <f t="array" ref="D1487">IF(AND(A1487="2021-01", ISNA(MATCH(B1487, _xlfn._xlws.FILTER(B:B, A:A="2021-02"), 0))), "Left", "Ativo")</f>
        <v>Ativo</v>
      </c>
      <c r="E1487" s="10" t="str" cm="1">
        <f t="array" ref="E1487">IF(AND(A1487="2021-02", ISNA(MATCH(B1487, _xlfn._xlws.FILTER(B:B, A:A="2021-03"), 0))), "Left", "Ativo")</f>
        <v>Ativo</v>
      </c>
      <c r="F1487" s="12" t="str" cm="1">
        <f t="array" ref="F1487">IF(AND(A1487="2021-03", ISNA(MATCH(B1487, _xlfn._xlws.FILTER(B:B, A:A="2021-04"), 0))), "Left", "Ativo")</f>
        <v>Ativo</v>
      </c>
    </row>
    <row r="1488" spans="1:6" x14ac:dyDescent="0.25">
      <c r="A1488" t="s">
        <v>1529</v>
      </c>
      <c r="B1488" t="s">
        <v>532</v>
      </c>
      <c r="C1488" s="10" t="str" cm="1">
        <f t="array" ref="C1488">IF(AND(A1488="2020-12", ISNA(MATCH(B1488, _xlfn._xlws.FILTER(B:B, A:A="2021-01"), 0))), "Left", "Ativo")</f>
        <v>Ativo</v>
      </c>
      <c r="D1488" s="10" t="str" cm="1">
        <f t="array" ref="D1488">IF(AND(A1488="2021-01", ISNA(MATCH(B1488, _xlfn._xlws.FILTER(B:B, A:A="2021-02"), 0))), "Left", "Ativo")</f>
        <v>Ativo</v>
      </c>
      <c r="E1488" s="10" t="str" cm="1">
        <f t="array" ref="E1488">IF(AND(A1488="2021-02", ISNA(MATCH(B1488, _xlfn._xlws.FILTER(B:B, A:A="2021-03"), 0))), "Left", "Ativo")</f>
        <v>Ativo</v>
      </c>
      <c r="F1488" s="12" t="str" cm="1">
        <f t="array" ref="F1488">IF(AND(A1488="2021-03", ISNA(MATCH(B1488, _xlfn._xlws.FILTER(B:B, A:A="2021-04"), 0))), "Left", "Ativo")</f>
        <v>Ativo</v>
      </c>
    </row>
    <row r="1489" spans="1:6" x14ac:dyDescent="0.25">
      <c r="A1489" t="s">
        <v>1529</v>
      </c>
      <c r="B1489" t="s">
        <v>533</v>
      </c>
      <c r="C1489" s="10" t="str" cm="1">
        <f t="array" ref="C1489">IF(AND(A1489="2020-12", ISNA(MATCH(B1489, _xlfn._xlws.FILTER(B:B, A:A="2021-01"), 0))), "Left", "Ativo")</f>
        <v>Ativo</v>
      </c>
      <c r="D1489" s="10" t="str" cm="1">
        <f t="array" ref="D1489">IF(AND(A1489="2021-01", ISNA(MATCH(B1489, _xlfn._xlws.FILTER(B:B, A:A="2021-02"), 0))), "Left", "Ativo")</f>
        <v>Ativo</v>
      </c>
      <c r="E1489" s="10" t="str" cm="1">
        <f t="array" ref="E1489">IF(AND(A1489="2021-02", ISNA(MATCH(B1489, _xlfn._xlws.FILTER(B:B, A:A="2021-03"), 0))), "Left", "Ativo")</f>
        <v>Ativo</v>
      </c>
      <c r="F1489" s="12" t="str" cm="1">
        <f t="array" ref="F1489">IF(AND(A1489="2021-03", ISNA(MATCH(B1489, _xlfn._xlws.FILTER(B:B, A:A="2021-04"), 0))), "Left", "Ativo")</f>
        <v>Ativo</v>
      </c>
    </row>
    <row r="1490" spans="1:6" x14ac:dyDescent="0.25">
      <c r="A1490" t="s">
        <v>1529</v>
      </c>
      <c r="B1490" t="s">
        <v>534</v>
      </c>
      <c r="C1490" s="10" t="str" cm="1">
        <f t="array" ref="C1490">IF(AND(A1490="2020-12", ISNA(MATCH(B1490, _xlfn._xlws.FILTER(B:B, A:A="2021-01"), 0))), "Left", "Ativo")</f>
        <v>Ativo</v>
      </c>
      <c r="D1490" s="10" t="str" cm="1">
        <f t="array" ref="D1490">IF(AND(A1490="2021-01", ISNA(MATCH(B1490, _xlfn._xlws.FILTER(B:B, A:A="2021-02"), 0))), "Left", "Ativo")</f>
        <v>Ativo</v>
      </c>
      <c r="E1490" s="10" t="str" cm="1">
        <f t="array" ref="E1490">IF(AND(A1490="2021-02", ISNA(MATCH(B1490, _xlfn._xlws.FILTER(B:B, A:A="2021-03"), 0))), "Left", "Ativo")</f>
        <v>Ativo</v>
      </c>
      <c r="F1490" s="12" t="str" cm="1">
        <f t="array" ref="F1490">IF(AND(A1490="2021-03", ISNA(MATCH(B1490, _xlfn._xlws.FILTER(B:B, A:A="2021-04"), 0))), "Left", "Ativo")</f>
        <v>Ativo</v>
      </c>
    </row>
    <row r="1491" spans="1:6" x14ac:dyDescent="0.25">
      <c r="A1491" t="s">
        <v>1529</v>
      </c>
      <c r="B1491" t="s">
        <v>535</v>
      </c>
      <c r="C1491" s="10" t="str" cm="1">
        <f t="array" ref="C1491">IF(AND(A1491="2020-12", ISNA(MATCH(B1491, _xlfn._xlws.FILTER(B:B, A:A="2021-01"), 0))), "Left", "Ativo")</f>
        <v>Ativo</v>
      </c>
      <c r="D1491" s="10" t="str" cm="1">
        <f t="array" ref="D1491">IF(AND(A1491="2021-01", ISNA(MATCH(B1491, _xlfn._xlws.FILTER(B:B, A:A="2021-02"), 0))), "Left", "Ativo")</f>
        <v>Ativo</v>
      </c>
      <c r="E1491" s="10" t="str" cm="1">
        <f t="array" ref="E1491">IF(AND(A1491="2021-02", ISNA(MATCH(B1491, _xlfn._xlws.FILTER(B:B, A:A="2021-03"), 0))), "Left", "Ativo")</f>
        <v>Ativo</v>
      </c>
      <c r="F1491" s="12" t="str" cm="1">
        <f t="array" ref="F1491">IF(AND(A1491="2021-03", ISNA(MATCH(B1491, _xlfn._xlws.FILTER(B:B, A:A="2021-04"), 0))), "Left", "Ativo")</f>
        <v>Ativo</v>
      </c>
    </row>
    <row r="1492" spans="1:6" x14ac:dyDescent="0.25">
      <c r="A1492" t="s">
        <v>1529</v>
      </c>
      <c r="B1492" t="s">
        <v>536</v>
      </c>
      <c r="C1492" s="10" t="str" cm="1">
        <f t="array" ref="C1492">IF(AND(A1492="2020-12", ISNA(MATCH(B1492, _xlfn._xlws.FILTER(B:B, A:A="2021-01"), 0))), "Left", "Ativo")</f>
        <v>Ativo</v>
      </c>
      <c r="D1492" s="10" t="str" cm="1">
        <f t="array" ref="D1492">IF(AND(A1492="2021-01", ISNA(MATCH(B1492, _xlfn._xlws.FILTER(B:B, A:A="2021-02"), 0))), "Left", "Ativo")</f>
        <v>Ativo</v>
      </c>
      <c r="E1492" s="10" t="str" cm="1">
        <f t="array" ref="E1492">IF(AND(A1492="2021-02", ISNA(MATCH(B1492, _xlfn._xlws.FILTER(B:B, A:A="2021-03"), 0))), "Left", "Ativo")</f>
        <v>Ativo</v>
      </c>
      <c r="F1492" s="12" t="str" cm="1">
        <f t="array" ref="F1492">IF(AND(A1492="2021-03", ISNA(MATCH(B1492, _xlfn._xlws.FILTER(B:B, A:A="2021-04"), 0))), "Left", "Ativo")</f>
        <v>Ativo</v>
      </c>
    </row>
    <row r="1493" spans="1:6" x14ac:dyDescent="0.25">
      <c r="A1493" t="s">
        <v>1529</v>
      </c>
      <c r="B1493" t="s">
        <v>537</v>
      </c>
      <c r="C1493" s="10" t="str" cm="1">
        <f t="array" ref="C1493">IF(AND(A1493="2020-12", ISNA(MATCH(B1493, _xlfn._xlws.FILTER(B:B, A:A="2021-01"), 0))), "Left", "Ativo")</f>
        <v>Ativo</v>
      </c>
      <c r="D1493" s="10" t="str" cm="1">
        <f t="array" ref="D1493">IF(AND(A1493="2021-01", ISNA(MATCH(B1493, _xlfn._xlws.FILTER(B:B, A:A="2021-02"), 0))), "Left", "Ativo")</f>
        <v>Ativo</v>
      </c>
      <c r="E1493" s="10" t="str" cm="1">
        <f t="array" ref="E1493">IF(AND(A1493="2021-02", ISNA(MATCH(B1493, _xlfn._xlws.FILTER(B:B, A:A="2021-03"), 0))), "Left", "Ativo")</f>
        <v>Ativo</v>
      </c>
      <c r="F1493" s="12" t="str" cm="1">
        <f t="array" ref="F1493">IF(AND(A1493="2021-03", ISNA(MATCH(B1493, _xlfn._xlws.FILTER(B:B, A:A="2021-04"), 0))), "Left", "Ativo")</f>
        <v>Ativo</v>
      </c>
    </row>
    <row r="1494" spans="1:6" x14ac:dyDescent="0.25">
      <c r="A1494" t="s">
        <v>1529</v>
      </c>
      <c r="B1494" t="s">
        <v>538</v>
      </c>
      <c r="C1494" s="10" t="str" cm="1">
        <f t="array" ref="C1494">IF(AND(A1494="2020-12", ISNA(MATCH(B1494, _xlfn._xlws.FILTER(B:B, A:A="2021-01"), 0))), "Left", "Ativo")</f>
        <v>Ativo</v>
      </c>
      <c r="D1494" s="10" t="str" cm="1">
        <f t="array" ref="D1494">IF(AND(A1494="2021-01", ISNA(MATCH(B1494, _xlfn._xlws.FILTER(B:B, A:A="2021-02"), 0))), "Left", "Ativo")</f>
        <v>Ativo</v>
      </c>
      <c r="E1494" s="10" t="str" cm="1">
        <f t="array" ref="E1494">IF(AND(A1494="2021-02", ISNA(MATCH(B1494, _xlfn._xlws.FILTER(B:B, A:A="2021-03"), 0))), "Left", "Ativo")</f>
        <v>Ativo</v>
      </c>
      <c r="F1494" s="12" t="str" cm="1">
        <f t="array" ref="F1494">IF(AND(A1494="2021-03", ISNA(MATCH(B1494, _xlfn._xlws.FILTER(B:B, A:A="2021-04"), 0))), "Left", "Ativo")</f>
        <v>Ativo</v>
      </c>
    </row>
    <row r="1495" spans="1:6" x14ac:dyDescent="0.25">
      <c r="A1495" t="s">
        <v>1529</v>
      </c>
      <c r="B1495" t="s">
        <v>539</v>
      </c>
      <c r="C1495" s="10" t="str" cm="1">
        <f t="array" ref="C1495">IF(AND(A1495="2020-12", ISNA(MATCH(B1495, _xlfn._xlws.FILTER(B:B, A:A="2021-01"), 0))), "Left", "Ativo")</f>
        <v>Ativo</v>
      </c>
      <c r="D1495" s="10" t="str" cm="1">
        <f t="array" ref="D1495">IF(AND(A1495="2021-01", ISNA(MATCH(B1495, _xlfn._xlws.FILTER(B:B, A:A="2021-02"), 0))), "Left", "Ativo")</f>
        <v>Ativo</v>
      </c>
      <c r="E1495" s="10" t="str" cm="1">
        <f t="array" ref="E1495">IF(AND(A1495="2021-02", ISNA(MATCH(B1495, _xlfn._xlws.FILTER(B:B, A:A="2021-03"), 0))), "Left", "Ativo")</f>
        <v>Ativo</v>
      </c>
      <c r="F1495" s="12" t="str" cm="1">
        <f t="array" ref="F1495">IF(AND(A1495="2021-03", ISNA(MATCH(B1495, _xlfn._xlws.FILTER(B:B, A:A="2021-04"), 0))), "Left", "Ativo")</f>
        <v>Ativo</v>
      </c>
    </row>
    <row r="1496" spans="1:6" x14ac:dyDescent="0.25">
      <c r="A1496" t="s">
        <v>1529</v>
      </c>
      <c r="B1496" t="s">
        <v>540</v>
      </c>
      <c r="C1496" s="10" t="str" cm="1">
        <f t="array" ref="C1496">IF(AND(A1496="2020-12", ISNA(MATCH(B1496, _xlfn._xlws.FILTER(B:B, A:A="2021-01"), 0))), "Left", "Ativo")</f>
        <v>Ativo</v>
      </c>
      <c r="D1496" s="10" t="str" cm="1">
        <f t="array" ref="D1496">IF(AND(A1496="2021-01", ISNA(MATCH(B1496, _xlfn._xlws.FILTER(B:B, A:A="2021-02"), 0))), "Left", "Ativo")</f>
        <v>Ativo</v>
      </c>
      <c r="E1496" s="10" t="str" cm="1">
        <f t="array" ref="E1496">IF(AND(A1496="2021-02", ISNA(MATCH(B1496, _xlfn._xlws.FILTER(B:B, A:A="2021-03"), 0))), "Left", "Ativo")</f>
        <v>Ativo</v>
      </c>
      <c r="F1496" s="12" t="str" cm="1">
        <f t="array" ref="F1496">IF(AND(A1496="2021-03", ISNA(MATCH(B1496, _xlfn._xlws.FILTER(B:B, A:A="2021-04"), 0))), "Left", "Ativo")</f>
        <v>Ativo</v>
      </c>
    </row>
    <row r="1497" spans="1:6" x14ac:dyDescent="0.25">
      <c r="A1497" t="s">
        <v>1529</v>
      </c>
      <c r="B1497" t="s">
        <v>541</v>
      </c>
      <c r="C1497" s="10" t="str" cm="1">
        <f t="array" ref="C1497">IF(AND(A1497="2020-12", ISNA(MATCH(B1497, _xlfn._xlws.FILTER(B:B, A:A="2021-01"), 0))), "Left", "Ativo")</f>
        <v>Ativo</v>
      </c>
      <c r="D1497" s="10" t="str" cm="1">
        <f t="array" ref="D1497">IF(AND(A1497="2021-01", ISNA(MATCH(B1497, _xlfn._xlws.FILTER(B:B, A:A="2021-02"), 0))), "Left", "Ativo")</f>
        <v>Ativo</v>
      </c>
      <c r="E1497" s="10" t="str" cm="1">
        <f t="array" ref="E1497">IF(AND(A1497="2021-02", ISNA(MATCH(B1497, _xlfn._xlws.FILTER(B:B, A:A="2021-03"), 0))), "Left", "Ativo")</f>
        <v>Ativo</v>
      </c>
      <c r="F1497" s="12" t="str" cm="1">
        <f t="array" ref="F1497">IF(AND(A1497="2021-03", ISNA(MATCH(B1497, _xlfn._xlws.FILTER(B:B, A:A="2021-04"), 0))), "Left", "Ativo")</f>
        <v>Ativo</v>
      </c>
    </row>
    <row r="1498" spans="1:6" x14ac:dyDescent="0.25">
      <c r="A1498" t="s">
        <v>1529</v>
      </c>
      <c r="B1498" t="s">
        <v>542</v>
      </c>
      <c r="C1498" s="10" t="str" cm="1">
        <f t="array" ref="C1498">IF(AND(A1498="2020-12", ISNA(MATCH(B1498, _xlfn._xlws.FILTER(B:B, A:A="2021-01"), 0))), "Left", "Ativo")</f>
        <v>Ativo</v>
      </c>
      <c r="D1498" s="10" t="str" cm="1">
        <f t="array" ref="D1498">IF(AND(A1498="2021-01", ISNA(MATCH(B1498, _xlfn._xlws.FILTER(B:B, A:A="2021-02"), 0))), "Left", "Ativo")</f>
        <v>Ativo</v>
      </c>
      <c r="E1498" s="10" t="str" cm="1">
        <f t="array" ref="E1498">IF(AND(A1498="2021-02", ISNA(MATCH(B1498, _xlfn._xlws.FILTER(B:B, A:A="2021-03"), 0))), "Left", "Ativo")</f>
        <v>Ativo</v>
      </c>
      <c r="F1498" s="12" t="str" cm="1">
        <f t="array" ref="F1498">IF(AND(A1498="2021-03", ISNA(MATCH(B1498, _xlfn._xlws.FILTER(B:B, A:A="2021-04"), 0))), "Left", "Ativo")</f>
        <v>Ativo</v>
      </c>
    </row>
    <row r="1499" spans="1:6" x14ac:dyDescent="0.25">
      <c r="A1499" t="s">
        <v>1529</v>
      </c>
      <c r="B1499" t="s">
        <v>543</v>
      </c>
      <c r="C1499" s="10" t="str" cm="1">
        <f t="array" ref="C1499">IF(AND(A1499="2020-12", ISNA(MATCH(B1499, _xlfn._xlws.FILTER(B:B, A:A="2021-01"), 0))), "Left", "Ativo")</f>
        <v>Ativo</v>
      </c>
      <c r="D1499" s="10" t="str" cm="1">
        <f t="array" ref="D1499">IF(AND(A1499="2021-01", ISNA(MATCH(B1499, _xlfn._xlws.FILTER(B:B, A:A="2021-02"), 0))), "Left", "Ativo")</f>
        <v>Ativo</v>
      </c>
      <c r="E1499" s="10" t="str" cm="1">
        <f t="array" ref="E1499">IF(AND(A1499="2021-02", ISNA(MATCH(B1499, _xlfn._xlws.FILTER(B:B, A:A="2021-03"), 0))), "Left", "Ativo")</f>
        <v>Ativo</v>
      </c>
      <c r="F1499" s="12" t="str" cm="1">
        <f t="array" ref="F1499">IF(AND(A1499="2021-03", ISNA(MATCH(B1499, _xlfn._xlws.FILTER(B:B, A:A="2021-04"), 0))), "Left", "Ativo")</f>
        <v>Ativo</v>
      </c>
    </row>
    <row r="1500" spans="1:6" x14ac:dyDescent="0.25">
      <c r="A1500" t="s">
        <v>1529</v>
      </c>
      <c r="B1500" t="s">
        <v>544</v>
      </c>
      <c r="C1500" s="10" t="str" cm="1">
        <f t="array" ref="C1500">IF(AND(A1500="2020-12", ISNA(MATCH(B1500, _xlfn._xlws.FILTER(B:B, A:A="2021-01"), 0))), "Left", "Ativo")</f>
        <v>Ativo</v>
      </c>
      <c r="D1500" s="10" t="str" cm="1">
        <f t="array" ref="D1500">IF(AND(A1500="2021-01", ISNA(MATCH(B1500, _xlfn._xlws.FILTER(B:B, A:A="2021-02"), 0))), "Left", "Ativo")</f>
        <v>Ativo</v>
      </c>
      <c r="E1500" s="10" t="str" cm="1">
        <f t="array" ref="E1500">IF(AND(A1500="2021-02", ISNA(MATCH(B1500, _xlfn._xlws.FILTER(B:B, A:A="2021-03"), 0))), "Left", "Ativo")</f>
        <v>Ativo</v>
      </c>
      <c r="F1500" s="12" t="str" cm="1">
        <f t="array" ref="F1500">IF(AND(A1500="2021-03", ISNA(MATCH(B1500, _xlfn._xlws.FILTER(B:B, A:A="2021-04"), 0))), "Left", "Ativo")</f>
        <v>Ativo</v>
      </c>
    </row>
    <row r="1501" spans="1:6" x14ac:dyDescent="0.25">
      <c r="A1501" t="s">
        <v>1529</v>
      </c>
      <c r="B1501" t="s">
        <v>545</v>
      </c>
      <c r="C1501" s="10" t="str" cm="1">
        <f t="array" ref="C1501">IF(AND(A1501="2020-12", ISNA(MATCH(B1501, _xlfn._xlws.FILTER(B:B, A:A="2021-01"), 0))), "Left", "Ativo")</f>
        <v>Ativo</v>
      </c>
      <c r="D1501" s="10" t="str" cm="1">
        <f t="array" ref="D1501">IF(AND(A1501="2021-01", ISNA(MATCH(B1501, _xlfn._xlws.FILTER(B:B, A:A="2021-02"), 0))), "Left", "Ativo")</f>
        <v>Ativo</v>
      </c>
      <c r="E1501" s="10" t="str" cm="1">
        <f t="array" ref="E1501">IF(AND(A1501="2021-02", ISNA(MATCH(B1501, _xlfn._xlws.FILTER(B:B, A:A="2021-03"), 0))), "Left", "Ativo")</f>
        <v>Ativo</v>
      </c>
      <c r="F1501" s="12" t="str" cm="1">
        <f t="array" ref="F1501">IF(AND(A1501="2021-03", ISNA(MATCH(B1501, _xlfn._xlws.FILTER(B:B, A:A="2021-04"), 0))), "Left", "Ativo")</f>
        <v>Ativo</v>
      </c>
    </row>
    <row r="1502" spans="1:6" x14ac:dyDescent="0.25">
      <c r="A1502" t="s">
        <v>1529</v>
      </c>
      <c r="B1502" t="s">
        <v>546</v>
      </c>
      <c r="C1502" s="10" t="str" cm="1">
        <f t="array" ref="C1502">IF(AND(A1502="2020-12", ISNA(MATCH(B1502, _xlfn._xlws.FILTER(B:B, A:A="2021-01"), 0))), "Left", "Ativo")</f>
        <v>Ativo</v>
      </c>
      <c r="D1502" s="10" t="str" cm="1">
        <f t="array" ref="D1502">IF(AND(A1502="2021-01", ISNA(MATCH(B1502, _xlfn._xlws.FILTER(B:B, A:A="2021-02"), 0))), "Left", "Ativo")</f>
        <v>Ativo</v>
      </c>
      <c r="E1502" s="10" t="str" cm="1">
        <f t="array" ref="E1502">IF(AND(A1502="2021-02", ISNA(MATCH(B1502, _xlfn._xlws.FILTER(B:B, A:A="2021-03"), 0))), "Left", "Ativo")</f>
        <v>Ativo</v>
      </c>
      <c r="F1502" s="12" t="str" cm="1">
        <f t="array" ref="F1502">IF(AND(A1502="2021-03", ISNA(MATCH(B1502, _xlfn._xlws.FILTER(B:B, A:A="2021-04"), 0))), "Left", "Ativo")</f>
        <v>Ativo</v>
      </c>
    </row>
    <row r="1503" spans="1:6" x14ac:dyDescent="0.25">
      <c r="A1503" t="s">
        <v>1529</v>
      </c>
      <c r="B1503" t="s">
        <v>547</v>
      </c>
      <c r="C1503" s="10" t="str" cm="1">
        <f t="array" ref="C1503">IF(AND(A1503="2020-12", ISNA(MATCH(B1503, _xlfn._xlws.FILTER(B:B, A:A="2021-01"), 0))), "Left", "Ativo")</f>
        <v>Ativo</v>
      </c>
      <c r="D1503" s="10" t="str" cm="1">
        <f t="array" ref="D1503">IF(AND(A1503="2021-01", ISNA(MATCH(B1503, _xlfn._xlws.FILTER(B:B, A:A="2021-02"), 0))), "Left", "Ativo")</f>
        <v>Ativo</v>
      </c>
      <c r="E1503" s="10" t="str" cm="1">
        <f t="array" ref="E1503">IF(AND(A1503="2021-02", ISNA(MATCH(B1503, _xlfn._xlws.FILTER(B:B, A:A="2021-03"), 0))), "Left", "Ativo")</f>
        <v>Ativo</v>
      </c>
      <c r="F1503" s="12" t="str" cm="1">
        <f t="array" ref="F1503">IF(AND(A1503="2021-03", ISNA(MATCH(B1503, _xlfn._xlws.FILTER(B:B, A:A="2021-04"), 0))), "Left", "Ativo")</f>
        <v>Ativo</v>
      </c>
    </row>
    <row r="1504" spans="1:6" x14ac:dyDescent="0.25">
      <c r="A1504" t="s">
        <v>1529</v>
      </c>
      <c r="B1504" t="s">
        <v>548</v>
      </c>
      <c r="C1504" s="10" t="str" cm="1">
        <f t="array" ref="C1504">IF(AND(A1504="2020-12", ISNA(MATCH(B1504, _xlfn._xlws.FILTER(B:B, A:A="2021-01"), 0))), "Left", "Ativo")</f>
        <v>Ativo</v>
      </c>
      <c r="D1504" s="10" t="str" cm="1">
        <f t="array" ref="D1504">IF(AND(A1504="2021-01", ISNA(MATCH(B1504, _xlfn._xlws.FILTER(B:B, A:A="2021-02"), 0))), "Left", "Ativo")</f>
        <v>Ativo</v>
      </c>
      <c r="E1504" s="10" t="str" cm="1">
        <f t="array" ref="E1504">IF(AND(A1504="2021-02", ISNA(MATCH(B1504, _xlfn._xlws.FILTER(B:B, A:A="2021-03"), 0))), "Left", "Ativo")</f>
        <v>Ativo</v>
      </c>
      <c r="F1504" s="12" t="str" cm="1">
        <f t="array" ref="F1504">IF(AND(A1504="2021-03", ISNA(MATCH(B1504, _xlfn._xlws.FILTER(B:B, A:A="2021-04"), 0))), "Left", "Ativo")</f>
        <v>Ativo</v>
      </c>
    </row>
    <row r="1505" spans="1:6" x14ac:dyDescent="0.25">
      <c r="A1505" t="s">
        <v>1529</v>
      </c>
      <c r="B1505" t="s">
        <v>549</v>
      </c>
      <c r="C1505" s="10" t="str" cm="1">
        <f t="array" ref="C1505">IF(AND(A1505="2020-12", ISNA(MATCH(B1505, _xlfn._xlws.FILTER(B:B, A:A="2021-01"), 0))), "Left", "Ativo")</f>
        <v>Ativo</v>
      </c>
      <c r="D1505" s="10" t="str" cm="1">
        <f t="array" ref="D1505">IF(AND(A1505="2021-01", ISNA(MATCH(B1505, _xlfn._xlws.FILTER(B:B, A:A="2021-02"), 0))), "Left", "Ativo")</f>
        <v>Ativo</v>
      </c>
      <c r="E1505" s="10" t="str" cm="1">
        <f t="array" ref="E1505">IF(AND(A1505="2021-02", ISNA(MATCH(B1505, _xlfn._xlws.FILTER(B:B, A:A="2021-03"), 0))), "Left", "Ativo")</f>
        <v>Ativo</v>
      </c>
      <c r="F1505" s="12" t="str" cm="1">
        <f t="array" ref="F1505">IF(AND(A1505="2021-03", ISNA(MATCH(B1505, _xlfn._xlws.FILTER(B:B, A:A="2021-04"), 0))), "Left", "Ativo")</f>
        <v>Ativo</v>
      </c>
    </row>
    <row r="1506" spans="1:6" x14ac:dyDescent="0.25">
      <c r="A1506" t="s">
        <v>1529</v>
      </c>
      <c r="B1506" t="s">
        <v>550</v>
      </c>
      <c r="C1506" s="10" t="str" cm="1">
        <f t="array" ref="C1506">IF(AND(A1506="2020-12", ISNA(MATCH(B1506, _xlfn._xlws.FILTER(B:B, A:A="2021-01"), 0))), "Left", "Ativo")</f>
        <v>Ativo</v>
      </c>
      <c r="D1506" s="10" t="str" cm="1">
        <f t="array" ref="D1506">IF(AND(A1506="2021-01", ISNA(MATCH(B1506, _xlfn._xlws.FILTER(B:B, A:A="2021-02"), 0))), "Left", "Ativo")</f>
        <v>Ativo</v>
      </c>
      <c r="E1506" s="10" t="str" cm="1">
        <f t="array" ref="E1506">IF(AND(A1506="2021-02", ISNA(MATCH(B1506, _xlfn._xlws.FILTER(B:B, A:A="2021-03"), 0))), "Left", "Ativo")</f>
        <v>Ativo</v>
      </c>
      <c r="F1506" s="12" t="str" cm="1">
        <f t="array" ref="F1506">IF(AND(A1506="2021-03", ISNA(MATCH(B1506, _xlfn._xlws.FILTER(B:B, A:A="2021-04"), 0))), "Left", "Ativo")</f>
        <v>Ativo</v>
      </c>
    </row>
    <row r="1507" spans="1:6" x14ac:dyDescent="0.25">
      <c r="A1507" t="s">
        <v>1529</v>
      </c>
      <c r="B1507" t="s">
        <v>551</v>
      </c>
      <c r="C1507" s="10" t="str" cm="1">
        <f t="array" ref="C1507">IF(AND(A1507="2020-12", ISNA(MATCH(B1507, _xlfn._xlws.FILTER(B:B, A:A="2021-01"), 0))), "Left", "Ativo")</f>
        <v>Ativo</v>
      </c>
      <c r="D1507" s="10" t="str" cm="1">
        <f t="array" ref="D1507">IF(AND(A1507="2021-01", ISNA(MATCH(B1507, _xlfn._xlws.FILTER(B:B, A:A="2021-02"), 0))), "Left", "Ativo")</f>
        <v>Ativo</v>
      </c>
      <c r="E1507" s="10" t="str" cm="1">
        <f t="array" ref="E1507">IF(AND(A1507="2021-02", ISNA(MATCH(B1507, _xlfn._xlws.FILTER(B:B, A:A="2021-03"), 0))), "Left", "Ativo")</f>
        <v>Ativo</v>
      </c>
      <c r="F1507" s="12" t="str" cm="1">
        <f t="array" ref="F1507">IF(AND(A1507="2021-03", ISNA(MATCH(B1507, _xlfn._xlws.FILTER(B:B, A:A="2021-04"), 0))), "Left", "Ativo")</f>
        <v>Ativo</v>
      </c>
    </row>
    <row r="1508" spans="1:6" x14ac:dyDescent="0.25">
      <c r="A1508" t="s">
        <v>1529</v>
      </c>
      <c r="B1508" t="s">
        <v>552</v>
      </c>
      <c r="C1508" s="10" t="str" cm="1">
        <f t="array" ref="C1508">IF(AND(A1508="2020-12", ISNA(MATCH(B1508, _xlfn._xlws.FILTER(B:B, A:A="2021-01"), 0))), "Left", "Ativo")</f>
        <v>Ativo</v>
      </c>
      <c r="D1508" s="10" t="str" cm="1">
        <f t="array" ref="D1508">IF(AND(A1508="2021-01", ISNA(MATCH(B1508, _xlfn._xlws.FILTER(B:B, A:A="2021-02"), 0))), "Left", "Ativo")</f>
        <v>Ativo</v>
      </c>
      <c r="E1508" s="10" t="str" cm="1">
        <f t="array" ref="E1508">IF(AND(A1508="2021-02", ISNA(MATCH(B1508, _xlfn._xlws.FILTER(B:B, A:A="2021-03"), 0))), "Left", "Ativo")</f>
        <v>Ativo</v>
      </c>
      <c r="F1508" s="12" t="str" cm="1">
        <f t="array" ref="F1508">IF(AND(A1508="2021-03", ISNA(MATCH(B1508, _xlfn._xlws.FILTER(B:B, A:A="2021-04"), 0))), "Left", "Ativo")</f>
        <v>Ativo</v>
      </c>
    </row>
    <row r="1509" spans="1:6" x14ac:dyDescent="0.25">
      <c r="A1509" t="s">
        <v>1529</v>
      </c>
      <c r="B1509" t="s">
        <v>553</v>
      </c>
      <c r="C1509" s="10" t="str" cm="1">
        <f t="array" ref="C1509">IF(AND(A1509="2020-12", ISNA(MATCH(B1509, _xlfn._xlws.FILTER(B:B, A:A="2021-01"), 0))), "Left", "Ativo")</f>
        <v>Ativo</v>
      </c>
      <c r="D1509" s="10" t="str" cm="1">
        <f t="array" ref="D1509">IF(AND(A1509="2021-01", ISNA(MATCH(B1509, _xlfn._xlws.FILTER(B:B, A:A="2021-02"), 0))), "Left", "Ativo")</f>
        <v>Ativo</v>
      </c>
      <c r="E1509" s="10" t="str" cm="1">
        <f t="array" ref="E1509">IF(AND(A1509="2021-02", ISNA(MATCH(B1509, _xlfn._xlws.FILTER(B:B, A:A="2021-03"), 0))), "Left", "Ativo")</f>
        <v>Ativo</v>
      </c>
      <c r="F1509" s="12" t="str" cm="1">
        <f t="array" ref="F1509">IF(AND(A1509="2021-03", ISNA(MATCH(B1509, _xlfn._xlws.FILTER(B:B, A:A="2021-04"), 0))), "Left", "Ativo")</f>
        <v>Ativo</v>
      </c>
    </row>
    <row r="1510" spans="1:6" x14ac:dyDescent="0.25">
      <c r="A1510" t="s">
        <v>1529</v>
      </c>
      <c r="B1510" t="s">
        <v>554</v>
      </c>
      <c r="C1510" s="10" t="str" cm="1">
        <f t="array" ref="C1510">IF(AND(A1510="2020-12", ISNA(MATCH(B1510, _xlfn._xlws.FILTER(B:B, A:A="2021-01"), 0))), "Left", "Ativo")</f>
        <v>Ativo</v>
      </c>
      <c r="D1510" s="10" t="str" cm="1">
        <f t="array" ref="D1510">IF(AND(A1510="2021-01", ISNA(MATCH(B1510, _xlfn._xlws.FILTER(B:B, A:A="2021-02"), 0))), "Left", "Ativo")</f>
        <v>Ativo</v>
      </c>
      <c r="E1510" s="10" t="str" cm="1">
        <f t="array" ref="E1510">IF(AND(A1510="2021-02", ISNA(MATCH(B1510, _xlfn._xlws.FILTER(B:B, A:A="2021-03"), 0))), "Left", "Ativo")</f>
        <v>Ativo</v>
      </c>
      <c r="F1510" s="12" t="str" cm="1">
        <f t="array" ref="F1510">IF(AND(A1510="2021-03", ISNA(MATCH(B1510, _xlfn._xlws.FILTER(B:B, A:A="2021-04"), 0))), "Left", "Ativo")</f>
        <v>Ativo</v>
      </c>
    </row>
    <row r="1511" spans="1:6" x14ac:dyDescent="0.25">
      <c r="A1511" t="s">
        <v>1529</v>
      </c>
      <c r="B1511" t="s">
        <v>555</v>
      </c>
      <c r="C1511" s="10" t="str" cm="1">
        <f t="array" ref="C1511">IF(AND(A1511="2020-12", ISNA(MATCH(B1511, _xlfn._xlws.FILTER(B:B, A:A="2021-01"), 0))), "Left", "Ativo")</f>
        <v>Ativo</v>
      </c>
      <c r="D1511" s="10" t="str" cm="1">
        <f t="array" ref="D1511">IF(AND(A1511="2021-01", ISNA(MATCH(B1511, _xlfn._xlws.FILTER(B:B, A:A="2021-02"), 0))), "Left", "Ativo")</f>
        <v>Ativo</v>
      </c>
      <c r="E1511" s="10" t="str" cm="1">
        <f t="array" ref="E1511">IF(AND(A1511="2021-02", ISNA(MATCH(B1511, _xlfn._xlws.FILTER(B:B, A:A="2021-03"), 0))), "Left", "Ativo")</f>
        <v>Ativo</v>
      </c>
      <c r="F1511" s="12" t="str" cm="1">
        <f t="array" ref="F1511">IF(AND(A1511="2021-03", ISNA(MATCH(B1511, _xlfn._xlws.FILTER(B:B, A:A="2021-04"), 0))), "Left", "Ativo")</f>
        <v>Ativo</v>
      </c>
    </row>
    <row r="1512" spans="1:6" x14ac:dyDescent="0.25">
      <c r="A1512" t="s">
        <v>1529</v>
      </c>
      <c r="B1512" t="s">
        <v>556</v>
      </c>
      <c r="C1512" s="10" t="str" cm="1">
        <f t="array" ref="C1512">IF(AND(A1512="2020-12", ISNA(MATCH(B1512, _xlfn._xlws.FILTER(B:B, A:A="2021-01"), 0))), "Left", "Ativo")</f>
        <v>Ativo</v>
      </c>
      <c r="D1512" s="10" t="str" cm="1">
        <f t="array" ref="D1512">IF(AND(A1512="2021-01", ISNA(MATCH(B1512, _xlfn._xlws.FILTER(B:B, A:A="2021-02"), 0))), "Left", "Ativo")</f>
        <v>Ativo</v>
      </c>
      <c r="E1512" s="10" t="str" cm="1">
        <f t="array" ref="E1512">IF(AND(A1512="2021-02", ISNA(MATCH(B1512, _xlfn._xlws.FILTER(B:B, A:A="2021-03"), 0))), "Left", "Ativo")</f>
        <v>Ativo</v>
      </c>
      <c r="F1512" s="12" t="str" cm="1">
        <f t="array" ref="F1512">IF(AND(A1512="2021-03", ISNA(MATCH(B1512, _xlfn._xlws.FILTER(B:B, A:A="2021-04"), 0))), "Left", "Ativo")</f>
        <v>Ativo</v>
      </c>
    </row>
    <row r="1513" spans="1:6" x14ac:dyDescent="0.25">
      <c r="A1513" t="s">
        <v>1529</v>
      </c>
      <c r="B1513" t="s">
        <v>557</v>
      </c>
      <c r="C1513" s="10" t="str" cm="1">
        <f t="array" ref="C1513">IF(AND(A1513="2020-12", ISNA(MATCH(B1513, _xlfn._xlws.FILTER(B:B, A:A="2021-01"), 0))), "Left", "Ativo")</f>
        <v>Ativo</v>
      </c>
      <c r="D1513" s="10" t="str" cm="1">
        <f t="array" ref="D1513">IF(AND(A1513="2021-01", ISNA(MATCH(B1513, _xlfn._xlws.FILTER(B:B, A:A="2021-02"), 0))), "Left", "Ativo")</f>
        <v>Ativo</v>
      </c>
      <c r="E1513" s="10" t="str" cm="1">
        <f t="array" ref="E1513">IF(AND(A1513="2021-02", ISNA(MATCH(B1513, _xlfn._xlws.FILTER(B:B, A:A="2021-03"), 0))), "Left", "Ativo")</f>
        <v>Ativo</v>
      </c>
      <c r="F1513" s="12" t="str" cm="1">
        <f t="array" ref="F1513">IF(AND(A1513="2021-03", ISNA(MATCH(B1513, _xlfn._xlws.FILTER(B:B, A:A="2021-04"), 0))), "Left", "Ativo")</f>
        <v>Ativo</v>
      </c>
    </row>
    <row r="1514" spans="1:6" x14ac:dyDescent="0.25">
      <c r="A1514" t="s">
        <v>1529</v>
      </c>
      <c r="B1514" t="s">
        <v>558</v>
      </c>
      <c r="C1514" s="10" t="str" cm="1">
        <f t="array" ref="C1514">IF(AND(A1514="2020-12", ISNA(MATCH(B1514, _xlfn._xlws.FILTER(B:B, A:A="2021-01"), 0))), "Left", "Ativo")</f>
        <v>Ativo</v>
      </c>
      <c r="D1514" s="10" t="str" cm="1">
        <f t="array" ref="D1514">IF(AND(A1514="2021-01", ISNA(MATCH(B1514, _xlfn._xlws.FILTER(B:B, A:A="2021-02"), 0))), "Left", "Ativo")</f>
        <v>Ativo</v>
      </c>
      <c r="E1514" s="10" t="str" cm="1">
        <f t="array" ref="E1514">IF(AND(A1514="2021-02", ISNA(MATCH(B1514, _xlfn._xlws.FILTER(B:B, A:A="2021-03"), 0))), "Left", "Ativo")</f>
        <v>Ativo</v>
      </c>
      <c r="F1514" s="12" t="str" cm="1">
        <f t="array" ref="F1514">IF(AND(A1514="2021-03", ISNA(MATCH(B1514, _xlfn._xlws.FILTER(B:B, A:A="2021-04"), 0))), "Left", "Ativo")</f>
        <v>Ativo</v>
      </c>
    </row>
    <row r="1515" spans="1:6" x14ac:dyDescent="0.25">
      <c r="A1515" t="s">
        <v>1529</v>
      </c>
      <c r="B1515" t="s">
        <v>559</v>
      </c>
      <c r="C1515" s="10" t="str" cm="1">
        <f t="array" ref="C1515">IF(AND(A1515="2020-12", ISNA(MATCH(B1515, _xlfn._xlws.FILTER(B:B, A:A="2021-01"), 0))), "Left", "Ativo")</f>
        <v>Ativo</v>
      </c>
      <c r="D1515" s="10" t="str" cm="1">
        <f t="array" ref="D1515">IF(AND(A1515="2021-01", ISNA(MATCH(B1515, _xlfn._xlws.FILTER(B:B, A:A="2021-02"), 0))), "Left", "Ativo")</f>
        <v>Ativo</v>
      </c>
      <c r="E1515" s="10" t="str" cm="1">
        <f t="array" ref="E1515">IF(AND(A1515="2021-02", ISNA(MATCH(B1515, _xlfn._xlws.FILTER(B:B, A:A="2021-03"), 0))), "Left", "Ativo")</f>
        <v>Ativo</v>
      </c>
      <c r="F1515" s="12" t="str" cm="1">
        <f t="array" ref="F1515">IF(AND(A1515="2021-03", ISNA(MATCH(B1515, _xlfn._xlws.FILTER(B:B, A:A="2021-04"), 0))), "Left", "Ativo")</f>
        <v>Ativo</v>
      </c>
    </row>
    <row r="1516" spans="1:6" x14ac:dyDescent="0.25">
      <c r="A1516" t="s">
        <v>1529</v>
      </c>
      <c r="B1516" t="s">
        <v>560</v>
      </c>
      <c r="C1516" s="10" t="str" cm="1">
        <f t="array" ref="C1516">IF(AND(A1516="2020-12", ISNA(MATCH(B1516, _xlfn._xlws.FILTER(B:B, A:A="2021-01"), 0))), "Left", "Ativo")</f>
        <v>Ativo</v>
      </c>
      <c r="D1516" s="10" t="str" cm="1">
        <f t="array" ref="D1516">IF(AND(A1516="2021-01", ISNA(MATCH(B1516, _xlfn._xlws.FILTER(B:B, A:A="2021-02"), 0))), "Left", "Ativo")</f>
        <v>Ativo</v>
      </c>
      <c r="E1516" s="10" t="str" cm="1">
        <f t="array" ref="E1516">IF(AND(A1516="2021-02", ISNA(MATCH(B1516, _xlfn._xlws.FILTER(B:B, A:A="2021-03"), 0))), "Left", "Ativo")</f>
        <v>Ativo</v>
      </c>
      <c r="F1516" s="12" t="str" cm="1">
        <f t="array" ref="F1516">IF(AND(A1516="2021-03", ISNA(MATCH(B1516, _xlfn._xlws.FILTER(B:B, A:A="2021-04"), 0))), "Left", "Ativo")</f>
        <v>Ativo</v>
      </c>
    </row>
    <row r="1517" spans="1:6" x14ac:dyDescent="0.25">
      <c r="A1517" t="s">
        <v>1529</v>
      </c>
      <c r="B1517" t="s">
        <v>561</v>
      </c>
      <c r="C1517" s="10" t="str" cm="1">
        <f t="array" ref="C1517">IF(AND(A1517="2020-12", ISNA(MATCH(B1517, _xlfn._xlws.FILTER(B:B, A:A="2021-01"), 0))), "Left", "Ativo")</f>
        <v>Ativo</v>
      </c>
      <c r="D1517" s="10" t="str" cm="1">
        <f t="array" ref="D1517">IF(AND(A1517="2021-01", ISNA(MATCH(B1517, _xlfn._xlws.FILTER(B:B, A:A="2021-02"), 0))), "Left", "Ativo")</f>
        <v>Ativo</v>
      </c>
      <c r="E1517" s="10" t="str" cm="1">
        <f t="array" ref="E1517">IF(AND(A1517="2021-02", ISNA(MATCH(B1517, _xlfn._xlws.FILTER(B:B, A:A="2021-03"), 0))), "Left", "Ativo")</f>
        <v>Ativo</v>
      </c>
      <c r="F1517" s="12" t="str" cm="1">
        <f t="array" ref="F1517">IF(AND(A1517="2021-03", ISNA(MATCH(B1517, _xlfn._xlws.FILTER(B:B, A:A="2021-04"), 0))), "Left", "Ativo")</f>
        <v>Ativo</v>
      </c>
    </row>
    <row r="1518" spans="1:6" x14ac:dyDescent="0.25">
      <c r="A1518" t="s">
        <v>1529</v>
      </c>
      <c r="B1518" t="s">
        <v>562</v>
      </c>
      <c r="C1518" s="10" t="str" cm="1">
        <f t="array" ref="C1518">IF(AND(A1518="2020-12", ISNA(MATCH(B1518, _xlfn._xlws.FILTER(B:B, A:A="2021-01"), 0))), "Left", "Ativo")</f>
        <v>Ativo</v>
      </c>
      <c r="D1518" s="10" t="str" cm="1">
        <f t="array" ref="D1518">IF(AND(A1518="2021-01", ISNA(MATCH(B1518, _xlfn._xlws.FILTER(B:B, A:A="2021-02"), 0))), "Left", "Ativo")</f>
        <v>Ativo</v>
      </c>
      <c r="E1518" s="10" t="str" cm="1">
        <f t="array" ref="E1518">IF(AND(A1518="2021-02", ISNA(MATCH(B1518, _xlfn._xlws.FILTER(B:B, A:A="2021-03"), 0))), "Left", "Ativo")</f>
        <v>Ativo</v>
      </c>
      <c r="F1518" s="12" t="str" cm="1">
        <f t="array" ref="F1518">IF(AND(A1518="2021-03", ISNA(MATCH(B1518, _xlfn._xlws.FILTER(B:B, A:A="2021-04"), 0))), "Left", "Ativo")</f>
        <v>Ativo</v>
      </c>
    </row>
    <row r="1519" spans="1:6" x14ac:dyDescent="0.25">
      <c r="A1519" t="s">
        <v>1529</v>
      </c>
      <c r="B1519" t="s">
        <v>563</v>
      </c>
      <c r="C1519" s="10" t="str" cm="1">
        <f t="array" ref="C1519">IF(AND(A1519="2020-12", ISNA(MATCH(B1519, _xlfn._xlws.FILTER(B:B, A:A="2021-01"), 0))), "Left", "Ativo")</f>
        <v>Ativo</v>
      </c>
      <c r="D1519" s="10" t="str" cm="1">
        <f t="array" ref="D1519">IF(AND(A1519="2021-01", ISNA(MATCH(B1519, _xlfn._xlws.FILTER(B:B, A:A="2021-02"), 0))), "Left", "Ativo")</f>
        <v>Ativo</v>
      </c>
      <c r="E1519" s="10" t="str" cm="1">
        <f t="array" ref="E1519">IF(AND(A1519="2021-02", ISNA(MATCH(B1519, _xlfn._xlws.FILTER(B:B, A:A="2021-03"), 0))), "Left", "Ativo")</f>
        <v>Ativo</v>
      </c>
      <c r="F1519" s="12" t="str" cm="1">
        <f t="array" ref="F1519">IF(AND(A1519="2021-03", ISNA(MATCH(B1519, _xlfn._xlws.FILTER(B:B, A:A="2021-04"), 0))), "Left", "Ativo")</f>
        <v>Ativo</v>
      </c>
    </row>
    <row r="1520" spans="1:6" x14ac:dyDescent="0.25">
      <c r="A1520" t="s">
        <v>1529</v>
      </c>
      <c r="B1520" t="s">
        <v>564</v>
      </c>
      <c r="C1520" s="10" t="str" cm="1">
        <f t="array" ref="C1520">IF(AND(A1520="2020-12", ISNA(MATCH(B1520, _xlfn._xlws.FILTER(B:B, A:A="2021-01"), 0))), "Left", "Ativo")</f>
        <v>Ativo</v>
      </c>
      <c r="D1520" s="10" t="str" cm="1">
        <f t="array" ref="D1520">IF(AND(A1520="2021-01", ISNA(MATCH(B1520, _xlfn._xlws.FILTER(B:B, A:A="2021-02"), 0))), "Left", "Ativo")</f>
        <v>Ativo</v>
      </c>
      <c r="E1520" s="10" t="str" cm="1">
        <f t="array" ref="E1520">IF(AND(A1520="2021-02", ISNA(MATCH(B1520, _xlfn._xlws.FILTER(B:B, A:A="2021-03"), 0))), "Left", "Ativo")</f>
        <v>Ativo</v>
      </c>
      <c r="F1520" s="12" t="str" cm="1">
        <f t="array" ref="F1520">IF(AND(A1520="2021-03", ISNA(MATCH(B1520, _xlfn._xlws.FILTER(B:B, A:A="2021-04"), 0))), "Left", "Ativo")</f>
        <v>Ativo</v>
      </c>
    </row>
    <row r="1521" spans="1:6" x14ac:dyDescent="0.25">
      <c r="A1521" t="s">
        <v>1529</v>
      </c>
      <c r="B1521" t="s">
        <v>565</v>
      </c>
      <c r="C1521" s="10" t="str" cm="1">
        <f t="array" ref="C1521">IF(AND(A1521="2020-12", ISNA(MATCH(B1521, _xlfn._xlws.FILTER(B:B, A:A="2021-01"), 0))), "Left", "Ativo")</f>
        <v>Ativo</v>
      </c>
      <c r="D1521" s="10" t="str" cm="1">
        <f t="array" ref="D1521">IF(AND(A1521="2021-01", ISNA(MATCH(B1521, _xlfn._xlws.FILTER(B:B, A:A="2021-02"), 0))), "Left", "Ativo")</f>
        <v>Left</v>
      </c>
      <c r="E1521" s="10" t="str" cm="1">
        <f t="array" ref="E1521">IF(AND(A1521="2021-02", ISNA(MATCH(B1521, _xlfn._xlws.FILTER(B:B, A:A="2021-03"), 0))), "Left", "Ativo")</f>
        <v>Ativo</v>
      </c>
      <c r="F1521" s="12" t="str" cm="1">
        <f t="array" ref="F1521">IF(AND(A1521="2021-03", ISNA(MATCH(B1521, _xlfn._xlws.FILTER(B:B, A:A="2021-04"), 0))), "Left", "Ativo")</f>
        <v>Ativo</v>
      </c>
    </row>
    <row r="1522" spans="1:6" x14ac:dyDescent="0.25">
      <c r="A1522" t="s">
        <v>1529</v>
      </c>
      <c r="B1522" t="s">
        <v>566</v>
      </c>
      <c r="C1522" s="10" t="str" cm="1">
        <f t="array" ref="C1522">IF(AND(A1522="2020-12", ISNA(MATCH(B1522, _xlfn._xlws.FILTER(B:B, A:A="2021-01"), 0))), "Left", "Ativo")</f>
        <v>Ativo</v>
      </c>
      <c r="D1522" s="10" t="str" cm="1">
        <f t="array" ref="D1522">IF(AND(A1522="2021-01", ISNA(MATCH(B1522, _xlfn._xlws.FILTER(B:B, A:A="2021-02"), 0))), "Left", "Ativo")</f>
        <v>Left</v>
      </c>
      <c r="E1522" s="10" t="str" cm="1">
        <f t="array" ref="E1522">IF(AND(A1522="2021-02", ISNA(MATCH(B1522, _xlfn._xlws.FILTER(B:B, A:A="2021-03"), 0))), "Left", "Ativo")</f>
        <v>Ativo</v>
      </c>
      <c r="F1522" s="12" t="str" cm="1">
        <f t="array" ref="F1522">IF(AND(A1522="2021-03", ISNA(MATCH(B1522, _xlfn._xlws.FILTER(B:B, A:A="2021-04"), 0))), "Left", "Ativo")</f>
        <v>Ativo</v>
      </c>
    </row>
    <row r="1523" spans="1:6" x14ac:dyDescent="0.25">
      <c r="A1523" t="s">
        <v>1529</v>
      </c>
      <c r="B1523" t="s">
        <v>568</v>
      </c>
      <c r="C1523" s="10" t="str" cm="1">
        <f t="array" ref="C1523">IF(AND(A1523="2020-12", ISNA(MATCH(B1523, _xlfn._xlws.FILTER(B:B, A:A="2021-01"), 0))), "Left", "Ativo")</f>
        <v>Ativo</v>
      </c>
      <c r="D1523" s="10" t="str" cm="1">
        <f t="array" ref="D1523">IF(AND(A1523="2021-01", ISNA(MATCH(B1523, _xlfn._xlws.FILTER(B:B, A:A="2021-02"), 0))), "Left", "Ativo")</f>
        <v>Left</v>
      </c>
      <c r="E1523" s="10" t="str" cm="1">
        <f t="array" ref="E1523">IF(AND(A1523="2021-02", ISNA(MATCH(B1523, _xlfn._xlws.FILTER(B:B, A:A="2021-03"), 0))), "Left", "Ativo")</f>
        <v>Ativo</v>
      </c>
      <c r="F1523" s="12" t="str" cm="1">
        <f t="array" ref="F1523">IF(AND(A1523="2021-03", ISNA(MATCH(B1523, _xlfn._xlws.FILTER(B:B, A:A="2021-04"), 0))), "Left", "Ativo")</f>
        <v>Ativo</v>
      </c>
    </row>
    <row r="1524" spans="1:6" x14ac:dyDescent="0.25">
      <c r="A1524" t="s">
        <v>1529</v>
      </c>
      <c r="B1524" t="s">
        <v>569</v>
      </c>
      <c r="C1524" s="10" t="str" cm="1">
        <f t="array" ref="C1524">IF(AND(A1524="2020-12", ISNA(MATCH(B1524, _xlfn._xlws.FILTER(B:B, A:A="2021-01"), 0))), "Left", "Ativo")</f>
        <v>Ativo</v>
      </c>
      <c r="D1524" s="10" t="str" cm="1">
        <f t="array" ref="D1524">IF(AND(A1524="2021-01", ISNA(MATCH(B1524, _xlfn._xlws.FILTER(B:B, A:A="2021-02"), 0))), "Left", "Ativo")</f>
        <v>Left</v>
      </c>
      <c r="E1524" s="10" t="str" cm="1">
        <f t="array" ref="E1524">IF(AND(A1524="2021-02", ISNA(MATCH(B1524, _xlfn._xlws.FILTER(B:B, A:A="2021-03"), 0))), "Left", "Ativo")</f>
        <v>Ativo</v>
      </c>
      <c r="F1524" s="12" t="str" cm="1">
        <f t="array" ref="F1524">IF(AND(A1524="2021-03", ISNA(MATCH(B1524, _xlfn._xlws.FILTER(B:B, A:A="2021-04"), 0))), "Left", "Ativo")</f>
        <v>Ativo</v>
      </c>
    </row>
    <row r="1525" spans="1:6" x14ac:dyDescent="0.25">
      <c r="A1525" t="s">
        <v>1529</v>
      </c>
      <c r="B1525" t="s">
        <v>571</v>
      </c>
      <c r="C1525" s="10" t="str" cm="1">
        <f t="array" ref="C1525">IF(AND(A1525="2020-12", ISNA(MATCH(B1525, _xlfn._xlws.FILTER(B:B, A:A="2021-01"), 0))), "Left", "Ativo")</f>
        <v>Ativo</v>
      </c>
      <c r="D1525" s="10" t="str" cm="1">
        <f t="array" ref="D1525">IF(AND(A1525="2021-01", ISNA(MATCH(B1525, _xlfn._xlws.FILTER(B:B, A:A="2021-02"), 0))), "Left", "Ativo")</f>
        <v>Left</v>
      </c>
      <c r="E1525" s="10" t="str" cm="1">
        <f t="array" ref="E1525">IF(AND(A1525="2021-02", ISNA(MATCH(B1525, _xlfn._xlws.FILTER(B:B, A:A="2021-03"), 0))), "Left", "Ativo")</f>
        <v>Ativo</v>
      </c>
      <c r="F1525" s="12" t="str" cm="1">
        <f t="array" ref="F1525">IF(AND(A1525="2021-03", ISNA(MATCH(B1525, _xlfn._xlws.FILTER(B:B, A:A="2021-04"), 0))), "Left", "Ativo")</f>
        <v>Ativo</v>
      </c>
    </row>
    <row r="1526" spans="1:6" x14ac:dyDescent="0.25">
      <c r="A1526" t="s">
        <v>1529</v>
      </c>
      <c r="B1526" t="s">
        <v>574</v>
      </c>
      <c r="C1526" s="10" t="str" cm="1">
        <f t="array" ref="C1526">IF(AND(A1526="2020-12", ISNA(MATCH(B1526, _xlfn._xlws.FILTER(B:B, A:A="2021-01"), 0))), "Left", "Ativo")</f>
        <v>Ativo</v>
      </c>
      <c r="D1526" s="10" t="str" cm="1">
        <f t="array" ref="D1526">IF(AND(A1526="2021-01", ISNA(MATCH(B1526, _xlfn._xlws.FILTER(B:B, A:A="2021-02"), 0))), "Left", "Ativo")</f>
        <v>Left</v>
      </c>
      <c r="E1526" s="10" t="str" cm="1">
        <f t="array" ref="E1526">IF(AND(A1526="2021-02", ISNA(MATCH(B1526, _xlfn._xlws.FILTER(B:B, A:A="2021-03"), 0))), "Left", "Ativo")</f>
        <v>Ativo</v>
      </c>
      <c r="F1526" s="12" t="str" cm="1">
        <f t="array" ref="F1526">IF(AND(A1526="2021-03", ISNA(MATCH(B1526, _xlfn._xlws.FILTER(B:B, A:A="2021-04"), 0))), "Left", "Ativo")</f>
        <v>Ativo</v>
      </c>
    </row>
    <row r="1527" spans="1:6" x14ac:dyDescent="0.25">
      <c r="A1527" t="s">
        <v>1529</v>
      </c>
      <c r="B1527" t="s">
        <v>968</v>
      </c>
      <c r="C1527" s="10" t="str" cm="1">
        <f t="array" ref="C1527">IF(AND(A1527="2020-12", ISNA(MATCH(B1527, _xlfn._xlws.FILTER(B:B, A:A="2021-01"), 0))), "Left", "Ativo")</f>
        <v>Ativo</v>
      </c>
      <c r="D1527" s="10" t="str" cm="1">
        <f t="array" ref="D1527">IF(AND(A1527="2021-01", ISNA(MATCH(B1527, _xlfn._xlws.FILTER(B:B, A:A="2021-02"), 0))), "Left", "Ativo")</f>
        <v>Left</v>
      </c>
      <c r="E1527" s="10" t="str" cm="1">
        <f t="array" ref="E1527">IF(AND(A1527="2021-02", ISNA(MATCH(B1527, _xlfn._xlws.FILTER(B:B, A:A="2021-03"), 0))), "Left", "Ativo")</f>
        <v>Ativo</v>
      </c>
      <c r="F1527" s="12" t="str" cm="1">
        <f t="array" ref="F1527">IF(AND(A1527="2021-03", ISNA(MATCH(B1527, _xlfn._xlws.FILTER(B:B, A:A="2021-04"), 0))), "Left", "Ativo")</f>
        <v>Ativo</v>
      </c>
    </row>
    <row r="1528" spans="1:6" x14ac:dyDescent="0.25">
      <c r="A1528" t="s">
        <v>1529</v>
      </c>
      <c r="B1528" t="s">
        <v>969</v>
      </c>
      <c r="C1528" s="10" t="str" cm="1">
        <f t="array" ref="C1528">IF(AND(A1528="2020-12", ISNA(MATCH(B1528, _xlfn._xlws.FILTER(B:B, A:A="2021-01"), 0))), "Left", "Ativo")</f>
        <v>Ativo</v>
      </c>
      <c r="D1528" s="10" t="str" cm="1">
        <f t="array" ref="D1528">IF(AND(A1528="2021-01", ISNA(MATCH(B1528, _xlfn._xlws.FILTER(B:B, A:A="2021-02"), 0))), "Left", "Ativo")</f>
        <v>Left</v>
      </c>
      <c r="E1528" s="10" t="str" cm="1">
        <f t="array" ref="E1528">IF(AND(A1528="2021-02", ISNA(MATCH(B1528, _xlfn._xlws.FILTER(B:B, A:A="2021-03"), 0))), "Left", "Ativo")</f>
        <v>Ativo</v>
      </c>
      <c r="F1528" s="12" t="str" cm="1">
        <f t="array" ref="F1528">IF(AND(A1528="2021-03", ISNA(MATCH(B1528, _xlfn._xlws.FILTER(B:B, A:A="2021-04"), 0))), "Left", "Ativo")</f>
        <v>Ativo</v>
      </c>
    </row>
    <row r="1529" spans="1:6" x14ac:dyDescent="0.25">
      <c r="A1529" t="s">
        <v>1529</v>
      </c>
      <c r="B1529" t="s">
        <v>970</v>
      </c>
      <c r="C1529" s="10" t="str" cm="1">
        <f t="array" ref="C1529">IF(AND(A1529="2020-12", ISNA(MATCH(B1529, _xlfn._xlws.FILTER(B:B, A:A="2021-01"), 0))), "Left", "Ativo")</f>
        <v>Ativo</v>
      </c>
      <c r="D1529" s="10" t="str" cm="1">
        <f t="array" ref="D1529">IF(AND(A1529="2021-01", ISNA(MATCH(B1529, _xlfn._xlws.FILTER(B:B, A:A="2021-02"), 0))), "Left", "Ativo")</f>
        <v>Left</v>
      </c>
      <c r="E1529" s="10" t="str" cm="1">
        <f t="array" ref="E1529">IF(AND(A1529="2021-02", ISNA(MATCH(B1529, _xlfn._xlws.FILTER(B:B, A:A="2021-03"), 0))), "Left", "Ativo")</f>
        <v>Ativo</v>
      </c>
      <c r="F1529" s="12" t="str" cm="1">
        <f t="array" ref="F1529">IF(AND(A1529="2021-03", ISNA(MATCH(B1529, _xlfn._xlws.FILTER(B:B, A:A="2021-04"), 0))), "Left", "Ativo")</f>
        <v>Ativo</v>
      </c>
    </row>
    <row r="1530" spans="1:6" x14ac:dyDescent="0.25">
      <c r="A1530" t="s">
        <v>1529</v>
      </c>
      <c r="B1530" t="s">
        <v>971</v>
      </c>
      <c r="C1530" s="10" t="str" cm="1">
        <f t="array" ref="C1530">IF(AND(A1530="2020-12", ISNA(MATCH(B1530, _xlfn._xlws.FILTER(B:B, A:A="2021-01"), 0))), "Left", "Ativo")</f>
        <v>Ativo</v>
      </c>
      <c r="D1530" s="10" t="str" cm="1">
        <f t="array" ref="D1530">IF(AND(A1530="2021-01", ISNA(MATCH(B1530, _xlfn._xlws.FILTER(B:B, A:A="2021-02"), 0))), "Left", "Ativo")</f>
        <v>Left</v>
      </c>
      <c r="E1530" s="10" t="str" cm="1">
        <f t="array" ref="E1530">IF(AND(A1530="2021-02", ISNA(MATCH(B1530, _xlfn._xlws.FILTER(B:B, A:A="2021-03"), 0))), "Left", "Ativo")</f>
        <v>Ativo</v>
      </c>
      <c r="F1530" s="12" t="str" cm="1">
        <f t="array" ref="F1530">IF(AND(A1530="2021-03", ISNA(MATCH(B1530, _xlfn._xlws.FILTER(B:B, A:A="2021-04"), 0))), "Left", "Ativo")</f>
        <v>Ativo</v>
      </c>
    </row>
    <row r="1531" spans="1:6" x14ac:dyDescent="0.25">
      <c r="A1531" t="s">
        <v>1529</v>
      </c>
      <c r="B1531" t="s">
        <v>972</v>
      </c>
      <c r="C1531" s="10" t="str" cm="1">
        <f t="array" ref="C1531">IF(AND(A1531="2020-12", ISNA(MATCH(B1531, _xlfn._xlws.FILTER(B:B, A:A="2021-01"), 0))), "Left", "Ativo")</f>
        <v>Ativo</v>
      </c>
      <c r="D1531" s="10" t="str" cm="1">
        <f t="array" ref="D1531">IF(AND(A1531="2021-01", ISNA(MATCH(B1531, _xlfn._xlws.FILTER(B:B, A:A="2021-02"), 0))), "Left", "Ativo")</f>
        <v>Left</v>
      </c>
      <c r="E1531" s="10" t="str" cm="1">
        <f t="array" ref="E1531">IF(AND(A1531="2021-02", ISNA(MATCH(B1531, _xlfn._xlws.FILTER(B:B, A:A="2021-03"), 0))), "Left", "Ativo")</f>
        <v>Ativo</v>
      </c>
      <c r="F1531" s="12" t="str" cm="1">
        <f t="array" ref="F1531">IF(AND(A1531="2021-03", ISNA(MATCH(B1531, _xlfn._xlws.FILTER(B:B, A:A="2021-04"), 0))), "Left", "Ativo")</f>
        <v>Ativo</v>
      </c>
    </row>
    <row r="1532" spans="1:6" x14ac:dyDescent="0.25">
      <c r="A1532" t="s">
        <v>1529</v>
      </c>
      <c r="B1532" t="s">
        <v>973</v>
      </c>
      <c r="C1532" s="10" t="str" cm="1">
        <f t="array" ref="C1532">IF(AND(A1532="2020-12", ISNA(MATCH(B1532, _xlfn._xlws.FILTER(B:B, A:A="2021-01"), 0))), "Left", "Ativo")</f>
        <v>Ativo</v>
      </c>
      <c r="D1532" s="10" t="str" cm="1">
        <f t="array" ref="D1532">IF(AND(A1532="2021-01", ISNA(MATCH(B1532, _xlfn._xlws.FILTER(B:B, A:A="2021-02"), 0))), "Left", "Ativo")</f>
        <v>Left</v>
      </c>
      <c r="E1532" s="10" t="str" cm="1">
        <f t="array" ref="E1532">IF(AND(A1532="2021-02", ISNA(MATCH(B1532, _xlfn._xlws.FILTER(B:B, A:A="2021-03"), 0))), "Left", "Ativo")</f>
        <v>Ativo</v>
      </c>
      <c r="F1532" s="12" t="str" cm="1">
        <f t="array" ref="F1532">IF(AND(A1532="2021-03", ISNA(MATCH(B1532, _xlfn._xlws.FILTER(B:B, A:A="2021-04"), 0))), "Left", "Ativo")</f>
        <v>Ativo</v>
      </c>
    </row>
    <row r="1533" spans="1:6" x14ac:dyDescent="0.25">
      <c r="A1533" t="s">
        <v>1529</v>
      </c>
      <c r="B1533" t="s">
        <v>974</v>
      </c>
      <c r="C1533" s="10" t="str" cm="1">
        <f t="array" ref="C1533">IF(AND(A1533="2020-12", ISNA(MATCH(B1533, _xlfn._xlws.FILTER(B:B, A:A="2021-01"), 0))), "Left", "Ativo")</f>
        <v>Ativo</v>
      </c>
      <c r="D1533" s="10" t="str" cm="1">
        <f t="array" ref="D1533">IF(AND(A1533="2021-01", ISNA(MATCH(B1533, _xlfn._xlws.FILTER(B:B, A:A="2021-02"), 0))), "Left", "Ativo")</f>
        <v>Left</v>
      </c>
      <c r="E1533" s="10" t="str" cm="1">
        <f t="array" ref="E1533">IF(AND(A1533="2021-02", ISNA(MATCH(B1533, _xlfn._xlws.FILTER(B:B, A:A="2021-03"), 0))), "Left", "Ativo")</f>
        <v>Ativo</v>
      </c>
      <c r="F1533" s="12" t="str" cm="1">
        <f t="array" ref="F1533">IF(AND(A1533="2021-03", ISNA(MATCH(B1533, _xlfn._xlws.FILTER(B:B, A:A="2021-04"), 0))), "Left", "Ativo")</f>
        <v>Ativo</v>
      </c>
    </row>
    <row r="1534" spans="1:6" x14ac:dyDescent="0.25">
      <c r="A1534" t="s">
        <v>1529</v>
      </c>
      <c r="B1534" t="s">
        <v>975</v>
      </c>
      <c r="C1534" s="10" t="str" cm="1">
        <f t="array" ref="C1534">IF(AND(A1534="2020-12", ISNA(MATCH(B1534, _xlfn._xlws.FILTER(B:B, A:A="2021-01"), 0))), "Left", "Ativo")</f>
        <v>Ativo</v>
      </c>
      <c r="D1534" s="10" t="str" cm="1">
        <f t="array" ref="D1534">IF(AND(A1534="2021-01", ISNA(MATCH(B1534, _xlfn._xlws.FILTER(B:B, A:A="2021-02"), 0))), "Left", "Ativo")</f>
        <v>Left</v>
      </c>
      <c r="E1534" s="10" t="str" cm="1">
        <f t="array" ref="E1534">IF(AND(A1534="2021-02", ISNA(MATCH(B1534, _xlfn._xlws.FILTER(B:B, A:A="2021-03"), 0))), "Left", "Ativo")</f>
        <v>Ativo</v>
      </c>
      <c r="F1534" s="12" t="str" cm="1">
        <f t="array" ref="F1534">IF(AND(A1534="2021-03", ISNA(MATCH(B1534, _xlfn._xlws.FILTER(B:B, A:A="2021-04"), 0))), "Left", "Ativo")</f>
        <v>Ativo</v>
      </c>
    </row>
    <row r="1535" spans="1:6" x14ac:dyDescent="0.25">
      <c r="A1535" t="s">
        <v>1529</v>
      </c>
      <c r="B1535" t="s">
        <v>976</v>
      </c>
      <c r="C1535" s="10" t="str" cm="1">
        <f t="array" ref="C1535">IF(AND(A1535="2020-12", ISNA(MATCH(B1535, _xlfn._xlws.FILTER(B:B, A:A="2021-01"), 0))), "Left", "Ativo")</f>
        <v>Ativo</v>
      </c>
      <c r="D1535" s="10" t="str" cm="1">
        <f t="array" ref="D1535">IF(AND(A1535="2021-01", ISNA(MATCH(B1535, _xlfn._xlws.FILTER(B:B, A:A="2021-02"), 0))), "Left", "Ativo")</f>
        <v>Left</v>
      </c>
      <c r="E1535" s="10" t="str" cm="1">
        <f t="array" ref="E1535">IF(AND(A1535="2021-02", ISNA(MATCH(B1535, _xlfn._xlws.FILTER(B:B, A:A="2021-03"), 0))), "Left", "Ativo")</f>
        <v>Ativo</v>
      </c>
      <c r="F1535" s="12" t="str" cm="1">
        <f t="array" ref="F1535">IF(AND(A1535="2021-03", ISNA(MATCH(B1535, _xlfn._xlws.FILTER(B:B, A:A="2021-04"), 0))), "Left", "Ativo")</f>
        <v>Ativo</v>
      </c>
    </row>
    <row r="1536" spans="1:6" x14ac:dyDescent="0.25">
      <c r="A1536" t="s">
        <v>1529</v>
      </c>
      <c r="B1536" t="s">
        <v>575</v>
      </c>
      <c r="C1536" s="10" t="str" cm="1">
        <f t="array" ref="C1536">IF(AND(A1536="2020-12", ISNA(MATCH(B1536, _xlfn._xlws.FILTER(B:B, A:A="2021-01"), 0))), "Left", "Ativo")</f>
        <v>Ativo</v>
      </c>
      <c r="D1536" s="10" t="str" cm="1">
        <f t="array" ref="D1536">IF(AND(A1536="2021-01", ISNA(MATCH(B1536, _xlfn._xlws.FILTER(B:B, A:A="2021-02"), 0))), "Left", "Ativo")</f>
        <v>Ativo</v>
      </c>
      <c r="E1536" s="10" t="str" cm="1">
        <f t="array" ref="E1536">IF(AND(A1536="2021-02", ISNA(MATCH(B1536, _xlfn._xlws.FILTER(B:B, A:A="2021-03"), 0))), "Left", "Ativo")</f>
        <v>Ativo</v>
      </c>
      <c r="F1536" s="12" t="str" cm="1">
        <f t="array" ref="F1536">IF(AND(A1536="2021-03", ISNA(MATCH(B1536, _xlfn._xlws.FILTER(B:B, A:A="2021-04"), 0))), "Left", "Ativo")</f>
        <v>Ativo</v>
      </c>
    </row>
    <row r="1537" spans="1:6" x14ac:dyDescent="0.25">
      <c r="A1537" t="s">
        <v>1529</v>
      </c>
      <c r="B1537" t="s">
        <v>576</v>
      </c>
      <c r="C1537" s="10" t="str" cm="1">
        <f t="array" ref="C1537">IF(AND(A1537="2020-12", ISNA(MATCH(B1537, _xlfn._xlws.FILTER(B:B, A:A="2021-01"), 0))), "Left", "Ativo")</f>
        <v>Ativo</v>
      </c>
      <c r="D1537" s="10" t="str" cm="1">
        <f t="array" ref="D1537">IF(AND(A1537="2021-01", ISNA(MATCH(B1537, _xlfn._xlws.FILTER(B:B, A:A="2021-02"), 0))), "Left", "Ativo")</f>
        <v>Ativo</v>
      </c>
      <c r="E1537" s="10" t="str" cm="1">
        <f t="array" ref="E1537">IF(AND(A1537="2021-02", ISNA(MATCH(B1537, _xlfn._xlws.FILTER(B:B, A:A="2021-03"), 0))), "Left", "Ativo")</f>
        <v>Ativo</v>
      </c>
      <c r="F1537" s="12" t="str" cm="1">
        <f t="array" ref="F1537">IF(AND(A1537="2021-03", ISNA(MATCH(B1537, _xlfn._xlws.FILTER(B:B, A:A="2021-04"), 0))), "Left", "Ativo")</f>
        <v>Ativo</v>
      </c>
    </row>
    <row r="1538" spans="1:6" x14ac:dyDescent="0.25">
      <c r="A1538" t="s">
        <v>1529</v>
      </c>
      <c r="B1538" t="s">
        <v>577</v>
      </c>
      <c r="C1538" s="10" t="str" cm="1">
        <f t="array" ref="C1538">IF(AND(A1538="2020-12", ISNA(MATCH(B1538, _xlfn._xlws.FILTER(B:B, A:A="2021-01"), 0))), "Left", "Ativo")</f>
        <v>Ativo</v>
      </c>
      <c r="D1538" s="10" t="str" cm="1">
        <f t="array" ref="D1538">IF(AND(A1538="2021-01", ISNA(MATCH(B1538, _xlfn._xlws.FILTER(B:B, A:A="2021-02"), 0))), "Left", "Ativo")</f>
        <v>Ativo</v>
      </c>
      <c r="E1538" s="10" t="str" cm="1">
        <f t="array" ref="E1538">IF(AND(A1538="2021-02", ISNA(MATCH(B1538, _xlfn._xlws.FILTER(B:B, A:A="2021-03"), 0))), "Left", "Ativo")</f>
        <v>Ativo</v>
      </c>
      <c r="F1538" s="12" t="str" cm="1">
        <f t="array" ref="F1538">IF(AND(A1538="2021-03", ISNA(MATCH(B1538, _xlfn._xlws.FILTER(B:B, A:A="2021-04"), 0))), "Left", "Ativo")</f>
        <v>Ativo</v>
      </c>
    </row>
    <row r="1539" spans="1:6" x14ac:dyDescent="0.25">
      <c r="A1539" t="s">
        <v>1529</v>
      </c>
      <c r="B1539" t="s">
        <v>578</v>
      </c>
      <c r="C1539" s="10" t="str" cm="1">
        <f t="array" ref="C1539">IF(AND(A1539="2020-12", ISNA(MATCH(B1539, _xlfn._xlws.FILTER(B:B, A:A="2021-01"), 0))), "Left", "Ativo")</f>
        <v>Ativo</v>
      </c>
      <c r="D1539" s="10" t="str" cm="1">
        <f t="array" ref="D1539">IF(AND(A1539="2021-01", ISNA(MATCH(B1539, _xlfn._xlws.FILTER(B:B, A:A="2021-02"), 0))), "Left", "Ativo")</f>
        <v>Ativo</v>
      </c>
      <c r="E1539" s="10" t="str" cm="1">
        <f t="array" ref="E1539">IF(AND(A1539="2021-02", ISNA(MATCH(B1539, _xlfn._xlws.FILTER(B:B, A:A="2021-03"), 0))), "Left", "Ativo")</f>
        <v>Ativo</v>
      </c>
      <c r="F1539" s="12" t="str" cm="1">
        <f t="array" ref="F1539">IF(AND(A1539="2021-03", ISNA(MATCH(B1539, _xlfn._xlws.FILTER(B:B, A:A="2021-04"), 0))), "Left", "Ativo")</f>
        <v>Ativo</v>
      </c>
    </row>
    <row r="1540" spans="1:6" x14ac:dyDescent="0.25">
      <c r="A1540" t="s">
        <v>1529</v>
      </c>
      <c r="B1540" t="s">
        <v>579</v>
      </c>
      <c r="C1540" s="10" t="str" cm="1">
        <f t="array" ref="C1540">IF(AND(A1540="2020-12", ISNA(MATCH(B1540, _xlfn._xlws.FILTER(B:B, A:A="2021-01"), 0))), "Left", "Ativo")</f>
        <v>Ativo</v>
      </c>
      <c r="D1540" s="10" t="str" cm="1">
        <f t="array" ref="D1540">IF(AND(A1540="2021-01", ISNA(MATCH(B1540, _xlfn._xlws.FILTER(B:B, A:A="2021-02"), 0))), "Left", "Ativo")</f>
        <v>Ativo</v>
      </c>
      <c r="E1540" s="10" t="str" cm="1">
        <f t="array" ref="E1540">IF(AND(A1540="2021-02", ISNA(MATCH(B1540, _xlfn._xlws.FILTER(B:B, A:A="2021-03"), 0))), "Left", "Ativo")</f>
        <v>Ativo</v>
      </c>
      <c r="F1540" s="12" t="str" cm="1">
        <f t="array" ref="F1540">IF(AND(A1540="2021-03", ISNA(MATCH(B1540, _xlfn._xlws.FILTER(B:B, A:A="2021-04"), 0))), "Left", "Ativo")</f>
        <v>Ativo</v>
      </c>
    </row>
    <row r="1541" spans="1:6" x14ac:dyDescent="0.25">
      <c r="A1541" t="s">
        <v>1529</v>
      </c>
      <c r="B1541" t="s">
        <v>580</v>
      </c>
      <c r="C1541" s="10" t="str" cm="1">
        <f t="array" ref="C1541">IF(AND(A1541="2020-12", ISNA(MATCH(B1541, _xlfn._xlws.FILTER(B:B, A:A="2021-01"), 0))), "Left", "Ativo")</f>
        <v>Ativo</v>
      </c>
      <c r="D1541" s="10" t="str" cm="1">
        <f t="array" ref="D1541">IF(AND(A1541="2021-01", ISNA(MATCH(B1541, _xlfn._xlws.FILTER(B:B, A:A="2021-02"), 0))), "Left", "Ativo")</f>
        <v>Ativo</v>
      </c>
      <c r="E1541" s="10" t="str" cm="1">
        <f t="array" ref="E1541">IF(AND(A1541="2021-02", ISNA(MATCH(B1541, _xlfn._xlws.FILTER(B:B, A:A="2021-03"), 0))), "Left", "Ativo")</f>
        <v>Ativo</v>
      </c>
      <c r="F1541" s="12" t="str" cm="1">
        <f t="array" ref="F1541">IF(AND(A1541="2021-03", ISNA(MATCH(B1541, _xlfn._xlws.FILTER(B:B, A:A="2021-04"), 0))), "Left", "Ativo")</f>
        <v>Ativo</v>
      </c>
    </row>
    <row r="1542" spans="1:6" x14ac:dyDescent="0.25">
      <c r="A1542" t="s">
        <v>1529</v>
      </c>
      <c r="B1542" t="s">
        <v>581</v>
      </c>
      <c r="C1542" s="10" t="str" cm="1">
        <f t="array" ref="C1542">IF(AND(A1542="2020-12", ISNA(MATCH(B1542, _xlfn._xlws.FILTER(B:B, A:A="2021-01"), 0))), "Left", "Ativo")</f>
        <v>Ativo</v>
      </c>
      <c r="D1542" s="10" t="str" cm="1">
        <f t="array" ref="D1542">IF(AND(A1542="2021-01", ISNA(MATCH(B1542, _xlfn._xlws.FILTER(B:B, A:A="2021-02"), 0))), "Left", "Ativo")</f>
        <v>Ativo</v>
      </c>
      <c r="E1542" s="10" t="str" cm="1">
        <f t="array" ref="E1542">IF(AND(A1542="2021-02", ISNA(MATCH(B1542, _xlfn._xlws.FILTER(B:B, A:A="2021-03"), 0))), "Left", "Ativo")</f>
        <v>Ativo</v>
      </c>
      <c r="F1542" s="12" t="str" cm="1">
        <f t="array" ref="F1542">IF(AND(A1542="2021-03", ISNA(MATCH(B1542, _xlfn._xlws.FILTER(B:B, A:A="2021-04"), 0))), "Left", "Ativo")</f>
        <v>Ativo</v>
      </c>
    </row>
    <row r="1543" spans="1:6" x14ac:dyDescent="0.25">
      <c r="A1543" t="s">
        <v>1529</v>
      </c>
      <c r="B1543" t="s">
        <v>582</v>
      </c>
      <c r="C1543" s="10" t="str" cm="1">
        <f t="array" ref="C1543">IF(AND(A1543="2020-12", ISNA(MATCH(B1543, _xlfn._xlws.FILTER(B:B, A:A="2021-01"), 0))), "Left", "Ativo")</f>
        <v>Ativo</v>
      </c>
      <c r="D1543" s="10" t="str" cm="1">
        <f t="array" ref="D1543">IF(AND(A1543="2021-01", ISNA(MATCH(B1543, _xlfn._xlws.FILTER(B:B, A:A="2021-02"), 0))), "Left", "Ativo")</f>
        <v>Ativo</v>
      </c>
      <c r="E1543" s="10" t="str" cm="1">
        <f t="array" ref="E1543">IF(AND(A1543="2021-02", ISNA(MATCH(B1543, _xlfn._xlws.FILTER(B:B, A:A="2021-03"), 0))), "Left", "Ativo")</f>
        <v>Ativo</v>
      </c>
      <c r="F1543" s="12" t="str" cm="1">
        <f t="array" ref="F1543">IF(AND(A1543="2021-03", ISNA(MATCH(B1543, _xlfn._xlws.FILTER(B:B, A:A="2021-04"), 0))), "Left", "Ativo")</f>
        <v>Ativo</v>
      </c>
    </row>
    <row r="1544" spans="1:6" x14ac:dyDescent="0.25">
      <c r="A1544" t="s">
        <v>1529</v>
      </c>
      <c r="B1544" t="s">
        <v>583</v>
      </c>
      <c r="C1544" s="10" t="str" cm="1">
        <f t="array" ref="C1544">IF(AND(A1544="2020-12", ISNA(MATCH(B1544, _xlfn._xlws.FILTER(B:B, A:A="2021-01"), 0))), "Left", "Ativo")</f>
        <v>Ativo</v>
      </c>
      <c r="D1544" s="10" t="str" cm="1">
        <f t="array" ref="D1544">IF(AND(A1544="2021-01", ISNA(MATCH(B1544, _xlfn._xlws.FILTER(B:B, A:A="2021-02"), 0))), "Left", "Ativo")</f>
        <v>Ativo</v>
      </c>
      <c r="E1544" s="10" t="str" cm="1">
        <f t="array" ref="E1544">IF(AND(A1544="2021-02", ISNA(MATCH(B1544, _xlfn._xlws.FILTER(B:B, A:A="2021-03"), 0))), "Left", "Ativo")</f>
        <v>Ativo</v>
      </c>
      <c r="F1544" s="12" t="str" cm="1">
        <f t="array" ref="F1544">IF(AND(A1544="2021-03", ISNA(MATCH(B1544, _xlfn._xlws.FILTER(B:B, A:A="2021-04"), 0))), "Left", "Ativo")</f>
        <v>Ativo</v>
      </c>
    </row>
    <row r="1545" spans="1:6" x14ac:dyDescent="0.25">
      <c r="A1545" t="s">
        <v>1529</v>
      </c>
      <c r="B1545" t="s">
        <v>584</v>
      </c>
      <c r="C1545" s="10" t="str" cm="1">
        <f t="array" ref="C1545">IF(AND(A1545="2020-12", ISNA(MATCH(B1545, _xlfn._xlws.FILTER(B:B, A:A="2021-01"), 0))), "Left", "Ativo")</f>
        <v>Ativo</v>
      </c>
      <c r="D1545" s="10" t="str" cm="1">
        <f t="array" ref="D1545">IF(AND(A1545="2021-01", ISNA(MATCH(B1545, _xlfn._xlws.FILTER(B:B, A:A="2021-02"), 0))), "Left", "Ativo")</f>
        <v>Ativo</v>
      </c>
      <c r="E1545" s="10" t="str" cm="1">
        <f t="array" ref="E1545">IF(AND(A1545="2021-02", ISNA(MATCH(B1545, _xlfn._xlws.FILTER(B:B, A:A="2021-03"), 0))), "Left", "Ativo")</f>
        <v>Ativo</v>
      </c>
      <c r="F1545" s="12" t="str" cm="1">
        <f t="array" ref="F1545">IF(AND(A1545="2021-03", ISNA(MATCH(B1545, _xlfn._xlws.FILTER(B:B, A:A="2021-04"), 0))), "Left", "Ativo")</f>
        <v>Ativo</v>
      </c>
    </row>
    <row r="1546" spans="1:6" x14ac:dyDescent="0.25">
      <c r="A1546" t="s">
        <v>1529</v>
      </c>
      <c r="B1546" t="s">
        <v>585</v>
      </c>
      <c r="C1546" s="10" t="str" cm="1">
        <f t="array" ref="C1546">IF(AND(A1546="2020-12", ISNA(MATCH(B1546, _xlfn._xlws.FILTER(B:B, A:A="2021-01"), 0))), "Left", "Ativo")</f>
        <v>Ativo</v>
      </c>
      <c r="D1546" s="10" t="str" cm="1">
        <f t="array" ref="D1546">IF(AND(A1546="2021-01", ISNA(MATCH(B1546, _xlfn._xlws.FILTER(B:B, A:A="2021-02"), 0))), "Left", "Ativo")</f>
        <v>Ativo</v>
      </c>
      <c r="E1546" s="10" t="str" cm="1">
        <f t="array" ref="E1546">IF(AND(A1546="2021-02", ISNA(MATCH(B1546, _xlfn._xlws.FILTER(B:B, A:A="2021-03"), 0))), "Left", "Ativo")</f>
        <v>Ativo</v>
      </c>
      <c r="F1546" s="12" t="str" cm="1">
        <f t="array" ref="F1546">IF(AND(A1546="2021-03", ISNA(MATCH(B1546, _xlfn._xlws.FILTER(B:B, A:A="2021-04"), 0))), "Left", "Ativo")</f>
        <v>Ativo</v>
      </c>
    </row>
    <row r="1547" spans="1:6" x14ac:dyDescent="0.25">
      <c r="A1547" t="s">
        <v>1529</v>
      </c>
      <c r="B1547" t="s">
        <v>586</v>
      </c>
      <c r="C1547" s="10" t="str" cm="1">
        <f t="array" ref="C1547">IF(AND(A1547="2020-12", ISNA(MATCH(B1547, _xlfn._xlws.FILTER(B:B, A:A="2021-01"), 0))), "Left", "Ativo")</f>
        <v>Ativo</v>
      </c>
      <c r="D1547" s="10" t="str" cm="1">
        <f t="array" ref="D1547">IF(AND(A1547="2021-01", ISNA(MATCH(B1547, _xlfn._xlws.FILTER(B:B, A:A="2021-02"), 0))), "Left", "Ativo")</f>
        <v>Ativo</v>
      </c>
      <c r="E1547" s="10" t="str" cm="1">
        <f t="array" ref="E1547">IF(AND(A1547="2021-02", ISNA(MATCH(B1547, _xlfn._xlws.FILTER(B:B, A:A="2021-03"), 0))), "Left", "Ativo")</f>
        <v>Ativo</v>
      </c>
      <c r="F1547" s="12" t="str" cm="1">
        <f t="array" ref="F1547">IF(AND(A1547="2021-03", ISNA(MATCH(B1547, _xlfn._xlws.FILTER(B:B, A:A="2021-04"), 0))), "Left", "Ativo")</f>
        <v>Ativo</v>
      </c>
    </row>
    <row r="1548" spans="1:6" x14ac:dyDescent="0.25">
      <c r="A1548" t="s">
        <v>1529</v>
      </c>
      <c r="B1548" t="s">
        <v>587</v>
      </c>
      <c r="C1548" s="10" t="str" cm="1">
        <f t="array" ref="C1548">IF(AND(A1548="2020-12", ISNA(MATCH(B1548, _xlfn._xlws.FILTER(B:B, A:A="2021-01"), 0))), "Left", "Ativo")</f>
        <v>Ativo</v>
      </c>
      <c r="D1548" s="10" t="str" cm="1">
        <f t="array" ref="D1548">IF(AND(A1548="2021-01", ISNA(MATCH(B1548, _xlfn._xlws.FILTER(B:B, A:A="2021-02"), 0))), "Left", "Ativo")</f>
        <v>Ativo</v>
      </c>
      <c r="E1548" s="10" t="str" cm="1">
        <f t="array" ref="E1548">IF(AND(A1548="2021-02", ISNA(MATCH(B1548, _xlfn._xlws.FILTER(B:B, A:A="2021-03"), 0))), "Left", "Ativo")</f>
        <v>Ativo</v>
      </c>
      <c r="F1548" s="12" t="str" cm="1">
        <f t="array" ref="F1548">IF(AND(A1548="2021-03", ISNA(MATCH(B1548, _xlfn._xlws.FILTER(B:B, A:A="2021-04"), 0))), "Left", "Ativo")</f>
        <v>Ativo</v>
      </c>
    </row>
    <row r="1549" spans="1:6" x14ac:dyDescent="0.25">
      <c r="A1549" t="s">
        <v>1529</v>
      </c>
      <c r="B1549" t="s">
        <v>588</v>
      </c>
      <c r="C1549" s="10" t="str" cm="1">
        <f t="array" ref="C1549">IF(AND(A1549="2020-12", ISNA(MATCH(B1549, _xlfn._xlws.FILTER(B:B, A:A="2021-01"), 0))), "Left", "Ativo")</f>
        <v>Ativo</v>
      </c>
      <c r="D1549" s="10" t="str" cm="1">
        <f t="array" ref="D1549">IF(AND(A1549="2021-01", ISNA(MATCH(B1549, _xlfn._xlws.FILTER(B:B, A:A="2021-02"), 0))), "Left", "Ativo")</f>
        <v>Ativo</v>
      </c>
      <c r="E1549" s="10" t="str" cm="1">
        <f t="array" ref="E1549">IF(AND(A1549="2021-02", ISNA(MATCH(B1549, _xlfn._xlws.FILTER(B:B, A:A="2021-03"), 0))), "Left", "Ativo")</f>
        <v>Ativo</v>
      </c>
      <c r="F1549" s="12" t="str" cm="1">
        <f t="array" ref="F1549">IF(AND(A1549="2021-03", ISNA(MATCH(B1549, _xlfn._xlws.FILTER(B:B, A:A="2021-04"), 0))), "Left", "Ativo")</f>
        <v>Ativo</v>
      </c>
    </row>
    <row r="1550" spans="1:6" x14ac:dyDescent="0.25">
      <c r="A1550" t="s">
        <v>1529</v>
      </c>
      <c r="B1550" t="s">
        <v>589</v>
      </c>
      <c r="C1550" s="10" t="str" cm="1">
        <f t="array" ref="C1550">IF(AND(A1550="2020-12", ISNA(MATCH(B1550, _xlfn._xlws.FILTER(B:B, A:A="2021-01"), 0))), "Left", "Ativo")</f>
        <v>Ativo</v>
      </c>
      <c r="D1550" s="10" t="str" cm="1">
        <f t="array" ref="D1550">IF(AND(A1550="2021-01", ISNA(MATCH(B1550, _xlfn._xlws.FILTER(B:B, A:A="2021-02"), 0))), "Left", "Ativo")</f>
        <v>Ativo</v>
      </c>
      <c r="E1550" s="10" t="str" cm="1">
        <f t="array" ref="E1550">IF(AND(A1550="2021-02", ISNA(MATCH(B1550, _xlfn._xlws.FILTER(B:B, A:A="2021-03"), 0))), "Left", "Ativo")</f>
        <v>Ativo</v>
      </c>
      <c r="F1550" s="12" t="str" cm="1">
        <f t="array" ref="F1550">IF(AND(A1550="2021-03", ISNA(MATCH(B1550, _xlfn._xlws.FILTER(B:B, A:A="2021-04"), 0))), "Left", "Ativo")</f>
        <v>Ativo</v>
      </c>
    </row>
    <row r="1551" spans="1:6" x14ac:dyDescent="0.25">
      <c r="A1551" t="s">
        <v>1529</v>
      </c>
      <c r="B1551" t="s">
        <v>590</v>
      </c>
      <c r="C1551" s="10" t="str" cm="1">
        <f t="array" ref="C1551">IF(AND(A1551="2020-12", ISNA(MATCH(B1551, _xlfn._xlws.FILTER(B:B, A:A="2021-01"), 0))), "Left", "Ativo")</f>
        <v>Ativo</v>
      </c>
      <c r="D1551" s="10" t="str" cm="1">
        <f t="array" ref="D1551">IF(AND(A1551="2021-01", ISNA(MATCH(B1551, _xlfn._xlws.FILTER(B:B, A:A="2021-02"), 0))), "Left", "Ativo")</f>
        <v>Ativo</v>
      </c>
      <c r="E1551" s="10" t="str" cm="1">
        <f t="array" ref="E1551">IF(AND(A1551="2021-02", ISNA(MATCH(B1551, _xlfn._xlws.FILTER(B:B, A:A="2021-03"), 0))), "Left", "Ativo")</f>
        <v>Ativo</v>
      </c>
      <c r="F1551" s="12" t="str" cm="1">
        <f t="array" ref="F1551">IF(AND(A1551="2021-03", ISNA(MATCH(B1551, _xlfn._xlws.FILTER(B:B, A:A="2021-04"), 0))), "Left", "Ativo")</f>
        <v>Ativo</v>
      </c>
    </row>
    <row r="1552" spans="1:6" x14ac:dyDescent="0.25">
      <c r="A1552" t="s">
        <v>1529</v>
      </c>
      <c r="B1552" t="s">
        <v>591</v>
      </c>
      <c r="C1552" s="10" t="str" cm="1">
        <f t="array" ref="C1552">IF(AND(A1552="2020-12", ISNA(MATCH(B1552, _xlfn._xlws.FILTER(B:B, A:A="2021-01"), 0))), "Left", "Ativo")</f>
        <v>Ativo</v>
      </c>
      <c r="D1552" s="10" t="str" cm="1">
        <f t="array" ref="D1552">IF(AND(A1552="2021-01", ISNA(MATCH(B1552, _xlfn._xlws.FILTER(B:B, A:A="2021-02"), 0))), "Left", "Ativo")</f>
        <v>Ativo</v>
      </c>
      <c r="E1552" s="10" t="str" cm="1">
        <f t="array" ref="E1552">IF(AND(A1552="2021-02", ISNA(MATCH(B1552, _xlfn._xlws.FILTER(B:B, A:A="2021-03"), 0))), "Left", "Ativo")</f>
        <v>Ativo</v>
      </c>
      <c r="F1552" s="12" t="str" cm="1">
        <f t="array" ref="F1552">IF(AND(A1552="2021-03", ISNA(MATCH(B1552, _xlfn._xlws.FILTER(B:B, A:A="2021-04"), 0))), "Left", "Ativo")</f>
        <v>Ativo</v>
      </c>
    </row>
    <row r="1553" spans="1:6" x14ac:dyDescent="0.25">
      <c r="A1553" t="s">
        <v>1529</v>
      </c>
      <c r="B1553" t="s">
        <v>592</v>
      </c>
      <c r="C1553" s="10" t="str" cm="1">
        <f t="array" ref="C1553">IF(AND(A1553="2020-12", ISNA(MATCH(B1553, _xlfn._xlws.FILTER(B:B, A:A="2021-01"), 0))), "Left", "Ativo")</f>
        <v>Ativo</v>
      </c>
      <c r="D1553" s="10" t="str" cm="1">
        <f t="array" ref="D1553">IF(AND(A1553="2021-01", ISNA(MATCH(B1553, _xlfn._xlws.FILTER(B:B, A:A="2021-02"), 0))), "Left", "Ativo")</f>
        <v>Ativo</v>
      </c>
      <c r="E1553" s="10" t="str" cm="1">
        <f t="array" ref="E1553">IF(AND(A1553="2021-02", ISNA(MATCH(B1553, _xlfn._xlws.FILTER(B:B, A:A="2021-03"), 0))), "Left", "Ativo")</f>
        <v>Ativo</v>
      </c>
      <c r="F1553" s="12" t="str" cm="1">
        <f t="array" ref="F1553">IF(AND(A1553="2021-03", ISNA(MATCH(B1553, _xlfn._xlws.FILTER(B:B, A:A="2021-04"), 0))), "Left", "Ativo")</f>
        <v>Ativo</v>
      </c>
    </row>
    <row r="1554" spans="1:6" x14ac:dyDescent="0.25">
      <c r="A1554" t="s">
        <v>1529</v>
      </c>
      <c r="B1554" t="s">
        <v>593</v>
      </c>
      <c r="C1554" s="10" t="str" cm="1">
        <f t="array" ref="C1554">IF(AND(A1554="2020-12", ISNA(MATCH(B1554, _xlfn._xlws.FILTER(B:B, A:A="2021-01"), 0))), "Left", "Ativo")</f>
        <v>Ativo</v>
      </c>
      <c r="D1554" s="10" t="str" cm="1">
        <f t="array" ref="D1554">IF(AND(A1554="2021-01", ISNA(MATCH(B1554, _xlfn._xlws.FILTER(B:B, A:A="2021-02"), 0))), "Left", "Ativo")</f>
        <v>Ativo</v>
      </c>
      <c r="E1554" s="10" t="str" cm="1">
        <f t="array" ref="E1554">IF(AND(A1554="2021-02", ISNA(MATCH(B1554, _xlfn._xlws.FILTER(B:B, A:A="2021-03"), 0))), "Left", "Ativo")</f>
        <v>Ativo</v>
      </c>
      <c r="F1554" s="12" t="str" cm="1">
        <f t="array" ref="F1554">IF(AND(A1554="2021-03", ISNA(MATCH(B1554, _xlfn._xlws.FILTER(B:B, A:A="2021-04"), 0))), "Left", "Ativo")</f>
        <v>Ativo</v>
      </c>
    </row>
    <row r="1555" spans="1:6" x14ac:dyDescent="0.25">
      <c r="A1555" t="s">
        <v>1529</v>
      </c>
      <c r="B1555" t="s">
        <v>594</v>
      </c>
      <c r="C1555" s="10" t="str" cm="1">
        <f t="array" ref="C1555">IF(AND(A1555="2020-12", ISNA(MATCH(B1555, _xlfn._xlws.FILTER(B:B, A:A="2021-01"), 0))), "Left", "Ativo")</f>
        <v>Ativo</v>
      </c>
      <c r="D1555" s="10" t="str" cm="1">
        <f t="array" ref="D1555">IF(AND(A1555="2021-01", ISNA(MATCH(B1555, _xlfn._xlws.FILTER(B:B, A:A="2021-02"), 0))), "Left", "Ativo")</f>
        <v>Ativo</v>
      </c>
      <c r="E1555" s="10" t="str" cm="1">
        <f t="array" ref="E1555">IF(AND(A1555="2021-02", ISNA(MATCH(B1555, _xlfn._xlws.FILTER(B:B, A:A="2021-03"), 0))), "Left", "Ativo")</f>
        <v>Ativo</v>
      </c>
      <c r="F1555" s="12" t="str" cm="1">
        <f t="array" ref="F1555">IF(AND(A1555="2021-03", ISNA(MATCH(B1555, _xlfn._xlws.FILTER(B:B, A:A="2021-04"), 0))), "Left", "Ativo")</f>
        <v>Ativo</v>
      </c>
    </row>
    <row r="1556" spans="1:6" x14ac:dyDescent="0.25">
      <c r="A1556" t="s">
        <v>1529</v>
      </c>
      <c r="B1556" t="s">
        <v>595</v>
      </c>
      <c r="C1556" s="10" t="str" cm="1">
        <f t="array" ref="C1556">IF(AND(A1556="2020-12", ISNA(MATCH(B1556, _xlfn._xlws.FILTER(B:B, A:A="2021-01"), 0))), "Left", "Ativo")</f>
        <v>Ativo</v>
      </c>
      <c r="D1556" s="10" t="str" cm="1">
        <f t="array" ref="D1556">IF(AND(A1556="2021-01", ISNA(MATCH(B1556, _xlfn._xlws.FILTER(B:B, A:A="2021-02"), 0))), "Left", "Ativo")</f>
        <v>Ativo</v>
      </c>
      <c r="E1556" s="10" t="str" cm="1">
        <f t="array" ref="E1556">IF(AND(A1556="2021-02", ISNA(MATCH(B1556, _xlfn._xlws.FILTER(B:B, A:A="2021-03"), 0))), "Left", "Ativo")</f>
        <v>Ativo</v>
      </c>
      <c r="F1556" s="12" t="str" cm="1">
        <f t="array" ref="F1556">IF(AND(A1556="2021-03", ISNA(MATCH(B1556, _xlfn._xlws.FILTER(B:B, A:A="2021-04"), 0))), "Left", "Ativo")</f>
        <v>Ativo</v>
      </c>
    </row>
    <row r="1557" spans="1:6" x14ac:dyDescent="0.25">
      <c r="A1557" t="s">
        <v>1529</v>
      </c>
      <c r="B1557" t="s">
        <v>596</v>
      </c>
      <c r="C1557" s="10" t="str" cm="1">
        <f t="array" ref="C1557">IF(AND(A1557="2020-12", ISNA(MATCH(B1557, _xlfn._xlws.FILTER(B:B, A:A="2021-01"), 0))), "Left", "Ativo")</f>
        <v>Ativo</v>
      </c>
      <c r="D1557" s="10" t="str" cm="1">
        <f t="array" ref="D1557">IF(AND(A1557="2021-01", ISNA(MATCH(B1557, _xlfn._xlws.FILTER(B:B, A:A="2021-02"), 0))), "Left", "Ativo")</f>
        <v>Ativo</v>
      </c>
      <c r="E1557" s="10" t="str" cm="1">
        <f t="array" ref="E1557">IF(AND(A1557="2021-02", ISNA(MATCH(B1557, _xlfn._xlws.FILTER(B:B, A:A="2021-03"), 0))), "Left", "Ativo")</f>
        <v>Ativo</v>
      </c>
      <c r="F1557" s="12" t="str" cm="1">
        <f t="array" ref="F1557">IF(AND(A1557="2021-03", ISNA(MATCH(B1557, _xlfn._xlws.FILTER(B:B, A:A="2021-04"), 0))), "Left", "Ativo")</f>
        <v>Ativo</v>
      </c>
    </row>
    <row r="1558" spans="1:6" x14ac:dyDescent="0.25">
      <c r="A1558" t="s">
        <v>1529</v>
      </c>
      <c r="B1558" t="s">
        <v>597</v>
      </c>
      <c r="C1558" s="10" t="str" cm="1">
        <f t="array" ref="C1558">IF(AND(A1558="2020-12", ISNA(MATCH(B1558, _xlfn._xlws.FILTER(B:B, A:A="2021-01"), 0))), "Left", "Ativo")</f>
        <v>Ativo</v>
      </c>
      <c r="D1558" s="10" t="str" cm="1">
        <f t="array" ref="D1558">IF(AND(A1558="2021-01", ISNA(MATCH(B1558, _xlfn._xlws.FILTER(B:B, A:A="2021-02"), 0))), "Left", "Ativo")</f>
        <v>Ativo</v>
      </c>
      <c r="E1558" s="10" t="str" cm="1">
        <f t="array" ref="E1558">IF(AND(A1558="2021-02", ISNA(MATCH(B1558, _xlfn._xlws.FILTER(B:B, A:A="2021-03"), 0))), "Left", "Ativo")</f>
        <v>Ativo</v>
      </c>
      <c r="F1558" s="12" t="str" cm="1">
        <f t="array" ref="F1558">IF(AND(A1558="2021-03", ISNA(MATCH(B1558, _xlfn._xlws.FILTER(B:B, A:A="2021-04"), 0))), "Left", "Ativo")</f>
        <v>Ativo</v>
      </c>
    </row>
    <row r="1559" spans="1:6" x14ac:dyDescent="0.25">
      <c r="A1559" t="s">
        <v>1529</v>
      </c>
      <c r="B1559" t="s">
        <v>598</v>
      </c>
      <c r="C1559" s="10" t="str" cm="1">
        <f t="array" ref="C1559">IF(AND(A1559="2020-12", ISNA(MATCH(B1559, _xlfn._xlws.FILTER(B:B, A:A="2021-01"), 0))), "Left", "Ativo")</f>
        <v>Ativo</v>
      </c>
      <c r="D1559" s="10" t="str" cm="1">
        <f t="array" ref="D1559">IF(AND(A1559="2021-01", ISNA(MATCH(B1559, _xlfn._xlws.FILTER(B:B, A:A="2021-02"), 0))), "Left", "Ativo")</f>
        <v>Ativo</v>
      </c>
      <c r="E1559" s="10" t="str" cm="1">
        <f t="array" ref="E1559">IF(AND(A1559="2021-02", ISNA(MATCH(B1559, _xlfn._xlws.FILTER(B:B, A:A="2021-03"), 0))), "Left", "Ativo")</f>
        <v>Ativo</v>
      </c>
      <c r="F1559" s="12" t="str" cm="1">
        <f t="array" ref="F1559">IF(AND(A1559="2021-03", ISNA(MATCH(B1559, _xlfn._xlws.FILTER(B:B, A:A="2021-04"), 0))), "Left", "Ativo")</f>
        <v>Ativo</v>
      </c>
    </row>
    <row r="1560" spans="1:6" x14ac:dyDescent="0.25">
      <c r="A1560" t="s">
        <v>1529</v>
      </c>
      <c r="B1560" t="s">
        <v>599</v>
      </c>
      <c r="C1560" s="10" t="str" cm="1">
        <f t="array" ref="C1560">IF(AND(A1560="2020-12", ISNA(MATCH(B1560, _xlfn._xlws.FILTER(B:B, A:A="2021-01"), 0))), "Left", "Ativo")</f>
        <v>Ativo</v>
      </c>
      <c r="D1560" s="10" t="str" cm="1">
        <f t="array" ref="D1560">IF(AND(A1560="2021-01", ISNA(MATCH(B1560, _xlfn._xlws.FILTER(B:B, A:A="2021-02"), 0))), "Left", "Ativo")</f>
        <v>Ativo</v>
      </c>
      <c r="E1560" s="10" t="str" cm="1">
        <f t="array" ref="E1560">IF(AND(A1560="2021-02", ISNA(MATCH(B1560, _xlfn._xlws.FILTER(B:B, A:A="2021-03"), 0))), "Left", "Ativo")</f>
        <v>Ativo</v>
      </c>
      <c r="F1560" s="12" t="str" cm="1">
        <f t="array" ref="F1560">IF(AND(A1560="2021-03", ISNA(MATCH(B1560, _xlfn._xlws.FILTER(B:B, A:A="2021-04"), 0))), "Left", "Ativo")</f>
        <v>Ativo</v>
      </c>
    </row>
    <row r="1561" spans="1:6" x14ac:dyDescent="0.25">
      <c r="A1561" t="s">
        <v>1529</v>
      </c>
      <c r="B1561" t="s">
        <v>600</v>
      </c>
      <c r="C1561" s="10" t="str" cm="1">
        <f t="array" ref="C1561">IF(AND(A1561="2020-12", ISNA(MATCH(B1561, _xlfn._xlws.FILTER(B:B, A:A="2021-01"), 0))), "Left", "Ativo")</f>
        <v>Ativo</v>
      </c>
      <c r="D1561" s="10" t="str" cm="1">
        <f t="array" ref="D1561">IF(AND(A1561="2021-01", ISNA(MATCH(B1561, _xlfn._xlws.FILTER(B:B, A:A="2021-02"), 0))), "Left", "Ativo")</f>
        <v>Ativo</v>
      </c>
      <c r="E1561" s="10" t="str" cm="1">
        <f t="array" ref="E1561">IF(AND(A1561="2021-02", ISNA(MATCH(B1561, _xlfn._xlws.FILTER(B:B, A:A="2021-03"), 0))), "Left", "Ativo")</f>
        <v>Ativo</v>
      </c>
      <c r="F1561" s="12" t="str" cm="1">
        <f t="array" ref="F1561">IF(AND(A1561="2021-03", ISNA(MATCH(B1561, _xlfn._xlws.FILTER(B:B, A:A="2021-04"), 0))), "Left", "Ativo")</f>
        <v>Ativo</v>
      </c>
    </row>
    <row r="1562" spans="1:6" x14ac:dyDescent="0.25">
      <c r="A1562" t="s">
        <v>1529</v>
      </c>
      <c r="B1562" t="s">
        <v>601</v>
      </c>
      <c r="C1562" s="10" t="str" cm="1">
        <f t="array" ref="C1562">IF(AND(A1562="2020-12", ISNA(MATCH(B1562, _xlfn._xlws.FILTER(B:B, A:A="2021-01"), 0))), "Left", "Ativo")</f>
        <v>Ativo</v>
      </c>
      <c r="D1562" s="10" t="str" cm="1">
        <f t="array" ref="D1562">IF(AND(A1562="2021-01", ISNA(MATCH(B1562, _xlfn._xlws.FILTER(B:B, A:A="2021-02"), 0))), "Left", "Ativo")</f>
        <v>Ativo</v>
      </c>
      <c r="E1562" s="10" t="str" cm="1">
        <f t="array" ref="E1562">IF(AND(A1562="2021-02", ISNA(MATCH(B1562, _xlfn._xlws.FILTER(B:B, A:A="2021-03"), 0))), "Left", "Ativo")</f>
        <v>Ativo</v>
      </c>
      <c r="F1562" s="12" t="str" cm="1">
        <f t="array" ref="F1562">IF(AND(A1562="2021-03", ISNA(MATCH(B1562, _xlfn._xlws.FILTER(B:B, A:A="2021-04"), 0))), "Left", "Ativo")</f>
        <v>Ativo</v>
      </c>
    </row>
    <row r="1563" spans="1:6" x14ac:dyDescent="0.25">
      <c r="A1563" t="s">
        <v>1529</v>
      </c>
      <c r="B1563" t="s">
        <v>602</v>
      </c>
      <c r="C1563" s="10" t="str" cm="1">
        <f t="array" ref="C1563">IF(AND(A1563="2020-12", ISNA(MATCH(B1563, _xlfn._xlws.FILTER(B:B, A:A="2021-01"), 0))), "Left", "Ativo")</f>
        <v>Ativo</v>
      </c>
      <c r="D1563" s="10" t="str" cm="1">
        <f t="array" ref="D1563">IF(AND(A1563="2021-01", ISNA(MATCH(B1563, _xlfn._xlws.FILTER(B:B, A:A="2021-02"), 0))), "Left", "Ativo")</f>
        <v>Ativo</v>
      </c>
      <c r="E1563" s="10" t="str" cm="1">
        <f t="array" ref="E1563">IF(AND(A1563="2021-02", ISNA(MATCH(B1563, _xlfn._xlws.FILTER(B:B, A:A="2021-03"), 0))), "Left", "Ativo")</f>
        <v>Ativo</v>
      </c>
      <c r="F1563" s="12" t="str" cm="1">
        <f t="array" ref="F1563">IF(AND(A1563="2021-03", ISNA(MATCH(B1563, _xlfn._xlws.FILTER(B:B, A:A="2021-04"), 0))), "Left", "Ativo")</f>
        <v>Ativo</v>
      </c>
    </row>
    <row r="1564" spans="1:6" x14ac:dyDescent="0.25">
      <c r="A1564" t="s">
        <v>1529</v>
      </c>
      <c r="B1564" t="s">
        <v>603</v>
      </c>
      <c r="C1564" s="10" t="str" cm="1">
        <f t="array" ref="C1564">IF(AND(A1564="2020-12", ISNA(MATCH(B1564, _xlfn._xlws.FILTER(B:B, A:A="2021-01"), 0))), "Left", "Ativo")</f>
        <v>Ativo</v>
      </c>
      <c r="D1564" s="10" t="str" cm="1">
        <f t="array" ref="D1564">IF(AND(A1564="2021-01", ISNA(MATCH(B1564, _xlfn._xlws.FILTER(B:B, A:A="2021-02"), 0))), "Left", "Ativo")</f>
        <v>Ativo</v>
      </c>
      <c r="E1564" s="10" t="str" cm="1">
        <f t="array" ref="E1564">IF(AND(A1564="2021-02", ISNA(MATCH(B1564, _xlfn._xlws.FILTER(B:B, A:A="2021-03"), 0))), "Left", "Ativo")</f>
        <v>Ativo</v>
      </c>
      <c r="F1564" s="12" t="str" cm="1">
        <f t="array" ref="F1564">IF(AND(A1564="2021-03", ISNA(MATCH(B1564, _xlfn._xlws.FILTER(B:B, A:A="2021-04"), 0))), "Left", "Ativo")</f>
        <v>Ativo</v>
      </c>
    </row>
    <row r="1565" spans="1:6" x14ac:dyDescent="0.25">
      <c r="A1565" t="s">
        <v>1529</v>
      </c>
      <c r="B1565" t="s">
        <v>604</v>
      </c>
      <c r="C1565" s="10" t="str" cm="1">
        <f t="array" ref="C1565">IF(AND(A1565="2020-12", ISNA(MATCH(B1565, _xlfn._xlws.FILTER(B:B, A:A="2021-01"), 0))), "Left", "Ativo")</f>
        <v>Ativo</v>
      </c>
      <c r="D1565" s="10" t="str" cm="1">
        <f t="array" ref="D1565">IF(AND(A1565="2021-01", ISNA(MATCH(B1565, _xlfn._xlws.FILTER(B:B, A:A="2021-02"), 0))), "Left", "Ativo")</f>
        <v>Ativo</v>
      </c>
      <c r="E1565" s="10" t="str" cm="1">
        <f t="array" ref="E1565">IF(AND(A1565="2021-02", ISNA(MATCH(B1565, _xlfn._xlws.FILTER(B:B, A:A="2021-03"), 0))), "Left", "Ativo")</f>
        <v>Ativo</v>
      </c>
      <c r="F1565" s="12" t="str" cm="1">
        <f t="array" ref="F1565">IF(AND(A1565="2021-03", ISNA(MATCH(B1565, _xlfn._xlws.FILTER(B:B, A:A="2021-04"), 0))), "Left", "Ativo")</f>
        <v>Ativo</v>
      </c>
    </row>
    <row r="1566" spans="1:6" x14ac:dyDescent="0.25">
      <c r="A1566" t="s">
        <v>1529</v>
      </c>
      <c r="B1566" t="s">
        <v>605</v>
      </c>
      <c r="C1566" s="10" t="str" cm="1">
        <f t="array" ref="C1566">IF(AND(A1566="2020-12", ISNA(MATCH(B1566, _xlfn._xlws.FILTER(B:B, A:A="2021-01"), 0))), "Left", "Ativo")</f>
        <v>Ativo</v>
      </c>
      <c r="D1566" s="10" t="str" cm="1">
        <f t="array" ref="D1566">IF(AND(A1566="2021-01", ISNA(MATCH(B1566, _xlfn._xlws.FILTER(B:B, A:A="2021-02"), 0))), "Left", "Ativo")</f>
        <v>Ativo</v>
      </c>
      <c r="E1566" s="10" t="str" cm="1">
        <f t="array" ref="E1566">IF(AND(A1566="2021-02", ISNA(MATCH(B1566, _xlfn._xlws.FILTER(B:B, A:A="2021-03"), 0))), "Left", "Ativo")</f>
        <v>Ativo</v>
      </c>
      <c r="F1566" s="12" t="str" cm="1">
        <f t="array" ref="F1566">IF(AND(A1566="2021-03", ISNA(MATCH(B1566, _xlfn._xlws.FILTER(B:B, A:A="2021-04"), 0))), "Left", "Ativo")</f>
        <v>Ativo</v>
      </c>
    </row>
    <row r="1567" spans="1:6" x14ac:dyDescent="0.25">
      <c r="A1567" t="s">
        <v>1529</v>
      </c>
      <c r="B1567" t="s">
        <v>606</v>
      </c>
      <c r="C1567" s="10" t="str" cm="1">
        <f t="array" ref="C1567">IF(AND(A1567="2020-12", ISNA(MATCH(B1567, _xlfn._xlws.FILTER(B:B, A:A="2021-01"), 0))), "Left", "Ativo")</f>
        <v>Ativo</v>
      </c>
      <c r="D1567" s="10" t="str" cm="1">
        <f t="array" ref="D1567">IF(AND(A1567="2021-01", ISNA(MATCH(B1567, _xlfn._xlws.FILTER(B:B, A:A="2021-02"), 0))), "Left", "Ativo")</f>
        <v>Ativo</v>
      </c>
      <c r="E1567" s="10" t="str" cm="1">
        <f t="array" ref="E1567">IF(AND(A1567="2021-02", ISNA(MATCH(B1567, _xlfn._xlws.FILTER(B:B, A:A="2021-03"), 0))), "Left", "Ativo")</f>
        <v>Ativo</v>
      </c>
      <c r="F1567" s="12" t="str" cm="1">
        <f t="array" ref="F1567">IF(AND(A1567="2021-03", ISNA(MATCH(B1567, _xlfn._xlws.FILTER(B:B, A:A="2021-04"), 0))), "Left", "Ativo")</f>
        <v>Ativo</v>
      </c>
    </row>
    <row r="1568" spans="1:6" x14ac:dyDescent="0.25">
      <c r="A1568" t="s">
        <v>1529</v>
      </c>
      <c r="B1568" t="s">
        <v>607</v>
      </c>
      <c r="C1568" s="10" t="str" cm="1">
        <f t="array" ref="C1568">IF(AND(A1568="2020-12", ISNA(MATCH(B1568, _xlfn._xlws.FILTER(B:B, A:A="2021-01"), 0))), "Left", "Ativo")</f>
        <v>Ativo</v>
      </c>
      <c r="D1568" s="10" t="str" cm="1">
        <f t="array" ref="D1568">IF(AND(A1568="2021-01", ISNA(MATCH(B1568, _xlfn._xlws.FILTER(B:B, A:A="2021-02"), 0))), "Left", "Ativo")</f>
        <v>Ativo</v>
      </c>
      <c r="E1568" s="10" t="str" cm="1">
        <f t="array" ref="E1568">IF(AND(A1568="2021-02", ISNA(MATCH(B1568, _xlfn._xlws.FILTER(B:B, A:A="2021-03"), 0))), "Left", "Ativo")</f>
        <v>Ativo</v>
      </c>
      <c r="F1568" s="12" t="str" cm="1">
        <f t="array" ref="F1568">IF(AND(A1568="2021-03", ISNA(MATCH(B1568, _xlfn._xlws.FILTER(B:B, A:A="2021-04"), 0))), "Left", "Ativo")</f>
        <v>Ativo</v>
      </c>
    </row>
    <row r="1569" spans="1:6" x14ac:dyDescent="0.25">
      <c r="A1569" t="s">
        <v>1529</v>
      </c>
      <c r="B1569" t="s">
        <v>608</v>
      </c>
      <c r="C1569" s="10" t="str" cm="1">
        <f t="array" ref="C1569">IF(AND(A1569="2020-12", ISNA(MATCH(B1569, _xlfn._xlws.FILTER(B:B, A:A="2021-01"), 0))), "Left", "Ativo")</f>
        <v>Ativo</v>
      </c>
      <c r="D1569" s="10" t="str" cm="1">
        <f t="array" ref="D1569">IF(AND(A1569="2021-01", ISNA(MATCH(B1569, _xlfn._xlws.FILTER(B:B, A:A="2021-02"), 0))), "Left", "Ativo")</f>
        <v>Ativo</v>
      </c>
      <c r="E1569" s="10" t="str" cm="1">
        <f t="array" ref="E1569">IF(AND(A1569="2021-02", ISNA(MATCH(B1569, _xlfn._xlws.FILTER(B:B, A:A="2021-03"), 0))), "Left", "Ativo")</f>
        <v>Ativo</v>
      </c>
      <c r="F1569" s="12" t="str" cm="1">
        <f t="array" ref="F1569">IF(AND(A1569="2021-03", ISNA(MATCH(B1569, _xlfn._xlws.FILTER(B:B, A:A="2021-04"), 0))), "Left", "Ativo")</f>
        <v>Ativo</v>
      </c>
    </row>
    <row r="1570" spans="1:6" x14ac:dyDescent="0.25">
      <c r="A1570" t="s">
        <v>1529</v>
      </c>
      <c r="B1570" t="s">
        <v>609</v>
      </c>
      <c r="C1570" s="10" t="str" cm="1">
        <f t="array" ref="C1570">IF(AND(A1570="2020-12", ISNA(MATCH(B1570, _xlfn._xlws.FILTER(B:B, A:A="2021-01"), 0))), "Left", "Ativo")</f>
        <v>Ativo</v>
      </c>
      <c r="D1570" s="10" t="str" cm="1">
        <f t="array" ref="D1570">IF(AND(A1570="2021-01", ISNA(MATCH(B1570, _xlfn._xlws.FILTER(B:B, A:A="2021-02"), 0))), "Left", "Ativo")</f>
        <v>Ativo</v>
      </c>
      <c r="E1570" s="10" t="str" cm="1">
        <f t="array" ref="E1570">IF(AND(A1570="2021-02", ISNA(MATCH(B1570, _xlfn._xlws.FILTER(B:B, A:A="2021-03"), 0))), "Left", "Ativo")</f>
        <v>Ativo</v>
      </c>
      <c r="F1570" s="12" t="str" cm="1">
        <f t="array" ref="F1570">IF(AND(A1570="2021-03", ISNA(MATCH(B1570, _xlfn._xlws.FILTER(B:B, A:A="2021-04"), 0))), "Left", "Ativo")</f>
        <v>Ativo</v>
      </c>
    </row>
    <row r="1571" spans="1:6" x14ac:dyDescent="0.25">
      <c r="A1571" t="s">
        <v>1529</v>
      </c>
      <c r="B1571" t="s">
        <v>610</v>
      </c>
      <c r="C1571" s="10" t="str" cm="1">
        <f t="array" ref="C1571">IF(AND(A1571="2020-12", ISNA(MATCH(B1571, _xlfn._xlws.FILTER(B:B, A:A="2021-01"), 0))), "Left", "Ativo")</f>
        <v>Ativo</v>
      </c>
      <c r="D1571" s="10" t="str" cm="1">
        <f t="array" ref="D1571">IF(AND(A1571="2021-01", ISNA(MATCH(B1571, _xlfn._xlws.FILTER(B:B, A:A="2021-02"), 0))), "Left", "Ativo")</f>
        <v>Ativo</v>
      </c>
      <c r="E1571" s="10" t="str" cm="1">
        <f t="array" ref="E1571">IF(AND(A1571="2021-02", ISNA(MATCH(B1571, _xlfn._xlws.FILTER(B:B, A:A="2021-03"), 0))), "Left", "Ativo")</f>
        <v>Ativo</v>
      </c>
      <c r="F1571" s="12" t="str" cm="1">
        <f t="array" ref="F1571">IF(AND(A1571="2021-03", ISNA(MATCH(B1571, _xlfn._xlws.FILTER(B:B, A:A="2021-04"), 0))), "Left", "Ativo")</f>
        <v>Ativo</v>
      </c>
    </row>
    <row r="1572" spans="1:6" x14ac:dyDescent="0.25">
      <c r="A1572" t="s">
        <v>1529</v>
      </c>
      <c r="B1572" t="s">
        <v>611</v>
      </c>
      <c r="C1572" s="10" t="str" cm="1">
        <f t="array" ref="C1572">IF(AND(A1572="2020-12", ISNA(MATCH(B1572, _xlfn._xlws.FILTER(B:B, A:A="2021-01"), 0))), "Left", "Ativo")</f>
        <v>Ativo</v>
      </c>
      <c r="D1572" s="10" t="str" cm="1">
        <f t="array" ref="D1572">IF(AND(A1572="2021-01", ISNA(MATCH(B1572, _xlfn._xlws.FILTER(B:B, A:A="2021-02"), 0))), "Left", "Ativo")</f>
        <v>Ativo</v>
      </c>
      <c r="E1572" s="10" t="str" cm="1">
        <f t="array" ref="E1572">IF(AND(A1572="2021-02", ISNA(MATCH(B1572, _xlfn._xlws.FILTER(B:B, A:A="2021-03"), 0))), "Left", "Ativo")</f>
        <v>Ativo</v>
      </c>
      <c r="F1572" s="12" t="str" cm="1">
        <f t="array" ref="F1572">IF(AND(A1572="2021-03", ISNA(MATCH(B1572, _xlfn._xlws.FILTER(B:B, A:A="2021-04"), 0))), "Left", "Ativo")</f>
        <v>Ativo</v>
      </c>
    </row>
    <row r="1573" spans="1:6" x14ac:dyDescent="0.25">
      <c r="A1573" t="s">
        <v>1529</v>
      </c>
      <c r="B1573" t="s">
        <v>612</v>
      </c>
      <c r="C1573" s="10" t="str" cm="1">
        <f t="array" ref="C1573">IF(AND(A1573="2020-12", ISNA(MATCH(B1573, _xlfn._xlws.FILTER(B:B, A:A="2021-01"), 0))), "Left", "Ativo")</f>
        <v>Ativo</v>
      </c>
      <c r="D1573" s="10" t="str" cm="1">
        <f t="array" ref="D1573">IF(AND(A1573="2021-01", ISNA(MATCH(B1573, _xlfn._xlws.FILTER(B:B, A:A="2021-02"), 0))), "Left", "Ativo")</f>
        <v>Ativo</v>
      </c>
      <c r="E1573" s="10" t="str" cm="1">
        <f t="array" ref="E1573">IF(AND(A1573="2021-02", ISNA(MATCH(B1573, _xlfn._xlws.FILTER(B:B, A:A="2021-03"), 0))), "Left", "Ativo")</f>
        <v>Ativo</v>
      </c>
      <c r="F1573" s="12" t="str" cm="1">
        <f t="array" ref="F1573">IF(AND(A1573="2021-03", ISNA(MATCH(B1573, _xlfn._xlws.FILTER(B:B, A:A="2021-04"), 0))), "Left", "Ativo")</f>
        <v>Ativo</v>
      </c>
    </row>
    <row r="1574" spans="1:6" x14ac:dyDescent="0.25">
      <c r="A1574" t="s">
        <v>1529</v>
      </c>
      <c r="B1574" t="s">
        <v>613</v>
      </c>
      <c r="C1574" s="10" t="str" cm="1">
        <f t="array" ref="C1574">IF(AND(A1574="2020-12", ISNA(MATCH(B1574, _xlfn._xlws.FILTER(B:B, A:A="2021-01"), 0))), "Left", "Ativo")</f>
        <v>Ativo</v>
      </c>
      <c r="D1574" s="10" t="str" cm="1">
        <f t="array" ref="D1574">IF(AND(A1574="2021-01", ISNA(MATCH(B1574, _xlfn._xlws.FILTER(B:B, A:A="2021-02"), 0))), "Left", "Ativo")</f>
        <v>Ativo</v>
      </c>
      <c r="E1574" s="10" t="str" cm="1">
        <f t="array" ref="E1574">IF(AND(A1574="2021-02", ISNA(MATCH(B1574, _xlfn._xlws.FILTER(B:B, A:A="2021-03"), 0))), "Left", "Ativo")</f>
        <v>Ativo</v>
      </c>
      <c r="F1574" s="12" t="str" cm="1">
        <f t="array" ref="F1574">IF(AND(A1574="2021-03", ISNA(MATCH(B1574, _xlfn._xlws.FILTER(B:B, A:A="2021-04"), 0))), "Left", "Ativo")</f>
        <v>Ativo</v>
      </c>
    </row>
    <row r="1575" spans="1:6" x14ac:dyDescent="0.25">
      <c r="A1575" t="s">
        <v>1529</v>
      </c>
      <c r="B1575" t="s">
        <v>614</v>
      </c>
      <c r="C1575" s="10" t="str" cm="1">
        <f t="array" ref="C1575">IF(AND(A1575="2020-12", ISNA(MATCH(B1575, _xlfn._xlws.FILTER(B:B, A:A="2021-01"), 0))), "Left", "Ativo")</f>
        <v>Ativo</v>
      </c>
      <c r="D1575" s="10" t="str" cm="1">
        <f t="array" ref="D1575">IF(AND(A1575="2021-01", ISNA(MATCH(B1575, _xlfn._xlws.FILTER(B:B, A:A="2021-02"), 0))), "Left", "Ativo")</f>
        <v>Ativo</v>
      </c>
      <c r="E1575" s="10" t="str" cm="1">
        <f t="array" ref="E1575">IF(AND(A1575="2021-02", ISNA(MATCH(B1575, _xlfn._xlws.FILTER(B:B, A:A="2021-03"), 0))), "Left", "Ativo")</f>
        <v>Ativo</v>
      </c>
      <c r="F1575" s="12" t="str" cm="1">
        <f t="array" ref="F1575">IF(AND(A1575="2021-03", ISNA(MATCH(B1575, _xlfn._xlws.FILTER(B:B, A:A="2021-04"), 0))), "Left", "Ativo")</f>
        <v>Ativo</v>
      </c>
    </row>
    <row r="1576" spans="1:6" x14ac:dyDescent="0.25">
      <c r="A1576" t="s">
        <v>1529</v>
      </c>
      <c r="B1576" t="s">
        <v>615</v>
      </c>
      <c r="C1576" s="10" t="str" cm="1">
        <f t="array" ref="C1576">IF(AND(A1576="2020-12", ISNA(MATCH(B1576, _xlfn._xlws.FILTER(B:B, A:A="2021-01"), 0))), "Left", "Ativo")</f>
        <v>Ativo</v>
      </c>
      <c r="D1576" s="10" t="str" cm="1">
        <f t="array" ref="D1576">IF(AND(A1576="2021-01", ISNA(MATCH(B1576, _xlfn._xlws.FILTER(B:B, A:A="2021-02"), 0))), "Left", "Ativo")</f>
        <v>Ativo</v>
      </c>
      <c r="E1576" s="10" t="str" cm="1">
        <f t="array" ref="E1576">IF(AND(A1576="2021-02", ISNA(MATCH(B1576, _xlfn._xlws.FILTER(B:B, A:A="2021-03"), 0))), "Left", "Ativo")</f>
        <v>Ativo</v>
      </c>
      <c r="F1576" s="12" t="str" cm="1">
        <f t="array" ref="F1576">IF(AND(A1576="2021-03", ISNA(MATCH(B1576, _xlfn._xlws.FILTER(B:B, A:A="2021-04"), 0))), "Left", "Ativo")</f>
        <v>Ativo</v>
      </c>
    </row>
    <row r="1577" spans="1:6" x14ac:dyDescent="0.25">
      <c r="A1577" t="s">
        <v>1529</v>
      </c>
      <c r="B1577" t="s">
        <v>616</v>
      </c>
      <c r="C1577" s="10" t="str" cm="1">
        <f t="array" ref="C1577">IF(AND(A1577="2020-12", ISNA(MATCH(B1577, _xlfn._xlws.FILTER(B:B, A:A="2021-01"), 0))), "Left", "Ativo")</f>
        <v>Ativo</v>
      </c>
      <c r="D1577" s="10" t="str" cm="1">
        <f t="array" ref="D1577">IF(AND(A1577="2021-01", ISNA(MATCH(B1577, _xlfn._xlws.FILTER(B:B, A:A="2021-02"), 0))), "Left", "Ativo")</f>
        <v>Ativo</v>
      </c>
      <c r="E1577" s="10" t="str" cm="1">
        <f t="array" ref="E1577">IF(AND(A1577="2021-02", ISNA(MATCH(B1577, _xlfn._xlws.FILTER(B:B, A:A="2021-03"), 0))), "Left", "Ativo")</f>
        <v>Ativo</v>
      </c>
      <c r="F1577" s="12" t="str" cm="1">
        <f t="array" ref="F1577">IF(AND(A1577="2021-03", ISNA(MATCH(B1577, _xlfn._xlws.FILTER(B:B, A:A="2021-04"), 0))), "Left", "Ativo")</f>
        <v>Ativo</v>
      </c>
    </row>
    <row r="1578" spans="1:6" x14ac:dyDescent="0.25">
      <c r="A1578" t="s">
        <v>1529</v>
      </c>
      <c r="B1578" t="s">
        <v>617</v>
      </c>
      <c r="C1578" s="10" t="str" cm="1">
        <f t="array" ref="C1578">IF(AND(A1578="2020-12", ISNA(MATCH(B1578, _xlfn._xlws.FILTER(B:B, A:A="2021-01"), 0))), "Left", "Ativo")</f>
        <v>Ativo</v>
      </c>
      <c r="D1578" s="10" t="str" cm="1">
        <f t="array" ref="D1578">IF(AND(A1578="2021-01", ISNA(MATCH(B1578, _xlfn._xlws.FILTER(B:B, A:A="2021-02"), 0))), "Left", "Ativo")</f>
        <v>Ativo</v>
      </c>
      <c r="E1578" s="10" t="str" cm="1">
        <f t="array" ref="E1578">IF(AND(A1578="2021-02", ISNA(MATCH(B1578, _xlfn._xlws.FILTER(B:B, A:A="2021-03"), 0))), "Left", "Ativo")</f>
        <v>Ativo</v>
      </c>
      <c r="F1578" s="12" t="str" cm="1">
        <f t="array" ref="F1578">IF(AND(A1578="2021-03", ISNA(MATCH(B1578, _xlfn._xlws.FILTER(B:B, A:A="2021-04"), 0))), "Left", "Ativo")</f>
        <v>Ativo</v>
      </c>
    </row>
    <row r="1579" spans="1:6" x14ac:dyDescent="0.25">
      <c r="A1579" t="s">
        <v>1529</v>
      </c>
      <c r="B1579" t="s">
        <v>618</v>
      </c>
      <c r="C1579" s="10" t="str" cm="1">
        <f t="array" ref="C1579">IF(AND(A1579="2020-12", ISNA(MATCH(B1579, _xlfn._xlws.FILTER(B:B, A:A="2021-01"), 0))), "Left", "Ativo")</f>
        <v>Ativo</v>
      </c>
      <c r="D1579" s="10" t="str" cm="1">
        <f t="array" ref="D1579">IF(AND(A1579="2021-01", ISNA(MATCH(B1579, _xlfn._xlws.FILTER(B:B, A:A="2021-02"), 0))), "Left", "Ativo")</f>
        <v>Ativo</v>
      </c>
      <c r="E1579" s="10" t="str" cm="1">
        <f t="array" ref="E1579">IF(AND(A1579="2021-02", ISNA(MATCH(B1579, _xlfn._xlws.FILTER(B:B, A:A="2021-03"), 0))), "Left", "Ativo")</f>
        <v>Ativo</v>
      </c>
      <c r="F1579" s="12" t="str" cm="1">
        <f t="array" ref="F1579">IF(AND(A1579="2021-03", ISNA(MATCH(B1579, _xlfn._xlws.FILTER(B:B, A:A="2021-04"), 0))), "Left", "Ativo")</f>
        <v>Ativo</v>
      </c>
    </row>
    <row r="1580" spans="1:6" x14ac:dyDescent="0.25">
      <c r="A1580" t="s">
        <v>1529</v>
      </c>
      <c r="B1580" t="s">
        <v>619</v>
      </c>
      <c r="C1580" s="10" t="str" cm="1">
        <f t="array" ref="C1580">IF(AND(A1580="2020-12", ISNA(MATCH(B1580, _xlfn._xlws.FILTER(B:B, A:A="2021-01"), 0))), "Left", "Ativo")</f>
        <v>Ativo</v>
      </c>
      <c r="D1580" s="10" t="str" cm="1">
        <f t="array" ref="D1580">IF(AND(A1580="2021-01", ISNA(MATCH(B1580, _xlfn._xlws.FILTER(B:B, A:A="2021-02"), 0))), "Left", "Ativo")</f>
        <v>Ativo</v>
      </c>
      <c r="E1580" s="10" t="str" cm="1">
        <f t="array" ref="E1580">IF(AND(A1580="2021-02", ISNA(MATCH(B1580, _xlfn._xlws.FILTER(B:B, A:A="2021-03"), 0))), "Left", "Ativo")</f>
        <v>Ativo</v>
      </c>
      <c r="F1580" s="12" t="str" cm="1">
        <f t="array" ref="F1580">IF(AND(A1580="2021-03", ISNA(MATCH(B1580, _xlfn._xlws.FILTER(B:B, A:A="2021-04"), 0))), "Left", "Ativo")</f>
        <v>Ativo</v>
      </c>
    </row>
    <row r="1581" spans="1:6" x14ac:dyDescent="0.25">
      <c r="A1581" t="s">
        <v>1529</v>
      </c>
      <c r="B1581" t="s">
        <v>620</v>
      </c>
      <c r="C1581" s="10" t="str" cm="1">
        <f t="array" ref="C1581">IF(AND(A1581="2020-12", ISNA(MATCH(B1581, _xlfn._xlws.FILTER(B:B, A:A="2021-01"), 0))), "Left", "Ativo")</f>
        <v>Ativo</v>
      </c>
      <c r="D1581" s="10" t="str" cm="1">
        <f t="array" ref="D1581">IF(AND(A1581="2021-01", ISNA(MATCH(B1581, _xlfn._xlws.FILTER(B:B, A:A="2021-02"), 0))), "Left", "Ativo")</f>
        <v>Ativo</v>
      </c>
      <c r="E1581" s="10" t="str" cm="1">
        <f t="array" ref="E1581">IF(AND(A1581="2021-02", ISNA(MATCH(B1581, _xlfn._xlws.FILTER(B:B, A:A="2021-03"), 0))), "Left", "Ativo")</f>
        <v>Ativo</v>
      </c>
      <c r="F1581" s="12" t="str" cm="1">
        <f t="array" ref="F1581">IF(AND(A1581="2021-03", ISNA(MATCH(B1581, _xlfn._xlws.FILTER(B:B, A:A="2021-04"), 0))), "Left", "Ativo")</f>
        <v>Ativo</v>
      </c>
    </row>
    <row r="1582" spans="1:6" x14ac:dyDescent="0.25">
      <c r="A1582" t="s">
        <v>1529</v>
      </c>
      <c r="B1582" t="s">
        <v>621</v>
      </c>
      <c r="C1582" s="10" t="str" cm="1">
        <f t="array" ref="C1582">IF(AND(A1582="2020-12", ISNA(MATCH(B1582, _xlfn._xlws.FILTER(B:B, A:A="2021-01"), 0))), "Left", "Ativo")</f>
        <v>Ativo</v>
      </c>
      <c r="D1582" s="10" t="str" cm="1">
        <f t="array" ref="D1582">IF(AND(A1582="2021-01", ISNA(MATCH(B1582, _xlfn._xlws.FILTER(B:B, A:A="2021-02"), 0))), "Left", "Ativo")</f>
        <v>Ativo</v>
      </c>
      <c r="E1582" s="10" t="str" cm="1">
        <f t="array" ref="E1582">IF(AND(A1582="2021-02", ISNA(MATCH(B1582, _xlfn._xlws.FILTER(B:B, A:A="2021-03"), 0))), "Left", "Ativo")</f>
        <v>Ativo</v>
      </c>
      <c r="F1582" s="12" t="str" cm="1">
        <f t="array" ref="F1582">IF(AND(A1582="2021-03", ISNA(MATCH(B1582, _xlfn._xlws.FILTER(B:B, A:A="2021-04"), 0))), "Left", "Ativo")</f>
        <v>Ativo</v>
      </c>
    </row>
    <row r="1583" spans="1:6" x14ac:dyDescent="0.25">
      <c r="A1583" t="s">
        <v>1529</v>
      </c>
      <c r="B1583" t="s">
        <v>622</v>
      </c>
      <c r="C1583" s="10" t="str" cm="1">
        <f t="array" ref="C1583">IF(AND(A1583="2020-12", ISNA(MATCH(B1583, _xlfn._xlws.FILTER(B:B, A:A="2021-01"), 0))), "Left", "Ativo")</f>
        <v>Ativo</v>
      </c>
      <c r="D1583" s="10" t="str" cm="1">
        <f t="array" ref="D1583">IF(AND(A1583="2021-01", ISNA(MATCH(B1583, _xlfn._xlws.FILTER(B:B, A:A="2021-02"), 0))), "Left", "Ativo")</f>
        <v>Ativo</v>
      </c>
      <c r="E1583" s="10" t="str" cm="1">
        <f t="array" ref="E1583">IF(AND(A1583="2021-02", ISNA(MATCH(B1583, _xlfn._xlws.FILTER(B:B, A:A="2021-03"), 0))), "Left", "Ativo")</f>
        <v>Ativo</v>
      </c>
      <c r="F1583" s="12" t="str" cm="1">
        <f t="array" ref="F1583">IF(AND(A1583="2021-03", ISNA(MATCH(B1583, _xlfn._xlws.FILTER(B:B, A:A="2021-04"), 0))), "Left", "Ativo")</f>
        <v>Ativo</v>
      </c>
    </row>
    <row r="1584" spans="1:6" x14ac:dyDescent="0.25">
      <c r="A1584" t="s">
        <v>1529</v>
      </c>
      <c r="B1584" t="s">
        <v>623</v>
      </c>
      <c r="C1584" s="10" t="str" cm="1">
        <f t="array" ref="C1584">IF(AND(A1584="2020-12", ISNA(MATCH(B1584, _xlfn._xlws.FILTER(B:B, A:A="2021-01"), 0))), "Left", "Ativo")</f>
        <v>Ativo</v>
      </c>
      <c r="D1584" s="10" t="str" cm="1">
        <f t="array" ref="D1584">IF(AND(A1584="2021-01", ISNA(MATCH(B1584, _xlfn._xlws.FILTER(B:B, A:A="2021-02"), 0))), "Left", "Ativo")</f>
        <v>Ativo</v>
      </c>
      <c r="E1584" s="10" t="str" cm="1">
        <f t="array" ref="E1584">IF(AND(A1584="2021-02", ISNA(MATCH(B1584, _xlfn._xlws.FILTER(B:B, A:A="2021-03"), 0))), "Left", "Ativo")</f>
        <v>Ativo</v>
      </c>
      <c r="F1584" s="12" t="str" cm="1">
        <f t="array" ref="F1584">IF(AND(A1584="2021-03", ISNA(MATCH(B1584, _xlfn._xlws.FILTER(B:B, A:A="2021-04"), 0))), "Left", "Ativo")</f>
        <v>Ativo</v>
      </c>
    </row>
    <row r="1585" spans="1:6" x14ac:dyDescent="0.25">
      <c r="A1585" t="s">
        <v>1529</v>
      </c>
      <c r="B1585" t="s">
        <v>624</v>
      </c>
      <c r="C1585" s="10" t="str" cm="1">
        <f t="array" ref="C1585">IF(AND(A1585="2020-12", ISNA(MATCH(B1585, _xlfn._xlws.FILTER(B:B, A:A="2021-01"), 0))), "Left", "Ativo")</f>
        <v>Ativo</v>
      </c>
      <c r="D1585" s="10" t="str" cm="1">
        <f t="array" ref="D1585">IF(AND(A1585="2021-01", ISNA(MATCH(B1585, _xlfn._xlws.FILTER(B:B, A:A="2021-02"), 0))), "Left", "Ativo")</f>
        <v>Ativo</v>
      </c>
      <c r="E1585" s="10" t="str" cm="1">
        <f t="array" ref="E1585">IF(AND(A1585="2021-02", ISNA(MATCH(B1585, _xlfn._xlws.FILTER(B:B, A:A="2021-03"), 0))), "Left", "Ativo")</f>
        <v>Ativo</v>
      </c>
      <c r="F1585" s="12" t="str" cm="1">
        <f t="array" ref="F1585">IF(AND(A1585="2021-03", ISNA(MATCH(B1585, _xlfn._xlws.FILTER(B:B, A:A="2021-04"), 0))), "Left", "Ativo")</f>
        <v>Ativo</v>
      </c>
    </row>
    <row r="1586" spans="1:6" x14ac:dyDescent="0.25">
      <c r="A1586" t="s">
        <v>1529</v>
      </c>
      <c r="B1586" t="s">
        <v>625</v>
      </c>
      <c r="C1586" s="10" t="str" cm="1">
        <f t="array" ref="C1586">IF(AND(A1586="2020-12", ISNA(MATCH(B1586, _xlfn._xlws.FILTER(B:B, A:A="2021-01"), 0))), "Left", "Ativo")</f>
        <v>Ativo</v>
      </c>
      <c r="D1586" s="10" t="str" cm="1">
        <f t="array" ref="D1586">IF(AND(A1586="2021-01", ISNA(MATCH(B1586, _xlfn._xlws.FILTER(B:B, A:A="2021-02"), 0))), "Left", "Ativo")</f>
        <v>Ativo</v>
      </c>
      <c r="E1586" s="10" t="str" cm="1">
        <f t="array" ref="E1586">IF(AND(A1586="2021-02", ISNA(MATCH(B1586, _xlfn._xlws.FILTER(B:B, A:A="2021-03"), 0))), "Left", "Ativo")</f>
        <v>Ativo</v>
      </c>
      <c r="F1586" s="12" t="str" cm="1">
        <f t="array" ref="F1586">IF(AND(A1586="2021-03", ISNA(MATCH(B1586, _xlfn._xlws.FILTER(B:B, A:A="2021-04"), 0))), "Left", "Ativo")</f>
        <v>Ativo</v>
      </c>
    </row>
    <row r="1587" spans="1:6" x14ac:dyDescent="0.25">
      <c r="A1587" t="s">
        <v>1529</v>
      </c>
      <c r="B1587" t="s">
        <v>626</v>
      </c>
      <c r="C1587" s="10" t="str" cm="1">
        <f t="array" ref="C1587">IF(AND(A1587="2020-12", ISNA(MATCH(B1587, _xlfn._xlws.FILTER(B:B, A:A="2021-01"), 0))), "Left", "Ativo")</f>
        <v>Ativo</v>
      </c>
      <c r="D1587" s="10" t="str" cm="1">
        <f t="array" ref="D1587">IF(AND(A1587="2021-01", ISNA(MATCH(B1587, _xlfn._xlws.FILTER(B:B, A:A="2021-02"), 0))), "Left", "Ativo")</f>
        <v>Ativo</v>
      </c>
      <c r="E1587" s="10" t="str" cm="1">
        <f t="array" ref="E1587">IF(AND(A1587="2021-02", ISNA(MATCH(B1587, _xlfn._xlws.FILTER(B:B, A:A="2021-03"), 0))), "Left", "Ativo")</f>
        <v>Ativo</v>
      </c>
      <c r="F1587" s="12" t="str" cm="1">
        <f t="array" ref="F1587">IF(AND(A1587="2021-03", ISNA(MATCH(B1587, _xlfn._xlws.FILTER(B:B, A:A="2021-04"), 0))), "Left", "Ativo")</f>
        <v>Ativo</v>
      </c>
    </row>
    <row r="1588" spans="1:6" x14ac:dyDescent="0.25">
      <c r="A1588" t="s">
        <v>1529</v>
      </c>
      <c r="B1588" t="s">
        <v>627</v>
      </c>
      <c r="C1588" s="10" t="str" cm="1">
        <f t="array" ref="C1588">IF(AND(A1588="2020-12", ISNA(MATCH(B1588, _xlfn._xlws.FILTER(B:B, A:A="2021-01"), 0))), "Left", "Ativo")</f>
        <v>Ativo</v>
      </c>
      <c r="D1588" s="10" t="str" cm="1">
        <f t="array" ref="D1588">IF(AND(A1588="2021-01", ISNA(MATCH(B1588, _xlfn._xlws.FILTER(B:B, A:A="2021-02"), 0))), "Left", "Ativo")</f>
        <v>Ativo</v>
      </c>
      <c r="E1588" s="10" t="str" cm="1">
        <f t="array" ref="E1588">IF(AND(A1588="2021-02", ISNA(MATCH(B1588, _xlfn._xlws.FILTER(B:B, A:A="2021-03"), 0))), "Left", "Ativo")</f>
        <v>Ativo</v>
      </c>
      <c r="F1588" s="12" t="str" cm="1">
        <f t="array" ref="F1588">IF(AND(A1588="2021-03", ISNA(MATCH(B1588, _xlfn._xlws.FILTER(B:B, A:A="2021-04"), 0))), "Left", "Ativo")</f>
        <v>Ativo</v>
      </c>
    </row>
    <row r="1589" spans="1:6" x14ac:dyDescent="0.25">
      <c r="A1589" t="s">
        <v>1529</v>
      </c>
      <c r="B1589" t="s">
        <v>628</v>
      </c>
      <c r="C1589" s="10" t="str" cm="1">
        <f t="array" ref="C1589">IF(AND(A1589="2020-12", ISNA(MATCH(B1589, _xlfn._xlws.FILTER(B:B, A:A="2021-01"), 0))), "Left", "Ativo")</f>
        <v>Ativo</v>
      </c>
      <c r="D1589" s="10" t="str" cm="1">
        <f t="array" ref="D1589">IF(AND(A1589="2021-01", ISNA(MATCH(B1589, _xlfn._xlws.FILTER(B:B, A:A="2021-02"), 0))), "Left", "Ativo")</f>
        <v>Ativo</v>
      </c>
      <c r="E1589" s="10" t="str" cm="1">
        <f t="array" ref="E1589">IF(AND(A1589="2021-02", ISNA(MATCH(B1589, _xlfn._xlws.FILTER(B:B, A:A="2021-03"), 0))), "Left", "Ativo")</f>
        <v>Ativo</v>
      </c>
      <c r="F1589" s="12" t="str" cm="1">
        <f t="array" ref="F1589">IF(AND(A1589="2021-03", ISNA(MATCH(B1589, _xlfn._xlws.FILTER(B:B, A:A="2021-04"), 0))), "Left", "Ativo")</f>
        <v>Ativo</v>
      </c>
    </row>
    <row r="1590" spans="1:6" x14ac:dyDescent="0.25">
      <c r="A1590" t="s">
        <v>1529</v>
      </c>
      <c r="B1590" t="s">
        <v>629</v>
      </c>
      <c r="C1590" s="10" t="str" cm="1">
        <f t="array" ref="C1590">IF(AND(A1590="2020-12", ISNA(MATCH(B1590, _xlfn._xlws.FILTER(B:B, A:A="2021-01"), 0))), "Left", "Ativo")</f>
        <v>Ativo</v>
      </c>
      <c r="D1590" s="10" t="str" cm="1">
        <f t="array" ref="D1590">IF(AND(A1590="2021-01", ISNA(MATCH(B1590, _xlfn._xlws.FILTER(B:B, A:A="2021-02"), 0))), "Left", "Ativo")</f>
        <v>Ativo</v>
      </c>
      <c r="E1590" s="10" t="str" cm="1">
        <f t="array" ref="E1590">IF(AND(A1590="2021-02", ISNA(MATCH(B1590, _xlfn._xlws.FILTER(B:B, A:A="2021-03"), 0))), "Left", "Ativo")</f>
        <v>Ativo</v>
      </c>
      <c r="F1590" s="12" t="str" cm="1">
        <f t="array" ref="F1590">IF(AND(A1590="2021-03", ISNA(MATCH(B1590, _xlfn._xlws.FILTER(B:B, A:A="2021-04"), 0))), "Left", "Ativo")</f>
        <v>Ativo</v>
      </c>
    </row>
    <row r="1591" spans="1:6" x14ac:dyDescent="0.25">
      <c r="A1591" t="s">
        <v>1529</v>
      </c>
      <c r="B1591" t="s">
        <v>630</v>
      </c>
      <c r="C1591" s="10" t="str" cm="1">
        <f t="array" ref="C1591">IF(AND(A1591="2020-12", ISNA(MATCH(B1591, _xlfn._xlws.FILTER(B:B, A:A="2021-01"), 0))), "Left", "Ativo")</f>
        <v>Ativo</v>
      </c>
      <c r="D1591" s="10" t="str" cm="1">
        <f t="array" ref="D1591">IF(AND(A1591="2021-01", ISNA(MATCH(B1591, _xlfn._xlws.FILTER(B:B, A:A="2021-02"), 0))), "Left", "Ativo")</f>
        <v>Ativo</v>
      </c>
      <c r="E1591" s="10" t="str" cm="1">
        <f t="array" ref="E1591">IF(AND(A1591="2021-02", ISNA(MATCH(B1591, _xlfn._xlws.FILTER(B:B, A:A="2021-03"), 0))), "Left", "Ativo")</f>
        <v>Ativo</v>
      </c>
      <c r="F1591" s="12" t="str" cm="1">
        <f t="array" ref="F1591">IF(AND(A1591="2021-03", ISNA(MATCH(B1591, _xlfn._xlws.FILTER(B:B, A:A="2021-04"), 0))), "Left", "Ativo")</f>
        <v>Ativo</v>
      </c>
    </row>
    <row r="1592" spans="1:6" x14ac:dyDescent="0.25">
      <c r="A1592" t="s">
        <v>1529</v>
      </c>
      <c r="B1592" t="s">
        <v>631</v>
      </c>
      <c r="C1592" s="10" t="str" cm="1">
        <f t="array" ref="C1592">IF(AND(A1592="2020-12", ISNA(MATCH(B1592, _xlfn._xlws.FILTER(B:B, A:A="2021-01"), 0))), "Left", "Ativo")</f>
        <v>Ativo</v>
      </c>
      <c r="D1592" s="10" t="str" cm="1">
        <f t="array" ref="D1592">IF(AND(A1592="2021-01", ISNA(MATCH(B1592, _xlfn._xlws.FILTER(B:B, A:A="2021-02"), 0))), "Left", "Ativo")</f>
        <v>Ativo</v>
      </c>
      <c r="E1592" s="10" t="str" cm="1">
        <f t="array" ref="E1592">IF(AND(A1592="2021-02", ISNA(MATCH(B1592, _xlfn._xlws.FILTER(B:B, A:A="2021-03"), 0))), "Left", "Ativo")</f>
        <v>Ativo</v>
      </c>
      <c r="F1592" s="12" t="str" cm="1">
        <f t="array" ref="F1592">IF(AND(A1592="2021-03", ISNA(MATCH(B1592, _xlfn._xlws.FILTER(B:B, A:A="2021-04"), 0))), "Left", "Ativo")</f>
        <v>Ativo</v>
      </c>
    </row>
    <row r="1593" spans="1:6" x14ac:dyDescent="0.25">
      <c r="A1593" t="s">
        <v>1529</v>
      </c>
      <c r="B1593" t="s">
        <v>632</v>
      </c>
      <c r="C1593" s="10" t="str" cm="1">
        <f t="array" ref="C1593">IF(AND(A1593="2020-12", ISNA(MATCH(B1593, _xlfn._xlws.FILTER(B:B, A:A="2021-01"), 0))), "Left", "Ativo")</f>
        <v>Ativo</v>
      </c>
      <c r="D1593" s="10" t="str" cm="1">
        <f t="array" ref="D1593">IF(AND(A1593="2021-01", ISNA(MATCH(B1593, _xlfn._xlws.FILTER(B:B, A:A="2021-02"), 0))), "Left", "Ativo")</f>
        <v>Ativo</v>
      </c>
      <c r="E1593" s="10" t="str" cm="1">
        <f t="array" ref="E1593">IF(AND(A1593="2021-02", ISNA(MATCH(B1593, _xlfn._xlws.FILTER(B:B, A:A="2021-03"), 0))), "Left", "Ativo")</f>
        <v>Ativo</v>
      </c>
      <c r="F1593" s="12" t="str" cm="1">
        <f t="array" ref="F1593">IF(AND(A1593="2021-03", ISNA(MATCH(B1593, _xlfn._xlws.FILTER(B:B, A:A="2021-04"), 0))), "Left", "Ativo")</f>
        <v>Ativo</v>
      </c>
    </row>
    <row r="1594" spans="1:6" x14ac:dyDescent="0.25">
      <c r="A1594" t="s">
        <v>1529</v>
      </c>
      <c r="B1594" t="s">
        <v>633</v>
      </c>
      <c r="C1594" s="10" t="str" cm="1">
        <f t="array" ref="C1594">IF(AND(A1594="2020-12", ISNA(MATCH(B1594, _xlfn._xlws.FILTER(B:B, A:A="2021-01"), 0))), "Left", "Ativo")</f>
        <v>Ativo</v>
      </c>
      <c r="D1594" s="10" t="str" cm="1">
        <f t="array" ref="D1594">IF(AND(A1594="2021-01", ISNA(MATCH(B1594, _xlfn._xlws.FILTER(B:B, A:A="2021-02"), 0))), "Left", "Ativo")</f>
        <v>Ativo</v>
      </c>
      <c r="E1594" s="10" t="str" cm="1">
        <f t="array" ref="E1594">IF(AND(A1594="2021-02", ISNA(MATCH(B1594, _xlfn._xlws.FILTER(B:B, A:A="2021-03"), 0))), "Left", "Ativo")</f>
        <v>Ativo</v>
      </c>
      <c r="F1594" s="12" t="str" cm="1">
        <f t="array" ref="F1594">IF(AND(A1594="2021-03", ISNA(MATCH(B1594, _xlfn._xlws.FILTER(B:B, A:A="2021-04"), 0))), "Left", "Ativo")</f>
        <v>Ativo</v>
      </c>
    </row>
    <row r="1595" spans="1:6" x14ac:dyDescent="0.25">
      <c r="A1595" t="s">
        <v>1529</v>
      </c>
      <c r="B1595" t="s">
        <v>634</v>
      </c>
      <c r="C1595" s="10" t="str" cm="1">
        <f t="array" ref="C1595">IF(AND(A1595="2020-12", ISNA(MATCH(B1595, _xlfn._xlws.FILTER(B:B, A:A="2021-01"), 0))), "Left", "Ativo")</f>
        <v>Ativo</v>
      </c>
      <c r="D1595" s="10" t="str" cm="1">
        <f t="array" ref="D1595">IF(AND(A1595="2021-01", ISNA(MATCH(B1595, _xlfn._xlws.FILTER(B:B, A:A="2021-02"), 0))), "Left", "Ativo")</f>
        <v>Ativo</v>
      </c>
      <c r="E1595" s="10" t="str" cm="1">
        <f t="array" ref="E1595">IF(AND(A1595="2021-02", ISNA(MATCH(B1595, _xlfn._xlws.FILTER(B:B, A:A="2021-03"), 0))), "Left", "Ativo")</f>
        <v>Ativo</v>
      </c>
      <c r="F1595" s="12" t="str" cm="1">
        <f t="array" ref="F1595">IF(AND(A1595="2021-03", ISNA(MATCH(B1595, _xlfn._xlws.FILTER(B:B, A:A="2021-04"), 0))), "Left", "Ativo")</f>
        <v>Ativo</v>
      </c>
    </row>
    <row r="1596" spans="1:6" x14ac:dyDescent="0.25">
      <c r="A1596" t="s">
        <v>1529</v>
      </c>
      <c r="B1596" t="s">
        <v>635</v>
      </c>
      <c r="C1596" s="10" t="str" cm="1">
        <f t="array" ref="C1596">IF(AND(A1596="2020-12", ISNA(MATCH(B1596, _xlfn._xlws.FILTER(B:B, A:A="2021-01"), 0))), "Left", "Ativo")</f>
        <v>Ativo</v>
      </c>
      <c r="D1596" s="10" t="str" cm="1">
        <f t="array" ref="D1596">IF(AND(A1596="2021-01", ISNA(MATCH(B1596, _xlfn._xlws.FILTER(B:B, A:A="2021-02"), 0))), "Left", "Ativo")</f>
        <v>Ativo</v>
      </c>
      <c r="E1596" s="10" t="str" cm="1">
        <f t="array" ref="E1596">IF(AND(A1596="2021-02", ISNA(MATCH(B1596, _xlfn._xlws.FILTER(B:B, A:A="2021-03"), 0))), "Left", "Ativo")</f>
        <v>Ativo</v>
      </c>
      <c r="F1596" s="12" t="str" cm="1">
        <f t="array" ref="F1596">IF(AND(A1596="2021-03", ISNA(MATCH(B1596, _xlfn._xlws.FILTER(B:B, A:A="2021-04"), 0))), "Left", "Ativo")</f>
        <v>Ativo</v>
      </c>
    </row>
    <row r="1597" spans="1:6" x14ac:dyDescent="0.25">
      <c r="A1597" t="s">
        <v>1529</v>
      </c>
      <c r="B1597" t="s">
        <v>636</v>
      </c>
      <c r="C1597" s="10" t="str" cm="1">
        <f t="array" ref="C1597">IF(AND(A1597="2020-12", ISNA(MATCH(B1597, _xlfn._xlws.FILTER(B:B, A:A="2021-01"), 0))), "Left", "Ativo")</f>
        <v>Ativo</v>
      </c>
      <c r="D1597" s="10" t="str" cm="1">
        <f t="array" ref="D1597">IF(AND(A1597="2021-01", ISNA(MATCH(B1597, _xlfn._xlws.FILTER(B:B, A:A="2021-02"), 0))), "Left", "Ativo")</f>
        <v>Ativo</v>
      </c>
      <c r="E1597" s="10" t="str" cm="1">
        <f t="array" ref="E1597">IF(AND(A1597="2021-02", ISNA(MATCH(B1597, _xlfn._xlws.FILTER(B:B, A:A="2021-03"), 0))), "Left", "Ativo")</f>
        <v>Ativo</v>
      </c>
      <c r="F1597" s="12" t="str" cm="1">
        <f t="array" ref="F1597">IF(AND(A1597="2021-03", ISNA(MATCH(B1597, _xlfn._xlws.FILTER(B:B, A:A="2021-04"), 0))), "Left", "Ativo")</f>
        <v>Ativo</v>
      </c>
    </row>
    <row r="1598" spans="1:6" x14ac:dyDescent="0.25">
      <c r="A1598" t="s">
        <v>1529</v>
      </c>
      <c r="B1598" t="s">
        <v>637</v>
      </c>
      <c r="C1598" s="10" t="str" cm="1">
        <f t="array" ref="C1598">IF(AND(A1598="2020-12", ISNA(MATCH(B1598, _xlfn._xlws.FILTER(B:B, A:A="2021-01"), 0))), "Left", "Ativo")</f>
        <v>Ativo</v>
      </c>
      <c r="D1598" s="10" t="str" cm="1">
        <f t="array" ref="D1598">IF(AND(A1598="2021-01", ISNA(MATCH(B1598, _xlfn._xlws.FILTER(B:B, A:A="2021-02"), 0))), "Left", "Ativo")</f>
        <v>Ativo</v>
      </c>
      <c r="E1598" s="10" t="str" cm="1">
        <f t="array" ref="E1598">IF(AND(A1598="2021-02", ISNA(MATCH(B1598, _xlfn._xlws.FILTER(B:B, A:A="2021-03"), 0))), "Left", "Ativo")</f>
        <v>Ativo</v>
      </c>
      <c r="F1598" s="12" t="str" cm="1">
        <f t="array" ref="F1598">IF(AND(A1598="2021-03", ISNA(MATCH(B1598, _xlfn._xlws.FILTER(B:B, A:A="2021-04"), 0))), "Left", "Ativo")</f>
        <v>Ativo</v>
      </c>
    </row>
    <row r="1599" spans="1:6" x14ac:dyDescent="0.25">
      <c r="A1599" t="s">
        <v>1529</v>
      </c>
      <c r="B1599" t="s">
        <v>638</v>
      </c>
      <c r="C1599" s="10" t="str" cm="1">
        <f t="array" ref="C1599">IF(AND(A1599="2020-12", ISNA(MATCH(B1599, _xlfn._xlws.FILTER(B:B, A:A="2021-01"), 0))), "Left", "Ativo")</f>
        <v>Ativo</v>
      </c>
      <c r="D1599" s="10" t="str" cm="1">
        <f t="array" ref="D1599">IF(AND(A1599="2021-01", ISNA(MATCH(B1599, _xlfn._xlws.FILTER(B:B, A:A="2021-02"), 0))), "Left", "Ativo")</f>
        <v>Ativo</v>
      </c>
      <c r="E1599" s="10" t="str" cm="1">
        <f t="array" ref="E1599">IF(AND(A1599="2021-02", ISNA(MATCH(B1599, _xlfn._xlws.FILTER(B:B, A:A="2021-03"), 0))), "Left", "Ativo")</f>
        <v>Ativo</v>
      </c>
      <c r="F1599" s="12" t="str" cm="1">
        <f t="array" ref="F1599">IF(AND(A1599="2021-03", ISNA(MATCH(B1599, _xlfn._xlws.FILTER(B:B, A:A="2021-04"), 0))), "Left", "Ativo")</f>
        <v>Ativo</v>
      </c>
    </row>
    <row r="1600" spans="1:6" x14ac:dyDescent="0.25">
      <c r="A1600" t="s">
        <v>1529</v>
      </c>
      <c r="B1600" t="s">
        <v>639</v>
      </c>
      <c r="C1600" s="10" t="str" cm="1">
        <f t="array" ref="C1600">IF(AND(A1600="2020-12", ISNA(MATCH(B1600, _xlfn._xlws.FILTER(B:B, A:A="2021-01"), 0))), "Left", "Ativo")</f>
        <v>Ativo</v>
      </c>
      <c r="D1600" s="10" t="str" cm="1">
        <f t="array" ref="D1600">IF(AND(A1600="2021-01", ISNA(MATCH(B1600, _xlfn._xlws.FILTER(B:B, A:A="2021-02"), 0))), "Left", "Ativo")</f>
        <v>Ativo</v>
      </c>
      <c r="E1600" s="10" t="str" cm="1">
        <f t="array" ref="E1600">IF(AND(A1600="2021-02", ISNA(MATCH(B1600, _xlfn._xlws.FILTER(B:B, A:A="2021-03"), 0))), "Left", "Ativo")</f>
        <v>Ativo</v>
      </c>
      <c r="F1600" s="12" t="str" cm="1">
        <f t="array" ref="F1600">IF(AND(A1600="2021-03", ISNA(MATCH(B1600, _xlfn._xlws.FILTER(B:B, A:A="2021-04"), 0))), "Left", "Ativo")</f>
        <v>Ativo</v>
      </c>
    </row>
    <row r="1601" spans="1:6" x14ac:dyDescent="0.25">
      <c r="A1601" t="s">
        <v>1529</v>
      </c>
      <c r="B1601" t="s">
        <v>640</v>
      </c>
      <c r="C1601" s="10" t="str" cm="1">
        <f t="array" ref="C1601">IF(AND(A1601="2020-12", ISNA(MATCH(B1601, _xlfn._xlws.FILTER(B:B, A:A="2021-01"), 0))), "Left", "Ativo")</f>
        <v>Ativo</v>
      </c>
      <c r="D1601" s="10" t="str" cm="1">
        <f t="array" ref="D1601">IF(AND(A1601="2021-01", ISNA(MATCH(B1601, _xlfn._xlws.FILTER(B:B, A:A="2021-02"), 0))), "Left", "Ativo")</f>
        <v>Ativo</v>
      </c>
      <c r="E1601" s="10" t="str" cm="1">
        <f t="array" ref="E1601">IF(AND(A1601="2021-02", ISNA(MATCH(B1601, _xlfn._xlws.FILTER(B:B, A:A="2021-03"), 0))), "Left", "Ativo")</f>
        <v>Ativo</v>
      </c>
      <c r="F1601" s="12" t="str" cm="1">
        <f t="array" ref="F1601">IF(AND(A1601="2021-03", ISNA(MATCH(B1601, _xlfn._xlws.FILTER(B:B, A:A="2021-04"), 0))), "Left", "Ativo")</f>
        <v>Ativo</v>
      </c>
    </row>
    <row r="1602" spans="1:6" x14ac:dyDescent="0.25">
      <c r="A1602" t="s">
        <v>1529</v>
      </c>
      <c r="B1602" t="s">
        <v>641</v>
      </c>
      <c r="C1602" s="10" t="str" cm="1">
        <f t="array" ref="C1602">IF(AND(A1602="2020-12", ISNA(MATCH(B1602, _xlfn._xlws.FILTER(B:B, A:A="2021-01"), 0))), "Left", "Ativo")</f>
        <v>Ativo</v>
      </c>
      <c r="D1602" s="10" t="str" cm="1">
        <f t="array" ref="D1602">IF(AND(A1602="2021-01", ISNA(MATCH(B1602, _xlfn._xlws.FILTER(B:B, A:A="2021-02"), 0))), "Left", "Ativo")</f>
        <v>Ativo</v>
      </c>
      <c r="E1602" s="10" t="str" cm="1">
        <f t="array" ref="E1602">IF(AND(A1602="2021-02", ISNA(MATCH(B1602, _xlfn._xlws.FILTER(B:B, A:A="2021-03"), 0))), "Left", "Ativo")</f>
        <v>Ativo</v>
      </c>
      <c r="F1602" s="12" t="str" cm="1">
        <f t="array" ref="F1602">IF(AND(A1602="2021-03", ISNA(MATCH(B1602, _xlfn._xlws.FILTER(B:B, A:A="2021-04"), 0))), "Left", "Ativo")</f>
        <v>Ativo</v>
      </c>
    </row>
    <row r="1603" spans="1:6" x14ac:dyDescent="0.25">
      <c r="A1603" t="s">
        <v>1529</v>
      </c>
      <c r="B1603" t="s">
        <v>642</v>
      </c>
      <c r="C1603" s="10" t="str" cm="1">
        <f t="array" ref="C1603">IF(AND(A1603="2020-12", ISNA(MATCH(B1603, _xlfn._xlws.FILTER(B:B, A:A="2021-01"), 0))), "Left", "Ativo")</f>
        <v>Ativo</v>
      </c>
      <c r="D1603" s="10" t="str" cm="1">
        <f t="array" ref="D1603">IF(AND(A1603="2021-01", ISNA(MATCH(B1603, _xlfn._xlws.FILTER(B:B, A:A="2021-02"), 0))), "Left", "Ativo")</f>
        <v>Ativo</v>
      </c>
      <c r="E1603" s="10" t="str" cm="1">
        <f t="array" ref="E1603">IF(AND(A1603="2021-02", ISNA(MATCH(B1603, _xlfn._xlws.FILTER(B:B, A:A="2021-03"), 0))), "Left", "Ativo")</f>
        <v>Ativo</v>
      </c>
      <c r="F1603" s="12" t="str" cm="1">
        <f t="array" ref="F1603">IF(AND(A1603="2021-03", ISNA(MATCH(B1603, _xlfn._xlws.FILTER(B:B, A:A="2021-04"), 0))), "Left", "Ativo")</f>
        <v>Ativo</v>
      </c>
    </row>
    <row r="1604" spans="1:6" x14ac:dyDescent="0.25">
      <c r="A1604" t="s">
        <v>1529</v>
      </c>
      <c r="B1604" t="s">
        <v>643</v>
      </c>
      <c r="C1604" s="10" t="str" cm="1">
        <f t="array" ref="C1604">IF(AND(A1604="2020-12", ISNA(MATCH(B1604, _xlfn._xlws.FILTER(B:B, A:A="2021-01"), 0))), "Left", "Ativo")</f>
        <v>Ativo</v>
      </c>
      <c r="D1604" s="10" t="str" cm="1">
        <f t="array" ref="D1604">IF(AND(A1604="2021-01", ISNA(MATCH(B1604, _xlfn._xlws.FILTER(B:B, A:A="2021-02"), 0))), "Left", "Ativo")</f>
        <v>Ativo</v>
      </c>
      <c r="E1604" s="10" t="str" cm="1">
        <f t="array" ref="E1604">IF(AND(A1604="2021-02", ISNA(MATCH(B1604, _xlfn._xlws.FILTER(B:B, A:A="2021-03"), 0))), "Left", "Ativo")</f>
        <v>Ativo</v>
      </c>
      <c r="F1604" s="12" t="str" cm="1">
        <f t="array" ref="F1604">IF(AND(A1604="2021-03", ISNA(MATCH(B1604, _xlfn._xlws.FILTER(B:B, A:A="2021-04"), 0))), "Left", "Ativo")</f>
        <v>Ativo</v>
      </c>
    </row>
    <row r="1605" spans="1:6" x14ac:dyDescent="0.25">
      <c r="A1605" t="s">
        <v>1529</v>
      </c>
      <c r="B1605" t="s">
        <v>644</v>
      </c>
      <c r="C1605" s="10" t="str" cm="1">
        <f t="array" ref="C1605">IF(AND(A1605="2020-12", ISNA(MATCH(B1605, _xlfn._xlws.FILTER(B:B, A:A="2021-01"), 0))), "Left", "Ativo")</f>
        <v>Ativo</v>
      </c>
      <c r="D1605" s="10" t="str" cm="1">
        <f t="array" ref="D1605">IF(AND(A1605="2021-01", ISNA(MATCH(B1605, _xlfn._xlws.FILTER(B:B, A:A="2021-02"), 0))), "Left", "Ativo")</f>
        <v>Ativo</v>
      </c>
      <c r="E1605" s="10" t="str" cm="1">
        <f t="array" ref="E1605">IF(AND(A1605="2021-02", ISNA(MATCH(B1605, _xlfn._xlws.FILTER(B:B, A:A="2021-03"), 0))), "Left", "Ativo")</f>
        <v>Ativo</v>
      </c>
      <c r="F1605" s="12" t="str" cm="1">
        <f t="array" ref="F1605">IF(AND(A1605="2021-03", ISNA(MATCH(B1605, _xlfn._xlws.FILTER(B:B, A:A="2021-04"), 0))), "Left", "Ativo")</f>
        <v>Ativo</v>
      </c>
    </row>
    <row r="1606" spans="1:6" x14ac:dyDescent="0.25">
      <c r="A1606" t="s">
        <v>1529</v>
      </c>
      <c r="B1606" t="s">
        <v>645</v>
      </c>
      <c r="C1606" s="10" t="str" cm="1">
        <f t="array" ref="C1606">IF(AND(A1606="2020-12", ISNA(MATCH(B1606, _xlfn._xlws.FILTER(B:B, A:A="2021-01"), 0))), "Left", "Ativo")</f>
        <v>Ativo</v>
      </c>
      <c r="D1606" s="10" t="str" cm="1">
        <f t="array" ref="D1606">IF(AND(A1606="2021-01", ISNA(MATCH(B1606, _xlfn._xlws.FILTER(B:B, A:A="2021-02"), 0))), "Left", "Ativo")</f>
        <v>Ativo</v>
      </c>
      <c r="E1606" s="10" t="str" cm="1">
        <f t="array" ref="E1606">IF(AND(A1606="2021-02", ISNA(MATCH(B1606, _xlfn._xlws.FILTER(B:B, A:A="2021-03"), 0))), "Left", "Ativo")</f>
        <v>Ativo</v>
      </c>
      <c r="F1606" s="12" t="str" cm="1">
        <f t="array" ref="F1606">IF(AND(A1606="2021-03", ISNA(MATCH(B1606, _xlfn._xlws.FILTER(B:B, A:A="2021-04"), 0))), "Left", "Ativo")</f>
        <v>Ativo</v>
      </c>
    </row>
    <row r="1607" spans="1:6" x14ac:dyDescent="0.25">
      <c r="A1607" t="s">
        <v>1529</v>
      </c>
      <c r="B1607" t="s">
        <v>646</v>
      </c>
      <c r="C1607" s="10" t="str" cm="1">
        <f t="array" ref="C1607">IF(AND(A1607="2020-12", ISNA(MATCH(B1607, _xlfn._xlws.FILTER(B:B, A:A="2021-01"), 0))), "Left", "Ativo")</f>
        <v>Ativo</v>
      </c>
      <c r="D1607" s="10" t="str" cm="1">
        <f t="array" ref="D1607">IF(AND(A1607="2021-01", ISNA(MATCH(B1607, _xlfn._xlws.FILTER(B:B, A:A="2021-02"), 0))), "Left", "Ativo")</f>
        <v>Ativo</v>
      </c>
      <c r="E1607" s="10" t="str" cm="1">
        <f t="array" ref="E1607">IF(AND(A1607="2021-02", ISNA(MATCH(B1607, _xlfn._xlws.FILTER(B:B, A:A="2021-03"), 0))), "Left", "Ativo")</f>
        <v>Ativo</v>
      </c>
      <c r="F1607" s="12" t="str" cm="1">
        <f t="array" ref="F1607">IF(AND(A1607="2021-03", ISNA(MATCH(B1607, _xlfn._xlws.FILTER(B:B, A:A="2021-04"), 0))), "Left", "Ativo")</f>
        <v>Ativo</v>
      </c>
    </row>
    <row r="1608" spans="1:6" x14ac:dyDescent="0.25">
      <c r="A1608" t="s">
        <v>1529</v>
      </c>
      <c r="B1608" t="s">
        <v>647</v>
      </c>
      <c r="C1608" s="10" t="str" cm="1">
        <f t="array" ref="C1608">IF(AND(A1608="2020-12", ISNA(MATCH(B1608, _xlfn._xlws.FILTER(B:B, A:A="2021-01"), 0))), "Left", "Ativo")</f>
        <v>Ativo</v>
      </c>
      <c r="D1608" s="10" t="str" cm="1">
        <f t="array" ref="D1608">IF(AND(A1608="2021-01", ISNA(MATCH(B1608, _xlfn._xlws.FILTER(B:B, A:A="2021-02"), 0))), "Left", "Ativo")</f>
        <v>Ativo</v>
      </c>
      <c r="E1608" s="10" t="str" cm="1">
        <f t="array" ref="E1608">IF(AND(A1608="2021-02", ISNA(MATCH(B1608, _xlfn._xlws.FILTER(B:B, A:A="2021-03"), 0))), "Left", "Ativo")</f>
        <v>Ativo</v>
      </c>
      <c r="F1608" s="12" t="str" cm="1">
        <f t="array" ref="F1608">IF(AND(A1608="2021-03", ISNA(MATCH(B1608, _xlfn._xlws.FILTER(B:B, A:A="2021-04"), 0))), "Left", "Ativo")</f>
        <v>Ativo</v>
      </c>
    </row>
    <row r="1609" spans="1:6" x14ac:dyDescent="0.25">
      <c r="A1609" t="s">
        <v>1529</v>
      </c>
      <c r="B1609" t="s">
        <v>648</v>
      </c>
      <c r="C1609" s="10" t="str" cm="1">
        <f t="array" ref="C1609">IF(AND(A1609="2020-12", ISNA(MATCH(B1609, _xlfn._xlws.FILTER(B:B, A:A="2021-01"), 0))), "Left", "Ativo")</f>
        <v>Ativo</v>
      </c>
      <c r="D1609" s="10" t="str" cm="1">
        <f t="array" ref="D1609">IF(AND(A1609="2021-01", ISNA(MATCH(B1609, _xlfn._xlws.FILTER(B:B, A:A="2021-02"), 0))), "Left", "Ativo")</f>
        <v>Ativo</v>
      </c>
      <c r="E1609" s="10" t="str" cm="1">
        <f t="array" ref="E1609">IF(AND(A1609="2021-02", ISNA(MATCH(B1609, _xlfn._xlws.FILTER(B:B, A:A="2021-03"), 0))), "Left", "Ativo")</f>
        <v>Ativo</v>
      </c>
      <c r="F1609" s="12" t="str" cm="1">
        <f t="array" ref="F1609">IF(AND(A1609="2021-03", ISNA(MATCH(B1609, _xlfn._xlws.FILTER(B:B, A:A="2021-04"), 0))), "Left", "Ativo")</f>
        <v>Ativo</v>
      </c>
    </row>
    <row r="1610" spans="1:6" x14ac:dyDescent="0.25">
      <c r="A1610" t="s">
        <v>1529</v>
      </c>
      <c r="B1610" t="s">
        <v>649</v>
      </c>
      <c r="C1610" s="10" t="str" cm="1">
        <f t="array" ref="C1610">IF(AND(A1610="2020-12", ISNA(MATCH(B1610, _xlfn._xlws.FILTER(B:B, A:A="2021-01"), 0))), "Left", "Ativo")</f>
        <v>Ativo</v>
      </c>
      <c r="D1610" s="10" t="str" cm="1">
        <f t="array" ref="D1610">IF(AND(A1610="2021-01", ISNA(MATCH(B1610, _xlfn._xlws.FILTER(B:B, A:A="2021-02"), 0))), "Left", "Ativo")</f>
        <v>Ativo</v>
      </c>
      <c r="E1610" s="10" t="str" cm="1">
        <f t="array" ref="E1610">IF(AND(A1610="2021-02", ISNA(MATCH(B1610, _xlfn._xlws.FILTER(B:B, A:A="2021-03"), 0))), "Left", "Ativo")</f>
        <v>Ativo</v>
      </c>
      <c r="F1610" s="12" t="str" cm="1">
        <f t="array" ref="F1610">IF(AND(A1610="2021-03", ISNA(MATCH(B1610, _xlfn._xlws.FILTER(B:B, A:A="2021-04"), 0))), "Left", "Ativo")</f>
        <v>Ativo</v>
      </c>
    </row>
    <row r="1611" spans="1:6" x14ac:dyDescent="0.25">
      <c r="A1611" t="s">
        <v>1529</v>
      </c>
      <c r="B1611" t="s">
        <v>650</v>
      </c>
      <c r="C1611" s="10" t="str" cm="1">
        <f t="array" ref="C1611">IF(AND(A1611="2020-12", ISNA(MATCH(B1611, _xlfn._xlws.FILTER(B:B, A:A="2021-01"), 0))), "Left", "Ativo")</f>
        <v>Ativo</v>
      </c>
      <c r="D1611" s="10" t="str" cm="1">
        <f t="array" ref="D1611">IF(AND(A1611="2021-01", ISNA(MATCH(B1611, _xlfn._xlws.FILTER(B:B, A:A="2021-02"), 0))), "Left", "Ativo")</f>
        <v>Ativo</v>
      </c>
      <c r="E1611" s="10" t="str" cm="1">
        <f t="array" ref="E1611">IF(AND(A1611="2021-02", ISNA(MATCH(B1611, _xlfn._xlws.FILTER(B:B, A:A="2021-03"), 0))), "Left", "Ativo")</f>
        <v>Ativo</v>
      </c>
      <c r="F1611" s="12" t="str" cm="1">
        <f t="array" ref="F1611">IF(AND(A1611="2021-03", ISNA(MATCH(B1611, _xlfn._xlws.FILTER(B:B, A:A="2021-04"), 0))), "Left", "Ativo")</f>
        <v>Ativo</v>
      </c>
    </row>
    <row r="1612" spans="1:6" x14ac:dyDescent="0.25">
      <c r="A1612" t="s">
        <v>1529</v>
      </c>
      <c r="B1612" t="s">
        <v>651</v>
      </c>
      <c r="C1612" s="10" t="str" cm="1">
        <f t="array" ref="C1612">IF(AND(A1612="2020-12", ISNA(MATCH(B1612, _xlfn._xlws.FILTER(B:B, A:A="2021-01"), 0))), "Left", "Ativo")</f>
        <v>Ativo</v>
      </c>
      <c r="D1612" s="10" t="str" cm="1">
        <f t="array" ref="D1612">IF(AND(A1612="2021-01", ISNA(MATCH(B1612, _xlfn._xlws.FILTER(B:B, A:A="2021-02"), 0))), "Left", "Ativo")</f>
        <v>Ativo</v>
      </c>
      <c r="E1612" s="10" t="str" cm="1">
        <f t="array" ref="E1612">IF(AND(A1612="2021-02", ISNA(MATCH(B1612, _xlfn._xlws.FILTER(B:B, A:A="2021-03"), 0))), "Left", "Ativo")</f>
        <v>Ativo</v>
      </c>
      <c r="F1612" s="12" t="str" cm="1">
        <f t="array" ref="F1612">IF(AND(A1612="2021-03", ISNA(MATCH(B1612, _xlfn._xlws.FILTER(B:B, A:A="2021-04"), 0))), "Left", "Ativo")</f>
        <v>Ativo</v>
      </c>
    </row>
    <row r="1613" spans="1:6" x14ac:dyDescent="0.25">
      <c r="A1613" t="s">
        <v>1529</v>
      </c>
      <c r="B1613" t="s">
        <v>652</v>
      </c>
      <c r="C1613" s="10" t="str" cm="1">
        <f t="array" ref="C1613">IF(AND(A1613="2020-12", ISNA(MATCH(B1613, _xlfn._xlws.FILTER(B:B, A:A="2021-01"), 0))), "Left", "Ativo")</f>
        <v>Ativo</v>
      </c>
      <c r="D1613" s="10" t="str" cm="1">
        <f t="array" ref="D1613">IF(AND(A1613="2021-01", ISNA(MATCH(B1613, _xlfn._xlws.FILTER(B:B, A:A="2021-02"), 0))), "Left", "Ativo")</f>
        <v>Ativo</v>
      </c>
      <c r="E1613" s="10" t="str" cm="1">
        <f t="array" ref="E1613">IF(AND(A1613="2021-02", ISNA(MATCH(B1613, _xlfn._xlws.FILTER(B:B, A:A="2021-03"), 0))), "Left", "Ativo")</f>
        <v>Ativo</v>
      </c>
      <c r="F1613" s="12" t="str" cm="1">
        <f t="array" ref="F1613">IF(AND(A1613="2021-03", ISNA(MATCH(B1613, _xlfn._xlws.FILTER(B:B, A:A="2021-04"), 0))), "Left", "Ativo")</f>
        <v>Ativo</v>
      </c>
    </row>
    <row r="1614" spans="1:6" x14ac:dyDescent="0.25">
      <c r="A1614" t="s">
        <v>1529</v>
      </c>
      <c r="B1614" t="s">
        <v>653</v>
      </c>
      <c r="C1614" s="10" t="str" cm="1">
        <f t="array" ref="C1614">IF(AND(A1614="2020-12", ISNA(MATCH(B1614, _xlfn._xlws.FILTER(B:B, A:A="2021-01"), 0))), "Left", "Ativo")</f>
        <v>Ativo</v>
      </c>
      <c r="D1614" s="10" t="str" cm="1">
        <f t="array" ref="D1614">IF(AND(A1614="2021-01", ISNA(MATCH(B1614, _xlfn._xlws.FILTER(B:B, A:A="2021-02"), 0))), "Left", "Ativo")</f>
        <v>Ativo</v>
      </c>
      <c r="E1614" s="10" t="str" cm="1">
        <f t="array" ref="E1614">IF(AND(A1614="2021-02", ISNA(MATCH(B1614, _xlfn._xlws.FILTER(B:B, A:A="2021-03"), 0))), "Left", "Ativo")</f>
        <v>Ativo</v>
      </c>
      <c r="F1614" s="12" t="str" cm="1">
        <f t="array" ref="F1614">IF(AND(A1614="2021-03", ISNA(MATCH(B1614, _xlfn._xlws.FILTER(B:B, A:A="2021-04"), 0))), "Left", "Ativo")</f>
        <v>Ativo</v>
      </c>
    </row>
    <row r="1615" spans="1:6" x14ac:dyDescent="0.25">
      <c r="A1615" t="s">
        <v>1529</v>
      </c>
      <c r="B1615" t="s">
        <v>654</v>
      </c>
      <c r="C1615" s="10" t="str" cm="1">
        <f t="array" ref="C1615">IF(AND(A1615="2020-12", ISNA(MATCH(B1615, _xlfn._xlws.FILTER(B:B, A:A="2021-01"), 0))), "Left", "Ativo")</f>
        <v>Ativo</v>
      </c>
      <c r="D1615" s="10" t="str" cm="1">
        <f t="array" ref="D1615">IF(AND(A1615="2021-01", ISNA(MATCH(B1615, _xlfn._xlws.FILTER(B:B, A:A="2021-02"), 0))), "Left", "Ativo")</f>
        <v>Ativo</v>
      </c>
      <c r="E1615" s="10" t="str" cm="1">
        <f t="array" ref="E1615">IF(AND(A1615="2021-02", ISNA(MATCH(B1615, _xlfn._xlws.FILTER(B:B, A:A="2021-03"), 0))), "Left", "Ativo")</f>
        <v>Ativo</v>
      </c>
      <c r="F1615" s="12" t="str" cm="1">
        <f t="array" ref="F1615">IF(AND(A1615="2021-03", ISNA(MATCH(B1615, _xlfn._xlws.FILTER(B:B, A:A="2021-04"), 0))), "Left", "Ativo")</f>
        <v>Ativo</v>
      </c>
    </row>
    <row r="1616" spans="1:6" x14ac:dyDescent="0.25">
      <c r="A1616" t="s">
        <v>1529</v>
      </c>
      <c r="B1616" t="s">
        <v>655</v>
      </c>
      <c r="C1616" s="10" t="str" cm="1">
        <f t="array" ref="C1616">IF(AND(A1616="2020-12", ISNA(MATCH(B1616, _xlfn._xlws.FILTER(B:B, A:A="2021-01"), 0))), "Left", "Ativo")</f>
        <v>Ativo</v>
      </c>
      <c r="D1616" s="10" t="str" cm="1">
        <f t="array" ref="D1616">IF(AND(A1616="2021-01", ISNA(MATCH(B1616, _xlfn._xlws.FILTER(B:B, A:A="2021-02"), 0))), "Left", "Ativo")</f>
        <v>Ativo</v>
      </c>
      <c r="E1616" s="10" t="str" cm="1">
        <f t="array" ref="E1616">IF(AND(A1616="2021-02", ISNA(MATCH(B1616, _xlfn._xlws.FILTER(B:B, A:A="2021-03"), 0))), "Left", "Ativo")</f>
        <v>Ativo</v>
      </c>
      <c r="F1616" s="12" t="str" cm="1">
        <f t="array" ref="F1616">IF(AND(A1616="2021-03", ISNA(MATCH(B1616, _xlfn._xlws.FILTER(B:B, A:A="2021-04"), 0))), "Left", "Ativo")</f>
        <v>Ativo</v>
      </c>
    </row>
    <row r="1617" spans="1:6" x14ac:dyDescent="0.25">
      <c r="A1617" t="s">
        <v>1529</v>
      </c>
      <c r="B1617" t="s">
        <v>656</v>
      </c>
      <c r="C1617" s="10" t="str" cm="1">
        <f t="array" ref="C1617">IF(AND(A1617="2020-12", ISNA(MATCH(B1617, _xlfn._xlws.FILTER(B:B, A:A="2021-01"), 0))), "Left", "Ativo")</f>
        <v>Ativo</v>
      </c>
      <c r="D1617" s="10" t="str" cm="1">
        <f t="array" ref="D1617">IF(AND(A1617="2021-01", ISNA(MATCH(B1617, _xlfn._xlws.FILTER(B:B, A:A="2021-02"), 0))), "Left", "Ativo")</f>
        <v>Ativo</v>
      </c>
      <c r="E1617" s="10" t="str" cm="1">
        <f t="array" ref="E1617">IF(AND(A1617="2021-02", ISNA(MATCH(B1617, _xlfn._xlws.FILTER(B:B, A:A="2021-03"), 0))), "Left", "Ativo")</f>
        <v>Ativo</v>
      </c>
      <c r="F1617" s="12" t="str" cm="1">
        <f t="array" ref="F1617">IF(AND(A1617="2021-03", ISNA(MATCH(B1617, _xlfn._xlws.FILTER(B:B, A:A="2021-04"), 0))), "Left", "Ativo")</f>
        <v>Ativo</v>
      </c>
    </row>
    <row r="1618" spans="1:6" x14ac:dyDescent="0.25">
      <c r="A1618" t="s">
        <v>1529</v>
      </c>
      <c r="B1618" t="s">
        <v>657</v>
      </c>
      <c r="C1618" s="10" t="str" cm="1">
        <f t="array" ref="C1618">IF(AND(A1618="2020-12", ISNA(MATCH(B1618, _xlfn._xlws.FILTER(B:B, A:A="2021-01"), 0))), "Left", "Ativo")</f>
        <v>Ativo</v>
      </c>
      <c r="D1618" s="10" t="str" cm="1">
        <f t="array" ref="D1618">IF(AND(A1618="2021-01", ISNA(MATCH(B1618, _xlfn._xlws.FILTER(B:B, A:A="2021-02"), 0))), "Left", "Ativo")</f>
        <v>Ativo</v>
      </c>
      <c r="E1618" s="10" t="str" cm="1">
        <f t="array" ref="E1618">IF(AND(A1618="2021-02", ISNA(MATCH(B1618, _xlfn._xlws.FILTER(B:B, A:A="2021-03"), 0))), "Left", "Ativo")</f>
        <v>Ativo</v>
      </c>
      <c r="F1618" s="12" t="str" cm="1">
        <f t="array" ref="F1618">IF(AND(A1618="2021-03", ISNA(MATCH(B1618, _xlfn._xlws.FILTER(B:B, A:A="2021-04"), 0))), "Left", "Ativo")</f>
        <v>Ativo</v>
      </c>
    </row>
    <row r="1619" spans="1:6" x14ac:dyDescent="0.25">
      <c r="A1619" t="s">
        <v>1529</v>
      </c>
      <c r="B1619" t="s">
        <v>658</v>
      </c>
      <c r="C1619" s="10" t="str" cm="1">
        <f t="array" ref="C1619">IF(AND(A1619="2020-12", ISNA(MATCH(B1619, _xlfn._xlws.FILTER(B:B, A:A="2021-01"), 0))), "Left", "Ativo")</f>
        <v>Ativo</v>
      </c>
      <c r="D1619" s="10" t="str" cm="1">
        <f t="array" ref="D1619">IF(AND(A1619="2021-01", ISNA(MATCH(B1619, _xlfn._xlws.FILTER(B:B, A:A="2021-02"), 0))), "Left", "Ativo")</f>
        <v>Ativo</v>
      </c>
      <c r="E1619" s="10" t="str" cm="1">
        <f t="array" ref="E1619">IF(AND(A1619="2021-02", ISNA(MATCH(B1619, _xlfn._xlws.FILTER(B:B, A:A="2021-03"), 0))), "Left", "Ativo")</f>
        <v>Ativo</v>
      </c>
      <c r="F1619" s="12" t="str" cm="1">
        <f t="array" ref="F1619">IF(AND(A1619="2021-03", ISNA(MATCH(B1619, _xlfn._xlws.FILTER(B:B, A:A="2021-04"), 0))), "Left", "Ativo")</f>
        <v>Ativo</v>
      </c>
    </row>
    <row r="1620" spans="1:6" x14ac:dyDescent="0.25">
      <c r="A1620" t="s">
        <v>1529</v>
      </c>
      <c r="B1620" t="s">
        <v>659</v>
      </c>
      <c r="C1620" s="10" t="str" cm="1">
        <f t="array" ref="C1620">IF(AND(A1620="2020-12", ISNA(MATCH(B1620, _xlfn._xlws.FILTER(B:B, A:A="2021-01"), 0))), "Left", "Ativo")</f>
        <v>Ativo</v>
      </c>
      <c r="D1620" s="10" t="str" cm="1">
        <f t="array" ref="D1620">IF(AND(A1620="2021-01", ISNA(MATCH(B1620, _xlfn._xlws.FILTER(B:B, A:A="2021-02"), 0))), "Left", "Ativo")</f>
        <v>Ativo</v>
      </c>
      <c r="E1620" s="10" t="str" cm="1">
        <f t="array" ref="E1620">IF(AND(A1620="2021-02", ISNA(MATCH(B1620, _xlfn._xlws.FILTER(B:B, A:A="2021-03"), 0))), "Left", "Ativo")</f>
        <v>Ativo</v>
      </c>
      <c r="F1620" s="12" t="str" cm="1">
        <f t="array" ref="F1620">IF(AND(A1620="2021-03", ISNA(MATCH(B1620, _xlfn._xlws.FILTER(B:B, A:A="2021-04"), 0))), "Left", "Ativo")</f>
        <v>Ativo</v>
      </c>
    </row>
    <row r="1621" spans="1:6" x14ac:dyDescent="0.25">
      <c r="A1621" t="s">
        <v>1529</v>
      </c>
      <c r="B1621" t="s">
        <v>660</v>
      </c>
      <c r="C1621" s="10" t="str" cm="1">
        <f t="array" ref="C1621">IF(AND(A1621="2020-12", ISNA(MATCH(B1621, _xlfn._xlws.FILTER(B:B, A:A="2021-01"), 0))), "Left", "Ativo")</f>
        <v>Ativo</v>
      </c>
      <c r="D1621" s="10" t="str" cm="1">
        <f t="array" ref="D1621">IF(AND(A1621="2021-01", ISNA(MATCH(B1621, _xlfn._xlws.FILTER(B:B, A:A="2021-02"), 0))), "Left", "Ativo")</f>
        <v>Ativo</v>
      </c>
      <c r="E1621" s="10" t="str" cm="1">
        <f t="array" ref="E1621">IF(AND(A1621="2021-02", ISNA(MATCH(B1621, _xlfn._xlws.FILTER(B:B, A:A="2021-03"), 0))), "Left", "Ativo")</f>
        <v>Ativo</v>
      </c>
      <c r="F1621" s="12" t="str" cm="1">
        <f t="array" ref="F1621">IF(AND(A1621="2021-03", ISNA(MATCH(B1621, _xlfn._xlws.FILTER(B:B, A:A="2021-04"), 0))), "Left", "Ativo")</f>
        <v>Ativo</v>
      </c>
    </row>
    <row r="1622" spans="1:6" x14ac:dyDescent="0.25">
      <c r="A1622" t="s">
        <v>1529</v>
      </c>
      <c r="B1622" t="s">
        <v>661</v>
      </c>
      <c r="C1622" s="10" t="str" cm="1">
        <f t="array" ref="C1622">IF(AND(A1622="2020-12", ISNA(MATCH(B1622, _xlfn._xlws.FILTER(B:B, A:A="2021-01"), 0))), "Left", "Ativo")</f>
        <v>Ativo</v>
      </c>
      <c r="D1622" s="10" t="str" cm="1">
        <f t="array" ref="D1622">IF(AND(A1622="2021-01", ISNA(MATCH(B1622, _xlfn._xlws.FILTER(B:B, A:A="2021-02"), 0))), "Left", "Ativo")</f>
        <v>Ativo</v>
      </c>
      <c r="E1622" s="10" t="str" cm="1">
        <f t="array" ref="E1622">IF(AND(A1622="2021-02", ISNA(MATCH(B1622, _xlfn._xlws.FILTER(B:B, A:A="2021-03"), 0))), "Left", "Ativo")</f>
        <v>Ativo</v>
      </c>
      <c r="F1622" s="12" t="str" cm="1">
        <f t="array" ref="F1622">IF(AND(A1622="2021-03", ISNA(MATCH(B1622, _xlfn._xlws.FILTER(B:B, A:A="2021-04"), 0))), "Left", "Ativo")</f>
        <v>Ativo</v>
      </c>
    </row>
    <row r="1623" spans="1:6" x14ac:dyDescent="0.25">
      <c r="A1623" t="s">
        <v>1529</v>
      </c>
      <c r="B1623" t="s">
        <v>662</v>
      </c>
      <c r="C1623" s="10" t="str" cm="1">
        <f t="array" ref="C1623">IF(AND(A1623="2020-12", ISNA(MATCH(B1623, _xlfn._xlws.FILTER(B:B, A:A="2021-01"), 0))), "Left", "Ativo")</f>
        <v>Ativo</v>
      </c>
      <c r="D1623" s="10" t="str" cm="1">
        <f t="array" ref="D1623">IF(AND(A1623="2021-01", ISNA(MATCH(B1623, _xlfn._xlws.FILTER(B:B, A:A="2021-02"), 0))), "Left", "Ativo")</f>
        <v>Ativo</v>
      </c>
      <c r="E1623" s="10" t="str" cm="1">
        <f t="array" ref="E1623">IF(AND(A1623="2021-02", ISNA(MATCH(B1623, _xlfn._xlws.FILTER(B:B, A:A="2021-03"), 0))), "Left", "Ativo")</f>
        <v>Ativo</v>
      </c>
      <c r="F1623" s="12" t="str" cm="1">
        <f t="array" ref="F1623">IF(AND(A1623="2021-03", ISNA(MATCH(B1623, _xlfn._xlws.FILTER(B:B, A:A="2021-04"), 0))), "Left", "Ativo")</f>
        <v>Ativo</v>
      </c>
    </row>
    <row r="1624" spans="1:6" x14ac:dyDescent="0.25">
      <c r="A1624" t="s">
        <v>1529</v>
      </c>
      <c r="B1624" t="s">
        <v>663</v>
      </c>
      <c r="C1624" s="10" t="str" cm="1">
        <f t="array" ref="C1624">IF(AND(A1624="2020-12", ISNA(MATCH(B1624, _xlfn._xlws.FILTER(B:B, A:A="2021-01"), 0))), "Left", "Ativo")</f>
        <v>Ativo</v>
      </c>
      <c r="D1624" s="10" t="str" cm="1">
        <f t="array" ref="D1624">IF(AND(A1624="2021-01", ISNA(MATCH(B1624, _xlfn._xlws.FILTER(B:B, A:A="2021-02"), 0))), "Left", "Ativo")</f>
        <v>Ativo</v>
      </c>
      <c r="E1624" s="10" t="str" cm="1">
        <f t="array" ref="E1624">IF(AND(A1624="2021-02", ISNA(MATCH(B1624, _xlfn._xlws.FILTER(B:B, A:A="2021-03"), 0))), "Left", "Ativo")</f>
        <v>Ativo</v>
      </c>
      <c r="F1624" s="12" t="str" cm="1">
        <f t="array" ref="F1624">IF(AND(A1624="2021-03", ISNA(MATCH(B1624, _xlfn._xlws.FILTER(B:B, A:A="2021-04"), 0))), "Left", "Ativo")</f>
        <v>Ativo</v>
      </c>
    </row>
    <row r="1625" spans="1:6" x14ac:dyDescent="0.25">
      <c r="A1625" t="s">
        <v>1529</v>
      </c>
      <c r="B1625" t="s">
        <v>664</v>
      </c>
      <c r="C1625" s="10" t="str" cm="1">
        <f t="array" ref="C1625">IF(AND(A1625="2020-12", ISNA(MATCH(B1625, _xlfn._xlws.FILTER(B:B, A:A="2021-01"), 0))), "Left", "Ativo")</f>
        <v>Ativo</v>
      </c>
      <c r="D1625" s="10" t="str" cm="1">
        <f t="array" ref="D1625">IF(AND(A1625="2021-01", ISNA(MATCH(B1625, _xlfn._xlws.FILTER(B:B, A:A="2021-02"), 0))), "Left", "Ativo")</f>
        <v>Ativo</v>
      </c>
      <c r="E1625" s="10" t="str" cm="1">
        <f t="array" ref="E1625">IF(AND(A1625="2021-02", ISNA(MATCH(B1625, _xlfn._xlws.FILTER(B:B, A:A="2021-03"), 0))), "Left", "Ativo")</f>
        <v>Ativo</v>
      </c>
      <c r="F1625" s="12" t="str" cm="1">
        <f t="array" ref="F1625">IF(AND(A1625="2021-03", ISNA(MATCH(B1625, _xlfn._xlws.FILTER(B:B, A:A="2021-04"), 0))), "Left", "Ativo")</f>
        <v>Ativo</v>
      </c>
    </row>
    <row r="1626" spans="1:6" x14ac:dyDescent="0.25">
      <c r="A1626" t="s">
        <v>1529</v>
      </c>
      <c r="B1626" t="s">
        <v>665</v>
      </c>
      <c r="C1626" s="10" t="str" cm="1">
        <f t="array" ref="C1626">IF(AND(A1626="2020-12", ISNA(MATCH(B1626, _xlfn._xlws.FILTER(B:B, A:A="2021-01"), 0))), "Left", "Ativo")</f>
        <v>Ativo</v>
      </c>
      <c r="D1626" s="10" t="str" cm="1">
        <f t="array" ref="D1626">IF(AND(A1626="2021-01", ISNA(MATCH(B1626, _xlfn._xlws.FILTER(B:B, A:A="2021-02"), 0))), "Left", "Ativo")</f>
        <v>Ativo</v>
      </c>
      <c r="E1626" s="10" t="str" cm="1">
        <f t="array" ref="E1626">IF(AND(A1626="2021-02", ISNA(MATCH(B1626, _xlfn._xlws.FILTER(B:B, A:A="2021-03"), 0))), "Left", "Ativo")</f>
        <v>Ativo</v>
      </c>
      <c r="F1626" s="12" t="str" cm="1">
        <f t="array" ref="F1626">IF(AND(A1626="2021-03", ISNA(MATCH(B1626, _xlfn._xlws.FILTER(B:B, A:A="2021-04"), 0))), "Left", "Ativo")</f>
        <v>Ativo</v>
      </c>
    </row>
    <row r="1627" spans="1:6" x14ac:dyDescent="0.25">
      <c r="A1627" t="s">
        <v>1529</v>
      </c>
      <c r="B1627" t="s">
        <v>666</v>
      </c>
      <c r="C1627" s="10" t="str" cm="1">
        <f t="array" ref="C1627">IF(AND(A1627="2020-12", ISNA(MATCH(B1627, _xlfn._xlws.FILTER(B:B, A:A="2021-01"), 0))), "Left", "Ativo")</f>
        <v>Ativo</v>
      </c>
      <c r="D1627" s="10" t="str" cm="1">
        <f t="array" ref="D1627">IF(AND(A1627="2021-01", ISNA(MATCH(B1627, _xlfn._xlws.FILTER(B:B, A:A="2021-02"), 0))), "Left", "Ativo")</f>
        <v>Ativo</v>
      </c>
      <c r="E1627" s="10" t="str" cm="1">
        <f t="array" ref="E1627">IF(AND(A1627="2021-02", ISNA(MATCH(B1627, _xlfn._xlws.FILTER(B:B, A:A="2021-03"), 0))), "Left", "Ativo")</f>
        <v>Ativo</v>
      </c>
      <c r="F1627" s="12" t="str" cm="1">
        <f t="array" ref="F1627">IF(AND(A1627="2021-03", ISNA(MATCH(B1627, _xlfn._xlws.FILTER(B:B, A:A="2021-04"), 0))), "Left", "Ativo")</f>
        <v>Ativo</v>
      </c>
    </row>
    <row r="1628" spans="1:6" x14ac:dyDescent="0.25">
      <c r="A1628" t="s">
        <v>1529</v>
      </c>
      <c r="B1628" t="s">
        <v>667</v>
      </c>
      <c r="C1628" s="10" t="str" cm="1">
        <f t="array" ref="C1628">IF(AND(A1628="2020-12", ISNA(MATCH(B1628, _xlfn._xlws.FILTER(B:B, A:A="2021-01"), 0))), "Left", "Ativo")</f>
        <v>Ativo</v>
      </c>
      <c r="D1628" s="10" t="str" cm="1">
        <f t="array" ref="D1628">IF(AND(A1628="2021-01", ISNA(MATCH(B1628, _xlfn._xlws.FILTER(B:B, A:A="2021-02"), 0))), "Left", "Ativo")</f>
        <v>Ativo</v>
      </c>
      <c r="E1628" s="10" t="str" cm="1">
        <f t="array" ref="E1628">IF(AND(A1628="2021-02", ISNA(MATCH(B1628, _xlfn._xlws.FILTER(B:B, A:A="2021-03"), 0))), "Left", "Ativo")</f>
        <v>Ativo</v>
      </c>
      <c r="F1628" s="12" t="str" cm="1">
        <f t="array" ref="F1628">IF(AND(A1628="2021-03", ISNA(MATCH(B1628, _xlfn._xlws.FILTER(B:B, A:A="2021-04"), 0))), "Left", "Ativo")</f>
        <v>Ativo</v>
      </c>
    </row>
    <row r="1629" spans="1:6" x14ac:dyDescent="0.25">
      <c r="A1629" t="s">
        <v>1529</v>
      </c>
      <c r="B1629" t="s">
        <v>668</v>
      </c>
      <c r="C1629" s="10" t="str" cm="1">
        <f t="array" ref="C1629">IF(AND(A1629="2020-12", ISNA(MATCH(B1629, _xlfn._xlws.FILTER(B:B, A:A="2021-01"), 0))), "Left", "Ativo")</f>
        <v>Ativo</v>
      </c>
      <c r="D1629" s="10" t="str" cm="1">
        <f t="array" ref="D1629">IF(AND(A1629="2021-01", ISNA(MATCH(B1629, _xlfn._xlws.FILTER(B:B, A:A="2021-02"), 0))), "Left", "Ativo")</f>
        <v>Ativo</v>
      </c>
      <c r="E1629" s="10" t="str" cm="1">
        <f t="array" ref="E1629">IF(AND(A1629="2021-02", ISNA(MATCH(B1629, _xlfn._xlws.FILTER(B:B, A:A="2021-03"), 0))), "Left", "Ativo")</f>
        <v>Ativo</v>
      </c>
      <c r="F1629" s="12" t="str" cm="1">
        <f t="array" ref="F1629">IF(AND(A1629="2021-03", ISNA(MATCH(B1629, _xlfn._xlws.FILTER(B:B, A:A="2021-04"), 0))), "Left", "Ativo")</f>
        <v>Ativo</v>
      </c>
    </row>
    <row r="1630" spans="1:6" x14ac:dyDescent="0.25">
      <c r="A1630" t="s">
        <v>1529</v>
      </c>
      <c r="B1630" t="s">
        <v>669</v>
      </c>
      <c r="C1630" s="10" t="str" cm="1">
        <f t="array" ref="C1630">IF(AND(A1630="2020-12", ISNA(MATCH(B1630, _xlfn._xlws.FILTER(B:B, A:A="2021-01"), 0))), "Left", "Ativo")</f>
        <v>Ativo</v>
      </c>
      <c r="D1630" s="10" t="str" cm="1">
        <f t="array" ref="D1630">IF(AND(A1630="2021-01", ISNA(MATCH(B1630, _xlfn._xlws.FILTER(B:B, A:A="2021-02"), 0))), "Left", "Ativo")</f>
        <v>Ativo</v>
      </c>
      <c r="E1630" s="10" t="str" cm="1">
        <f t="array" ref="E1630">IF(AND(A1630="2021-02", ISNA(MATCH(B1630, _xlfn._xlws.FILTER(B:B, A:A="2021-03"), 0))), "Left", "Ativo")</f>
        <v>Ativo</v>
      </c>
      <c r="F1630" s="12" t="str" cm="1">
        <f t="array" ref="F1630">IF(AND(A1630="2021-03", ISNA(MATCH(B1630, _xlfn._xlws.FILTER(B:B, A:A="2021-04"), 0))), "Left", "Ativo")</f>
        <v>Ativo</v>
      </c>
    </row>
    <row r="1631" spans="1:6" x14ac:dyDescent="0.25">
      <c r="A1631" t="s">
        <v>1529</v>
      </c>
      <c r="B1631" t="s">
        <v>670</v>
      </c>
      <c r="C1631" s="10" t="str" cm="1">
        <f t="array" ref="C1631">IF(AND(A1631="2020-12", ISNA(MATCH(B1631, _xlfn._xlws.FILTER(B:B, A:A="2021-01"), 0))), "Left", "Ativo")</f>
        <v>Ativo</v>
      </c>
      <c r="D1631" s="10" t="str" cm="1">
        <f t="array" ref="D1631">IF(AND(A1631="2021-01", ISNA(MATCH(B1631, _xlfn._xlws.FILTER(B:B, A:A="2021-02"), 0))), "Left", "Ativo")</f>
        <v>Ativo</v>
      </c>
      <c r="E1631" s="10" t="str" cm="1">
        <f t="array" ref="E1631">IF(AND(A1631="2021-02", ISNA(MATCH(B1631, _xlfn._xlws.FILTER(B:B, A:A="2021-03"), 0))), "Left", "Ativo")</f>
        <v>Ativo</v>
      </c>
      <c r="F1631" s="12" t="str" cm="1">
        <f t="array" ref="F1631">IF(AND(A1631="2021-03", ISNA(MATCH(B1631, _xlfn._xlws.FILTER(B:B, A:A="2021-04"), 0))), "Left", "Ativo")</f>
        <v>Ativo</v>
      </c>
    </row>
    <row r="1632" spans="1:6" x14ac:dyDescent="0.25">
      <c r="A1632" t="s">
        <v>1529</v>
      </c>
      <c r="B1632" t="s">
        <v>671</v>
      </c>
      <c r="C1632" s="10" t="str" cm="1">
        <f t="array" ref="C1632">IF(AND(A1632="2020-12", ISNA(MATCH(B1632, _xlfn._xlws.FILTER(B:B, A:A="2021-01"), 0))), "Left", "Ativo")</f>
        <v>Ativo</v>
      </c>
      <c r="D1632" s="10" t="str" cm="1">
        <f t="array" ref="D1632">IF(AND(A1632="2021-01", ISNA(MATCH(B1632, _xlfn._xlws.FILTER(B:B, A:A="2021-02"), 0))), "Left", "Ativo")</f>
        <v>Ativo</v>
      </c>
      <c r="E1632" s="10" t="str" cm="1">
        <f t="array" ref="E1632">IF(AND(A1632="2021-02", ISNA(MATCH(B1632, _xlfn._xlws.FILTER(B:B, A:A="2021-03"), 0))), "Left", "Ativo")</f>
        <v>Ativo</v>
      </c>
      <c r="F1632" s="12" t="str" cm="1">
        <f t="array" ref="F1632">IF(AND(A1632="2021-03", ISNA(MATCH(B1632, _xlfn._xlws.FILTER(B:B, A:A="2021-04"), 0))), "Left", "Ativo")</f>
        <v>Ativo</v>
      </c>
    </row>
    <row r="1633" spans="1:6" x14ac:dyDescent="0.25">
      <c r="A1633" t="s">
        <v>1529</v>
      </c>
      <c r="B1633" t="s">
        <v>672</v>
      </c>
      <c r="C1633" s="10" t="str" cm="1">
        <f t="array" ref="C1633">IF(AND(A1633="2020-12", ISNA(MATCH(B1633, _xlfn._xlws.FILTER(B:B, A:A="2021-01"), 0))), "Left", "Ativo")</f>
        <v>Ativo</v>
      </c>
      <c r="D1633" s="10" t="str" cm="1">
        <f t="array" ref="D1633">IF(AND(A1633="2021-01", ISNA(MATCH(B1633, _xlfn._xlws.FILTER(B:B, A:A="2021-02"), 0))), "Left", "Ativo")</f>
        <v>Ativo</v>
      </c>
      <c r="E1633" s="10" t="str" cm="1">
        <f t="array" ref="E1633">IF(AND(A1633="2021-02", ISNA(MATCH(B1633, _xlfn._xlws.FILTER(B:B, A:A="2021-03"), 0))), "Left", "Ativo")</f>
        <v>Ativo</v>
      </c>
      <c r="F1633" s="12" t="str" cm="1">
        <f t="array" ref="F1633">IF(AND(A1633="2021-03", ISNA(MATCH(B1633, _xlfn._xlws.FILTER(B:B, A:A="2021-04"), 0))), "Left", "Ativo")</f>
        <v>Ativo</v>
      </c>
    </row>
    <row r="1634" spans="1:6" x14ac:dyDescent="0.25">
      <c r="A1634" t="s">
        <v>1529</v>
      </c>
      <c r="B1634" t="s">
        <v>673</v>
      </c>
      <c r="C1634" s="10" t="str" cm="1">
        <f t="array" ref="C1634">IF(AND(A1634="2020-12", ISNA(MATCH(B1634, _xlfn._xlws.FILTER(B:B, A:A="2021-01"), 0))), "Left", "Ativo")</f>
        <v>Ativo</v>
      </c>
      <c r="D1634" s="10" t="str" cm="1">
        <f t="array" ref="D1634">IF(AND(A1634="2021-01", ISNA(MATCH(B1634, _xlfn._xlws.FILTER(B:B, A:A="2021-02"), 0))), "Left", "Ativo")</f>
        <v>Ativo</v>
      </c>
      <c r="E1634" s="10" t="str" cm="1">
        <f t="array" ref="E1634">IF(AND(A1634="2021-02", ISNA(MATCH(B1634, _xlfn._xlws.FILTER(B:B, A:A="2021-03"), 0))), "Left", "Ativo")</f>
        <v>Ativo</v>
      </c>
      <c r="F1634" s="12" t="str" cm="1">
        <f t="array" ref="F1634">IF(AND(A1634="2021-03", ISNA(MATCH(B1634, _xlfn._xlws.FILTER(B:B, A:A="2021-04"), 0))), "Left", "Ativo")</f>
        <v>Ativo</v>
      </c>
    </row>
    <row r="1635" spans="1:6" x14ac:dyDescent="0.25">
      <c r="A1635" t="s">
        <v>1529</v>
      </c>
      <c r="B1635" t="s">
        <v>674</v>
      </c>
      <c r="C1635" s="10" t="str" cm="1">
        <f t="array" ref="C1635">IF(AND(A1635="2020-12", ISNA(MATCH(B1635, _xlfn._xlws.FILTER(B:B, A:A="2021-01"), 0))), "Left", "Ativo")</f>
        <v>Ativo</v>
      </c>
      <c r="D1635" s="10" t="str" cm="1">
        <f t="array" ref="D1635">IF(AND(A1635="2021-01", ISNA(MATCH(B1635, _xlfn._xlws.FILTER(B:B, A:A="2021-02"), 0))), "Left", "Ativo")</f>
        <v>Ativo</v>
      </c>
      <c r="E1635" s="10" t="str" cm="1">
        <f t="array" ref="E1635">IF(AND(A1635="2021-02", ISNA(MATCH(B1635, _xlfn._xlws.FILTER(B:B, A:A="2021-03"), 0))), "Left", "Ativo")</f>
        <v>Ativo</v>
      </c>
      <c r="F1635" s="12" t="str" cm="1">
        <f t="array" ref="F1635">IF(AND(A1635="2021-03", ISNA(MATCH(B1635, _xlfn._xlws.FILTER(B:B, A:A="2021-04"), 0))), "Left", "Ativo")</f>
        <v>Ativo</v>
      </c>
    </row>
    <row r="1636" spans="1:6" x14ac:dyDescent="0.25">
      <c r="A1636" t="s">
        <v>1529</v>
      </c>
      <c r="B1636" t="s">
        <v>675</v>
      </c>
      <c r="C1636" s="10" t="str" cm="1">
        <f t="array" ref="C1636">IF(AND(A1636="2020-12", ISNA(MATCH(B1636, _xlfn._xlws.FILTER(B:B, A:A="2021-01"), 0))), "Left", "Ativo")</f>
        <v>Ativo</v>
      </c>
      <c r="D1636" s="10" t="str" cm="1">
        <f t="array" ref="D1636">IF(AND(A1636="2021-01", ISNA(MATCH(B1636, _xlfn._xlws.FILTER(B:B, A:A="2021-02"), 0))), "Left", "Ativo")</f>
        <v>Ativo</v>
      </c>
      <c r="E1636" s="10" t="str" cm="1">
        <f t="array" ref="E1636">IF(AND(A1636="2021-02", ISNA(MATCH(B1636, _xlfn._xlws.FILTER(B:B, A:A="2021-03"), 0))), "Left", "Ativo")</f>
        <v>Ativo</v>
      </c>
      <c r="F1636" s="12" t="str" cm="1">
        <f t="array" ref="F1636">IF(AND(A1636="2021-03", ISNA(MATCH(B1636, _xlfn._xlws.FILTER(B:B, A:A="2021-04"), 0))), "Left", "Ativo")</f>
        <v>Ativo</v>
      </c>
    </row>
    <row r="1637" spans="1:6" x14ac:dyDescent="0.25">
      <c r="A1637" t="s">
        <v>1529</v>
      </c>
      <c r="B1637" t="s">
        <v>676</v>
      </c>
      <c r="C1637" s="10" t="str" cm="1">
        <f t="array" ref="C1637">IF(AND(A1637="2020-12", ISNA(MATCH(B1637, _xlfn._xlws.FILTER(B:B, A:A="2021-01"), 0))), "Left", "Ativo")</f>
        <v>Ativo</v>
      </c>
      <c r="D1637" s="10" t="str" cm="1">
        <f t="array" ref="D1637">IF(AND(A1637="2021-01", ISNA(MATCH(B1637, _xlfn._xlws.FILTER(B:B, A:A="2021-02"), 0))), "Left", "Ativo")</f>
        <v>Ativo</v>
      </c>
      <c r="E1637" s="10" t="str" cm="1">
        <f t="array" ref="E1637">IF(AND(A1637="2021-02", ISNA(MATCH(B1637, _xlfn._xlws.FILTER(B:B, A:A="2021-03"), 0))), "Left", "Ativo")</f>
        <v>Ativo</v>
      </c>
      <c r="F1637" s="12" t="str" cm="1">
        <f t="array" ref="F1637">IF(AND(A1637="2021-03", ISNA(MATCH(B1637, _xlfn._xlws.FILTER(B:B, A:A="2021-04"), 0))), "Left", "Ativo")</f>
        <v>Ativo</v>
      </c>
    </row>
    <row r="1638" spans="1:6" x14ac:dyDescent="0.25">
      <c r="A1638" t="s">
        <v>1529</v>
      </c>
      <c r="B1638" t="s">
        <v>677</v>
      </c>
      <c r="C1638" s="10" t="str" cm="1">
        <f t="array" ref="C1638">IF(AND(A1638="2020-12", ISNA(MATCH(B1638, _xlfn._xlws.FILTER(B:B, A:A="2021-01"), 0))), "Left", "Ativo")</f>
        <v>Ativo</v>
      </c>
      <c r="D1638" s="10" t="str" cm="1">
        <f t="array" ref="D1638">IF(AND(A1638="2021-01", ISNA(MATCH(B1638, _xlfn._xlws.FILTER(B:B, A:A="2021-02"), 0))), "Left", "Ativo")</f>
        <v>Ativo</v>
      </c>
      <c r="E1638" s="10" t="str" cm="1">
        <f t="array" ref="E1638">IF(AND(A1638="2021-02", ISNA(MATCH(B1638, _xlfn._xlws.FILTER(B:B, A:A="2021-03"), 0))), "Left", "Ativo")</f>
        <v>Ativo</v>
      </c>
      <c r="F1638" s="12" t="str" cm="1">
        <f t="array" ref="F1638">IF(AND(A1638="2021-03", ISNA(MATCH(B1638, _xlfn._xlws.FILTER(B:B, A:A="2021-04"), 0))), "Left", "Ativo")</f>
        <v>Ativo</v>
      </c>
    </row>
    <row r="1639" spans="1:6" x14ac:dyDescent="0.25">
      <c r="A1639" t="s">
        <v>1529</v>
      </c>
      <c r="B1639" t="s">
        <v>678</v>
      </c>
      <c r="C1639" s="10" t="str" cm="1">
        <f t="array" ref="C1639">IF(AND(A1639="2020-12", ISNA(MATCH(B1639, _xlfn._xlws.FILTER(B:B, A:A="2021-01"), 0))), "Left", "Ativo")</f>
        <v>Ativo</v>
      </c>
      <c r="D1639" s="10" t="str" cm="1">
        <f t="array" ref="D1639">IF(AND(A1639="2021-01", ISNA(MATCH(B1639, _xlfn._xlws.FILTER(B:B, A:A="2021-02"), 0))), "Left", "Ativo")</f>
        <v>Ativo</v>
      </c>
      <c r="E1639" s="10" t="str" cm="1">
        <f t="array" ref="E1639">IF(AND(A1639="2021-02", ISNA(MATCH(B1639, _xlfn._xlws.FILTER(B:B, A:A="2021-03"), 0))), "Left", "Ativo")</f>
        <v>Ativo</v>
      </c>
      <c r="F1639" s="12" t="str" cm="1">
        <f t="array" ref="F1639">IF(AND(A1639="2021-03", ISNA(MATCH(B1639, _xlfn._xlws.FILTER(B:B, A:A="2021-04"), 0))), "Left", "Ativo")</f>
        <v>Ativo</v>
      </c>
    </row>
    <row r="1640" spans="1:6" x14ac:dyDescent="0.25">
      <c r="A1640" t="s">
        <v>1529</v>
      </c>
      <c r="B1640" t="s">
        <v>679</v>
      </c>
      <c r="C1640" s="10" t="str" cm="1">
        <f t="array" ref="C1640">IF(AND(A1640="2020-12", ISNA(MATCH(B1640, _xlfn._xlws.FILTER(B:B, A:A="2021-01"), 0))), "Left", "Ativo")</f>
        <v>Ativo</v>
      </c>
      <c r="D1640" s="10" t="str" cm="1">
        <f t="array" ref="D1640">IF(AND(A1640="2021-01", ISNA(MATCH(B1640, _xlfn._xlws.FILTER(B:B, A:A="2021-02"), 0))), "Left", "Ativo")</f>
        <v>Ativo</v>
      </c>
      <c r="E1640" s="10" t="str" cm="1">
        <f t="array" ref="E1640">IF(AND(A1640="2021-02", ISNA(MATCH(B1640, _xlfn._xlws.FILTER(B:B, A:A="2021-03"), 0))), "Left", "Ativo")</f>
        <v>Ativo</v>
      </c>
      <c r="F1640" s="12" t="str" cm="1">
        <f t="array" ref="F1640">IF(AND(A1640="2021-03", ISNA(MATCH(B1640, _xlfn._xlws.FILTER(B:B, A:A="2021-04"), 0))), "Left", "Ativo")</f>
        <v>Ativo</v>
      </c>
    </row>
    <row r="1641" spans="1:6" x14ac:dyDescent="0.25">
      <c r="A1641" t="s">
        <v>1529</v>
      </c>
      <c r="B1641" t="s">
        <v>680</v>
      </c>
      <c r="C1641" s="10" t="str" cm="1">
        <f t="array" ref="C1641">IF(AND(A1641="2020-12", ISNA(MATCH(B1641, _xlfn._xlws.FILTER(B:B, A:A="2021-01"), 0))), "Left", "Ativo")</f>
        <v>Ativo</v>
      </c>
      <c r="D1641" s="10" t="str" cm="1">
        <f t="array" ref="D1641">IF(AND(A1641="2021-01", ISNA(MATCH(B1641, _xlfn._xlws.FILTER(B:B, A:A="2021-02"), 0))), "Left", "Ativo")</f>
        <v>Ativo</v>
      </c>
      <c r="E1641" s="10" t="str" cm="1">
        <f t="array" ref="E1641">IF(AND(A1641="2021-02", ISNA(MATCH(B1641, _xlfn._xlws.FILTER(B:B, A:A="2021-03"), 0))), "Left", "Ativo")</f>
        <v>Ativo</v>
      </c>
      <c r="F1641" s="12" t="str" cm="1">
        <f t="array" ref="F1641">IF(AND(A1641="2021-03", ISNA(MATCH(B1641, _xlfn._xlws.FILTER(B:B, A:A="2021-04"), 0))), "Left", "Ativo")</f>
        <v>Ativo</v>
      </c>
    </row>
    <row r="1642" spans="1:6" x14ac:dyDescent="0.25">
      <c r="A1642" t="s">
        <v>1529</v>
      </c>
      <c r="B1642" t="s">
        <v>681</v>
      </c>
      <c r="C1642" s="10" t="str" cm="1">
        <f t="array" ref="C1642">IF(AND(A1642="2020-12", ISNA(MATCH(B1642, _xlfn._xlws.FILTER(B:B, A:A="2021-01"), 0))), "Left", "Ativo")</f>
        <v>Ativo</v>
      </c>
      <c r="D1642" s="10" t="str" cm="1">
        <f t="array" ref="D1642">IF(AND(A1642="2021-01", ISNA(MATCH(B1642, _xlfn._xlws.FILTER(B:B, A:A="2021-02"), 0))), "Left", "Ativo")</f>
        <v>Ativo</v>
      </c>
      <c r="E1642" s="10" t="str" cm="1">
        <f t="array" ref="E1642">IF(AND(A1642="2021-02", ISNA(MATCH(B1642, _xlfn._xlws.FILTER(B:B, A:A="2021-03"), 0))), "Left", "Ativo")</f>
        <v>Ativo</v>
      </c>
      <c r="F1642" s="12" t="str" cm="1">
        <f t="array" ref="F1642">IF(AND(A1642="2021-03", ISNA(MATCH(B1642, _xlfn._xlws.FILTER(B:B, A:A="2021-04"), 0))), "Left", "Ativo")</f>
        <v>Ativo</v>
      </c>
    </row>
    <row r="1643" spans="1:6" x14ac:dyDescent="0.25">
      <c r="A1643" t="s">
        <v>1529</v>
      </c>
      <c r="B1643" t="s">
        <v>682</v>
      </c>
      <c r="C1643" s="10" t="str" cm="1">
        <f t="array" ref="C1643">IF(AND(A1643="2020-12", ISNA(MATCH(B1643, _xlfn._xlws.FILTER(B:B, A:A="2021-01"), 0))), "Left", "Ativo")</f>
        <v>Ativo</v>
      </c>
      <c r="D1643" s="10" t="str" cm="1">
        <f t="array" ref="D1643">IF(AND(A1643="2021-01", ISNA(MATCH(B1643, _xlfn._xlws.FILTER(B:B, A:A="2021-02"), 0))), "Left", "Ativo")</f>
        <v>Ativo</v>
      </c>
      <c r="E1643" s="10" t="str" cm="1">
        <f t="array" ref="E1643">IF(AND(A1643="2021-02", ISNA(MATCH(B1643, _xlfn._xlws.FILTER(B:B, A:A="2021-03"), 0))), "Left", "Ativo")</f>
        <v>Ativo</v>
      </c>
      <c r="F1643" s="12" t="str" cm="1">
        <f t="array" ref="F1643">IF(AND(A1643="2021-03", ISNA(MATCH(B1643, _xlfn._xlws.FILTER(B:B, A:A="2021-04"), 0))), "Left", "Ativo")</f>
        <v>Ativo</v>
      </c>
    </row>
    <row r="1644" spans="1:6" x14ac:dyDescent="0.25">
      <c r="A1644" t="s">
        <v>1529</v>
      </c>
      <c r="B1644" t="s">
        <v>683</v>
      </c>
      <c r="C1644" s="10" t="str" cm="1">
        <f t="array" ref="C1644">IF(AND(A1644="2020-12", ISNA(MATCH(B1644, _xlfn._xlws.FILTER(B:B, A:A="2021-01"), 0))), "Left", "Ativo")</f>
        <v>Ativo</v>
      </c>
      <c r="D1644" s="10" t="str" cm="1">
        <f t="array" ref="D1644">IF(AND(A1644="2021-01", ISNA(MATCH(B1644, _xlfn._xlws.FILTER(B:B, A:A="2021-02"), 0))), "Left", "Ativo")</f>
        <v>Ativo</v>
      </c>
      <c r="E1644" s="10" t="str" cm="1">
        <f t="array" ref="E1644">IF(AND(A1644="2021-02", ISNA(MATCH(B1644, _xlfn._xlws.FILTER(B:B, A:A="2021-03"), 0))), "Left", "Ativo")</f>
        <v>Ativo</v>
      </c>
      <c r="F1644" s="12" t="str" cm="1">
        <f t="array" ref="F1644">IF(AND(A1644="2021-03", ISNA(MATCH(B1644, _xlfn._xlws.FILTER(B:B, A:A="2021-04"), 0))), "Left", "Ativo")</f>
        <v>Ativo</v>
      </c>
    </row>
    <row r="1645" spans="1:6" x14ac:dyDescent="0.25">
      <c r="A1645" t="s">
        <v>1529</v>
      </c>
      <c r="B1645" t="s">
        <v>684</v>
      </c>
      <c r="C1645" s="10" t="str" cm="1">
        <f t="array" ref="C1645">IF(AND(A1645="2020-12", ISNA(MATCH(B1645, _xlfn._xlws.FILTER(B:B, A:A="2021-01"), 0))), "Left", "Ativo")</f>
        <v>Ativo</v>
      </c>
      <c r="D1645" s="10" t="str" cm="1">
        <f t="array" ref="D1645">IF(AND(A1645="2021-01", ISNA(MATCH(B1645, _xlfn._xlws.FILTER(B:B, A:A="2021-02"), 0))), "Left", "Ativo")</f>
        <v>Ativo</v>
      </c>
      <c r="E1645" s="10" t="str" cm="1">
        <f t="array" ref="E1645">IF(AND(A1645="2021-02", ISNA(MATCH(B1645, _xlfn._xlws.FILTER(B:B, A:A="2021-03"), 0))), "Left", "Ativo")</f>
        <v>Ativo</v>
      </c>
      <c r="F1645" s="12" t="str" cm="1">
        <f t="array" ref="F1645">IF(AND(A1645="2021-03", ISNA(MATCH(B1645, _xlfn._xlws.FILTER(B:B, A:A="2021-04"), 0))), "Left", "Ativo")</f>
        <v>Ativo</v>
      </c>
    </row>
    <row r="1646" spans="1:6" x14ac:dyDescent="0.25">
      <c r="A1646" t="s">
        <v>1529</v>
      </c>
      <c r="B1646" t="s">
        <v>685</v>
      </c>
      <c r="C1646" s="10" t="str" cm="1">
        <f t="array" ref="C1646">IF(AND(A1646="2020-12", ISNA(MATCH(B1646, _xlfn._xlws.FILTER(B:B, A:A="2021-01"), 0))), "Left", "Ativo")</f>
        <v>Ativo</v>
      </c>
      <c r="D1646" s="10" t="str" cm="1">
        <f t="array" ref="D1646">IF(AND(A1646="2021-01", ISNA(MATCH(B1646, _xlfn._xlws.FILTER(B:B, A:A="2021-02"), 0))), "Left", "Ativo")</f>
        <v>Ativo</v>
      </c>
      <c r="E1646" s="10" t="str" cm="1">
        <f t="array" ref="E1646">IF(AND(A1646="2021-02", ISNA(MATCH(B1646, _xlfn._xlws.FILTER(B:B, A:A="2021-03"), 0))), "Left", "Ativo")</f>
        <v>Ativo</v>
      </c>
      <c r="F1646" s="12" t="str" cm="1">
        <f t="array" ref="F1646">IF(AND(A1646="2021-03", ISNA(MATCH(B1646, _xlfn._xlws.FILTER(B:B, A:A="2021-04"), 0))), "Left", "Ativo")</f>
        <v>Ativo</v>
      </c>
    </row>
    <row r="1647" spans="1:6" x14ac:dyDescent="0.25">
      <c r="A1647" t="s">
        <v>1529</v>
      </c>
      <c r="B1647" t="s">
        <v>686</v>
      </c>
      <c r="C1647" s="10" t="str" cm="1">
        <f t="array" ref="C1647">IF(AND(A1647="2020-12", ISNA(MATCH(B1647, _xlfn._xlws.FILTER(B:B, A:A="2021-01"), 0))), "Left", "Ativo")</f>
        <v>Ativo</v>
      </c>
      <c r="D1647" s="10" t="str" cm="1">
        <f t="array" ref="D1647">IF(AND(A1647="2021-01", ISNA(MATCH(B1647, _xlfn._xlws.FILTER(B:B, A:A="2021-02"), 0))), "Left", "Ativo")</f>
        <v>Ativo</v>
      </c>
      <c r="E1647" s="10" t="str" cm="1">
        <f t="array" ref="E1647">IF(AND(A1647="2021-02", ISNA(MATCH(B1647, _xlfn._xlws.FILTER(B:B, A:A="2021-03"), 0))), "Left", "Ativo")</f>
        <v>Ativo</v>
      </c>
      <c r="F1647" s="12" t="str" cm="1">
        <f t="array" ref="F1647">IF(AND(A1647="2021-03", ISNA(MATCH(B1647, _xlfn._xlws.FILTER(B:B, A:A="2021-04"), 0))), "Left", "Ativo")</f>
        <v>Ativo</v>
      </c>
    </row>
    <row r="1648" spans="1:6" x14ac:dyDescent="0.25">
      <c r="A1648" t="s">
        <v>1529</v>
      </c>
      <c r="B1648" t="s">
        <v>687</v>
      </c>
      <c r="C1648" s="10" t="str" cm="1">
        <f t="array" ref="C1648">IF(AND(A1648="2020-12", ISNA(MATCH(B1648, _xlfn._xlws.FILTER(B:B, A:A="2021-01"), 0))), "Left", "Ativo")</f>
        <v>Ativo</v>
      </c>
      <c r="D1648" s="10" t="str" cm="1">
        <f t="array" ref="D1648">IF(AND(A1648="2021-01", ISNA(MATCH(B1648, _xlfn._xlws.FILTER(B:B, A:A="2021-02"), 0))), "Left", "Ativo")</f>
        <v>Ativo</v>
      </c>
      <c r="E1648" s="10" t="str" cm="1">
        <f t="array" ref="E1648">IF(AND(A1648="2021-02", ISNA(MATCH(B1648, _xlfn._xlws.FILTER(B:B, A:A="2021-03"), 0))), "Left", "Ativo")</f>
        <v>Ativo</v>
      </c>
      <c r="F1648" s="12" t="str" cm="1">
        <f t="array" ref="F1648">IF(AND(A1648="2021-03", ISNA(MATCH(B1648, _xlfn._xlws.FILTER(B:B, A:A="2021-04"), 0))), "Left", "Ativo")</f>
        <v>Ativo</v>
      </c>
    </row>
    <row r="1649" spans="1:6" x14ac:dyDescent="0.25">
      <c r="A1649" t="s">
        <v>1529</v>
      </c>
      <c r="B1649" t="s">
        <v>688</v>
      </c>
      <c r="C1649" s="10" t="str" cm="1">
        <f t="array" ref="C1649">IF(AND(A1649="2020-12", ISNA(MATCH(B1649, _xlfn._xlws.FILTER(B:B, A:A="2021-01"), 0))), "Left", "Ativo")</f>
        <v>Ativo</v>
      </c>
      <c r="D1649" s="10" t="str" cm="1">
        <f t="array" ref="D1649">IF(AND(A1649="2021-01", ISNA(MATCH(B1649, _xlfn._xlws.FILTER(B:B, A:A="2021-02"), 0))), "Left", "Ativo")</f>
        <v>Ativo</v>
      </c>
      <c r="E1649" s="10" t="str" cm="1">
        <f t="array" ref="E1649">IF(AND(A1649="2021-02", ISNA(MATCH(B1649, _xlfn._xlws.FILTER(B:B, A:A="2021-03"), 0))), "Left", "Ativo")</f>
        <v>Ativo</v>
      </c>
      <c r="F1649" s="12" t="str" cm="1">
        <f t="array" ref="F1649">IF(AND(A1649="2021-03", ISNA(MATCH(B1649, _xlfn._xlws.FILTER(B:B, A:A="2021-04"), 0))), "Left", "Ativo")</f>
        <v>Ativo</v>
      </c>
    </row>
    <row r="1650" spans="1:6" x14ac:dyDescent="0.25">
      <c r="A1650" t="s">
        <v>1529</v>
      </c>
      <c r="B1650" t="s">
        <v>689</v>
      </c>
      <c r="C1650" s="10" t="str" cm="1">
        <f t="array" ref="C1650">IF(AND(A1650="2020-12", ISNA(MATCH(B1650, _xlfn._xlws.FILTER(B:B, A:A="2021-01"), 0))), "Left", "Ativo")</f>
        <v>Ativo</v>
      </c>
      <c r="D1650" s="10" t="str" cm="1">
        <f t="array" ref="D1650">IF(AND(A1650="2021-01", ISNA(MATCH(B1650, _xlfn._xlws.FILTER(B:B, A:A="2021-02"), 0))), "Left", "Ativo")</f>
        <v>Ativo</v>
      </c>
      <c r="E1650" s="10" t="str" cm="1">
        <f t="array" ref="E1650">IF(AND(A1650="2021-02", ISNA(MATCH(B1650, _xlfn._xlws.FILTER(B:B, A:A="2021-03"), 0))), "Left", "Ativo")</f>
        <v>Ativo</v>
      </c>
      <c r="F1650" s="12" t="str" cm="1">
        <f t="array" ref="F1650">IF(AND(A1650="2021-03", ISNA(MATCH(B1650, _xlfn._xlws.FILTER(B:B, A:A="2021-04"), 0))), "Left", "Ativo")</f>
        <v>Ativo</v>
      </c>
    </row>
    <row r="1651" spans="1:6" x14ac:dyDescent="0.25">
      <c r="A1651" t="s">
        <v>1529</v>
      </c>
      <c r="B1651" t="s">
        <v>690</v>
      </c>
      <c r="C1651" s="10" t="str" cm="1">
        <f t="array" ref="C1651">IF(AND(A1651="2020-12", ISNA(MATCH(B1651, _xlfn._xlws.FILTER(B:B, A:A="2021-01"), 0))), "Left", "Ativo")</f>
        <v>Ativo</v>
      </c>
      <c r="D1651" s="10" t="str" cm="1">
        <f t="array" ref="D1651">IF(AND(A1651="2021-01", ISNA(MATCH(B1651, _xlfn._xlws.FILTER(B:B, A:A="2021-02"), 0))), "Left", "Ativo")</f>
        <v>Ativo</v>
      </c>
      <c r="E1651" s="10" t="str" cm="1">
        <f t="array" ref="E1651">IF(AND(A1651="2021-02", ISNA(MATCH(B1651, _xlfn._xlws.FILTER(B:B, A:A="2021-03"), 0))), "Left", "Ativo")</f>
        <v>Ativo</v>
      </c>
      <c r="F1651" s="12" t="str" cm="1">
        <f t="array" ref="F1651">IF(AND(A1651="2021-03", ISNA(MATCH(B1651, _xlfn._xlws.FILTER(B:B, A:A="2021-04"), 0))), "Left", "Ativo")</f>
        <v>Ativo</v>
      </c>
    </row>
    <row r="1652" spans="1:6" x14ac:dyDescent="0.25">
      <c r="A1652" t="s">
        <v>1529</v>
      </c>
      <c r="B1652" t="s">
        <v>691</v>
      </c>
      <c r="C1652" s="10" t="str" cm="1">
        <f t="array" ref="C1652">IF(AND(A1652="2020-12", ISNA(MATCH(B1652, _xlfn._xlws.FILTER(B:B, A:A="2021-01"), 0))), "Left", "Ativo")</f>
        <v>Ativo</v>
      </c>
      <c r="D1652" s="10" t="str" cm="1">
        <f t="array" ref="D1652">IF(AND(A1652="2021-01", ISNA(MATCH(B1652, _xlfn._xlws.FILTER(B:B, A:A="2021-02"), 0))), "Left", "Ativo")</f>
        <v>Ativo</v>
      </c>
      <c r="E1652" s="10" t="str" cm="1">
        <f t="array" ref="E1652">IF(AND(A1652="2021-02", ISNA(MATCH(B1652, _xlfn._xlws.FILTER(B:B, A:A="2021-03"), 0))), "Left", "Ativo")</f>
        <v>Ativo</v>
      </c>
      <c r="F1652" s="12" t="str" cm="1">
        <f t="array" ref="F1652">IF(AND(A1652="2021-03", ISNA(MATCH(B1652, _xlfn._xlws.FILTER(B:B, A:A="2021-04"), 0))), "Left", "Ativo")</f>
        <v>Ativo</v>
      </c>
    </row>
    <row r="1653" spans="1:6" x14ac:dyDescent="0.25">
      <c r="A1653" t="s">
        <v>1529</v>
      </c>
      <c r="B1653" t="s">
        <v>692</v>
      </c>
      <c r="C1653" s="10" t="str" cm="1">
        <f t="array" ref="C1653">IF(AND(A1653="2020-12", ISNA(MATCH(B1653, _xlfn._xlws.FILTER(B:B, A:A="2021-01"), 0))), "Left", "Ativo")</f>
        <v>Ativo</v>
      </c>
      <c r="D1653" s="10" t="str" cm="1">
        <f t="array" ref="D1653">IF(AND(A1653="2021-01", ISNA(MATCH(B1653, _xlfn._xlws.FILTER(B:B, A:A="2021-02"), 0))), "Left", "Ativo")</f>
        <v>Ativo</v>
      </c>
      <c r="E1653" s="10" t="str" cm="1">
        <f t="array" ref="E1653">IF(AND(A1653="2021-02", ISNA(MATCH(B1653, _xlfn._xlws.FILTER(B:B, A:A="2021-03"), 0))), "Left", "Ativo")</f>
        <v>Ativo</v>
      </c>
      <c r="F1653" s="12" t="str" cm="1">
        <f t="array" ref="F1653">IF(AND(A1653="2021-03", ISNA(MATCH(B1653, _xlfn._xlws.FILTER(B:B, A:A="2021-04"), 0))), "Left", "Ativo")</f>
        <v>Ativo</v>
      </c>
    </row>
    <row r="1654" spans="1:6" x14ac:dyDescent="0.25">
      <c r="A1654" t="s">
        <v>1529</v>
      </c>
      <c r="B1654" t="s">
        <v>693</v>
      </c>
      <c r="C1654" s="10" t="str" cm="1">
        <f t="array" ref="C1654">IF(AND(A1654="2020-12", ISNA(MATCH(B1654, _xlfn._xlws.FILTER(B:B, A:A="2021-01"), 0))), "Left", "Ativo")</f>
        <v>Ativo</v>
      </c>
      <c r="D1654" s="10" t="str" cm="1">
        <f t="array" ref="D1654">IF(AND(A1654="2021-01", ISNA(MATCH(B1654, _xlfn._xlws.FILTER(B:B, A:A="2021-02"), 0))), "Left", "Ativo")</f>
        <v>Ativo</v>
      </c>
      <c r="E1654" s="10" t="str" cm="1">
        <f t="array" ref="E1654">IF(AND(A1654="2021-02", ISNA(MATCH(B1654, _xlfn._xlws.FILTER(B:B, A:A="2021-03"), 0))), "Left", "Ativo")</f>
        <v>Ativo</v>
      </c>
      <c r="F1654" s="12" t="str" cm="1">
        <f t="array" ref="F1654">IF(AND(A1654="2021-03", ISNA(MATCH(B1654, _xlfn._xlws.FILTER(B:B, A:A="2021-04"), 0))), "Left", "Ativo")</f>
        <v>Ativo</v>
      </c>
    </row>
    <row r="1655" spans="1:6" x14ac:dyDescent="0.25">
      <c r="A1655" t="s">
        <v>1529</v>
      </c>
      <c r="B1655" t="s">
        <v>694</v>
      </c>
      <c r="C1655" s="10" t="str" cm="1">
        <f t="array" ref="C1655">IF(AND(A1655="2020-12", ISNA(MATCH(B1655, _xlfn._xlws.FILTER(B:B, A:A="2021-01"), 0))), "Left", "Ativo")</f>
        <v>Ativo</v>
      </c>
      <c r="D1655" s="10" t="str" cm="1">
        <f t="array" ref="D1655">IF(AND(A1655="2021-01", ISNA(MATCH(B1655, _xlfn._xlws.FILTER(B:B, A:A="2021-02"), 0))), "Left", "Ativo")</f>
        <v>Ativo</v>
      </c>
      <c r="E1655" s="10" t="str" cm="1">
        <f t="array" ref="E1655">IF(AND(A1655="2021-02", ISNA(MATCH(B1655, _xlfn._xlws.FILTER(B:B, A:A="2021-03"), 0))), "Left", "Ativo")</f>
        <v>Ativo</v>
      </c>
      <c r="F1655" s="12" t="str" cm="1">
        <f t="array" ref="F1655">IF(AND(A1655="2021-03", ISNA(MATCH(B1655, _xlfn._xlws.FILTER(B:B, A:A="2021-04"), 0))), "Left", "Ativo")</f>
        <v>Ativo</v>
      </c>
    </row>
    <row r="1656" spans="1:6" x14ac:dyDescent="0.25">
      <c r="A1656" t="s">
        <v>1529</v>
      </c>
      <c r="B1656" t="s">
        <v>695</v>
      </c>
      <c r="C1656" s="10" t="str" cm="1">
        <f t="array" ref="C1656">IF(AND(A1656="2020-12", ISNA(MATCH(B1656, _xlfn._xlws.FILTER(B:B, A:A="2021-01"), 0))), "Left", "Ativo")</f>
        <v>Ativo</v>
      </c>
      <c r="D1656" s="10" t="str" cm="1">
        <f t="array" ref="D1656">IF(AND(A1656="2021-01", ISNA(MATCH(B1656, _xlfn._xlws.FILTER(B:B, A:A="2021-02"), 0))), "Left", "Ativo")</f>
        <v>Ativo</v>
      </c>
      <c r="E1656" s="10" t="str" cm="1">
        <f t="array" ref="E1656">IF(AND(A1656="2021-02", ISNA(MATCH(B1656, _xlfn._xlws.FILTER(B:B, A:A="2021-03"), 0))), "Left", "Ativo")</f>
        <v>Ativo</v>
      </c>
      <c r="F1656" s="12" t="str" cm="1">
        <f t="array" ref="F1656">IF(AND(A1656="2021-03", ISNA(MATCH(B1656, _xlfn._xlws.FILTER(B:B, A:A="2021-04"), 0))), "Left", "Ativo")</f>
        <v>Ativo</v>
      </c>
    </row>
    <row r="1657" spans="1:6" x14ac:dyDescent="0.25">
      <c r="A1657" t="s">
        <v>1529</v>
      </c>
      <c r="B1657" t="s">
        <v>696</v>
      </c>
      <c r="C1657" s="10" t="str" cm="1">
        <f t="array" ref="C1657">IF(AND(A1657="2020-12", ISNA(MATCH(B1657, _xlfn._xlws.FILTER(B:B, A:A="2021-01"), 0))), "Left", "Ativo")</f>
        <v>Ativo</v>
      </c>
      <c r="D1657" s="10" t="str" cm="1">
        <f t="array" ref="D1657">IF(AND(A1657="2021-01", ISNA(MATCH(B1657, _xlfn._xlws.FILTER(B:B, A:A="2021-02"), 0))), "Left", "Ativo")</f>
        <v>Ativo</v>
      </c>
      <c r="E1657" s="10" t="str" cm="1">
        <f t="array" ref="E1657">IF(AND(A1657="2021-02", ISNA(MATCH(B1657, _xlfn._xlws.FILTER(B:B, A:A="2021-03"), 0))), "Left", "Ativo")</f>
        <v>Ativo</v>
      </c>
      <c r="F1657" s="12" t="str" cm="1">
        <f t="array" ref="F1657">IF(AND(A1657="2021-03", ISNA(MATCH(B1657, _xlfn._xlws.FILTER(B:B, A:A="2021-04"), 0))), "Left", "Ativo")</f>
        <v>Ativo</v>
      </c>
    </row>
    <row r="1658" spans="1:6" x14ac:dyDescent="0.25">
      <c r="A1658" t="s">
        <v>1529</v>
      </c>
      <c r="B1658" t="s">
        <v>697</v>
      </c>
      <c r="C1658" s="10" t="str" cm="1">
        <f t="array" ref="C1658">IF(AND(A1658="2020-12", ISNA(MATCH(B1658, _xlfn._xlws.FILTER(B:B, A:A="2021-01"), 0))), "Left", "Ativo")</f>
        <v>Ativo</v>
      </c>
      <c r="D1658" s="10" t="str" cm="1">
        <f t="array" ref="D1658">IF(AND(A1658="2021-01", ISNA(MATCH(B1658, _xlfn._xlws.FILTER(B:B, A:A="2021-02"), 0))), "Left", "Ativo")</f>
        <v>Ativo</v>
      </c>
      <c r="E1658" s="10" t="str" cm="1">
        <f t="array" ref="E1658">IF(AND(A1658="2021-02", ISNA(MATCH(B1658, _xlfn._xlws.FILTER(B:B, A:A="2021-03"), 0))), "Left", "Ativo")</f>
        <v>Ativo</v>
      </c>
      <c r="F1658" s="12" t="str" cm="1">
        <f t="array" ref="F1658">IF(AND(A1658="2021-03", ISNA(MATCH(B1658, _xlfn._xlws.FILTER(B:B, A:A="2021-04"), 0))), "Left", "Ativo")</f>
        <v>Ativo</v>
      </c>
    </row>
    <row r="1659" spans="1:6" x14ac:dyDescent="0.25">
      <c r="A1659" t="s">
        <v>1529</v>
      </c>
      <c r="B1659" t="s">
        <v>698</v>
      </c>
      <c r="C1659" s="10" t="str" cm="1">
        <f t="array" ref="C1659">IF(AND(A1659="2020-12", ISNA(MATCH(B1659, _xlfn._xlws.FILTER(B:B, A:A="2021-01"), 0))), "Left", "Ativo")</f>
        <v>Ativo</v>
      </c>
      <c r="D1659" s="10" t="str" cm="1">
        <f t="array" ref="D1659">IF(AND(A1659="2021-01", ISNA(MATCH(B1659, _xlfn._xlws.FILTER(B:B, A:A="2021-02"), 0))), "Left", "Ativo")</f>
        <v>Ativo</v>
      </c>
      <c r="E1659" s="10" t="str" cm="1">
        <f t="array" ref="E1659">IF(AND(A1659="2021-02", ISNA(MATCH(B1659, _xlfn._xlws.FILTER(B:B, A:A="2021-03"), 0))), "Left", "Ativo")</f>
        <v>Ativo</v>
      </c>
      <c r="F1659" s="12" t="str" cm="1">
        <f t="array" ref="F1659">IF(AND(A1659="2021-03", ISNA(MATCH(B1659, _xlfn._xlws.FILTER(B:B, A:A="2021-04"), 0))), "Left", "Ativo")</f>
        <v>Ativo</v>
      </c>
    </row>
    <row r="1660" spans="1:6" x14ac:dyDescent="0.25">
      <c r="A1660" t="s">
        <v>1529</v>
      </c>
      <c r="B1660" t="s">
        <v>699</v>
      </c>
      <c r="C1660" s="10" t="str" cm="1">
        <f t="array" ref="C1660">IF(AND(A1660="2020-12", ISNA(MATCH(B1660, _xlfn._xlws.FILTER(B:B, A:A="2021-01"), 0))), "Left", "Ativo")</f>
        <v>Ativo</v>
      </c>
      <c r="D1660" s="10" t="str" cm="1">
        <f t="array" ref="D1660">IF(AND(A1660="2021-01", ISNA(MATCH(B1660, _xlfn._xlws.FILTER(B:B, A:A="2021-02"), 0))), "Left", "Ativo")</f>
        <v>Ativo</v>
      </c>
      <c r="E1660" s="10" t="str" cm="1">
        <f t="array" ref="E1660">IF(AND(A1660="2021-02", ISNA(MATCH(B1660, _xlfn._xlws.FILTER(B:B, A:A="2021-03"), 0))), "Left", "Ativo")</f>
        <v>Ativo</v>
      </c>
      <c r="F1660" s="12" t="str" cm="1">
        <f t="array" ref="F1660">IF(AND(A1660="2021-03", ISNA(MATCH(B1660, _xlfn._xlws.FILTER(B:B, A:A="2021-04"), 0))), "Left", "Ativo")</f>
        <v>Ativo</v>
      </c>
    </row>
    <row r="1661" spans="1:6" x14ac:dyDescent="0.25">
      <c r="A1661" t="s">
        <v>1529</v>
      </c>
      <c r="B1661" t="s">
        <v>700</v>
      </c>
      <c r="C1661" s="10" t="str" cm="1">
        <f t="array" ref="C1661">IF(AND(A1661="2020-12", ISNA(MATCH(B1661, _xlfn._xlws.FILTER(B:B, A:A="2021-01"), 0))), "Left", "Ativo")</f>
        <v>Ativo</v>
      </c>
      <c r="D1661" s="10" t="str" cm="1">
        <f t="array" ref="D1661">IF(AND(A1661="2021-01", ISNA(MATCH(B1661, _xlfn._xlws.FILTER(B:B, A:A="2021-02"), 0))), "Left", "Ativo")</f>
        <v>Ativo</v>
      </c>
      <c r="E1661" s="10" t="str" cm="1">
        <f t="array" ref="E1661">IF(AND(A1661="2021-02", ISNA(MATCH(B1661, _xlfn._xlws.FILTER(B:B, A:A="2021-03"), 0))), "Left", "Ativo")</f>
        <v>Ativo</v>
      </c>
      <c r="F1661" s="12" t="str" cm="1">
        <f t="array" ref="F1661">IF(AND(A1661="2021-03", ISNA(MATCH(B1661, _xlfn._xlws.FILTER(B:B, A:A="2021-04"), 0))), "Left", "Ativo")</f>
        <v>Ativo</v>
      </c>
    </row>
    <row r="1662" spans="1:6" x14ac:dyDescent="0.25">
      <c r="A1662" t="s">
        <v>1529</v>
      </c>
      <c r="B1662" t="s">
        <v>701</v>
      </c>
      <c r="C1662" s="10" t="str" cm="1">
        <f t="array" ref="C1662">IF(AND(A1662="2020-12", ISNA(MATCH(B1662, _xlfn._xlws.FILTER(B:B, A:A="2021-01"), 0))), "Left", "Ativo")</f>
        <v>Ativo</v>
      </c>
      <c r="D1662" s="10" t="str" cm="1">
        <f t="array" ref="D1662">IF(AND(A1662="2021-01", ISNA(MATCH(B1662, _xlfn._xlws.FILTER(B:B, A:A="2021-02"), 0))), "Left", "Ativo")</f>
        <v>Ativo</v>
      </c>
      <c r="E1662" s="10" t="str" cm="1">
        <f t="array" ref="E1662">IF(AND(A1662="2021-02", ISNA(MATCH(B1662, _xlfn._xlws.FILTER(B:B, A:A="2021-03"), 0))), "Left", "Ativo")</f>
        <v>Ativo</v>
      </c>
      <c r="F1662" s="12" t="str" cm="1">
        <f t="array" ref="F1662">IF(AND(A1662="2021-03", ISNA(MATCH(B1662, _xlfn._xlws.FILTER(B:B, A:A="2021-04"), 0))), "Left", "Ativo")</f>
        <v>Ativo</v>
      </c>
    </row>
    <row r="1663" spans="1:6" x14ac:dyDescent="0.25">
      <c r="A1663" t="s">
        <v>1529</v>
      </c>
      <c r="B1663" t="s">
        <v>702</v>
      </c>
      <c r="C1663" s="10" t="str" cm="1">
        <f t="array" ref="C1663">IF(AND(A1663="2020-12", ISNA(MATCH(B1663, _xlfn._xlws.FILTER(B:B, A:A="2021-01"), 0))), "Left", "Ativo")</f>
        <v>Ativo</v>
      </c>
      <c r="D1663" s="10" t="str" cm="1">
        <f t="array" ref="D1663">IF(AND(A1663="2021-01", ISNA(MATCH(B1663, _xlfn._xlws.FILTER(B:B, A:A="2021-02"), 0))), "Left", "Ativo")</f>
        <v>Ativo</v>
      </c>
      <c r="E1663" s="10" t="str" cm="1">
        <f t="array" ref="E1663">IF(AND(A1663="2021-02", ISNA(MATCH(B1663, _xlfn._xlws.FILTER(B:B, A:A="2021-03"), 0))), "Left", "Ativo")</f>
        <v>Ativo</v>
      </c>
      <c r="F1663" s="12" t="str" cm="1">
        <f t="array" ref="F1663">IF(AND(A1663="2021-03", ISNA(MATCH(B1663, _xlfn._xlws.FILTER(B:B, A:A="2021-04"), 0))), "Left", "Ativo")</f>
        <v>Ativo</v>
      </c>
    </row>
    <row r="1664" spans="1:6" x14ac:dyDescent="0.25">
      <c r="A1664" t="s">
        <v>1529</v>
      </c>
      <c r="B1664" t="s">
        <v>703</v>
      </c>
      <c r="C1664" s="10" t="str" cm="1">
        <f t="array" ref="C1664">IF(AND(A1664="2020-12", ISNA(MATCH(B1664, _xlfn._xlws.FILTER(B:B, A:A="2021-01"), 0))), "Left", "Ativo")</f>
        <v>Ativo</v>
      </c>
      <c r="D1664" s="10" t="str" cm="1">
        <f t="array" ref="D1664">IF(AND(A1664="2021-01", ISNA(MATCH(B1664, _xlfn._xlws.FILTER(B:B, A:A="2021-02"), 0))), "Left", "Ativo")</f>
        <v>Ativo</v>
      </c>
      <c r="E1664" s="10" t="str" cm="1">
        <f t="array" ref="E1664">IF(AND(A1664="2021-02", ISNA(MATCH(B1664, _xlfn._xlws.FILTER(B:B, A:A="2021-03"), 0))), "Left", "Ativo")</f>
        <v>Ativo</v>
      </c>
      <c r="F1664" s="12" t="str" cm="1">
        <f t="array" ref="F1664">IF(AND(A1664="2021-03", ISNA(MATCH(B1664, _xlfn._xlws.FILTER(B:B, A:A="2021-04"), 0))), "Left", "Ativo")</f>
        <v>Ativo</v>
      </c>
    </row>
    <row r="1665" spans="1:6" x14ac:dyDescent="0.25">
      <c r="A1665" t="s">
        <v>1529</v>
      </c>
      <c r="B1665" t="s">
        <v>704</v>
      </c>
      <c r="C1665" s="10" t="str" cm="1">
        <f t="array" ref="C1665">IF(AND(A1665="2020-12", ISNA(MATCH(B1665, _xlfn._xlws.FILTER(B:B, A:A="2021-01"), 0))), "Left", "Ativo")</f>
        <v>Ativo</v>
      </c>
      <c r="D1665" s="10" t="str" cm="1">
        <f t="array" ref="D1665">IF(AND(A1665="2021-01", ISNA(MATCH(B1665, _xlfn._xlws.FILTER(B:B, A:A="2021-02"), 0))), "Left", "Ativo")</f>
        <v>Ativo</v>
      </c>
      <c r="E1665" s="10" t="str" cm="1">
        <f t="array" ref="E1665">IF(AND(A1665="2021-02", ISNA(MATCH(B1665, _xlfn._xlws.FILTER(B:B, A:A="2021-03"), 0))), "Left", "Ativo")</f>
        <v>Ativo</v>
      </c>
      <c r="F1665" s="12" t="str" cm="1">
        <f t="array" ref="F1665">IF(AND(A1665="2021-03", ISNA(MATCH(B1665, _xlfn._xlws.FILTER(B:B, A:A="2021-04"), 0))), "Left", "Ativo")</f>
        <v>Ativo</v>
      </c>
    </row>
    <row r="1666" spans="1:6" x14ac:dyDescent="0.25">
      <c r="A1666" t="s">
        <v>1529</v>
      </c>
      <c r="B1666" t="s">
        <v>705</v>
      </c>
      <c r="C1666" s="10" t="str" cm="1">
        <f t="array" ref="C1666">IF(AND(A1666="2020-12", ISNA(MATCH(B1666, _xlfn._xlws.FILTER(B:B, A:A="2021-01"), 0))), "Left", "Ativo")</f>
        <v>Ativo</v>
      </c>
      <c r="D1666" s="10" t="str" cm="1">
        <f t="array" ref="D1666">IF(AND(A1666="2021-01", ISNA(MATCH(B1666, _xlfn._xlws.FILTER(B:B, A:A="2021-02"), 0))), "Left", "Ativo")</f>
        <v>Ativo</v>
      </c>
      <c r="E1666" s="10" t="str" cm="1">
        <f t="array" ref="E1666">IF(AND(A1666="2021-02", ISNA(MATCH(B1666, _xlfn._xlws.FILTER(B:B, A:A="2021-03"), 0))), "Left", "Ativo")</f>
        <v>Ativo</v>
      </c>
      <c r="F1666" s="12" t="str" cm="1">
        <f t="array" ref="F1666">IF(AND(A1666="2021-03", ISNA(MATCH(B1666, _xlfn._xlws.FILTER(B:B, A:A="2021-04"), 0))), "Left", "Ativo")</f>
        <v>Ativo</v>
      </c>
    </row>
    <row r="1667" spans="1:6" x14ac:dyDescent="0.25">
      <c r="A1667" t="s">
        <v>1529</v>
      </c>
      <c r="B1667" t="s">
        <v>706</v>
      </c>
      <c r="C1667" s="10" t="str" cm="1">
        <f t="array" ref="C1667">IF(AND(A1667="2020-12", ISNA(MATCH(B1667, _xlfn._xlws.FILTER(B:B, A:A="2021-01"), 0))), "Left", "Ativo")</f>
        <v>Ativo</v>
      </c>
      <c r="D1667" s="10" t="str" cm="1">
        <f t="array" ref="D1667">IF(AND(A1667="2021-01", ISNA(MATCH(B1667, _xlfn._xlws.FILTER(B:B, A:A="2021-02"), 0))), "Left", "Ativo")</f>
        <v>Ativo</v>
      </c>
      <c r="E1667" s="10" t="str" cm="1">
        <f t="array" ref="E1667">IF(AND(A1667="2021-02", ISNA(MATCH(B1667, _xlfn._xlws.FILTER(B:B, A:A="2021-03"), 0))), "Left", "Ativo")</f>
        <v>Ativo</v>
      </c>
      <c r="F1667" s="12" t="str" cm="1">
        <f t="array" ref="F1667">IF(AND(A1667="2021-03", ISNA(MATCH(B1667, _xlfn._xlws.FILTER(B:B, A:A="2021-04"), 0))), "Left", "Ativo")</f>
        <v>Ativo</v>
      </c>
    </row>
    <row r="1668" spans="1:6" x14ac:dyDescent="0.25">
      <c r="A1668" t="s">
        <v>1529</v>
      </c>
      <c r="B1668" t="s">
        <v>707</v>
      </c>
      <c r="C1668" s="10" t="str" cm="1">
        <f t="array" ref="C1668">IF(AND(A1668="2020-12", ISNA(MATCH(B1668, _xlfn._xlws.FILTER(B:B, A:A="2021-01"), 0))), "Left", "Ativo")</f>
        <v>Ativo</v>
      </c>
      <c r="D1668" s="10" t="str" cm="1">
        <f t="array" ref="D1668">IF(AND(A1668="2021-01", ISNA(MATCH(B1668, _xlfn._xlws.FILTER(B:B, A:A="2021-02"), 0))), "Left", "Ativo")</f>
        <v>Ativo</v>
      </c>
      <c r="E1668" s="10" t="str" cm="1">
        <f t="array" ref="E1668">IF(AND(A1668="2021-02", ISNA(MATCH(B1668, _xlfn._xlws.FILTER(B:B, A:A="2021-03"), 0))), "Left", "Ativo")</f>
        <v>Ativo</v>
      </c>
      <c r="F1668" s="12" t="str" cm="1">
        <f t="array" ref="F1668">IF(AND(A1668="2021-03", ISNA(MATCH(B1668, _xlfn._xlws.FILTER(B:B, A:A="2021-04"), 0))), "Left", "Ativo")</f>
        <v>Ativo</v>
      </c>
    </row>
    <row r="1669" spans="1:6" x14ac:dyDescent="0.25">
      <c r="A1669" t="s">
        <v>1529</v>
      </c>
      <c r="B1669" t="s">
        <v>708</v>
      </c>
      <c r="C1669" s="10" t="str" cm="1">
        <f t="array" ref="C1669">IF(AND(A1669="2020-12", ISNA(MATCH(B1669, _xlfn._xlws.FILTER(B:B, A:A="2021-01"), 0))), "Left", "Ativo")</f>
        <v>Ativo</v>
      </c>
      <c r="D1669" s="10" t="str" cm="1">
        <f t="array" ref="D1669">IF(AND(A1669="2021-01", ISNA(MATCH(B1669, _xlfn._xlws.FILTER(B:B, A:A="2021-02"), 0))), "Left", "Ativo")</f>
        <v>Ativo</v>
      </c>
      <c r="E1669" s="10" t="str" cm="1">
        <f t="array" ref="E1669">IF(AND(A1669="2021-02", ISNA(MATCH(B1669, _xlfn._xlws.FILTER(B:B, A:A="2021-03"), 0))), "Left", "Ativo")</f>
        <v>Ativo</v>
      </c>
      <c r="F1669" s="12" t="str" cm="1">
        <f t="array" ref="F1669">IF(AND(A1669="2021-03", ISNA(MATCH(B1669, _xlfn._xlws.FILTER(B:B, A:A="2021-04"), 0))), "Left", "Ativo")</f>
        <v>Ativo</v>
      </c>
    </row>
    <row r="1670" spans="1:6" x14ac:dyDescent="0.25">
      <c r="A1670" t="s">
        <v>1529</v>
      </c>
      <c r="B1670" t="s">
        <v>709</v>
      </c>
      <c r="C1670" s="10" t="str" cm="1">
        <f t="array" ref="C1670">IF(AND(A1670="2020-12", ISNA(MATCH(B1670, _xlfn._xlws.FILTER(B:B, A:A="2021-01"), 0))), "Left", "Ativo")</f>
        <v>Ativo</v>
      </c>
      <c r="D1670" s="10" t="str" cm="1">
        <f t="array" ref="D1670">IF(AND(A1670="2021-01", ISNA(MATCH(B1670, _xlfn._xlws.FILTER(B:B, A:A="2021-02"), 0))), "Left", "Ativo")</f>
        <v>Ativo</v>
      </c>
      <c r="E1670" s="10" t="str" cm="1">
        <f t="array" ref="E1670">IF(AND(A1670="2021-02", ISNA(MATCH(B1670, _xlfn._xlws.FILTER(B:B, A:A="2021-03"), 0))), "Left", "Ativo")</f>
        <v>Ativo</v>
      </c>
      <c r="F1670" s="12" t="str" cm="1">
        <f t="array" ref="F1670">IF(AND(A1670="2021-03", ISNA(MATCH(B1670, _xlfn._xlws.FILTER(B:B, A:A="2021-04"), 0))), "Left", "Ativo")</f>
        <v>Ativo</v>
      </c>
    </row>
    <row r="1671" spans="1:6" x14ac:dyDescent="0.25">
      <c r="A1671" t="s">
        <v>1529</v>
      </c>
      <c r="B1671" t="s">
        <v>710</v>
      </c>
      <c r="C1671" s="10" t="str" cm="1">
        <f t="array" ref="C1671">IF(AND(A1671="2020-12", ISNA(MATCH(B1671, _xlfn._xlws.FILTER(B:B, A:A="2021-01"), 0))), "Left", "Ativo")</f>
        <v>Ativo</v>
      </c>
      <c r="D1671" s="10" t="str" cm="1">
        <f t="array" ref="D1671">IF(AND(A1671="2021-01", ISNA(MATCH(B1671, _xlfn._xlws.FILTER(B:B, A:A="2021-02"), 0))), "Left", "Ativo")</f>
        <v>Ativo</v>
      </c>
      <c r="E1671" s="10" t="str" cm="1">
        <f t="array" ref="E1671">IF(AND(A1671="2021-02", ISNA(MATCH(B1671, _xlfn._xlws.FILTER(B:B, A:A="2021-03"), 0))), "Left", "Ativo")</f>
        <v>Ativo</v>
      </c>
      <c r="F1671" s="12" t="str" cm="1">
        <f t="array" ref="F1671">IF(AND(A1671="2021-03", ISNA(MATCH(B1671, _xlfn._xlws.FILTER(B:B, A:A="2021-04"), 0))), "Left", "Ativo")</f>
        <v>Ativo</v>
      </c>
    </row>
    <row r="1672" spans="1:6" x14ac:dyDescent="0.25">
      <c r="A1672" t="s">
        <v>1529</v>
      </c>
      <c r="B1672" t="s">
        <v>711</v>
      </c>
      <c r="C1672" s="10" t="str" cm="1">
        <f t="array" ref="C1672">IF(AND(A1672="2020-12", ISNA(MATCH(B1672, _xlfn._xlws.FILTER(B:B, A:A="2021-01"), 0))), "Left", "Ativo")</f>
        <v>Ativo</v>
      </c>
      <c r="D1672" s="10" t="str" cm="1">
        <f t="array" ref="D1672">IF(AND(A1672="2021-01", ISNA(MATCH(B1672, _xlfn._xlws.FILTER(B:B, A:A="2021-02"), 0))), "Left", "Ativo")</f>
        <v>Ativo</v>
      </c>
      <c r="E1672" s="10" t="str" cm="1">
        <f t="array" ref="E1672">IF(AND(A1672="2021-02", ISNA(MATCH(B1672, _xlfn._xlws.FILTER(B:B, A:A="2021-03"), 0))), "Left", "Ativo")</f>
        <v>Ativo</v>
      </c>
      <c r="F1672" s="12" t="str" cm="1">
        <f t="array" ref="F1672">IF(AND(A1672="2021-03", ISNA(MATCH(B1672, _xlfn._xlws.FILTER(B:B, A:A="2021-04"), 0))), "Left", "Ativo")</f>
        <v>Ativo</v>
      </c>
    </row>
    <row r="1673" spans="1:6" x14ac:dyDescent="0.25">
      <c r="A1673" t="s">
        <v>1529</v>
      </c>
      <c r="B1673" t="s">
        <v>712</v>
      </c>
      <c r="C1673" s="10" t="str" cm="1">
        <f t="array" ref="C1673">IF(AND(A1673="2020-12", ISNA(MATCH(B1673, _xlfn._xlws.FILTER(B:B, A:A="2021-01"), 0))), "Left", "Ativo")</f>
        <v>Ativo</v>
      </c>
      <c r="D1673" s="10" t="str" cm="1">
        <f t="array" ref="D1673">IF(AND(A1673="2021-01", ISNA(MATCH(B1673, _xlfn._xlws.FILTER(B:B, A:A="2021-02"), 0))), "Left", "Ativo")</f>
        <v>Ativo</v>
      </c>
      <c r="E1673" s="10" t="str" cm="1">
        <f t="array" ref="E1673">IF(AND(A1673="2021-02", ISNA(MATCH(B1673, _xlfn._xlws.FILTER(B:B, A:A="2021-03"), 0))), "Left", "Ativo")</f>
        <v>Ativo</v>
      </c>
      <c r="F1673" s="12" t="str" cm="1">
        <f t="array" ref="F1673">IF(AND(A1673="2021-03", ISNA(MATCH(B1673, _xlfn._xlws.FILTER(B:B, A:A="2021-04"), 0))), "Left", "Ativo")</f>
        <v>Ativo</v>
      </c>
    </row>
    <row r="1674" spans="1:6" x14ac:dyDescent="0.25">
      <c r="A1674" t="s">
        <v>1529</v>
      </c>
      <c r="B1674" t="s">
        <v>713</v>
      </c>
      <c r="C1674" s="10" t="str" cm="1">
        <f t="array" ref="C1674">IF(AND(A1674="2020-12", ISNA(MATCH(B1674, _xlfn._xlws.FILTER(B:B, A:A="2021-01"), 0))), "Left", "Ativo")</f>
        <v>Ativo</v>
      </c>
      <c r="D1674" s="10" t="str" cm="1">
        <f t="array" ref="D1674">IF(AND(A1674="2021-01", ISNA(MATCH(B1674, _xlfn._xlws.FILTER(B:B, A:A="2021-02"), 0))), "Left", "Ativo")</f>
        <v>Ativo</v>
      </c>
      <c r="E1674" s="10" t="str" cm="1">
        <f t="array" ref="E1674">IF(AND(A1674="2021-02", ISNA(MATCH(B1674, _xlfn._xlws.FILTER(B:B, A:A="2021-03"), 0))), "Left", "Ativo")</f>
        <v>Ativo</v>
      </c>
      <c r="F1674" s="12" t="str" cm="1">
        <f t="array" ref="F1674">IF(AND(A1674="2021-03", ISNA(MATCH(B1674, _xlfn._xlws.FILTER(B:B, A:A="2021-04"), 0))), "Left", "Ativo")</f>
        <v>Ativo</v>
      </c>
    </row>
    <row r="1675" spans="1:6" x14ac:dyDescent="0.25">
      <c r="A1675" t="s">
        <v>1529</v>
      </c>
      <c r="B1675" t="s">
        <v>714</v>
      </c>
      <c r="C1675" s="10" t="str" cm="1">
        <f t="array" ref="C1675">IF(AND(A1675="2020-12", ISNA(MATCH(B1675, _xlfn._xlws.FILTER(B:B, A:A="2021-01"), 0))), "Left", "Ativo")</f>
        <v>Ativo</v>
      </c>
      <c r="D1675" s="10" t="str" cm="1">
        <f t="array" ref="D1675">IF(AND(A1675="2021-01", ISNA(MATCH(B1675, _xlfn._xlws.FILTER(B:B, A:A="2021-02"), 0))), "Left", "Ativo")</f>
        <v>Ativo</v>
      </c>
      <c r="E1675" s="10" t="str" cm="1">
        <f t="array" ref="E1675">IF(AND(A1675="2021-02", ISNA(MATCH(B1675, _xlfn._xlws.FILTER(B:B, A:A="2021-03"), 0))), "Left", "Ativo")</f>
        <v>Ativo</v>
      </c>
      <c r="F1675" s="12" t="str" cm="1">
        <f t="array" ref="F1675">IF(AND(A1675="2021-03", ISNA(MATCH(B1675, _xlfn._xlws.FILTER(B:B, A:A="2021-04"), 0))), "Left", "Ativo")</f>
        <v>Ativo</v>
      </c>
    </row>
    <row r="1676" spans="1:6" x14ac:dyDescent="0.25">
      <c r="A1676" t="s">
        <v>1529</v>
      </c>
      <c r="B1676" t="s">
        <v>715</v>
      </c>
      <c r="C1676" s="10" t="str" cm="1">
        <f t="array" ref="C1676">IF(AND(A1676="2020-12", ISNA(MATCH(B1676, _xlfn._xlws.FILTER(B:B, A:A="2021-01"), 0))), "Left", "Ativo")</f>
        <v>Ativo</v>
      </c>
      <c r="D1676" s="10" t="str" cm="1">
        <f t="array" ref="D1676">IF(AND(A1676="2021-01", ISNA(MATCH(B1676, _xlfn._xlws.FILTER(B:B, A:A="2021-02"), 0))), "Left", "Ativo")</f>
        <v>Ativo</v>
      </c>
      <c r="E1676" s="10" t="str" cm="1">
        <f t="array" ref="E1676">IF(AND(A1676="2021-02", ISNA(MATCH(B1676, _xlfn._xlws.FILTER(B:B, A:A="2021-03"), 0))), "Left", "Ativo")</f>
        <v>Ativo</v>
      </c>
      <c r="F1676" s="12" t="str" cm="1">
        <f t="array" ref="F1676">IF(AND(A1676="2021-03", ISNA(MATCH(B1676, _xlfn._xlws.FILTER(B:B, A:A="2021-04"), 0))), "Left", "Ativo")</f>
        <v>Ativo</v>
      </c>
    </row>
    <row r="1677" spans="1:6" x14ac:dyDescent="0.25">
      <c r="A1677" t="s">
        <v>1529</v>
      </c>
      <c r="B1677" t="s">
        <v>716</v>
      </c>
      <c r="C1677" s="10" t="str" cm="1">
        <f t="array" ref="C1677">IF(AND(A1677="2020-12", ISNA(MATCH(B1677, _xlfn._xlws.FILTER(B:B, A:A="2021-01"), 0))), "Left", "Ativo")</f>
        <v>Ativo</v>
      </c>
      <c r="D1677" s="10" t="str" cm="1">
        <f t="array" ref="D1677">IF(AND(A1677="2021-01", ISNA(MATCH(B1677, _xlfn._xlws.FILTER(B:B, A:A="2021-02"), 0))), "Left", "Ativo")</f>
        <v>Ativo</v>
      </c>
      <c r="E1677" s="10" t="str" cm="1">
        <f t="array" ref="E1677">IF(AND(A1677="2021-02", ISNA(MATCH(B1677, _xlfn._xlws.FILTER(B:B, A:A="2021-03"), 0))), "Left", "Ativo")</f>
        <v>Ativo</v>
      </c>
      <c r="F1677" s="12" t="str" cm="1">
        <f t="array" ref="F1677">IF(AND(A1677="2021-03", ISNA(MATCH(B1677, _xlfn._xlws.FILTER(B:B, A:A="2021-04"), 0))), "Left", "Ativo")</f>
        <v>Ativo</v>
      </c>
    </row>
    <row r="1678" spans="1:6" x14ac:dyDescent="0.25">
      <c r="A1678" t="s">
        <v>1529</v>
      </c>
      <c r="B1678" t="s">
        <v>717</v>
      </c>
      <c r="C1678" s="10" t="str" cm="1">
        <f t="array" ref="C1678">IF(AND(A1678="2020-12", ISNA(MATCH(B1678, _xlfn._xlws.FILTER(B:B, A:A="2021-01"), 0))), "Left", "Ativo")</f>
        <v>Ativo</v>
      </c>
      <c r="D1678" s="10" t="str" cm="1">
        <f t="array" ref="D1678">IF(AND(A1678="2021-01", ISNA(MATCH(B1678, _xlfn._xlws.FILTER(B:B, A:A="2021-02"), 0))), "Left", "Ativo")</f>
        <v>Ativo</v>
      </c>
      <c r="E1678" s="10" t="str" cm="1">
        <f t="array" ref="E1678">IF(AND(A1678="2021-02", ISNA(MATCH(B1678, _xlfn._xlws.FILTER(B:B, A:A="2021-03"), 0))), "Left", "Ativo")</f>
        <v>Ativo</v>
      </c>
      <c r="F1678" s="12" t="str" cm="1">
        <f t="array" ref="F1678">IF(AND(A1678="2021-03", ISNA(MATCH(B1678, _xlfn._xlws.FILTER(B:B, A:A="2021-04"), 0))), "Left", "Ativo")</f>
        <v>Ativo</v>
      </c>
    </row>
    <row r="1679" spans="1:6" x14ac:dyDescent="0.25">
      <c r="A1679" t="s">
        <v>1529</v>
      </c>
      <c r="B1679" t="s">
        <v>718</v>
      </c>
      <c r="C1679" s="10" t="str" cm="1">
        <f t="array" ref="C1679">IF(AND(A1679="2020-12", ISNA(MATCH(B1679, _xlfn._xlws.FILTER(B:B, A:A="2021-01"), 0))), "Left", "Ativo")</f>
        <v>Ativo</v>
      </c>
      <c r="D1679" s="10" t="str" cm="1">
        <f t="array" ref="D1679">IF(AND(A1679="2021-01", ISNA(MATCH(B1679, _xlfn._xlws.FILTER(B:B, A:A="2021-02"), 0))), "Left", "Ativo")</f>
        <v>Ativo</v>
      </c>
      <c r="E1679" s="10" t="str" cm="1">
        <f t="array" ref="E1679">IF(AND(A1679="2021-02", ISNA(MATCH(B1679, _xlfn._xlws.FILTER(B:B, A:A="2021-03"), 0))), "Left", "Ativo")</f>
        <v>Ativo</v>
      </c>
      <c r="F1679" s="12" t="str" cm="1">
        <f t="array" ref="F1679">IF(AND(A1679="2021-03", ISNA(MATCH(B1679, _xlfn._xlws.FILTER(B:B, A:A="2021-04"), 0))), "Left", "Ativo")</f>
        <v>Ativo</v>
      </c>
    </row>
    <row r="1680" spans="1:6" x14ac:dyDescent="0.25">
      <c r="A1680" t="s">
        <v>1529</v>
      </c>
      <c r="B1680" t="s">
        <v>719</v>
      </c>
      <c r="C1680" s="10" t="str" cm="1">
        <f t="array" ref="C1680">IF(AND(A1680="2020-12", ISNA(MATCH(B1680, _xlfn._xlws.FILTER(B:B, A:A="2021-01"), 0))), "Left", "Ativo")</f>
        <v>Ativo</v>
      </c>
      <c r="D1680" s="10" t="str" cm="1">
        <f t="array" ref="D1680">IF(AND(A1680="2021-01", ISNA(MATCH(B1680, _xlfn._xlws.FILTER(B:B, A:A="2021-02"), 0))), "Left", "Ativo")</f>
        <v>Ativo</v>
      </c>
      <c r="E1680" s="10" t="str" cm="1">
        <f t="array" ref="E1680">IF(AND(A1680="2021-02", ISNA(MATCH(B1680, _xlfn._xlws.FILTER(B:B, A:A="2021-03"), 0))), "Left", "Ativo")</f>
        <v>Ativo</v>
      </c>
      <c r="F1680" s="12" t="str" cm="1">
        <f t="array" ref="F1680">IF(AND(A1680="2021-03", ISNA(MATCH(B1680, _xlfn._xlws.FILTER(B:B, A:A="2021-04"), 0))), "Left", "Ativo")</f>
        <v>Ativo</v>
      </c>
    </row>
    <row r="1681" spans="1:6" x14ac:dyDescent="0.25">
      <c r="A1681" t="s">
        <v>1529</v>
      </c>
      <c r="B1681" t="s">
        <v>720</v>
      </c>
      <c r="C1681" s="10" t="str" cm="1">
        <f t="array" ref="C1681">IF(AND(A1681="2020-12", ISNA(MATCH(B1681, _xlfn._xlws.FILTER(B:B, A:A="2021-01"), 0))), "Left", "Ativo")</f>
        <v>Ativo</v>
      </c>
      <c r="D1681" s="10" t="str" cm="1">
        <f t="array" ref="D1681">IF(AND(A1681="2021-01", ISNA(MATCH(B1681, _xlfn._xlws.FILTER(B:B, A:A="2021-02"), 0))), "Left", "Ativo")</f>
        <v>Ativo</v>
      </c>
      <c r="E1681" s="10" t="str" cm="1">
        <f t="array" ref="E1681">IF(AND(A1681="2021-02", ISNA(MATCH(B1681, _xlfn._xlws.FILTER(B:B, A:A="2021-03"), 0))), "Left", "Ativo")</f>
        <v>Ativo</v>
      </c>
      <c r="F1681" s="12" t="str" cm="1">
        <f t="array" ref="F1681">IF(AND(A1681="2021-03", ISNA(MATCH(B1681, _xlfn._xlws.FILTER(B:B, A:A="2021-04"), 0))), "Left", "Ativo")</f>
        <v>Ativo</v>
      </c>
    </row>
    <row r="1682" spans="1:6" x14ac:dyDescent="0.25">
      <c r="A1682" t="s">
        <v>1529</v>
      </c>
      <c r="B1682" t="s">
        <v>721</v>
      </c>
      <c r="C1682" s="10" t="str" cm="1">
        <f t="array" ref="C1682">IF(AND(A1682="2020-12", ISNA(MATCH(B1682, _xlfn._xlws.FILTER(B:B, A:A="2021-01"), 0))), "Left", "Ativo")</f>
        <v>Ativo</v>
      </c>
      <c r="D1682" s="10" t="str" cm="1">
        <f t="array" ref="D1682">IF(AND(A1682="2021-01", ISNA(MATCH(B1682, _xlfn._xlws.FILTER(B:B, A:A="2021-02"), 0))), "Left", "Ativo")</f>
        <v>Ativo</v>
      </c>
      <c r="E1682" s="10" t="str" cm="1">
        <f t="array" ref="E1682">IF(AND(A1682="2021-02", ISNA(MATCH(B1682, _xlfn._xlws.FILTER(B:B, A:A="2021-03"), 0))), "Left", "Ativo")</f>
        <v>Ativo</v>
      </c>
      <c r="F1682" s="12" t="str" cm="1">
        <f t="array" ref="F1682">IF(AND(A1682="2021-03", ISNA(MATCH(B1682, _xlfn._xlws.FILTER(B:B, A:A="2021-04"), 0))), "Left", "Ativo")</f>
        <v>Ativo</v>
      </c>
    </row>
    <row r="1683" spans="1:6" x14ac:dyDescent="0.25">
      <c r="A1683" t="s">
        <v>1529</v>
      </c>
      <c r="B1683" t="s">
        <v>722</v>
      </c>
      <c r="C1683" s="10" t="str" cm="1">
        <f t="array" ref="C1683">IF(AND(A1683="2020-12", ISNA(MATCH(B1683, _xlfn._xlws.FILTER(B:B, A:A="2021-01"), 0))), "Left", "Ativo")</f>
        <v>Ativo</v>
      </c>
      <c r="D1683" s="10" t="str" cm="1">
        <f t="array" ref="D1683">IF(AND(A1683="2021-01", ISNA(MATCH(B1683, _xlfn._xlws.FILTER(B:B, A:A="2021-02"), 0))), "Left", "Ativo")</f>
        <v>Ativo</v>
      </c>
      <c r="E1683" s="10" t="str" cm="1">
        <f t="array" ref="E1683">IF(AND(A1683="2021-02", ISNA(MATCH(B1683, _xlfn._xlws.FILTER(B:B, A:A="2021-03"), 0))), "Left", "Ativo")</f>
        <v>Ativo</v>
      </c>
      <c r="F1683" s="12" t="str" cm="1">
        <f t="array" ref="F1683">IF(AND(A1683="2021-03", ISNA(MATCH(B1683, _xlfn._xlws.FILTER(B:B, A:A="2021-04"), 0))), "Left", "Ativo")</f>
        <v>Ativo</v>
      </c>
    </row>
    <row r="1684" spans="1:6" x14ac:dyDescent="0.25">
      <c r="A1684" t="s">
        <v>1529</v>
      </c>
      <c r="B1684" t="s">
        <v>723</v>
      </c>
      <c r="C1684" s="10" t="str" cm="1">
        <f t="array" ref="C1684">IF(AND(A1684="2020-12", ISNA(MATCH(B1684, _xlfn._xlws.FILTER(B:B, A:A="2021-01"), 0))), "Left", "Ativo")</f>
        <v>Ativo</v>
      </c>
      <c r="D1684" s="10" t="str" cm="1">
        <f t="array" ref="D1684">IF(AND(A1684="2021-01", ISNA(MATCH(B1684, _xlfn._xlws.FILTER(B:B, A:A="2021-02"), 0))), "Left", "Ativo")</f>
        <v>Ativo</v>
      </c>
      <c r="E1684" s="10" t="str" cm="1">
        <f t="array" ref="E1684">IF(AND(A1684="2021-02", ISNA(MATCH(B1684, _xlfn._xlws.FILTER(B:B, A:A="2021-03"), 0))), "Left", "Ativo")</f>
        <v>Ativo</v>
      </c>
      <c r="F1684" s="12" t="str" cm="1">
        <f t="array" ref="F1684">IF(AND(A1684="2021-03", ISNA(MATCH(B1684, _xlfn._xlws.FILTER(B:B, A:A="2021-04"), 0))), "Left", "Ativo")</f>
        <v>Ativo</v>
      </c>
    </row>
    <row r="1685" spans="1:6" x14ac:dyDescent="0.25">
      <c r="A1685" t="s">
        <v>1529</v>
      </c>
      <c r="B1685" t="s">
        <v>724</v>
      </c>
      <c r="C1685" s="10" t="str" cm="1">
        <f t="array" ref="C1685">IF(AND(A1685="2020-12", ISNA(MATCH(B1685, _xlfn._xlws.FILTER(B:B, A:A="2021-01"), 0))), "Left", "Ativo")</f>
        <v>Ativo</v>
      </c>
      <c r="D1685" s="10" t="str" cm="1">
        <f t="array" ref="D1685">IF(AND(A1685="2021-01", ISNA(MATCH(B1685, _xlfn._xlws.FILTER(B:B, A:A="2021-02"), 0))), "Left", "Ativo")</f>
        <v>Ativo</v>
      </c>
      <c r="E1685" s="10" t="str" cm="1">
        <f t="array" ref="E1685">IF(AND(A1685="2021-02", ISNA(MATCH(B1685, _xlfn._xlws.FILTER(B:B, A:A="2021-03"), 0))), "Left", "Ativo")</f>
        <v>Ativo</v>
      </c>
      <c r="F1685" s="12" t="str" cm="1">
        <f t="array" ref="F1685">IF(AND(A1685="2021-03", ISNA(MATCH(B1685, _xlfn._xlws.FILTER(B:B, A:A="2021-04"), 0))), "Left", "Ativo")</f>
        <v>Ativo</v>
      </c>
    </row>
    <row r="1686" spans="1:6" x14ac:dyDescent="0.25">
      <c r="A1686" t="s">
        <v>1529</v>
      </c>
      <c r="B1686" t="s">
        <v>725</v>
      </c>
      <c r="C1686" s="10" t="str" cm="1">
        <f t="array" ref="C1686">IF(AND(A1686="2020-12", ISNA(MATCH(B1686, _xlfn._xlws.FILTER(B:B, A:A="2021-01"), 0))), "Left", "Ativo")</f>
        <v>Ativo</v>
      </c>
      <c r="D1686" s="10" t="str" cm="1">
        <f t="array" ref="D1686">IF(AND(A1686="2021-01", ISNA(MATCH(B1686, _xlfn._xlws.FILTER(B:B, A:A="2021-02"), 0))), "Left", "Ativo")</f>
        <v>Ativo</v>
      </c>
      <c r="E1686" s="10" t="str" cm="1">
        <f t="array" ref="E1686">IF(AND(A1686="2021-02", ISNA(MATCH(B1686, _xlfn._xlws.FILTER(B:B, A:A="2021-03"), 0))), "Left", "Ativo")</f>
        <v>Ativo</v>
      </c>
      <c r="F1686" s="12" t="str" cm="1">
        <f t="array" ref="F1686">IF(AND(A1686="2021-03", ISNA(MATCH(B1686, _xlfn._xlws.FILTER(B:B, A:A="2021-04"), 0))), "Left", "Ativo")</f>
        <v>Ativo</v>
      </c>
    </row>
    <row r="1687" spans="1:6" x14ac:dyDescent="0.25">
      <c r="A1687" t="s">
        <v>1529</v>
      </c>
      <c r="B1687" t="s">
        <v>726</v>
      </c>
      <c r="C1687" s="10" t="str" cm="1">
        <f t="array" ref="C1687">IF(AND(A1687="2020-12", ISNA(MATCH(B1687, _xlfn._xlws.FILTER(B:B, A:A="2021-01"), 0))), "Left", "Ativo")</f>
        <v>Ativo</v>
      </c>
      <c r="D1687" s="10" t="str" cm="1">
        <f t="array" ref="D1687">IF(AND(A1687="2021-01", ISNA(MATCH(B1687, _xlfn._xlws.FILTER(B:B, A:A="2021-02"), 0))), "Left", "Ativo")</f>
        <v>Ativo</v>
      </c>
      <c r="E1687" s="10" t="str" cm="1">
        <f t="array" ref="E1687">IF(AND(A1687="2021-02", ISNA(MATCH(B1687, _xlfn._xlws.FILTER(B:B, A:A="2021-03"), 0))), "Left", "Ativo")</f>
        <v>Ativo</v>
      </c>
      <c r="F1687" s="12" t="str" cm="1">
        <f t="array" ref="F1687">IF(AND(A1687="2021-03", ISNA(MATCH(B1687, _xlfn._xlws.FILTER(B:B, A:A="2021-04"), 0))), "Left", "Ativo")</f>
        <v>Ativo</v>
      </c>
    </row>
    <row r="1688" spans="1:6" x14ac:dyDescent="0.25">
      <c r="A1688" t="s">
        <v>1529</v>
      </c>
      <c r="B1688" t="s">
        <v>727</v>
      </c>
      <c r="C1688" s="10" t="str" cm="1">
        <f t="array" ref="C1688">IF(AND(A1688="2020-12", ISNA(MATCH(B1688, _xlfn._xlws.FILTER(B:B, A:A="2021-01"), 0))), "Left", "Ativo")</f>
        <v>Ativo</v>
      </c>
      <c r="D1688" s="10" t="str" cm="1">
        <f t="array" ref="D1688">IF(AND(A1688="2021-01", ISNA(MATCH(B1688, _xlfn._xlws.FILTER(B:B, A:A="2021-02"), 0))), "Left", "Ativo")</f>
        <v>Ativo</v>
      </c>
      <c r="E1688" s="10" t="str" cm="1">
        <f t="array" ref="E1688">IF(AND(A1688="2021-02", ISNA(MATCH(B1688, _xlfn._xlws.FILTER(B:B, A:A="2021-03"), 0))), "Left", "Ativo")</f>
        <v>Ativo</v>
      </c>
      <c r="F1688" s="12" t="str" cm="1">
        <f t="array" ref="F1688">IF(AND(A1688="2021-03", ISNA(MATCH(B1688, _xlfn._xlws.FILTER(B:B, A:A="2021-04"), 0))), "Left", "Ativo")</f>
        <v>Ativo</v>
      </c>
    </row>
    <row r="1689" spans="1:6" x14ac:dyDescent="0.25">
      <c r="A1689" t="s">
        <v>1529</v>
      </c>
      <c r="B1689" t="s">
        <v>728</v>
      </c>
      <c r="C1689" s="10" t="str" cm="1">
        <f t="array" ref="C1689">IF(AND(A1689="2020-12", ISNA(MATCH(B1689, _xlfn._xlws.FILTER(B:B, A:A="2021-01"), 0))), "Left", "Ativo")</f>
        <v>Ativo</v>
      </c>
      <c r="D1689" s="10" t="str" cm="1">
        <f t="array" ref="D1689">IF(AND(A1689="2021-01", ISNA(MATCH(B1689, _xlfn._xlws.FILTER(B:B, A:A="2021-02"), 0))), "Left", "Ativo")</f>
        <v>Ativo</v>
      </c>
      <c r="E1689" s="10" t="str" cm="1">
        <f t="array" ref="E1689">IF(AND(A1689="2021-02", ISNA(MATCH(B1689, _xlfn._xlws.FILTER(B:B, A:A="2021-03"), 0))), "Left", "Ativo")</f>
        <v>Ativo</v>
      </c>
      <c r="F1689" s="12" t="str" cm="1">
        <f t="array" ref="F1689">IF(AND(A1689="2021-03", ISNA(MATCH(B1689, _xlfn._xlws.FILTER(B:B, A:A="2021-04"), 0))), "Left", "Ativo")</f>
        <v>Ativo</v>
      </c>
    </row>
    <row r="1690" spans="1:6" x14ac:dyDescent="0.25">
      <c r="A1690" t="s">
        <v>1529</v>
      </c>
      <c r="B1690" t="s">
        <v>729</v>
      </c>
      <c r="C1690" s="10" t="str" cm="1">
        <f t="array" ref="C1690">IF(AND(A1690="2020-12", ISNA(MATCH(B1690, _xlfn._xlws.FILTER(B:B, A:A="2021-01"), 0))), "Left", "Ativo")</f>
        <v>Ativo</v>
      </c>
      <c r="D1690" s="10" t="str" cm="1">
        <f t="array" ref="D1690">IF(AND(A1690="2021-01", ISNA(MATCH(B1690, _xlfn._xlws.FILTER(B:B, A:A="2021-02"), 0))), "Left", "Ativo")</f>
        <v>Ativo</v>
      </c>
      <c r="E1690" s="10" t="str" cm="1">
        <f t="array" ref="E1690">IF(AND(A1690="2021-02", ISNA(MATCH(B1690, _xlfn._xlws.FILTER(B:B, A:A="2021-03"), 0))), "Left", "Ativo")</f>
        <v>Ativo</v>
      </c>
      <c r="F1690" s="12" t="str" cm="1">
        <f t="array" ref="F1690">IF(AND(A1690="2021-03", ISNA(MATCH(B1690, _xlfn._xlws.FILTER(B:B, A:A="2021-04"), 0))), "Left", "Ativo")</f>
        <v>Ativo</v>
      </c>
    </row>
    <row r="1691" spans="1:6" x14ac:dyDescent="0.25">
      <c r="A1691" t="s">
        <v>1529</v>
      </c>
      <c r="B1691" t="s">
        <v>730</v>
      </c>
      <c r="C1691" s="10" t="str" cm="1">
        <f t="array" ref="C1691">IF(AND(A1691="2020-12", ISNA(MATCH(B1691, _xlfn._xlws.FILTER(B:B, A:A="2021-01"), 0))), "Left", "Ativo")</f>
        <v>Ativo</v>
      </c>
      <c r="D1691" s="10" t="str" cm="1">
        <f t="array" ref="D1691">IF(AND(A1691="2021-01", ISNA(MATCH(B1691, _xlfn._xlws.FILTER(B:B, A:A="2021-02"), 0))), "Left", "Ativo")</f>
        <v>Ativo</v>
      </c>
      <c r="E1691" s="10" t="str" cm="1">
        <f t="array" ref="E1691">IF(AND(A1691="2021-02", ISNA(MATCH(B1691, _xlfn._xlws.FILTER(B:B, A:A="2021-03"), 0))), "Left", "Ativo")</f>
        <v>Ativo</v>
      </c>
      <c r="F1691" s="12" t="str" cm="1">
        <f t="array" ref="F1691">IF(AND(A1691="2021-03", ISNA(MATCH(B1691, _xlfn._xlws.FILTER(B:B, A:A="2021-04"), 0))), "Left", "Ativo")</f>
        <v>Ativo</v>
      </c>
    </row>
    <row r="1692" spans="1:6" x14ac:dyDescent="0.25">
      <c r="A1692" t="s">
        <v>1529</v>
      </c>
      <c r="B1692" t="s">
        <v>731</v>
      </c>
      <c r="C1692" s="10" t="str" cm="1">
        <f t="array" ref="C1692">IF(AND(A1692="2020-12", ISNA(MATCH(B1692, _xlfn._xlws.FILTER(B:B, A:A="2021-01"), 0))), "Left", "Ativo")</f>
        <v>Ativo</v>
      </c>
      <c r="D1692" s="10" t="str" cm="1">
        <f t="array" ref="D1692">IF(AND(A1692="2021-01", ISNA(MATCH(B1692, _xlfn._xlws.FILTER(B:B, A:A="2021-02"), 0))), "Left", "Ativo")</f>
        <v>Ativo</v>
      </c>
      <c r="E1692" s="10" t="str" cm="1">
        <f t="array" ref="E1692">IF(AND(A1692="2021-02", ISNA(MATCH(B1692, _xlfn._xlws.FILTER(B:B, A:A="2021-03"), 0))), "Left", "Ativo")</f>
        <v>Ativo</v>
      </c>
      <c r="F1692" s="12" t="str" cm="1">
        <f t="array" ref="F1692">IF(AND(A1692="2021-03", ISNA(MATCH(B1692, _xlfn._xlws.FILTER(B:B, A:A="2021-04"), 0))), "Left", "Ativo")</f>
        <v>Ativo</v>
      </c>
    </row>
    <row r="1693" spans="1:6" x14ac:dyDescent="0.25">
      <c r="A1693" t="s">
        <v>1529</v>
      </c>
      <c r="B1693" t="s">
        <v>732</v>
      </c>
      <c r="C1693" s="10" t="str" cm="1">
        <f t="array" ref="C1693">IF(AND(A1693="2020-12", ISNA(MATCH(B1693, _xlfn._xlws.FILTER(B:B, A:A="2021-01"), 0))), "Left", "Ativo")</f>
        <v>Ativo</v>
      </c>
      <c r="D1693" s="10" t="str" cm="1">
        <f t="array" ref="D1693">IF(AND(A1693="2021-01", ISNA(MATCH(B1693, _xlfn._xlws.FILTER(B:B, A:A="2021-02"), 0))), "Left", "Ativo")</f>
        <v>Ativo</v>
      </c>
      <c r="E1693" s="10" t="str" cm="1">
        <f t="array" ref="E1693">IF(AND(A1693="2021-02", ISNA(MATCH(B1693, _xlfn._xlws.FILTER(B:B, A:A="2021-03"), 0))), "Left", "Ativo")</f>
        <v>Ativo</v>
      </c>
      <c r="F1693" s="12" t="str" cm="1">
        <f t="array" ref="F1693">IF(AND(A1693="2021-03", ISNA(MATCH(B1693, _xlfn._xlws.FILTER(B:B, A:A="2021-04"), 0))), "Left", "Ativo")</f>
        <v>Ativo</v>
      </c>
    </row>
    <row r="1694" spans="1:6" x14ac:dyDescent="0.25">
      <c r="A1694" t="s">
        <v>1529</v>
      </c>
      <c r="B1694" t="s">
        <v>733</v>
      </c>
      <c r="C1694" s="10" t="str" cm="1">
        <f t="array" ref="C1694">IF(AND(A1694="2020-12", ISNA(MATCH(B1694, _xlfn._xlws.FILTER(B:B, A:A="2021-01"), 0))), "Left", "Ativo")</f>
        <v>Ativo</v>
      </c>
      <c r="D1694" s="10" t="str" cm="1">
        <f t="array" ref="D1694">IF(AND(A1694="2021-01", ISNA(MATCH(B1694, _xlfn._xlws.FILTER(B:B, A:A="2021-02"), 0))), "Left", "Ativo")</f>
        <v>Ativo</v>
      </c>
      <c r="E1694" s="10" t="str" cm="1">
        <f t="array" ref="E1694">IF(AND(A1694="2021-02", ISNA(MATCH(B1694, _xlfn._xlws.FILTER(B:B, A:A="2021-03"), 0))), "Left", "Ativo")</f>
        <v>Ativo</v>
      </c>
      <c r="F1694" s="12" t="str" cm="1">
        <f t="array" ref="F1694">IF(AND(A1694="2021-03", ISNA(MATCH(B1694, _xlfn._xlws.FILTER(B:B, A:A="2021-04"), 0))), "Left", "Ativo")</f>
        <v>Ativo</v>
      </c>
    </row>
    <row r="1695" spans="1:6" x14ac:dyDescent="0.25">
      <c r="A1695" t="s">
        <v>1529</v>
      </c>
      <c r="B1695" t="s">
        <v>734</v>
      </c>
      <c r="C1695" s="10" t="str" cm="1">
        <f t="array" ref="C1695">IF(AND(A1695="2020-12", ISNA(MATCH(B1695, _xlfn._xlws.FILTER(B:B, A:A="2021-01"), 0))), "Left", "Ativo")</f>
        <v>Ativo</v>
      </c>
      <c r="D1695" s="10" t="str" cm="1">
        <f t="array" ref="D1695">IF(AND(A1695="2021-01", ISNA(MATCH(B1695, _xlfn._xlws.FILTER(B:B, A:A="2021-02"), 0))), "Left", "Ativo")</f>
        <v>Ativo</v>
      </c>
      <c r="E1695" s="10" t="str" cm="1">
        <f t="array" ref="E1695">IF(AND(A1695="2021-02", ISNA(MATCH(B1695, _xlfn._xlws.FILTER(B:B, A:A="2021-03"), 0))), "Left", "Ativo")</f>
        <v>Ativo</v>
      </c>
      <c r="F1695" s="12" t="str" cm="1">
        <f t="array" ref="F1695">IF(AND(A1695="2021-03", ISNA(MATCH(B1695, _xlfn._xlws.FILTER(B:B, A:A="2021-04"), 0))), "Left", "Ativo")</f>
        <v>Ativo</v>
      </c>
    </row>
    <row r="1696" spans="1:6" x14ac:dyDescent="0.25">
      <c r="A1696" t="s">
        <v>1529</v>
      </c>
      <c r="B1696" t="s">
        <v>735</v>
      </c>
      <c r="C1696" s="10" t="str" cm="1">
        <f t="array" ref="C1696">IF(AND(A1696="2020-12", ISNA(MATCH(B1696, _xlfn._xlws.FILTER(B:B, A:A="2021-01"), 0))), "Left", "Ativo")</f>
        <v>Ativo</v>
      </c>
      <c r="D1696" s="10" t="str" cm="1">
        <f t="array" ref="D1696">IF(AND(A1696="2021-01", ISNA(MATCH(B1696, _xlfn._xlws.FILTER(B:B, A:A="2021-02"), 0))), "Left", "Ativo")</f>
        <v>Ativo</v>
      </c>
      <c r="E1696" s="10" t="str" cm="1">
        <f t="array" ref="E1696">IF(AND(A1696="2021-02", ISNA(MATCH(B1696, _xlfn._xlws.FILTER(B:B, A:A="2021-03"), 0))), "Left", "Ativo")</f>
        <v>Ativo</v>
      </c>
      <c r="F1696" s="12" t="str" cm="1">
        <f t="array" ref="F1696">IF(AND(A1696="2021-03", ISNA(MATCH(B1696, _xlfn._xlws.FILTER(B:B, A:A="2021-04"), 0))), "Left", "Ativo")</f>
        <v>Ativo</v>
      </c>
    </row>
    <row r="1697" spans="1:6" x14ac:dyDescent="0.25">
      <c r="A1697" t="s">
        <v>1529</v>
      </c>
      <c r="B1697" t="s">
        <v>736</v>
      </c>
      <c r="C1697" s="10" t="str" cm="1">
        <f t="array" ref="C1697">IF(AND(A1697="2020-12", ISNA(MATCH(B1697, _xlfn._xlws.FILTER(B:B, A:A="2021-01"), 0))), "Left", "Ativo")</f>
        <v>Ativo</v>
      </c>
      <c r="D1697" s="10" t="str" cm="1">
        <f t="array" ref="D1697">IF(AND(A1697="2021-01", ISNA(MATCH(B1697, _xlfn._xlws.FILTER(B:B, A:A="2021-02"), 0))), "Left", "Ativo")</f>
        <v>Ativo</v>
      </c>
      <c r="E1697" s="10" t="str" cm="1">
        <f t="array" ref="E1697">IF(AND(A1697="2021-02", ISNA(MATCH(B1697, _xlfn._xlws.FILTER(B:B, A:A="2021-03"), 0))), "Left", "Ativo")</f>
        <v>Ativo</v>
      </c>
      <c r="F1697" s="12" t="str" cm="1">
        <f t="array" ref="F1697">IF(AND(A1697="2021-03", ISNA(MATCH(B1697, _xlfn._xlws.FILTER(B:B, A:A="2021-04"), 0))), "Left", "Ativo")</f>
        <v>Ativo</v>
      </c>
    </row>
    <row r="1698" spans="1:6" x14ac:dyDescent="0.25">
      <c r="A1698" t="s">
        <v>1529</v>
      </c>
      <c r="B1698" t="s">
        <v>737</v>
      </c>
      <c r="C1698" s="10" t="str" cm="1">
        <f t="array" ref="C1698">IF(AND(A1698="2020-12", ISNA(MATCH(B1698, _xlfn._xlws.FILTER(B:B, A:A="2021-01"), 0))), "Left", "Ativo")</f>
        <v>Ativo</v>
      </c>
      <c r="D1698" s="10" t="str" cm="1">
        <f t="array" ref="D1698">IF(AND(A1698="2021-01", ISNA(MATCH(B1698, _xlfn._xlws.FILTER(B:B, A:A="2021-02"), 0))), "Left", "Ativo")</f>
        <v>Ativo</v>
      </c>
      <c r="E1698" s="10" t="str" cm="1">
        <f t="array" ref="E1698">IF(AND(A1698="2021-02", ISNA(MATCH(B1698, _xlfn._xlws.FILTER(B:B, A:A="2021-03"), 0))), "Left", "Ativo")</f>
        <v>Ativo</v>
      </c>
      <c r="F1698" s="12" t="str" cm="1">
        <f t="array" ref="F1698">IF(AND(A1698="2021-03", ISNA(MATCH(B1698, _xlfn._xlws.FILTER(B:B, A:A="2021-04"), 0))), "Left", "Ativo")</f>
        <v>Ativo</v>
      </c>
    </row>
    <row r="1699" spans="1:6" x14ac:dyDescent="0.25">
      <c r="A1699" t="s">
        <v>1529</v>
      </c>
      <c r="B1699" t="s">
        <v>738</v>
      </c>
      <c r="C1699" s="10" t="str" cm="1">
        <f t="array" ref="C1699">IF(AND(A1699="2020-12", ISNA(MATCH(B1699, _xlfn._xlws.FILTER(B:B, A:A="2021-01"), 0))), "Left", "Ativo")</f>
        <v>Ativo</v>
      </c>
      <c r="D1699" s="10" t="str" cm="1">
        <f t="array" ref="D1699">IF(AND(A1699="2021-01", ISNA(MATCH(B1699, _xlfn._xlws.FILTER(B:B, A:A="2021-02"), 0))), "Left", "Ativo")</f>
        <v>Ativo</v>
      </c>
      <c r="E1699" s="10" t="str" cm="1">
        <f t="array" ref="E1699">IF(AND(A1699="2021-02", ISNA(MATCH(B1699, _xlfn._xlws.FILTER(B:B, A:A="2021-03"), 0))), "Left", "Ativo")</f>
        <v>Ativo</v>
      </c>
      <c r="F1699" s="12" t="str" cm="1">
        <f t="array" ref="F1699">IF(AND(A1699="2021-03", ISNA(MATCH(B1699, _xlfn._xlws.FILTER(B:B, A:A="2021-04"), 0))), "Left", "Ativo")</f>
        <v>Ativo</v>
      </c>
    </row>
    <row r="1700" spans="1:6" x14ac:dyDescent="0.25">
      <c r="A1700" t="s">
        <v>1529</v>
      </c>
      <c r="B1700" t="s">
        <v>739</v>
      </c>
      <c r="C1700" s="10" t="str" cm="1">
        <f t="array" ref="C1700">IF(AND(A1700="2020-12", ISNA(MATCH(B1700, _xlfn._xlws.FILTER(B:B, A:A="2021-01"), 0))), "Left", "Ativo")</f>
        <v>Ativo</v>
      </c>
      <c r="D1700" s="10" t="str" cm="1">
        <f t="array" ref="D1700">IF(AND(A1700="2021-01", ISNA(MATCH(B1700, _xlfn._xlws.FILTER(B:B, A:A="2021-02"), 0))), "Left", "Ativo")</f>
        <v>Ativo</v>
      </c>
      <c r="E1700" s="10" t="str" cm="1">
        <f t="array" ref="E1700">IF(AND(A1700="2021-02", ISNA(MATCH(B1700, _xlfn._xlws.FILTER(B:B, A:A="2021-03"), 0))), "Left", "Ativo")</f>
        <v>Ativo</v>
      </c>
      <c r="F1700" s="12" t="str" cm="1">
        <f t="array" ref="F1700">IF(AND(A1700="2021-03", ISNA(MATCH(B1700, _xlfn._xlws.FILTER(B:B, A:A="2021-04"), 0))), "Left", "Ativo")</f>
        <v>Ativo</v>
      </c>
    </row>
    <row r="1701" spans="1:6" x14ac:dyDescent="0.25">
      <c r="A1701" t="s">
        <v>1529</v>
      </c>
      <c r="B1701" t="s">
        <v>740</v>
      </c>
      <c r="C1701" s="10" t="str" cm="1">
        <f t="array" ref="C1701">IF(AND(A1701="2020-12", ISNA(MATCH(B1701, _xlfn._xlws.FILTER(B:B, A:A="2021-01"), 0))), "Left", "Ativo")</f>
        <v>Ativo</v>
      </c>
      <c r="D1701" s="10" t="str" cm="1">
        <f t="array" ref="D1701">IF(AND(A1701="2021-01", ISNA(MATCH(B1701, _xlfn._xlws.FILTER(B:B, A:A="2021-02"), 0))), "Left", "Ativo")</f>
        <v>Ativo</v>
      </c>
      <c r="E1701" s="10" t="str" cm="1">
        <f t="array" ref="E1701">IF(AND(A1701="2021-02", ISNA(MATCH(B1701, _xlfn._xlws.FILTER(B:B, A:A="2021-03"), 0))), "Left", "Ativo")</f>
        <v>Ativo</v>
      </c>
      <c r="F1701" s="12" t="str" cm="1">
        <f t="array" ref="F1701">IF(AND(A1701="2021-03", ISNA(MATCH(B1701, _xlfn._xlws.FILTER(B:B, A:A="2021-04"), 0))), "Left", "Ativo")</f>
        <v>Ativo</v>
      </c>
    </row>
    <row r="1702" spans="1:6" x14ac:dyDescent="0.25">
      <c r="A1702" t="s">
        <v>1529</v>
      </c>
      <c r="B1702" t="s">
        <v>741</v>
      </c>
      <c r="C1702" s="10" t="str" cm="1">
        <f t="array" ref="C1702">IF(AND(A1702="2020-12", ISNA(MATCH(B1702, _xlfn._xlws.FILTER(B:B, A:A="2021-01"), 0))), "Left", "Ativo")</f>
        <v>Ativo</v>
      </c>
      <c r="D1702" s="10" t="str" cm="1">
        <f t="array" ref="D1702">IF(AND(A1702="2021-01", ISNA(MATCH(B1702, _xlfn._xlws.FILTER(B:B, A:A="2021-02"), 0))), "Left", "Ativo")</f>
        <v>Ativo</v>
      </c>
      <c r="E1702" s="10" t="str" cm="1">
        <f t="array" ref="E1702">IF(AND(A1702="2021-02", ISNA(MATCH(B1702, _xlfn._xlws.FILTER(B:B, A:A="2021-03"), 0))), "Left", "Ativo")</f>
        <v>Ativo</v>
      </c>
      <c r="F1702" s="12" t="str" cm="1">
        <f t="array" ref="F1702">IF(AND(A1702="2021-03", ISNA(MATCH(B1702, _xlfn._xlws.FILTER(B:B, A:A="2021-04"), 0))), "Left", "Ativo")</f>
        <v>Ativo</v>
      </c>
    </row>
    <row r="1703" spans="1:6" x14ac:dyDescent="0.25">
      <c r="A1703" t="s">
        <v>1529</v>
      </c>
      <c r="B1703" t="s">
        <v>742</v>
      </c>
      <c r="C1703" s="10" t="str" cm="1">
        <f t="array" ref="C1703">IF(AND(A1703="2020-12", ISNA(MATCH(B1703, _xlfn._xlws.FILTER(B:B, A:A="2021-01"), 0))), "Left", "Ativo")</f>
        <v>Ativo</v>
      </c>
      <c r="D1703" s="10" t="str" cm="1">
        <f t="array" ref="D1703">IF(AND(A1703="2021-01", ISNA(MATCH(B1703, _xlfn._xlws.FILTER(B:B, A:A="2021-02"), 0))), "Left", "Ativo")</f>
        <v>Ativo</v>
      </c>
      <c r="E1703" s="10" t="str" cm="1">
        <f t="array" ref="E1703">IF(AND(A1703="2021-02", ISNA(MATCH(B1703, _xlfn._xlws.FILTER(B:B, A:A="2021-03"), 0))), "Left", "Ativo")</f>
        <v>Ativo</v>
      </c>
      <c r="F1703" s="12" t="str" cm="1">
        <f t="array" ref="F1703">IF(AND(A1703="2021-03", ISNA(MATCH(B1703, _xlfn._xlws.FILTER(B:B, A:A="2021-04"), 0))), "Left", "Ativo")</f>
        <v>Ativo</v>
      </c>
    </row>
    <row r="1704" spans="1:6" x14ac:dyDescent="0.25">
      <c r="A1704" t="s">
        <v>1529</v>
      </c>
      <c r="B1704" t="s">
        <v>743</v>
      </c>
      <c r="C1704" s="10" t="str" cm="1">
        <f t="array" ref="C1704">IF(AND(A1704="2020-12", ISNA(MATCH(B1704, _xlfn._xlws.FILTER(B:B, A:A="2021-01"), 0))), "Left", "Ativo")</f>
        <v>Ativo</v>
      </c>
      <c r="D1704" s="10" t="str" cm="1">
        <f t="array" ref="D1704">IF(AND(A1704="2021-01", ISNA(MATCH(B1704, _xlfn._xlws.FILTER(B:B, A:A="2021-02"), 0))), "Left", "Ativo")</f>
        <v>Ativo</v>
      </c>
      <c r="E1704" s="10" t="str" cm="1">
        <f t="array" ref="E1704">IF(AND(A1704="2021-02", ISNA(MATCH(B1704, _xlfn._xlws.FILTER(B:B, A:A="2021-03"), 0))), "Left", "Ativo")</f>
        <v>Ativo</v>
      </c>
      <c r="F1704" s="12" t="str" cm="1">
        <f t="array" ref="F1704">IF(AND(A1704="2021-03", ISNA(MATCH(B1704, _xlfn._xlws.FILTER(B:B, A:A="2021-04"), 0))), "Left", "Ativo")</f>
        <v>Ativo</v>
      </c>
    </row>
    <row r="1705" spans="1:6" x14ac:dyDescent="0.25">
      <c r="A1705" t="s">
        <v>1529</v>
      </c>
      <c r="B1705" t="s">
        <v>744</v>
      </c>
      <c r="C1705" s="10" t="str" cm="1">
        <f t="array" ref="C1705">IF(AND(A1705="2020-12", ISNA(MATCH(B1705, _xlfn._xlws.FILTER(B:B, A:A="2021-01"), 0))), "Left", "Ativo")</f>
        <v>Ativo</v>
      </c>
      <c r="D1705" s="10" t="str" cm="1">
        <f t="array" ref="D1705">IF(AND(A1705="2021-01", ISNA(MATCH(B1705, _xlfn._xlws.FILTER(B:B, A:A="2021-02"), 0))), "Left", "Ativo")</f>
        <v>Ativo</v>
      </c>
      <c r="E1705" s="10" t="str" cm="1">
        <f t="array" ref="E1705">IF(AND(A1705="2021-02", ISNA(MATCH(B1705, _xlfn._xlws.FILTER(B:B, A:A="2021-03"), 0))), "Left", "Ativo")</f>
        <v>Ativo</v>
      </c>
      <c r="F1705" s="12" t="str" cm="1">
        <f t="array" ref="F1705">IF(AND(A1705="2021-03", ISNA(MATCH(B1705, _xlfn._xlws.FILTER(B:B, A:A="2021-04"), 0))), "Left", "Ativo")</f>
        <v>Ativo</v>
      </c>
    </row>
    <row r="1706" spans="1:6" x14ac:dyDescent="0.25">
      <c r="A1706" t="s">
        <v>1529</v>
      </c>
      <c r="B1706" t="s">
        <v>745</v>
      </c>
      <c r="C1706" s="10" t="str" cm="1">
        <f t="array" ref="C1706">IF(AND(A1706="2020-12", ISNA(MATCH(B1706, _xlfn._xlws.FILTER(B:B, A:A="2021-01"), 0))), "Left", "Ativo")</f>
        <v>Ativo</v>
      </c>
      <c r="D1706" s="10" t="str" cm="1">
        <f t="array" ref="D1706">IF(AND(A1706="2021-01", ISNA(MATCH(B1706, _xlfn._xlws.FILTER(B:B, A:A="2021-02"), 0))), "Left", "Ativo")</f>
        <v>Ativo</v>
      </c>
      <c r="E1706" s="10" t="str" cm="1">
        <f t="array" ref="E1706">IF(AND(A1706="2021-02", ISNA(MATCH(B1706, _xlfn._xlws.FILTER(B:B, A:A="2021-03"), 0))), "Left", "Ativo")</f>
        <v>Ativo</v>
      </c>
      <c r="F1706" s="12" t="str" cm="1">
        <f t="array" ref="F1706">IF(AND(A1706="2021-03", ISNA(MATCH(B1706, _xlfn._xlws.FILTER(B:B, A:A="2021-04"), 0))), "Left", "Ativo")</f>
        <v>Ativo</v>
      </c>
    </row>
    <row r="1707" spans="1:6" x14ac:dyDescent="0.25">
      <c r="A1707" t="s">
        <v>1529</v>
      </c>
      <c r="B1707" t="s">
        <v>746</v>
      </c>
      <c r="C1707" s="10" t="str" cm="1">
        <f t="array" ref="C1707">IF(AND(A1707="2020-12", ISNA(MATCH(B1707, _xlfn._xlws.FILTER(B:B, A:A="2021-01"), 0))), "Left", "Ativo")</f>
        <v>Ativo</v>
      </c>
      <c r="D1707" s="10" t="str" cm="1">
        <f t="array" ref="D1707">IF(AND(A1707="2021-01", ISNA(MATCH(B1707, _xlfn._xlws.FILTER(B:B, A:A="2021-02"), 0))), "Left", "Ativo")</f>
        <v>Ativo</v>
      </c>
      <c r="E1707" s="10" t="str" cm="1">
        <f t="array" ref="E1707">IF(AND(A1707="2021-02", ISNA(MATCH(B1707, _xlfn._xlws.FILTER(B:B, A:A="2021-03"), 0))), "Left", "Ativo")</f>
        <v>Ativo</v>
      </c>
      <c r="F1707" s="12" t="str" cm="1">
        <f t="array" ref="F1707">IF(AND(A1707="2021-03", ISNA(MATCH(B1707, _xlfn._xlws.FILTER(B:B, A:A="2021-04"), 0))), "Left", "Ativo")</f>
        <v>Ativo</v>
      </c>
    </row>
    <row r="1708" spans="1:6" x14ac:dyDescent="0.25">
      <c r="A1708" t="s">
        <v>1529</v>
      </c>
      <c r="B1708" t="s">
        <v>747</v>
      </c>
      <c r="C1708" s="10" t="str" cm="1">
        <f t="array" ref="C1708">IF(AND(A1708="2020-12", ISNA(MATCH(B1708, _xlfn._xlws.FILTER(B:B, A:A="2021-01"), 0))), "Left", "Ativo")</f>
        <v>Ativo</v>
      </c>
      <c r="D1708" s="10" t="str" cm="1">
        <f t="array" ref="D1708">IF(AND(A1708="2021-01", ISNA(MATCH(B1708, _xlfn._xlws.FILTER(B:B, A:A="2021-02"), 0))), "Left", "Ativo")</f>
        <v>Ativo</v>
      </c>
      <c r="E1708" s="10" t="str" cm="1">
        <f t="array" ref="E1708">IF(AND(A1708="2021-02", ISNA(MATCH(B1708, _xlfn._xlws.FILTER(B:B, A:A="2021-03"), 0))), "Left", "Ativo")</f>
        <v>Ativo</v>
      </c>
      <c r="F1708" s="12" t="str" cm="1">
        <f t="array" ref="F1708">IF(AND(A1708="2021-03", ISNA(MATCH(B1708, _xlfn._xlws.FILTER(B:B, A:A="2021-04"), 0))), "Left", "Ativo")</f>
        <v>Ativo</v>
      </c>
    </row>
    <row r="1709" spans="1:6" x14ac:dyDescent="0.25">
      <c r="A1709" t="s">
        <v>1529</v>
      </c>
      <c r="B1709" t="s">
        <v>748</v>
      </c>
      <c r="C1709" s="10" t="str" cm="1">
        <f t="array" ref="C1709">IF(AND(A1709="2020-12", ISNA(MATCH(B1709, _xlfn._xlws.FILTER(B:B, A:A="2021-01"), 0))), "Left", "Ativo")</f>
        <v>Ativo</v>
      </c>
      <c r="D1709" s="10" t="str" cm="1">
        <f t="array" ref="D1709">IF(AND(A1709="2021-01", ISNA(MATCH(B1709, _xlfn._xlws.FILTER(B:B, A:A="2021-02"), 0))), "Left", "Ativo")</f>
        <v>Ativo</v>
      </c>
      <c r="E1709" s="10" t="str" cm="1">
        <f t="array" ref="E1709">IF(AND(A1709="2021-02", ISNA(MATCH(B1709, _xlfn._xlws.FILTER(B:B, A:A="2021-03"), 0))), "Left", "Ativo")</f>
        <v>Ativo</v>
      </c>
      <c r="F1709" s="12" t="str" cm="1">
        <f t="array" ref="F1709">IF(AND(A1709="2021-03", ISNA(MATCH(B1709, _xlfn._xlws.FILTER(B:B, A:A="2021-04"), 0))), "Left", "Ativo")</f>
        <v>Ativo</v>
      </c>
    </row>
    <row r="1710" spans="1:6" x14ac:dyDescent="0.25">
      <c r="A1710" t="s">
        <v>1529</v>
      </c>
      <c r="B1710" t="s">
        <v>749</v>
      </c>
      <c r="C1710" s="10" t="str" cm="1">
        <f t="array" ref="C1710">IF(AND(A1710="2020-12", ISNA(MATCH(B1710, _xlfn._xlws.FILTER(B:B, A:A="2021-01"), 0))), "Left", "Ativo")</f>
        <v>Ativo</v>
      </c>
      <c r="D1710" s="10" t="str" cm="1">
        <f t="array" ref="D1710">IF(AND(A1710="2021-01", ISNA(MATCH(B1710, _xlfn._xlws.FILTER(B:B, A:A="2021-02"), 0))), "Left", "Ativo")</f>
        <v>Ativo</v>
      </c>
      <c r="E1710" s="10" t="str" cm="1">
        <f t="array" ref="E1710">IF(AND(A1710="2021-02", ISNA(MATCH(B1710, _xlfn._xlws.FILTER(B:B, A:A="2021-03"), 0))), "Left", "Ativo")</f>
        <v>Ativo</v>
      </c>
      <c r="F1710" s="12" t="str" cm="1">
        <f t="array" ref="F1710">IF(AND(A1710="2021-03", ISNA(MATCH(B1710, _xlfn._xlws.FILTER(B:B, A:A="2021-04"), 0))), "Left", "Ativo")</f>
        <v>Ativo</v>
      </c>
    </row>
    <row r="1711" spans="1:6" x14ac:dyDescent="0.25">
      <c r="A1711" t="s">
        <v>1529</v>
      </c>
      <c r="B1711" t="s">
        <v>750</v>
      </c>
      <c r="C1711" s="10" t="str" cm="1">
        <f t="array" ref="C1711">IF(AND(A1711="2020-12", ISNA(MATCH(B1711, _xlfn._xlws.FILTER(B:B, A:A="2021-01"), 0))), "Left", "Ativo")</f>
        <v>Ativo</v>
      </c>
      <c r="D1711" s="10" t="str" cm="1">
        <f t="array" ref="D1711">IF(AND(A1711="2021-01", ISNA(MATCH(B1711, _xlfn._xlws.FILTER(B:B, A:A="2021-02"), 0))), "Left", "Ativo")</f>
        <v>Ativo</v>
      </c>
      <c r="E1711" s="10" t="str" cm="1">
        <f t="array" ref="E1711">IF(AND(A1711="2021-02", ISNA(MATCH(B1711, _xlfn._xlws.FILTER(B:B, A:A="2021-03"), 0))), "Left", "Ativo")</f>
        <v>Ativo</v>
      </c>
      <c r="F1711" s="12" t="str" cm="1">
        <f t="array" ref="F1711">IF(AND(A1711="2021-03", ISNA(MATCH(B1711, _xlfn._xlws.FILTER(B:B, A:A="2021-04"), 0))), "Left", "Ativo")</f>
        <v>Ativo</v>
      </c>
    </row>
    <row r="1712" spans="1:6" x14ac:dyDescent="0.25">
      <c r="A1712" t="s">
        <v>1529</v>
      </c>
      <c r="B1712" t="s">
        <v>751</v>
      </c>
      <c r="C1712" s="10" t="str" cm="1">
        <f t="array" ref="C1712">IF(AND(A1712="2020-12", ISNA(MATCH(B1712, _xlfn._xlws.FILTER(B:B, A:A="2021-01"), 0))), "Left", "Ativo")</f>
        <v>Ativo</v>
      </c>
      <c r="D1712" s="10" t="str" cm="1">
        <f t="array" ref="D1712">IF(AND(A1712="2021-01", ISNA(MATCH(B1712, _xlfn._xlws.FILTER(B:B, A:A="2021-02"), 0))), "Left", "Ativo")</f>
        <v>Ativo</v>
      </c>
      <c r="E1712" s="10" t="str" cm="1">
        <f t="array" ref="E1712">IF(AND(A1712="2021-02", ISNA(MATCH(B1712, _xlfn._xlws.FILTER(B:B, A:A="2021-03"), 0))), "Left", "Ativo")</f>
        <v>Ativo</v>
      </c>
      <c r="F1712" s="12" t="str" cm="1">
        <f t="array" ref="F1712">IF(AND(A1712="2021-03", ISNA(MATCH(B1712, _xlfn._xlws.FILTER(B:B, A:A="2021-04"), 0))), "Left", "Ativo")</f>
        <v>Ativo</v>
      </c>
    </row>
    <row r="1713" spans="1:6" x14ac:dyDescent="0.25">
      <c r="A1713" t="s">
        <v>1529</v>
      </c>
      <c r="B1713" t="s">
        <v>752</v>
      </c>
      <c r="C1713" s="10" t="str" cm="1">
        <f t="array" ref="C1713">IF(AND(A1713="2020-12", ISNA(MATCH(B1713, _xlfn._xlws.FILTER(B:B, A:A="2021-01"), 0))), "Left", "Ativo")</f>
        <v>Ativo</v>
      </c>
      <c r="D1713" s="10" t="str" cm="1">
        <f t="array" ref="D1713">IF(AND(A1713="2021-01", ISNA(MATCH(B1713, _xlfn._xlws.FILTER(B:B, A:A="2021-02"), 0))), "Left", "Ativo")</f>
        <v>Ativo</v>
      </c>
      <c r="E1713" s="10" t="str" cm="1">
        <f t="array" ref="E1713">IF(AND(A1713="2021-02", ISNA(MATCH(B1713, _xlfn._xlws.FILTER(B:B, A:A="2021-03"), 0))), "Left", "Ativo")</f>
        <v>Ativo</v>
      </c>
      <c r="F1713" s="12" t="str" cm="1">
        <f t="array" ref="F1713">IF(AND(A1713="2021-03", ISNA(MATCH(B1713, _xlfn._xlws.FILTER(B:B, A:A="2021-04"), 0))), "Left", "Ativo")</f>
        <v>Ativo</v>
      </c>
    </row>
    <row r="1714" spans="1:6" x14ac:dyDescent="0.25">
      <c r="A1714" t="s">
        <v>1529</v>
      </c>
      <c r="B1714" t="s">
        <v>753</v>
      </c>
      <c r="C1714" s="10" t="str" cm="1">
        <f t="array" ref="C1714">IF(AND(A1714="2020-12", ISNA(MATCH(B1714, _xlfn._xlws.FILTER(B:B, A:A="2021-01"), 0))), "Left", "Ativo")</f>
        <v>Ativo</v>
      </c>
      <c r="D1714" s="10" t="str" cm="1">
        <f t="array" ref="D1714">IF(AND(A1714="2021-01", ISNA(MATCH(B1714, _xlfn._xlws.FILTER(B:B, A:A="2021-02"), 0))), "Left", "Ativo")</f>
        <v>Left</v>
      </c>
      <c r="E1714" s="10" t="str" cm="1">
        <f t="array" ref="E1714">IF(AND(A1714="2021-02", ISNA(MATCH(B1714, _xlfn._xlws.FILTER(B:B, A:A="2021-03"), 0))), "Left", "Ativo")</f>
        <v>Ativo</v>
      </c>
      <c r="F1714" s="12" t="str" cm="1">
        <f t="array" ref="F1714">IF(AND(A1714="2021-03", ISNA(MATCH(B1714, _xlfn._xlws.FILTER(B:B, A:A="2021-04"), 0))), "Left", "Ativo")</f>
        <v>Ativo</v>
      </c>
    </row>
    <row r="1715" spans="1:6" x14ac:dyDescent="0.25">
      <c r="A1715" t="s">
        <v>1529</v>
      </c>
      <c r="B1715" t="s">
        <v>754</v>
      </c>
      <c r="C1715" s="10" t="str" cm="1">
        <f t="array" ref="C1715">IF(AND(A1715="2020-12", ISNA(MATCH(B1715, _xlfn._xlws.FILTER(B:B, A:A="2021-01"), 0))), "Left", "Ativo")</f>
        <v>Ativo</v>
      </c>
      <c r="D1715" s="10" t="str" cm="1">
        <f t="array" ref="D1715">IF(AND(A1715="2021-01", ISNA(MATCH(B1715, _xlfn._xlws.FILTER(B:B, A:A="2021-02"), 0))), "Left", "Ativo")</f>
        <v>Left</v>
      </c>
      <c r="E1715" s="10" t="str" cm="1">
        <f t="array" ref="E1715">IF(AND(A1715="2021-02", ISNA(MATCH(B1715, _xlfn._xlws.FILTER(B:B, A:A="2021-03"), 0))), "Left", "Ativo")</f>
        <v>Ativo</v>
      </c>
      <c r="F1715" s="12" t="str" cm="1">
        <f t="array" ref="F1715">IF(AND(A1715="2021-03", ISNA(MATCH(B1715, _xlfn._xlws.FILTER(B:B, A:A="2021-04"), 0))), "Left", "Ativo")</f>
        <v>Ativo</v>
      </c>
    </row>
    <row r="1716" spans="1:6" x14ac:dyDescent="0.25">
      <c r="A1716" t="s">
        <v>1529</v>
      </c>
      <c r="B1716" t="s">
        <v>756</v>
      </c>
      <c r="C1716" s="10" t="str" cm="1">
        <f t="array" ref="C1716">IF(AND(A1716="2020-12", ISNA(MATCH(B1716, _xlfn._xlws.FILTER(B:B, A:A="2021-01"), 0))), "Left", "Ativo")</f>
        <v>Ativo</v>
      </c>
      <c r="D1716" s="10" t="str" cm="1">
        <f t="array" ref="D1716">IF(AND(A1716="2021-01", ISNA(MATCH(B1716, _xlfn._xlws.FILTER(B:B, A:A="2021-02"), 0))), "Left", "Ativo")</f>
        <v>Left</v>
      </c>
      <c r="E1716" s="10" t="str" cm="1">
        <f t="array" ref="E1716">IF(AND(A1716="2021-02", ISNA(MATCH(B1716, _xlfn._xlws.FILTER(B:B, A:A="2021-03"), 0))), "Left", "Ativo")</f>
        <v>Ativo</v>
      </c>
      <c r="F1716" s="12" t="str" cm="1">
        <f t="array" ref="F1716">IF(AND(A1716="2021-03", ISNA(MATCH(B1716, _xlfn._xlws.FILTER(B:B, A:A="2021-04"), 0))), "Left", "Ativo")</f>
        <v>Ativo</v>
      </c>
    </row>
    <row r="1717" spans="1:6" x14ac:dyDescent="0.25">
      <c r="A1717" t="s">
        <v>1529</v>
      </c>
      <c r="B1717" t="s">
        <v>757</v>
      </c>
      <c r="C1717" s="10" t="str" cm="1">
        <f t="array" ref="C1717">IF(AND(A1717="2020-12", ISNA(MATCH(B1717, _xlfn._xlws.FILTER(B:B, A:A="2021-01"), 0))), "Left", "Ativo")</f>
        <v>Ativo</v>
      </c>
      <c r="D1717" s="10" t="str" cm="1">
        <f t="array" ref="D1717">IF(AND(A1717="2021-01", ISNA(MATCH(B1717, _xlfn._xlws.FILTER(B:B, A:A="2021-02"), 0))), "Left", "Ativo")</f>
        <v>Left</v>
      </c>
      <c r="E1717" s="10" t="str" cm="1">
        <f t="array" ref="E1717">IF(AND(A1717="2021-02", ISNA(MATCH(B1717, _xlfn._xlws.FILTER(B:B, A:A="2021-03"), 0))), "Left", "Ativo")</f>
        <v>Ativo</v>
      </c>
      <c r="F1717" s="12" t="str" cm="1">
        <f t="array" ref="F1717">IF(AND(A1717="2021-03", ISNA(MATCH(B1717, _xlfn._xlws.FILTER(B:B, A:A="2021-04"), 0))), "Left", "Ativo")</f>
        <v>Ativo</v>
      </c>
    </row>
    <row r="1718" spans="1:6" x14ac:dyDescent="0.25">
      <c r="A1718" t="s">
        <v>1529</v>
      </c>
      <c r="B1718" t="s">
        <v>759</v>
      </c>
      <c r="C1718" s="10" t="str" cm="1">
        <f t="array" ref="C1718">IF(AND(A1718="2020-12", ISNA(MATCH(B1718, _xlfn._xlws.FILTER(B:B, A:A="2021-01"), 0))), "Left", "Ativo")</f>
        <v>Ativo</v>
      </c>
      <c r="D1718" s="10" t="str" cm="1">
        <f t="array" ref="D1718">IF(AND(A1718="2021-01", ISNA(MATCH(B1718, _xlfn._xlws.FILTER(B:B, A:A="2021-02"), 0))), "Left", "Ativo")</f>
        <v>Left</v>
      </c>
      <c r="E1718" s="10" t="str" cm="1">
        <f t="array" ref="E1718">IF(AND(A1718="2021-02", ISNA(MATCH(B1718, _xlfn._xlws.FILTER(B:B, A:A="2021-03"), 0))), "Left", "Ativo")</f>
        <v>Ativo</v>
      </c>
      <c r="F1718" s="12" t="str" cm="1">
        <f t="array" ref="F1718">IF(AND(A1718="2021-03", ISNA(MATCH(B1718, _xlfn._xlws.FILTER(B:B, A:A="2021-04"), 0))), "Left", "Ativo")</f>
        <v>Ativo</v>
      </c>
    </row>
    <row r="1719" spans="1:6" x14ac:dyDescent="0.25">
      <c r="A1719" t="s">
        <v>1529</v>
      </c>
      <c r="B1719" t="s">
        <v>762</v>
      </c>
      <c r="C1719" s="10" t="str" cm="1">
        <f t="array" ref="C1719">IF(AND(A1719="2020-12", ISNA(MATCH(B1719, _xlfn._xlws.FILTER(B:B, A:A="2021-01"), 0))), "Left", "Ativo")</f>
        <v>Ativo</v>
      </c>
      <c r="D1719" s="10" t="str" cm="1">
        <f t="array" ref="D1719">IF(AND(A1719="2021-01", ISNA(MATCH(B1719, _xlfn._xlws.FILTER(B:B, A:A="2021-02"), 0))), "Left", "Ativo")</f>
        <v>Left</v>
      </c>
      <c r="E1719" s="10" t="str" cm="1">
        <f t="array" ref="E1719">IF(AND(A1719="2021-02", ISNA(MATCH(B1719, _xlfn._xlws.FILTER(B:B, A:A="2021-03"), 0))), "Left", "Ativo")</f>
        <v>Ativo</v>
      </c>
      <c r="F1719" s="12" t="str" cm="1">
        <f t="array" ref="F1719">IF(AND(A1719="2021-03", ISNA(MATCH(B1719, _xlfn._xlws.FILTER(B:B, A:A="2021-04"), 0))), "Left", "Ativo")</f>
        <v>Ativo</v>
      </c>
    </row>
    <row r="1720" spans="1:6" x14ac:dyDescent="0.25">
      <c r="A1720" t="s">
        <v>1529</v>
      </c>
      <c r="B1720" t="s">
        <v>977</v>
      </c>
      <c r="C1720" s="10" t="str" cm="1">
        <f t="array" ref="C1720">IF(AND(A1720="2020-12", ISNA(MATCH(B1720, _xlfn._xlws.FILTER(B:B, A:A="2021-01"), 0))), "Left", "Ativo")</f>
        <v>Ativo</v>
      </c>
      <c r="D1720" s="10" t="str" cm="1">
        <f t="array" ref="D1720">IF(AND(A1720="2021-01", ISNA(MATCH(B1720, _xlfn._xlws.FILTER(B:B, A:A="2021-02"), 0))), "Left", "Ativo")</f>
        <v>Left</v>
      </c>
      <c r="E1720" s="10" t="str" cm="1">
        <f t="array" ref="E1720">IF(AND(A1720="2021-02", ISNA(MATCH(B1720, _xlfn._xlws.FILTER(B:B, A:A="2021-03"), 0))), "Left", "Ativo")</f>
        <v>Ativo</v>
      </c>
      <c r="F1720" s="12" t="str" cm="1">
        <f t="array" ref="F1720">IF(AND(A1720="2021-03", ISNA(MATCH(B1720, _xlfn._xlws.FILTER(B:B, A:A="2021-04"), 0))), "Left", "Ativo")</f>
        <v>Ativo</v>
      </c>
    </row>
    <row r="1721" spans="1:6" x14ac:dyDescent="0.25">
      <c r="A1721" t="s">
        <v>1529</v>
      </c>
      <c r="B1721" t="s">
        <v>978</v>
      </c>
      <c r="C1721" s="10" t="str" cm="1">
        <f t="array" ref="C1721">IF(AND(A1721="2020-12", ISNA(MATCH(B1721, _xlfn._xlws.FILTER(B:B, A:A="2021-01"), 0))), "Left", "Ativo")</f>
        <v>Ativo</v>
      </c>
      <c r="D1721" s="10" t="str" cm="1">
        <f t="array" ref="D1721">IF(AND(A1721="2021-01", ISNA(MATCH(B1721, _xlfn._xlws.FILTER(B:B, A:A="2021-02"), 0))), "Left", "Ativo")</f>
        <v>Left</v>
      </c>
      <c r="E1721" s="10" t="str" cm="1">
        <f t="array" ref="E1721">IF(AND(A1721="2021-02", ISNA(MATCH(B1721, _xlfn._xlws.FILTER(B:B, A:A="2021-03"), 0))), "Left", "Ativo")</f>
        <v>Ativo</v>
      </c>
      <c r="F1721" s="12" t="str" cm="1">
        <f t="array" ref="F1721">IF(AND(A1721="2021-03", ISNA(MATCH(B1721, _xlfn._xlws.FILTER(B:B, A:A="2021-04"), 0))), "Left", "Ativo")</f>
        <v>Ativo</v>
      </c>
    </row>
    <row r="1722" spans="1:6" x14ac:dyDescent="0.25">
      <c r="A1722" t="s">
        <v>1529</v>
      </c>
      <c r="B1722" t="s">
        <v>979</v>
      </c>
      <c r="C1722" s="10" t="str" cm="1">
        <f t="array" ref="C1722">IF(AND(A1722="2020-12", ISNA(MATCH(B1722, _xlfn._xlws.FILTER(B:B, A:A="2021-01"), 0))), "Left", "Ativo")</f>
        <v>Ativo</v>
      </c>
      <c r="D1722" s="10" t="str" cm="1">
        <f t="array" ref="D1722">IF(AND(A1722="2021-01", ISNA(MATCH(B1722, _xlfn._xlws.FILTER(B:B, A:A="2021-02"), 0))), "Left", "Ativo")</f>
        <v>Left</v>
      </c>
      <c r="E1722" s="10" t="str" cm="1">
        <f t="array" ref="E1722">IF(AND(A1722="2021-02", ISNA(MATCH(B1722, _xlfn._xlws.FILTER(B:B, A:A="2021-03"), 0))), "Left", "Ativo")</f>
        <v>Ativo</v>
      </c>
      <c r="F1722" s="12" t="str" cm="1">
        <f t="array" ref="F1722">IF(AND(A1722="2021-03", ISNA(MATCH(B1722, _xlfn._xlws.FILTER(B:B, A:A="2021-04"), 0))), "Left", "Ativo")</f>
        <v>Ativo</v>
      </c>
    </row>
    <row r="1723" spans="1:6" x14ac:dyDescent="0.25">
      <c r="A1723" t="s">
        <v>1529</v>
      </c>
      <c r="B1723" t="s">
        <v>980</v>
      </c>
      <c r="C1723" s="10" t="str" cm="1">
        <f t="array" ref="C1723">IF(AND(A1723="2020-12", ISNA(MATCH(B1723, _xlfn._xlws.FILTER(B:B, A:A="2021-01"), 0))), "Left", "Ativo")</f>
        <v>Ativo</v>
      </c>
      <c r="D1723" s="10" t="str" cm="1">
        <f t="array" ref="D1723">IF(AND(A1723="2021-01", ISNA(MATCH(B1723, _xlfn._xlws.FILTER(B:B, A:A="2021-02"), 0))), "Left", "Ativo")</f>
        <v>Left</v>
      </c>
      <c r="E1723" s="10" t="str" cm="1">
        <f t="array" ref="E1723">IF(AND(A1723="2021-02", ISNA(MATCH(B1723, _xlfn._xlws.FILTER(B:B, A:A="2021-03"), 0))), "Left", "Ativo")</f>
        <v>Ativo</v>
      </c>
      <c r="F1723" s="12" t="str" cm="1">
        <f t="array" ref="F1723">IF(AND(A1723="2021-03", ISNA(MATCH(B1723, _xlfn._xlws.FILTER(B:B, A:A="2021-04"), 0))), "Left", "Ativo")</f>
        <v>Ativo</v>
      </c>
    </row>
    <row r="1724" spans="1:6" x14ac:dyDescent="0.25">
      <c r="A1724" t="s">
        <v>1529</v>
      </c>
      <c r="B1724" t="s">
        <v>981</v>
      </c>
      <c r="C1724" s="10" t="str" cm="1">
        <f t="array" ref="C1724">IF(AND(A1724="2020-12", ISNA(MATCH(B1724, _xlfn._xlws.FILTER(B:B, A:A="2021-01"), 0))), "Left", "Ativo")</f>
        <v>Ativo</v>
      </c>
      <c r="D1724" s="10" t="str" cm="1">
        <f t="array" ref="D1724">IF(AND(A1724="2021-01", ISNA(MATCH(B1724, _xlfn._xlws.FILTER(B:B, A:A="2021-02"), 0))), "Left", "Ativo")</f>
        <v>Left</v>
      </c>
      <c r="E1724" s="10" t="str" cm="1">
        <f t="array" ref="E1724">IF(AND(A1724="2021-02", ISNA(MATCH(B1724, _xlfn._xlws.FILTER(B:B, A:A="2021-03"), 0))), "Left", "Ativo")</f>
        <v>Ativo</v>
      </c>
      <c r="F1724" s="12" t="str" cm="1">
        <f t="array" ref="F1724">IF(AND(A1724="2021-03", ISNA(MATCH(B1724, _xlfn._xlws.FILTER(B:B, A:A="2021-04"), 0))), "Left", "Ativo")</f>
        <v>Ativo</v>
      </c>
    </row>
    <row r="1725" spans="1:6" x14ac:dyDescent="0.25">
      <c r="A1725" t="s">
        <v>1529</v>
      </c>
      <c r="B1725" t="s">
        <v>982</v>
      </c>
      <c r="C1725" s="10" t="str" cm="1">
        <f t="array" ref="C1725">IF(AND(A1725="2020-12", ISNA(MATCH(B1725, _xlfn._xlws.FILTER(B:B, A:A="2021-01"), 0))), "Left", "Ativo")</f>
        <v>Ativo</v>
      </c>
      <c r="D1725" s="10" t="str" cm="1">
        <f t="array" ref="D1725">IF(AND(A1725="2021-01", ISNA(MATCH(B1725, _xlfn._xlws.FILTER(B:B, A:A="2021-02"), 0))), "Left", "Ativo")</f>
        <v>Left</v>
      </c>
      <c r="E1725" s="10" t="str" cm="1">
        <f t="array" ref="E1725">IF(AND(A1725="2021-02", ISNA(MATCH(B1725, _xlfn._xlws.FILTER(B:B, A:A="2021-03"), 0))), "Left", "Ativo")</f>
        <v>Ativo</v>
      </c>
      <c r="F1725" s="12" t="str" cm="1">
        <f t="array" ref="F1725">IF(AND(A1725="2021-03", ISNA(MATCH(B1725, _xlfn._xlws.FILTER(B:B, A:A="2021-04"), 0))), "Left", "Ativo")</f>
        <v>Ativo</v>
      </c>
    </row>
    <row r="1726" spans="1:6" x14ac:dyDescent="0.25">
      <c r="A1726" t="s">
        <v>1529</v>
      </c>
      <c r="B1726" t="s">
        <v>983</v>
      </c>
      <c r="C1726" s="10" t="str" cm="1">
        <f t="array" ref="C1726">IF(AND(A1726="2020-12", ISNA(MATCH(B1726, _xlfn._xlws.FILTER(B:B, A:A="2021-01"), 0))), "Left", "Ativo")</f>
        <v>Ativo</v>
      </c>
      <c r="D1726" s="10" t="str" cm="1">
        <f t="array" ref="D1726">IF(AND(A1726="2021-01", ISNA(MATCH(B1726, _xlfn._xlws.FILTER(B:B, A:A="2021-02"), 0))), "Left", "Ativo")</f>
        <v>Left</v>
      </c>
      <c r="E1726" s="10" t="str" cm="1">
        <f t="array" ref="E1726">IF(AND(A1726="2021-02", ISNA(MATCH(B1726, _xlfn._xlws.FILTER(B:B, A:A="2021-03"), 0))), "Left", "Ativo")</f>
        <v>Ativo</v>
      </c>
      <c r="F1726" s="12" t="str" cm="1">
        <f t="array" ref="F1726">IF(AND(A1726="2021-03", ISNA(MATCH(B1726, _xlfn._xlws.FILTER(B:B, A:A="2021-04"), 0))), "Left", "Ativo")</f>
        <v>Ativo</v>
      </c>
    </row>
    <row r="1727" spans="1:6" x14ac:dyDescent="0.25">
      <c r="A1727" t="s">
        <v>1529</v>
      </c>
      <c r="B1727" t="s">
        <v>984</v>
      </c>
      <c r="C1727" s="10" t="str" cm="1">
        <f t="array" ref="C1727">IF(AND(A1727="2020-12", ISNA(MATCH(B1727, _xlfn._xlws.FILTER(B:B, A:A="2021-01"), 0))), "Left", "Ativo")</f>
        <v>Ativo</v>
      </c>
      <c r="D1727" s="10" t="str" cm="1">
        <f t="array" ref="D1727">IF(AND(A1727="2021-01", ISNA(MATCH(B1727, _xlfn._xlws.FILTER(B:B, A:A="2021-02"), 0))), "Left", "Ativo")</f>
        <v>Left</v>
      </c>
      <c r="E1727" s="10" t="str" cm="1">
        <f t="array" ref="E1727">IF(AND(A1727="2021-02", ISNA(MATCH(B1727, _xlfn._xlws.FILTER(B:B, A:A="2021-03"), 0))), "Left", "Ativo")</f>
        <v>Ativo</v>
      </c>
      <c r="F1727" s="12" t="str" cm="1">
        <f t="array" ref="F1727">IF(AND(A1727="2021-03", ISNA(MATCH(B1727, _xlfn._xlws.FILTER(B:B, A:A="2021-04"), 0))), "Left", "Ativo")</f>
        <v>Ativo</v>
      </c>
    </row>
    <row r="1728" spans="1:6" x14ac:dyDescent="0.25">
      <c r="A1728" t="s">
        <v>1529</v>
      </c>
      <c r="B1728" t="s">
        <v>985</v>
      </c>
      <c r="C1728" s="10" t="str" cm="1">
        <f t="array" ref="C1728">IF(AND(A1728="2020-12", ISNA(MATCH(B1728, _xlfn._xlws.FILTER(B:B, A:A="2021-01"), 0))), "Left", "Ativo")</f>
        <v>Ativo</v>
      </c>
      <c r="D1728" s="10" t="str" cm="1">
        <f t="array" ref="D1728">IF(AND(A1728="2021-01", ISNA(MATCH(B1728, _xlfn._xlws.FILTER(B:B, A:A="2021-02"), 0))), "Left", "Ativo")</f>
        <v>Left</v>
      </c>
      <c r="E1728" s="10" t="str" cm="1">
        <f t="array" ref="E1728">IF(AND(A1728="2021-02", ISNA(MATCH(B1728, _xlfn._xlws.FILTER(B:B, A:A="2021-03"), 0))), "Left", "Ativo")</f>
        <v>Ativo</v>
      </c>
      <c r="F1728" s="12" t="str" cm="1">
        <f t="array" ref="F1728">IF(AND(A1728="2021-03", ISNA(MATCH(B1728, _xlfn._xlws.FILTER(B:B, A:A="2021-04"), 0))), "Left", "Ativo")</f>
        <v>Ativo</v>
      </c>
    </row>
    <row r="1729" spans="1:6" x14ac:dyDescent="0.25">
      <c r="A1729" t="s">
        <v>1529</v>
      </c>
      <c r="B1729" t="s">
        <v>763</v>
      </c>
      <c r="C1729" s="10" t="str" cm="1">
        <f t="array" ref="C1729">IF(AND(A1729="2020-12", ISNA(MATCH(B1729, _xlfn._xlws.FILTER(B:B, A:A="2021-01"), 0))), "Left", "Ativo")</f>
        <v>Ativo</v>
      </c>
      <c r="D1729" s="10" t="str" cm="1">
        <f t="array" ref="D1729">IF(AND(A1729="2021-01", ISNA(MATCH(B1729, _xlfn._xlws.FILTER(B:B, A:A="2021-02"), 0))), "Left", "Ativo")</f>
        <v>Ativo</v>
      </c>
      <c r="E1729" s="10" t="str" cm="1">
        <f t="array" ref="E1729">IF(AND(A1729="2021-02", ISNA(MATCH(B1729, _xlfn._xlws.FILTER(B:B, A:A="2021-03"), 0))), "Left", "Ativo")</f>
        <v>Ativo</v>
      </c>
      <c r="F1729" s="12" t="str" cm="1">
        <f t="array" ref="F1729">IF(AND(A1729="2021-03", ISNA(MATCH(B1729, _xlfn._xlws.FILTER(B:B, A:A="2021-04"), 0))), "Left", "Ativo")</f>
        <v>Ativo</v>
      </c>
    </row>
    <row r="1730" spans="1:6" x14ac:dyDescent="0.25">
      <c r="A1730" t="s">
        <v>1529</v>
      </c>
      <c r="B1730" t="s">
        <v>764</v>
      </c>
      <c r="C1730" s="10" t="str" cm="1">
        <f t="array" ref="C1730">IF(AND(A1730="2020-12", ISNA(MATCH(B1730, _xlfn._xlws.FILTER(B:B, A:A="2021-01"), 0))), "Left", "Ativo")</f>
        <v>Ativo</v>
      </c>
      <c r="D1730" s="10" t="str" cm="1">
        <f t="array" ref="D1730">IF(AND(A1730="2021-01", ISNA(MATCH(B1730, _xlfn._xlws.FILTER(B:B, A:A="2021-02"), 0))), "Left", "Ativo")</f>
        <v>Ativo</v>
      </c>
      <c r="E1730" s="10" t="str" cm="1">
        <f t="array" ref="E1730">IF(AND(A1730="2021-02", ISNA(MATCH(B1730, _xlfn._xlws.FILTER(B:B, A:A="2021-03"), 0))), "Left", "Ativo")</f>
        <v>Ativo</v>
      </c>
      <c r="F1730" s="12" t="str" cm="1">
        <f t="array" ref="F1730">IF(AND(A1730="2021-03", ISNA(MATCH(B1730, _xlfn._xlws.FILTER(B:B, A:A="2021-04"), 0))), "Left", "Ativo")</f>
        <v>Ativo</v>
      </c>
    </row>
    <row r="1731" spans="1:6" x14ac:dyDescent="0.25">
      <c r="A1731" t="s">
        <v>1529</v>
      </c>
      <c r="B1731" t="s">
        <v>765</v>
      </c>
      <c r="C1731" s="10" t="str" cm="1">
        <f t="array" ref="C1731">IF(AND(A1731="2020-12", ISNA(MATCH(B1731, _xlfn._xlws.FILTER(B:B, A:A="2021-01"), 0))), "Left", "Ativo")</f>
        <v>Ativo</v>
      </c>
      <c r="D1731" s="10" t="str" cm="1">
        <f t="array" ref="D1731">IF(AND(A1731="2021-01", ISNA(MATCH(B1731, _xlfn._xlws.FILTER(B:B, A:A="2021-02"), 0))), "Left", "Ativo")</f>
        <v>Ativo</v>
      </c>
      <c r="E1731" s="10" t="str" cm="1">
        <f t="array" ref="E1731">IF(AND(A1731="2021-02", ISNA(MATCH(B1731, _xlfn._xlws.FILTER(B:B, A:A="2021-03"), 0))), "Left", "Ativo")</f>
        <v>Ativo</v>
      </c>
      <c r="F1731" s="12" t="str" cm="1">
        <f t="array" ref="F1731">IF(AND(A1731="2021-03", ISNA(MATCH(B1731, _xlfn._xlws.FILTER(B:B, A:A="2021-04"), 0))), "Left", "Ativo")</f>
        <v>Ativo</v>
      </c>
    </row>
    <row r="1732" spans="1:6" x14ac:dyDescent="0.25">
      <c r="A1732" t="s">
        <v>1529</v>
      </c>
      <c r="B1732" t="s">
        <v>766</v>
      </c>
      <c r="C1732" s="10" t="str" cm="1">
        <f t="array" ref="C1732">IF(AND(A1732="2020-12", ISNA(MATCH(B1732, _xlfn._xlws.FILTER(B:B, A:A="2021-01"), 0))), "Left", "Ativo")</f>
        <v>Ativo</v>
      </c>
      <c r="D1732" s="10" t="str" cm="1">
        <f t="array" ref="D1732">IF(AND(A1732="2021-01", ISNA(MATCH(B1732, _xlfn._xlws.FILTER(B:B, A:A="2021-02"), 0))), "Left", "Ativo")</f>
        <v>Ativo</v>
      </c>
      <c r="E1732" s="10" t="str" cm="1">
        <f t="array" ref="E1732">IF(AND(A1732="2021-02", ISNA(MATCH(B1732, _xlfn._xlws.FILTER(B:B, A:A="2021-03"), 0))), "Left", "Ativo")</f>
        <v>Ativo</v>
      </c>
      <c r="F1732" s="12" t="str" cm="1">
        <f t="array" ref="F1732">IF(AND(A1732="2021-03", ISNA(MATCH(B1732, _xlfn._xlws.FILTER(B:B, A:A="2021-04"), 0))), "Left", "Ativo")</f>
        <v>Ativo</v>
      </c>
    </row>
    <row r="1733" spans="1:6" x14ac:dyDescent="0.25">
      <c r="A1733" t="s">
        <v>1529</v>
      </c>
      <c r="B1733" t="s">
        <v>767</v>
      </c>
      <c r="C1733" s="10" t="str" cm="1">
        <f t="array" ref="C1733">IF(AND(A1733="2020-12", ISNA(MATCH(B1733, _xlfn._xlws.FILTER(B:B, A:A="2021-01"), 0))), "Left", "Ativo")</f>
        <v>Ativo</v>
      </c>
      <c r="D1733" s="10" t="str" cm="1">
        <f t="array" ref="D1733">IF(AND(A1733="2021-01", ISNA(MATCH(B1733, _xlfn._xlws.FILTER(B:B, A:A="2021-02"), 0))), "Left", "Ativo")</f>
        <v>Ativo</v>
      </c>
      <c r="E1733" s="10" t="str" cm="1">
        <f t="array" ref="E1733">IF(AND(A1733="2021-02", ISNA(MATCH(B1733, _xlfn._xlws.FILTER(B:B, A:A="2021-03"), 0))), "Left", "Ativo")</f>
        <v>Ativo</v>
      </c>
      <c r="F1733" s="12" t="str" cm="1">
        <f t="array" ref="F1733">IF(AND(A1733="2021-03", ISNA(MATCH(B1733, _xlfn._xlws.FILTER(B:B, A:A="2021-04"), 0))), "Left", "Ativo")</f>
        <v>Ativo</v>
      </c>
    </row>
    <row r="1734" spans="1:6" x14ac:dyDescent="0.25">
      <c r="A1734" t="s">
        <v>1529</v>
      </c>
      <c r="B1734" t="s">
        <v>768</v>
      </c>
      <c r="C1734" s="10" t="str" cm="1">
        <f t="array" ref="C1734">IF(AND(A1734="2020-12", ISNA(MATCH(B1734, _xlfn._xlws.FILTER(B:B, A:A="2021-01"), 0))), "Left", "Ativo")</f>
        <v>Ativo</v>
      </c>
      <c r="D1734" s="10" t="str" cm="1">
        <f t="array" ref="D1734">IF(AND(A1734="2021-01", ISNA(MATCH(B1734, _xlfn._xlws.FILTER(B:B, A:A="2021-02"), 0))), "Left", "Ativo")</f>
        <v>Ativo</v>
      </c>
      <c r="E1734" s="10" t="str" cm="1">
        <f t="array" ref="E1734">IF(AND(A1734="2021-02", ISNA(MATCH(B1734, _xlfn._xlws.FILTER(B:B, A:A="2021-03"), 0))), "Left", "Ativo")</f>
        <v>Ativo</v>
      </c>
      <c r="F1734" s="12" t="str" cm="1">
        <f t="array" ref="F1734">IF(AND(A1734="2021-03", ISNA(MATCH(B1734, _xlfn._xlws.FILTER(B:B, A:A="2021-04"), 0))), "Left", "Ativo")</f>
        <v>Ativo</v>
      </c>
    </row>
    <row r="1735" spans="1:6" x14ac:dyDescent="0.25">
      <c r="A1735" t="s">
        <v>1529</v>
      </c>
      <c r="B1735" t="s">
        <v>769</v>
      </c>
      <c r="C1735" s="10" t="str" cm="1">
        <f t="array" ref="C1735">IF(AND(A1735="2020-12", ISNA(MATCH(B1735, _xlfn._xlws.FILTER(B:B, A:A="2021-01"), 0))), "Left", "Ativo")</f>
        <v>Ativo</v>
      </c>
      <c r="D1735" s="10" t="str" cm="1">
        <f t="array" ref="D1735">IF(AND(A1735="2021-01", ISNA(MATCH(B1735, _xlfn._xlws.FILTER(B:B, A:A="2021-02"), 0))), "Left", "Ativo")</f>
        <v>Ativo</v>
      </c>
      <c r="E1735" s="10" t="str" cm="1">
        <f t="array" ref="E1735">IF(AND(A1735="2021-02", ISNA(MATCH(B1735, _xlfn._xlws.FILTER(B:B, A:A="2021-03"), 0))), "Left", "Ativo")</f>
        <v>Ativo</v>
      </c>
      <c r="F1735" s="12" t="str" cm="1">
        <f t="array" ref="F1735">IF(AND(A1735="2021-03", ISNA(MATCH(B1735, _xlfn._xlws.FILTER(B:B, A:A="2021-04"), 0))), "Left", "Ativo")</f>
        <v>Ativo</v>
      </c>
    </row>
    <row r="1736" spans="1:6" x14ac:dyDescent="0.25">
      <c r="A1736" t="s">
        <v>1529</v>
      </c>
      <c r="B1736" t="s">
        <v>770</v>
      </c>
      <c r="C1736" s="10" t="str" cm="1">
        <f t="array" ref="C1736">IF(AND(A1736="2020-12", ISNA(MATCH(B1736, _xlfn._xlws.FILTER(B:B, A:A="2021-01"), 0))), "Left", "Ativo")</f>
        <v>Ativo</v>
      </c>
      <c r="D1736" s="10" t="str" cm="1">
        <f t="array" ref="D1736">IF(AND(A1736="2021-01", ISNA(MATCH(B1736, _xlfn._xlws.FILTER(B:B, A:A="2021-02"), 0))), "Left", "Ativo")</f>
        <v>Ativo</v>
      </c>
      <c r="E1736" s="10" t="str" cm="1">
        <f t="array" ref="E1736">IF(AND(A1736="2021-02", ISNA(MATCH(B1736, _xlfn._xlws.FILTER(B:B, A:A="2021-03"), 0))), "Left", "Ativo")</f>
        <v>Ativo</v>
      </c>
      <c r="F1736" s="12" t="str" cm="1">
        <f t="array" ref="F1736">IF(AND(A1736="2021-03", ISNA(MATCH(B1736, _xlfn._xlws.FILTER(B:B, A:A="2021-04"), 0))), "Left", "Ativo")</f>
        <v>Ativo</v>
      </c>
    </row>
    <row r="1737" spans="1:6" x14ac:dyDescent="0.25">
      <c r="A1737" t="s">
        <v>1529</v>
      </c>
      <c r="B1737" t="s">
        <v>771</v>
      </c>
      <c r="C1737" s="10" t="str" cm="1">
        <f t="array" ref="C1737">IF(AND(A1737="2020-12", ISNA(MATCH(B1737, _xlfn._xlws.FILTER(B:B, A:A="2021-01"), 0))), "Left", "Ativo")</f>
        <v>Ativo</v>
      </c>
      <c r="D1737" s="10" t="str" cm="1">
        <f t="array" ref="D1737">IF(AND(A1737="2021-01", ISNA(MATCH(B1737, _xlfn._xlws.FILTER(B:B, A:A="2021-02"), 0))), "Left", "Ativo")</f>
        <v>Ativo</v>
      </c>
      <c r="E1737" s="10" t="str" cm="1">
        <f t="array" ref="E1737">IF(AND(A1737="2021-02", ISNA(MATCH(B1737, _xlfn._xlws.FILTER(B:B, A:A="2021-03"), 0))), "Left", "Ativo")</f>
        <v>Ativo</v>
      </c>
      <c r="F1737" s="12" t="str" cm="1">
        <f t="array" ref="F1737">IF(AND(A1737="2021-03", ISNA(MATCH(B1737, _xlfn._xlws.FILTER(B:B, A:A="2021-04"), 0))), "Left", "Ativo")</f>
        <v>Ativo</v>
      </c>
    </row>
    <row r="1738" spans="1:6" x14ac:dyDescent="0.25">
      <c r="A1738" t="s">
        <v>1529</v>
      </c>
      <c r="B1738" t="s">
        <v>772</v>
      </c>
      <c r="C1738" s="10" t="str" cm="1">
        <f t="array" ref="C1738">IF(AND(A1738="2020-12", ISNA(MATCH(B1738, _xlfn._xlws.FILTER(B:B, A:A="2021-01"), 0))), "Left", "Ativo")</f>
        <v>Ativo</v>
      </c>
      <c r="D1738" s="10" t="str" cm="1">
        <f t="array" ref="D1738">IF(AND(A1738="2021-01", ISNA(MATCH(B1738, _xlfn._xlws.FILTER(B:B, A:A="2021-02"), 0))), "Left", "Ativo")</f>
        <v>Ativo</v>
      </c>
      <c r="E1738" s="10" t="str" cm="1">
        <f t="array" ref="E1738">IF(AND(A1738="2021-02", ISNA(MATCH(B1738, _xlfn._xlws.FILTER(B:B, A:A="2021-03"), 0))), "Left", "Ativo")</f>
        <v>Ativo</v>
      </c>
      <c r="F1738" s="12" t="str" cm="1">
        <f t="array" ref="F1738">IF(AND(A1738="2021-03", ISNA(MATCH(B1738, _xlfn._xlws.FILTER(B:B, A:A="2021-04"), 0))), "Left", "Ativo")</f>
        <v>Ativo</v>
      </c>
    </row>
    <row r="1739" spans="1:6" x14ac:dyDescent="0.25">
      <c r="A1739" t="s">
        <v>1529</v>
      </c>
      <c r="B1739" t="s">
        <v>773</v>
      </c>
      <c r="C1739" s="10" t="str" cm="1">
        <f t="array" ref="C1739">IF(AND(A1739="2020-12", ISNA(MATCH(B1739, _xlfn._xlws.FILTER(B:B, A:A="2021-01"), 0))), "Left", "Ativo")</f>
        <v>Ativo</v>
      </c>
      <c r="D1739" s="10" t="str" cm="1">
        <f t="array" ref="D1739">IF(AND(A1739="2021-01", ISNA(MATCH(B1739, _xlfn._xlws.FILTER(B:B, A:A="2021-02"), 0))), "Left", "Ativo")</f>
        <v>Ativo</v>
      </c>
      <c r="E1739" s="10" t="str" cm="1">
        <f t="array" ref="E1739">IF(AND(A1739="2021-02", ISNA(MATCH(B1739, _xlfn._xlws.FILTER(B:B, A:A="2021-03"), 0))), "Left", "Ativo")</f>
        <v>Ativo</v>
      </c>
      <c r="F1739" s="12" t="str" cm="1">
        <f t="array" ref="F1739">IF(AND(A1739="2021-03", ISNA(MATCH(B1739, _xlfn._xlws.FILTER(B:B, A:A="2021-04"), 0))), "Left", "Ativo")</f>
        <v>Ativo</v>
      </c>
    </row>
    <row r="1740" spans="1:6" x14ac:dyDescent="0.25">
      <c r="A1740" t="s">
        <v>1529</v>
      </c>
      <c r="B1740" t="s">
        <v>774</v>
      </c>
      <c r="C1740" s="10" t="str" cm="1">
        <f t="array" ref="C1740">IF(AND(A1740="2020-12", ISNA(MATCH(B1740, _xlfn._xlws.FILTER(B:B, A:A="2021-01"), 0))), "Left", "Ativo")</f>
        <v>Ativo</v>
      </c>
      <c r="D1740" s="10" t="str" cm="1">
        <f t="array" ref="D1740">IF(AND(A1740="2021-01", ISNA(MATCH(B1740, _xlfn._xlws.FILTER(B:B, A:A="2021-02"), 0))), "Left", "Ativo")</f>
        <v>Ativo</v>
      </c>
      <c r="E1740" s="10" t="str" cm="1">
        <f t="array" ref="E1740">IF(AND(A1740="2021-02", ISNA(MATCH(B1740, _xlfn._xlws.FILTER(B:B, A:A="2021-03"), 0))), "Left", "Ativo")</f>
        <v>Ativo</v>
      </c>
      <c r="F1740" s="12" t="str" cm="1">
        <f t="array" ref="F1740">IF(AND(A1740="2021-03", ISNA(MATCH(B1740, _xlfn._xlws.FILTER(B:B, A:A="2021-04"), 0))), "Left", "Ativo")</f>
        <v>Ativo</v>
      </c>
    </row>
    <row r="1741" spans="1:6" x14ac:dyDescent="0.25">
      <c r="A1741" t="s">
        <v>1529</v>
      </c>
      <c r="B1741" t="s">
        <v>775</v>
      </c>
      <c r="C1741" s="10" t="str" cm="1">
        <f t="array" ref="C1741">IF(AND(A1741="2020-12", ISNA(MATCH(B1741, _xlfn._xlws.FILTER(B:B, A:A="2021-01"), 0))), "Left", "Ativo")</f>
        <v>Ativo</v>
      </c>
      <c r="D1741" s="10" t="str" cm="1">
        <f t="array" ref="D1741">IF(AND(A1741="2021-01", ISNA(MATCH(B1741, _xlfn._xlws.FILTER(B:B, A:A="2021-02"), 0))), "Left", "Ativo")</f>
        <v>Ativo</v>
      </c>
      <c r="E1741" s="10" t="str" cm="1">
        <f t="array" ref="E1741">IF(AND(A1741="2021-02", ISNA(MATCH(B1741, _xlfn._xlws.FILTER(B:B, A:A="2021-03"), 0))), "Left", "Ativo")</f>
        <v>Ativo</v>
      </c>
      <c r="F1741" s="12" t="str" cm="1">
        <f t="array" ref="F1741">IF(AND(A1741="2021-03", ISNA(MATCH(B1741, _xlfn._xlws.FILTER(B:B, A:A="2021-04"), 0))), "Left", "Ativo")</f>
        <v>Ativo</v>
      </c>
    </row>
    <row r="1742" spans="1:6" x14ac:dyDescent="0.25">
      <c r="A1742" t="s">
        <v>1529</v>
      </c>
      <c r="B1742" t="s">
        <v>776</v>
      </c>
      <c r="C1742" s="10" t="str" cm="1">
        <f t="array" ref="C1742">IF(AND(A1742="2020-12", ISNA(MATCH(B1742, _xlfn._xlws.FILTER(B:B, A:A="2021-01"), 0))), "Left", "Ativo")</f>
        <v>Ativo</v>
      </c>
      <c r="D1742" s="10" t="str" cm="1">
        <f t="array" ref="D1742">IF(AND(A1742="2021-01", ISNA(MATCH(B1742, _xlfn._xlws.FILTER(B:B, A:A="2021-02"), 0))), "Left", "Ativo")</f>
        <v>Ativo</v>
      </c>
      <c r="E1742" s="10" t="str" cm="1">
        <f t="array" ref="E1742">IF(AND(A1742="2021-02", ISNA(MATCH(B1742, _xlfn._xlws.FILTER(B:B, A:A="2021-03"), 0))), "Left", "Ativo")</f>
        <v>Ativo</v>
      </c>
      <c r="F1742" s="12" t="str" cm="1">
        <f t="array" ref="F1742">IF(AND(A1742="2021-03", ISNA(MATCH(B1742, _xlfn._xlws.FILTER(B:B, A:A="2021-04"), 0))), "Left", "Ativo")</f>
        <v>Ativo</v>
      </c>
    </row>
    <row r="1743" spans="1:6" x14ac:dyDescent="0.25">
      <c r="A1743" t="s">
        <v>1529</v>
      </c>
      <c r="B1743" t="s">
        <v>777</v>
      </c>
      <c r="C1743" s="10" t="str" cm="1">
        <f t="array" ref="C1743">IF(AND(A1743="2020-12", ISNA(MATCH(B1743, _xlfn._xlws.FILTER(B:B, A:A="2021-01"), 0))), "Left", "Ativo")</f>
        <v>Ativo</v>
      </c>
      <c r="D1743" s="10" t="str" cm="1">
        <f t="array" ref="D1743">IF(AND(A1743="2021-01", ISNA(MATCH(B1743, _xlfn._xlws.FILTER(B:B, A:A="2021-02"), 0))), "Left", "Ativo")</f>
        <v>Ativo</v>
      </c>
      <c r="E1743" s="10" t="str" cm="1">
        <f t="array" ref="E1743">IF(AND(A1743="2021-02", ISNA(MATCH(B1743, _xlfn._xlws.FILTER(B:B, A:A="2021-03"), 0))), "Left", "Ativo")</f>
        <v>Ativo</v>
      </c>
      <c r="F1743" s="12" t="str" cm="1">
        <f t="array" ref="F1743">IF(AND(A1743="2021-03", ISNA(MATCH(B1743, _xlfn._xlws.FILTER(B:B, A:A="2021-04"), 0))), "Left", "Ativo")</f>
        <v>Ativo</v>
      </c>
    </row>
    <row r="1744" spans="1:6" x14ac:dyDescent="0.25">
      <c r="A1744" t="s">
        <v>1529</v>
      </c>
      <c r="B1744" t="s">
        <v>778</v>
      </c>
      <c r="C1744" s="10" t="str" cm="1">
        <f t="array" ref="C1744">IF(AND(A1744="2020-12", ISNA(MATCH(B1744, _xlfn._xlws.FILTER(B:B, A:A="2021-01"), 0))), "Left", "Ativo")</f>
        <v>Ativo</v>
      </c>
      <c r="D1744" s="10" t="str" cm="1">
        <f t="array" ref="D1744">IF(AND(A1744="2021-01", ISNA(MATCH(B1744, _xlfn._xlws.FILTER(B:B, A:A="2021-02"), 0))), "Left", "Ativo")</f>
        <v>Ativo</v>
      </c>
      <c r="E1744" s="10" t="str" cm="1">
        <f t="array" ref="E1744">IF(AND(A1744="2021-02", ISNA(MATCH(B1744, _xlfn._xlws.FILTER(B:B, A:A="2021-03"), 0))), "Left", "Ativo")</f>
        <v>Ativo</v>
      </c>
      <c r="F1744" s="12" t="str" cm="1">
        <f t="array" ref="F1744">IF(AND(A1744="2021-03", ISNA(MATCH(B1744, _xlfn._xlws.FILTER(B:B, A:A="2021-04"), 0))), "Left", "Ativo")</f>
        <v>Ativo</v>
      </c>
    </row>
    <row r="1745" spans="1:6" x14ac:dyDescent="0.25">
      <c r="A1745" t="s">
        <v>1529</v>
      </c>
      <c r="B1745" t="s">
        <v>779</v>
      </c>
      <c r="C1745" s="10" t="str" cm="1">
        <f t="array" ref="C1745">IF(AND(A1745="2020-12", ISNA(MATCH(B1745, _xlfn._xlws.FILTER(B:B, A:A="2021-01"), 0))), "Left", "Ativo")</f>
        <v>Ativo</v>
      </c>
      <c r="D1745" s="10" t="str" cm="1">
        <f t="array" ref="D1745">IF(AND(A1745="2021-01", ISNA(MATCH(B1745, _xlfn._xlws.FILTER(B:B, A:A="2021-02"), 0))), "Left", "Ativo")</f>
        <v>Ativo</v>
      </c>
      <c r="E1745" s="10" t="str" cm="1">
        <f t="array" ref="E1745">IF(AND(A1745="2021-02", ISNA(MATCH(B1745, _xlfn._xlws.FILTER(B:B, A:A="2021-03"), 0))), "Left", "Ativo")</f>
        <v>Ativo</v>
      </c>
      <c r="F1745" s="12" t="str" cm="1">
        <f t="array" ref="F1745">IF(AND(A1745="2021-03", ISNA(MATCH(B1745, _xlfn._xlws.FILTER(B:B, A:A="2021-04"), 0))), "Left", "Ativo")</f>
        <v>Ativo</v>
      </c>
    </row>
    <row r="1746" spans="1:6" x14ac:dyDescent="0.25">
      <c r="A1746" t="s">
        <v>1529</v>
      </c>
      <c r="B1746" t="s">
        <v>780</v>
      </c>
      <c r="C1746" s="10" t="str" cm="1">
        <f t="array" ref="C1746">IF(AND(A1746="2020-12", ISNA(MATCH(B1746, _xlfn._xlws.FILTER(B:B, A:A="2021-01"), 0))), "Left", "Ativo")</f>
        <v>Ativo</v>
      </c>
      <c r="D1746" s="10" t="str" cm="1">
        <f t="array" ref="D1746">IF(AND(A1746="2021-01", ISNA(MATCH(B1746, _xlfn._xlws.FILTER(B:B, A:A="2021-02"), 0))), "Left", "Ativo")</f>
        <v>Ativo</v>
      </c>
      <c r="E1746" s="10" t="str" cm="1">
        <f t="array" ref="E1746">IF(AND(A1746="2021-02", ISNA(MATCH(B1746, _xlfn._xlws.FILTER(B:B, A:A="2021-03"), 0))), "Left", "Ativo")</f>
        <v>Ativo</v>
      </c>
      <c r="F1746" s="12" t="str" cm="1">
        <f t="array" ref="F1746">IF(AND(A1746="2021-03", ISNA(MATCH(B1746, _xlfn._xlws.FILTER(B:B, A:A="2021-04"), 0))), "Left", "Ativo")</f>
        <v>Ativo</v>
      </c>
    </row>
    <row r="1747" spans="1:6" x14ac:dyDescent="0.25">
      <c r="A1747" t="s">
        <v>1529</v>
      </c>
      <c r="B1747" t="s">
        <v>781</v>
      </c>
      <c r="C1747" s="10" t="str" cm="1">
        <f t="array" ref="C1747">IF(AND(A1747="2020-12", ISNA(MATCH(B1747, _xlfn._xlws.FILTER(B:B, A:A="2021-01"), 0))), "Left", "Ativo")</f>
        <v>Ativo</v>
      </c>
      <c r="D1747" s="10" t="str" cm="1">
        <f t="array" ref="D1747">IF(AND(A1747="2021-01", ISNA(MATCH(B1747, _xlfn._xlws.FILTER(B:B, A:A="2021-02"), 0))), "Left", "Ativo")</f>
        <v>Ativo</v>
      </c>
      <c r="E1747" s="10" t="str" cm="1">
        <f t="array" ref="E1747">IF(AND(A1747="2021-02", ISNA(MATCH(B1747, _xlfn._xlws.FILTER(B:B, A:A="2021-03"), 0))), "Left", "Ativo")</f>
        <v>Ativo</v>
      </c>
      <c r="F1747" s="12" t="str" cm="1">
        <f t="array" ref="F1747">IF(AND(A1747="2021-03", ISNA(MATCH(B1747, _xlfn._xlws.FILTER(B:B, A:A="2021-04"), 0))), "Left", "Ativo")</f>
        <v>Ativo</v>
      </c>
    </row>
    <row r="1748" spans="1:6" x14ac:dyDescent="0.25">
      <c r="A1748" t="s">
        <v>1529</v>
      </c>
      <c r="B1748" t="s">
        <v>782</v>
      </c>
      <c r="C1748" s="10" t="str" cm="1">
        <f t="array" ref="C1748">IF(AND(A1748="2020-12", ISNA(MATCH(B1748, _xlfn._xlws.FILTER(B:B, A:A="2021-01"), 0))), "Left", "Ativo")</f>
        <v>Ativo</v>
      </c>
      <c r="D1748" s="10" t="str" cm="1">
        <f t="array" ref="D1748">IF(AND(A1748="2021-01", ISNA(MATCH(B1748, _xlfn._xlws.FILTER(B:B, A:A="2021-02"), 0))), "Left", "Ativo")</f>
        <v>Ativo</v>
      </c>
      <c r="E1748" s="10" t="str" cm="1">
        <f t="array" ref="E1748">IF(AND(A1748="2021-02", ISNA(MATCH(B1748, _xlfn._xlws.FILTER(B:B, A:A="2021-03"), 0))), "Left", "Ativo")</f>
        <v>Ativo</v>
      </c>
      <c r="F1748" s="12" t="str" cm="1">
        <f t="array" ref="F1748">IF(AND(A1748="2021-03", ISNA(MATCH(B1748, _xlfn._xlws.FILTER(B:B, A:A="2021-04"), 0))), "Left", "Ativo")</f>
        <v>Ativo</v>
      </c>
    </row>
    <row r="1749" spans="1:6" x14ac:dyDescent="0.25">
      <c r="A1749" t="s">
        <v>1529</v>
      </c>
      <c r="B1749" t="s">
        <v>783</v>
      </c>
      <c r="C1749" s="10" t="str" cm="1">
        <f t="array" ref="C1749">IF(AND(A1749="2020-12", ISNA(MATCH(B1749, _xlfn._xlws.FILTER(B:B, A:A="2021-01"), 0))), "Left", "Ativo")</f>
        <v>Ativo</v>
      </c>
      <c r="D1749" s="10" t="str" cm="1">
        <f t="array" ref="D1749">IF(AND(A1749="2021-01", ISNA(MATCH(B1749, _xlfn._xlws.FILTER(B:B, A:A="2021-02"), 0))), "Left", "Ativo")</f>
        <v>Ativo</v>
      </c>
      <c r="E1749" s="10" t="str" cm="1">
        <f t="array" ref="E1749">IF(AND(A1749="2021-02", ISNA(MATCH(B1749, _xlfn._xlws.FILTER(B:B, A:A="2021-03"), 0))), "Left", "Ativo")</f>
        <v>Ativo</v>
      </c>
      <c r="F1749" s="12" t="str" cm="1">
        <f t="array" ref="F1749">IF(AND(A1749="2021-03", ISNA(MATCH(B1749, _xlfn._xlws.FILTER(B:B, A:A="2021-04"), 0))), "Left", "Ativo")</f>
        <v>Ativo</v>
      </c>
    </row>
    <row r="1750" spans="1:6" x14ac:dyDescent="0.25">
      <c r="A1750" t="s">
        <v>1529</v>
      </c>
      <c r="B1750" t="s">
        <v>784</v>
      </c>
      <c r="C1750" s="10" t="str" cm="1">
        <f t="array" ref="C1750">IF(AND(A1750="2020-12", ISNA(MATCH(B1750, _xlfn._xlws.FILTER(B:B, A:A="2021-01"), 0))), "Left", "Ativo")</f>
        <v>Ativo</v>
      </c>
      <c r="D1750" s="10" t="str" cm="1">
        <f t="array" ref="D1750">IF(AND(A1750="2021-01", ISNA(MATCH(B1750, _xlfn._xlws.FILTER(B:B, A:A="2021-02"), 0))), "Left", "Ativo")</f>
        <v>Ativo</v>
      </c>
      <c r="E1750" s="10" t="str" cm="1">
        <f t="array" ref="E1750">IF(AND(A1750="2021-02", ISNA(MATCH(B1750, _xlfn._xlws.FILTER(B:B, A:A="2021-03"), 0))), "Left", "Ativo")</f>
        <v>Ativo</v>
      </c>
      <c r="F1750" s="12" t="str" cm="1">
        <f t="array" ref="F1750">IF(AND(A1750="2021-03", ISNA(MATCH(B1750, _xlfn._xlws.FILTER(B:B, A:A="2021-04"), 0))), "Left", "Ativo")</f>
        <v>Ativo</v>
      </c>
    </row>
    <row r="1751" spans="1:6" x14ac:dyDescent="0.25">
      <c r="A1751" t="s">
        <v>1529</v>
      </c>
      <c r="B1751" t="s">
        <v>785</v>
      </c>
      <c r="C1751" s="10" t="str" cm="1">
        <f t="array" ref="C1751">IF(AND(A1751="2020-12", ISNA(MATCH(B1751, _xlfn._xlws.FILTER(B:B, A:A="2021-01"), 0))), "Left", "Ativo")</f>
        <v>Ativo</v>
      </c>
      <c r="D1751" s="10" t="str" cm="1">
        <f t="array" ref="D1751">IF(AND(A1751="2021-01", ISNA(MATCH(B1751, _xlfn._xlws.FILTER(B:B, A:A="2021-02"), 0))), "Left", "Ativo")</f>
        <v>Ativo</v>
      </c>
      <c r="E1751" s="10" t="str" cm="1">
        <f t="array" ref="E1751">IF(AND(A1751="2021-02", ISNA(MATCH(B1751, _xlfn._xlws.FILTER(B:B, A:A="2021-03"), 0))), "Left", "Ativo")</f>
        <v>Ativo</v>
      </c>
      <c r="F1751" s="12" t="str" cm="1">
        <f t="array" ref="F1751">IF(AND(A1751="2021-03", ISNA(MATCH(B1751, _xlfn._xlws.FILTER(B:B, A:A="2021-04"), 0))), "Left", "Ativo")</f>
        <v>Ativo</v>
      </c>
    </row>
    <row r="1752" spans="1:6" x14ac:dyDescent="0.25">
      <c r="A1752" t="s">
        <v>1529</v>
      </c>
      <c r="B1752" t="s">
        <v>786</v>
      </c>
      <c r="C1752" s="10" t="str" cm="1">
        <f t="array" ref="C1752">IF(AND(A1752="2020-12", ISNA(MATCH(B1752, _xlfn._xlws.FILTER(B:B, A:A="2021-01"), 0))), "Left", "Ativo")</f>
        <v>Ativo</v>
      </c>
      <c r="D1752" s="10" t="str" cm="1">
        <f t="array" ref="D1752">IF(AND(A1752="2021-01", ISNA(MATCH(B1752, _xlfn._xlws.FILTER(B:B, A:A="2021-02"), 0))), "Left", "Ativo")</f>
        <v>Ativo</v>
      </c>
      <c r="E1752" s="10" t="str" cm="1">
        <f t="array" ref="E1752">IF(AND(A1752="2021-02", ISNA(MATCH(B1752, _xlfn._xlws.FILTER(B:B, A:A="2021-03"), 0))), "Left", "Ativo")</f>
        <v>Ativo</v>
      </c>
      <c r="F1752" s="12" t="str" cm="1">
        <f t="array" ref="F1752">IF(AND(A1752="2021-03", ISNA(MATCH(B1752, _xlfn._xlws.FILTER(B:B, A:A="2021-04"), 0))), "Left", "Ativo")</f>
        <v>Ativo</v>
      </c>
    </row>
    <row r="1753" spans="1:6" x14ac:dyDescent="0.25">
      <c r="A1753" t="s">
        <v>1529</v>
      </c>
      <c r="B1753" t="s">
        <v>787</v>
      </c>
      <c r="C1753" s="10" t="str" cm="1">
        <f t="array" ref="C1753">IF(AND(A1753="2020-12", ISNA(MATCH(B1753, _xlfn._xlws.FILTER(B:B, A:A="2021-01"), 0))), "Left", "Ativo")</f>
        <v>Ativo</v>
      </c>
      <c r="D1753" s="10" t="str" cm="1">
        <f t="array" ref="D1753">IF(AND(A1753="2021-01", ISNA(MATCH(B1753, _xlfn._xlws.FILTER(B:B, A:A="2021-02"), 0))), "Left", "Ativo")</f>
        <v>Ativo</v>
      </c>
      <c r="E1753" s="10" t="str" cm="1">
        <f t="array" ref="E1753">IF(AND(A1753="2021-02", ISNA(MATCH(B1753, _xlfn._xlws.FILTER(B:B, A:A="2021-03"), 0))), "Left", "Ativo")</f>
        <v>Ativo</v>
      </c>
      <c r="F1753" s="12" t="str" cm="1">
        <f t="array" ref="F1753">IF(AND(A1753="2021-03", ISNA(MATCH(B1753, _xlfn._xlws.FILTER(B:B, A:A="2021-04"), 0))), "Left", "Ativo")</f>
        <v>Ativo</v>
      </c>
    </row>
    <row r="1754" spans="1:6" x14ac:dyDescent="0.25">
      <c r="A1754" t="s">
        <v>1529</v>
      </c>
      <c r="B1754" t="s">
        <v>788</v>
      </c>
      <c r="C1754" s="10" t="str" cm="1">
        <f t="array" ref="C1754">IF(AND(A1754="2020-12", ISNA(MATCH(B1754, _xlfn._xlws.FILTER(B:B, A:A="2021-01"), 0))), "Left", "Ativo")</f>
        <v>Ativo</v>
      </c>
      <c r="D1754" s="10" t="str" cm="1">
        <f t="array" ref="D1754">IF(AND(A1754="2021-01", ISNA(MATCH(B1754, _xlfn._xlws.FILTER(B:B, A:A="2021-02"), 0))), "Left", "Ativo")</f>
        <v>Ativo</v>
      </c>
      <c r="E1754" s="10" t="str" cm="1">
        <f t="array" ref="E1754">IF(AND(A1754="2021-02", ISNA(MATCH(B1754, _xlfn._xlws.FILTER(B:B, A:A="2021-03"), 0))), "Left", "Ativo")</f>
        <v>Ativo</v>
      </c>
      <c r="F1754" s="12" t="str" cm="1">
        <f t="array" ref="F1754">IF(AND(A1754="2021-03", ISNA(MATCH(B1754, _xlfn._xlws.FILTER(B:B, A:A="2021-04"), 0))), "Left", "Ativo")</f>
        <v>Ativo</v>
      </c>
    </row>
    <row r="1755" spans="1:6" x14ac:dyDescent="0.25">
      <c r="A1755" t="s">
        <v>1529</v>
      </c>
      <c r="B1755" t="s">
        <v>789</v>
      </c>
      <c r="C1755" s="10" t="str" cm="1">
        <f t="array" ref="C1755">IF(AND(A1755="2020-12", ISNA(MATCH(B1755, _xlfn._xlws.FILTER(B:B, A:A="2021-01"), 0))), "Left", "Ativo")</f>
        <v>Ativo</v>
      </c>
      <c r="D1755" s="10" t="str" cm="1">
        <f t="array" ref="D1755">IF(AND(A1755="2021-01", ISNA(MATCH(B1755, _xlfn._xlws.FILTER(B:B, A:A="2021-02"), 0))), "Left", "Ativo")</f>
        <v>Ativo</v>
      </c>
      <c r="E1755" s="10" t="str" cm="1">
        <f t="array" ref="E1755">IF(AND(A1755="2021-02", ISNA(MATCH(B1755, _xlfn._xlws.FILTER(B:B, A:A="2021-03"), 0))), "Left", "Ativo")</f>
        <v>Ativo</v>
      </c>
      <c r="F1755" s="12" t="str" cm="1">
        <f t="array" ref="F1755">IF(AND(A1755="2021-03", ISNA(MATCH(B1755, _xlfn._xlws.FILTER(B:B, A:A="2021-04"), 0))), "Left", "Ativo")</f>
        <v>Ativo</v>
      </c>
    </row>
    <row r="1756" spans="1:6" x14ac:dyDescent="0.25">
      <c r="A1756" t="s">
        <v>1529</v>
      </c>
      <c r="B1756" t="s">
        <v>790</v>
      </c>
      <c r="C1756" s="10" t="str" cm="1">
        <f t="array" ref="C1756">IF(AND(A1756="2020-12", ISNA(MATCH(B1756, _xlfn._xlws.FILTER(B:B, A:A="2021-01"), 0))), "Left", "Ativo")</f>
        <v>Ativo</v>
      </c>
      <c r="D1756" s="10" t="str" cm="1">
        <f t="array" ref="D1756">IF(AND(A1756="2021-01", ISNA(MATCH(B1756, _xlfn._xlws.FILTER(B:B, A:A="2021-02"), 0))), "Left", "Ativo")</f>
        <v>Ativo</v>
      </c>
      <c r="E1756" s="10" t="str" cm="1">
        <f t="array" ref="E1756">IF(AND(A1756="2021-02", ISNA(MATCH(B1756, _xlfn._xlws.FILTER(B:B, A:A="2021-03"), 0))), "Left", "Ativo")</f>
        <v>Ativo</v>
      </c>
      <c r="F1756" s="12" t="str" cm="1">
        <f t="array" ref="F1756">IF(AND(A1756="2021-03", ISNA(MATCH(B1756, _xlfn._xlws.FILTER(B:B, A:A="2021-04"), 0))), "Left", "Ativo")</f>
        <v>Ativo</v>
      </c>
    </row>
    <row r="1757" spans="1:6" x14ac:dyDescent="0.25">
      <c r="A1757" t="s">
        <v>1529</v>
      </c>
      <c r="B1757" t="s">
        <v>791</v>
      </c>
      <c r="C1757" s="10" t="str" cm="1">
        <f t="array" ref="C1757">IF(AND(A1757="2020-12", ISNA(MATCH(B1757, _xlfn._xlws.FILTER(B:B, A:A="2021-01"), 0))), "Left", "Ativo")</f>
        <v>Ativo</v>
      </c>
      <c r="D1757" s="10" t="str" cm="1">
        <f t="array" ref="D1757">IF(AND(A1757="2021-01", ISNA(MATCH(B1757, _xlfn._xlws.FILTER(B:B, A:A="2021-02"), 0))), "Left", "Ativo")</f>
        <v>Ativo</v>
      </c>
      <c r="E1757" s="10" t="str" cm="1">
        <f t="array" ref="E1757">IF(AND(A1757="2021-02", ISNA(MATCH(B1757, _xlfn._xlws.FILTER(B:B, A:A="2021-03"), 0))), "Left", "Ativo")</f>
        <v>Ativo</v>
      </c>
      <c r="F1757" s="12" t="str" cm="1">
        <f t="array" ref="F1757">IF(AND(A1757="2021-03", ISNA(MATCH(B1757, _xlfn._xlws.FILTER(B:B, A:A="2021-04"), 0))), "Left", "Ativo")</f>
        <v>Ativo</v>
      </c>
    </row>
    <row r="1758" spans="1:6" x14ac:dyDescent="0.25">
      <c r="A1758" t="s">
        <v>1529</v>
      </c>
      <c r="B1758" t="s">
        <v>792</v>
      </c>
      <c r="C1758" s="10" t="str" cm="1">
        <f t="array" ref="C1758">IF(AND(A1758="2020-12", ISNA(MATCH(B1758, _xlfn._xlws.FILTER(B:B, A:A="2021-01"), 0))), "Left", "Ativo")</f>
        <v>Ativo</v>
      </c>
      <c r="D1758" s="10" t="str" cm="1">
        <f t="array" ref="D1758">IF(AND(A1758="2021-01", ISNA(MATCH(B1758, _xlfn._xlws.FILTER(B:B, A:A="2021-02"), 0))), "Left", "Ativo")</f>
        <v>Ativo</v>
      </c>
      <c r="E1758" s="10" t="str" cm="1">
        <f t="array" ref="E1758">IF(AND(A1758="2021-02", ISNA(MATCH(B1758, _xlfn._xlws.FILTER(B:B, A:A="2021-03"), 0))), "Left", "Ativo")</f>
        <v>Ativo</v>
      </c>
      <c r="F1758" s="12" t="str" cm="1">
        <f t="array" ref="F1758">IF(AND(A1758="2021-03", ISNA(MATCH(B1758, _xlfn._xlws.FILTER(B:B, A:A="2021-04"), 0))), "Left", "Ativo")</f>
        <v>Ativo</v>
      </c>
    </row>
    <row r="1759" spans="1:6" x14ac:dyDescent="0.25">
      <c r="A1759" t="s">
        <v>1529</v>
      </c>
      <c r="B1759" t="s">
        <v>793</v>
      </c>
      <c r="C1759" s="10" t="str" cm="1">
        <f t="array" ref="C1759">IF(AND(A1759="2020-12", ISNA(MATCH(B1759, _xlfn._xlws.FILTER(B:B, A:A="2021-01"), 0))), "Left", "Ativo")</f>
        <v>Ativo</v>
      </c>
      <c r="D1759" s="10" t="str" cm="1">
        <f t="array" ref="D1759">IF(AND(A1759="2021-01", ISNA(MATCH(B1759, _xlfn._xlws.FILTER(B:B, A:A="2021-02"), 0))), "Left", "Ativo")</f>
        <v>Ativo</v>
      </c>
      <c r="E1759" s="10" t="str" cm="1">
        <f t="array" ref="E1759">IF(AND(A1759="2021-02", ISNA(MATCH(B1759, _xlfn._xlws.FILTER(B:B, A:A="2021-03"), 0))), "Left", "Ativo")</f>
        <v>Ativo</v>
      </c>
      <c r="F1759" s="12" t="str" cm="1">
        <f t="array" ref="F1759">IF(AND(A1759="2021-03", ISNA(MATCH(B1759, _xlfn._xlws.FILTER(B:B, A:A="2021-04"), 0))), "Left", "Ativo")</f>
        <v>Ativo</v>
      </c>
    </row>
    <row r="1760" spans="1:6" x14ac:dyDescent="0.25">
      <c r="A1760" t="s">
        <v>1529</v>
      </c>
      <c r="B1760" t="s">
        <v>794</v>
      </c>
      <c r="C1760" s="10" t="str" cm="1">
        <f t="array" ref="C1760">IF(AND(A1760="2020-12", ISNA(MATCH(B1760, _xlfn._xlws.FILTER(B:B, A:A="2021-01"), 0))), "Left", "Ativo")</f>
        <v>Ativo</v>
      </c>
      <c r="D1760" s="10" t="str" cm="1">
        <f t="array" ref="D1760">IF(AND(A1760="2021-01", ISNA(MATCH(B1760, _xlfn._xlws.FILTER(B:B, A:A="2021-02"), 0))), "Left", "Ativo")</f>
        <v>Ativo</v>
      </c>
      <c r="E1760" s="10" t="str" cm="1">
        <f t="array" ref="E1760">IF(AND(A1760="2021-02", ISNA(MATCH(B1760, _xlfn._xlws.FILTER(B:B, A:A="2021-03"), 0))), "Left", "Ativo")</f>
        <v>Ativo</v>
      </c>
      <c r="F1760" s="12" t="str" cm="1">
        <f t="array" ref="F1760">IF(AND(A1760="2021-03", ISNA(MATCH(B1760, _xlfn._xlws.FILTER(B:B, A:A="2021-04"), 0))), "Left", "Ativo")</f>
        <v>Ativo</v>
      </c>
    </row>
    <row r="1761" spans="1:6" x14ac:dyDescent="0.25">
      <c r="A1761" t="s">
        <v>1529</v>
      </c>
      <c r="B1761" t="s">
        <v>795</v>
      </c>
      <c r="C1761" s="10" t="str" cm="1">
        <f t="array" ref="C1761">IF(AND(A1761="2020-12", ISNA(MATCH(B1761, _xlfn._xlws.FILTER(B:B, A:A="2021-01"), 0))), "Left", "Ativo")</f>
        <v>Ativo</v>
      </c>
      <c r="D1761" s="10" t="str" cm="1">
        <f t="array" ref="D1761">IF(AND(A1761="2021-01", ISNA(MATCH(B1761, _xlfn._xlws.FILTER(B:B, A:A="2021-02"), 0))), "Left", "Ativo")</f>
        <v>Ativo</v>
      </c>
      <c r="E1761" s="10" t="str" cm="1">
        <f t="array" ref="E1761">IF(AND(A1761="2021-02", ISNA(MATCH(B1761, _xlfn._xlws.FILTER(B:B, A:A="2021-03"), 0))), "Left", "Ativo")</f>
        <v>Ativo</v>
      </c>
      <c r="F1761" s="12" t="str" cm="1">
        <f t="array" ref="F1761">IF(AND(A1761="2021-03", ISNA(MATCH(B1761, _xlfn._xlws.FILTER(B:B, A:A="2021-04"), 0))), "Left", "Ativo")</f>
        <v>Ativo</v>
      </c>
    </row>
    <row r="1762" spans="1:6" x14ac:dyDescent="0.25">
      <c r="A1762" t="s">
        <v>1529</v>
      </c>
      <c r="B1762" t="s">
        <v>796</v>
      </c>
      <c r="C1762" s="10" t="str" cm="1">
        <f t="array" ref="C1762">IF(AND(A1762="2020-12", ISNA(MATCH(B1762, _xlfn._xlws.FILTER(B:B, A:A="2021-01"), 0))), "Left", "Ativo")</f>
        <v>Ativo</v>
      </c>
      <c r="D1762" s="10" t="str" cm="1">
        <f t="array" ref="D1762">IF(AND(A1762="2021-01", ISNA(MATCH(B1762, _xlfn._xlws.FILTER(B:B, A:A="2021-02"), 0))), "Left", "Ativo")</f>
        <v>Ativo</v>
      </c>
      <c r="E1762" s="10" t="str" cm="1">
        <f t="array" ref="E1762">IF(AND(A1762="2021-02", ISNA(MATCH(B1762, _xlfn._xlws.FILTER(B:B, A:A="2021-03"), 0))), "Left", "Ativo")</f>
        <v>Ativo</v>
      </c>
      <c r="F1762" s="12" t="str" cm="1">
        <f t="array" ref="F1762">IF(AND(A1762="2021-03", ISNA(MATCH(B1762, _xlfn._xlws.FILTER(B:B, A:A="2021-04"), 0))), "Left", "Ativo")</f>
        <v>Ativo</v>
      </c>
    </row>
    <row r="1763" spans="1:6" x14ac:dyDescent="0.25">
      <c r="A1763" t="s">
        <v>1529</v>
      </c>
      <c r="B1763" t="s">
        <v>797</v>
      </c>
      <c r="C1763" s="10" t="str" cm="1">
        <f t="array" ref="C1763">IF(AND(A1763="2020-12", ISNA(MATCH(B1763, _xlfn._xlws.FILTER(B:B, A:A="2021-01"), 0))), "Left", "Ativo")</f>
        <v>Ativo</v>
      </c>
      <c r="D1763" s="10" t="str" cm="1">
        <f t="array" ref="D1763">IF(AND(A1763="2021-01", ISNA(MATCH(B1763, _xlfn._xlws.FILTER(B:B, A:A="2021-02"), 0))), "Left", "Ativo")</f>
        <v>Ativo</v>
      </c>
      <c r="E1763" s="10" t="str" cm="1">
        <f t="array" ref="E1763">IF(AND(A1763="2021-02", ISNA(MATCH(B1763, _xlfn._xlws.FILTER(B:B, A:A="2021-03"), 0))), "Left", "Ativo")</f>
        <v>Ativo</v>
      </c>
      <c r="F1763" s="12" t="str" cm="1">
        <f t="array" ref="F1763">IF(AND(A1763="2021-03", ISNA(MATCH(B1763, _xlfn._xlws.FILTER(B:B, A:A="2021-04"), 0))), "Left", "Ativo")</f>
        <v>Ativo</v>
      </c>
    </row>
    <row r="1764" spans="1:6" x14ac:dyDescent="0.25">
      <c r="A1764" t="s">
        <v>1529</v>
      </c>
      <c r="B1764" t="s">
        <v>798</v>
      </c>
      <c r="C1764" s="10" t="str" cm="1">
        <f t="array" ref="C1764">IF(AND(A1764="2020-12", ISNA(MATCH(B1764, _xlfn._xlws.FILTER(B:B, A:A="2021-01"), 0))), "Left", "Ativo")</f>
        <v>Ativo</v>
      </c>
      <c r="D1764" s="10" t="str" cm="1">
        <f t="array" ref="D1764">IF(AND(A1764="2021-01", ISNA(MATCH(B1764, _xlfn._xlws.FILTER(B:B, A:A="2021-02"), 0))), "Left", "Ativo")</f>
        <v>Ativo</v>
      </c>
      <c r="E1764" s="10" t="str" cm="1">
        <f t="array" ref="E1764">IF(AND(A1764="2021-02", ISNA(MATCH(B1764, _xlfn._xlws.FILTER(B:B, A:A="2021-03"), 0))), "Left", "Ativo")</f>
        <v>Ativo</v>
      </c>
      <c r="F1764" s="12" t="str" cm="1">
        <f t="array" ref="F1764">IF(AND(A1764="2021-03", ISNA(MATCH(B1764, _xlfn._xlws.FILTER(B:B, A:A="2021-04"), 0))), "Left", "Ativo")</f>
        <v>Ativo</v>
      </c>
    </row>
    <row r="1765" spans="1:6" x14ac:dyDescent="0.25">
      <c r="A1765" t="s">
        <v>1529</v>
      </c>
      <c r="B1765" t="s">
        <v>799</v>
      </c>
      <c r="C1765" s="10" t="str" cm="1">
        <f t="array" ref="C1765">IF(AND(A1765="2020-12", ISNA(MATCH(B1765, _xlfn._xlws.FILTER(B:B, A:A="2021-01"), 0))), "Left", "Ativo")</f>
        <v>Ativo</v>
      </c>
      <c r="D1765" s="10" t="str" cm="1">
        <f t="array" ref="D1765">IF(AND(A1765="2021-01", ISNA(MATCH(B1765, _xlfn._xlws.FILTER(B:B, A:A="2021-02"), 0))), "Left", "Ativo")</f>
        <v>Ativo</v>
      </c>
      <c r="E1765" s="10" t="str" cm="1">
        <f t="array" ref="E1765">IF(AND(A1765="2021-02", ISNA(MATCH(B1765, _xlfn._xlws.FILTER(B:B, A:A="2021-03"), 0))), "Left", "Ativo")</f>
        <v>Ativo</v>
      </c>
      <c r="F1765" s="12" t="str" cm="1">
        <f t="array" ref="F1765">IF(AND(A1765="2021-03", ISNA(MATCH(B1765, _xlfn._xlws.FILTER(B:B, A:A="2021-04"), 0))), "Left", "Ativo")</f>
        <v>Ativo</v>
      </c>
    </row>
    <row r="1766" spans="1:6" x14ac:dyDescent="0.25">
      <c r="A1766" t="s">
        <v>1529</v>
      </c>
      <c r="B1766" t="s">
        <v>800</v>
      </c>
      <c r="C1766" s="10" t="str" cm="1">
        <f t="array" ref="C1766">IF(AND(A1766="2020-12", ISNA(MATCH(B1766, _xlfn._xlws.FILTER(B:B, A:A="2021-01"), 0))), "Left", "Ativo")</f>
        <v>Ativo</v>
      </c>
      <c r="D1766" s="10" t="str" cm="1">
        <f t="array" ref="D1766">IF(AND(A1766="2021-01", ISNA(MATCH(B1766, _xlfn._xlws.FILTER(B:B, A:A="2021-02"), 0))), "Left", "Ativo")</f>
        <v>Ativo</v>
      </c>
      <c r="E1766" s="10" t="str" cm="1">
        <f t="array" ref="E1766">IF(AND(A1766="2021-02", ISNA(MATCH(B1766, _xlfn._xlws.FILTER(B:B, A:A="2021-03"), 0))), "Left", "Ativo")</f>
        <v>Ativo</v>
      </c>
      <c r="F1766" s="12" t="str" cm="1">
        <f t="array" ref="F1766">IF(AND(A1766="2021-03", ISNA(MATCH(B1766, _xlfn._xlws.FILTER(B:B, A:A="2021-04"), 0))), "Left", "Ativo")</f>
        <v>Ativo</v>
      </c>
    </row>
    <row r="1767" spans="1:6" x14ac:dyDescent="0.25">
      <c r="A1767" t="s">
        <v>1529</v>
      </c>
      <c r="B1767" t="s">
        <v>801</v>
      </c>
      <c r="C1767" s="10" t="str" cm="1">
        <f t="array" ref="C1767">IF(AND(A1767="2020-12", ISNA(MATCH(B1767, _xlfn._xlws.FILTER(B:B, A:A="2021-01"), 0))), "Left", "Ativo")</f>
        <v>Ativo</v>
      </c>
      <c r="D1767" s="10" t="str" cm="1">
        <f t="array" ref="D1767">IF(AND(A1767="2021-01", ISNA(MATCH(B1767, _xlfn._xlws.FILTER(B:B, A:A="2021-02"), 0))), "Left", "Ativo")</f>
        <v>Ativo</v>
      </c>
      <c r="E1767" s="10" t="str" cm="1">
        <f t="array" ref="E1767">IF(AND(A1767="2021-02", ISNA(MATCH(B1767, _xlfn._xlws.FILTER(B:B, A:A="2021-03"), 0))), "Left", "Ativo")</f>
        <v>Ativo</v>
      </c>
      <c r="F1767" s="12" t="str" cm="1">
        <f t="array" ref="F1767">IF(AND(A1767="2021-03", ISNA(MATCH(B1767, _xlfn._xlws.FILTER(B:B, A:A="2021-04"), 0))), "Left", "Ativo")</f>
        <v>Ativo</v>
      </c>
    </row>
    <row r="1768" spans="1:6" x14ac:dyDescent="0.25">
      <c r="A1768" t="s">
        <v>1529</v>
      </c>
      <c r="B1768" t="s">
        <v>802</v>
      </c>
      <c r="C1768" s="10" t="str" cm="1">
        <f t="array" ref="C1768">IF(AND(A1768="2020-12", ISNA(MATCH(B1768, _xlfn._xlws.FILTER(B:B, A:A="2021-01"), 0))), "Left", "Ativo")</f>
        <v>Ativo</v>
      </c>
      <c r="D1768" s="10" t="str" cm="1">
        <f t="array" ref="D1768">IF(AND(A1768="2021-01", ISNA(MATCH(B1768, _xlfn._xlws.FILTER(B:B, A:A="2021-02"), 0))), "Left", "Ativo")</f>
        <v>Ativo</v>
      </c>
      <c r="E1768" s="10" t="str" cm="1">
        <f t="array" ref="E1768">IF(AND(A1768="2021-02", ISNA(MATCH(B1768, _xlfn._xlws.FILTER(B:B, A:A="2021-03"), 0))), "Left", "Ativo")</f>
        <v>Ativo</v>
      </c>
      <c r="F1768" s="12" t="str" cm="1">
        <f t="array" ref="F1768">IF(AND(A1768="2021-03", ISNA(MATCH(B1768, _xlfn._xlws.FILTER(B:B, A:A="2021-04"), 0))), "Left", "Ativo")</f>
        <v>Ativo</v>
      </c>
    </row>
    <row r="1769" spans="1:6" x14ac:dyDescent="0.25">
      <c r="A1769" t="s">
        <v>1529</v>
      </c>
      <c r="B1769" t="s">
        <v>803</v>
      </c>
      <c r="C1769" s="10" t="str" cm="1">
        <f t="array" ref="C1769">IF(AND(A1769="2020-12", ISNA(MATCH(B1769, _xlfn._xlws.FILTER(B:B, A:A="2021-01"), 0))), "Left", "Ativo")</f>
        <v>Ativo</v>
      </c>
      <c r="D1769" s="10" t="str" cm="1">
        <f t="array" ref="D1769">IF(AND(A1769="2021-01", ISNA(MATCH(B1769, _xlfn._xlws.FILTER(B:B, A:A="2021-02"), 0))), "Left", "Ativo")</f>
        <v>Ativo</v>
      </c>
      <c r="E1769" s="10" t="str" cm="1">
        <f t="array" ref="E1769">IF(AND(A1769="2021-02", ISNA(MATCH(B1769, _xlfn._xlws.FILTER(B:B, A:A="2021-03"), 0))), "Left", "Ativo")</f>
        <v>Ativo</v>
      </c>
      <c r="F1769" s="12" t="str" cm="1">
        <f t="array" ref="F1769">IF(AND(A1769="2021-03", ISNA(MATCH(B1769, _xlfn._xlws.FILTER(B:B, A:A="2021-04"), 0))), "Left", "Ativo")</f>
        <v>Ativo</v>
      </c>
    </row>
    <row r="1770" spans="1:6" x14ac:dyDescent="0.25">
      <c r="A1770" t="s">
        <v>1529</v>
      </c>
      <c r="B1770" t="s">
        <v>804</v>
      </c>
      <c r="C1770" s="10" t="str" cm="1">
        <f t="array" ref="C1770">IF(AND(A1770="2020-12", ISNA(MATCH(B1770, _xlfn._xlws.FILTER(B:B, A:A="2021-01"), 0))), "Left", "Ativo")</f>
        <v>Ativo</v>
      </c>
      <c r="D1770" s="10" t="str" cm="1">
        <f t="array" ref="D1770">IF(AND(A1770="2021-01", ISNA(MATCH(B1770, _xlfn._xlws.FILTER(B:B, A:A="2021-02"), 0))), "Left", "Ativo")</f>
        <v>Ativo</v>
      </c>
      <c r="E1770" s="10" t="str" cm="1">
        <f t="array" ref="E1770">IF(AND(A1770="2021-02", ISNA(MATCH(B1770, _xlfn._xlws.FILTER(B:B, A:A="2021-03"), 0))), "Left", "Ativo")</f>
        <v>Ativo</v>
      </c>
      <c r="F1770" s="12" t="str" cm="1">
        <f t="array" ref="F1770">IF(AND(A1770="2021-03", ISNA(MATCH(B1770, _xlfn._xlws.FILTER(B:B, A:A="2021-04"), 0))), "Left", "Ativo")</f>
        <v>Ativo</v>
      </c>
    </row>
    <row r="1771" spans="1:6" x14ac:dyDescent="0.25">
      <c r="A1771" t="s">
        <v>1529</v>
      </c>
      <c r="B1771" t="s">
        <v>805</v>
      </c>
      <c r="C1771" s="10" t="str" cm="1">
        <f t="array" ref="C1771">IF(AND(A1771="2020-12", ISNA(MATCH(B1771, _xlfn._xlws.FILTER(B:B, A:A="2021-01"), 0))), "Left", "Ativo")</f>
        <v>Ativo</v>
      </c>
      <c r="D1771" s="10" t="str" cm="1">
        <f t="array" ref="D1771">IF(AND(A1771="2021-01", ISNA(MATCH(B1771, _xlfn._xlws.FILTER(B:B, A:A="2021-02"), 0))), "Left", "Ativo")</f>
        <v>Ativo</v>
      </c>
      <c r="E1771" s="10" t="str" cm="1">
        <f t="array" ref="E1771">IF(AND(A1771="2021-02", ISNA(MATCH(B1771, _xlfn._xlws.FILTER(B:B, A:A="2021-03"), 0))), "Left", "Ativo")</f>
        <v>Ativo</v>
      </c>
      <c r="F1771" s="12" t="str" cm="1">
        <f t="array" ref="F1771">IF(AND(A1771="2021-03", ISNA(MATCH(B1771, _xlfn._xlws.FILTER(B:B, A:A="2021-04"), 0))), "Left", "Ativo")</f>
        <v>Ativo</v>
      </c>
    </row>
    <row r="1772" spans="1:6" x14ac:dyDescent="0.25">
      <c r="A1772" t="s">
        <v>1529</v>
      </c>
      <c r="B1772" t="s">
        <v>806</v>
      </c>
      <c r="C1772" s="10" t="str" cm="1">
        <f t="array" ref="C1772">IF(AND(A1772="2020-12", ISNA(MATCH(B1772, _xlfn._xlws.FILTER(B:B, A:A="2021-01"), 0))), "Left", "Ativo")</f>
        <v>Ativo</v>
      </c>
      <c r="D1772" s="10" t="str" cm="1">
        <f t="array" ref="D1772">IF(AND(A1772="2021-01", ISNA(MATCH(B1772, _xlfn._xlws.FILTER(B:B, A:A="2021-02"), 0))), "Left", "Ativo")</f>
        <v>Ativo</v>
      </c>
      <c r="E1772" s="10" t="str" cm="1">
        <f t="array" ref="E1772">IF(AND(A1772="2021-02", ISNA(MATCH(B1772, _xlfn._xlws.FILTER(B:B, A:A="2021-03"), 0))), "Left", "Ativo")</f>
        <v>Ativo</v>
      </c>
      <c r="F1772" s="12" t="str" cm="1">
        <f t="array" ref="F1772">IF(AND(A1772="2021-03", ISNA(MATCH(B1772, _xlfn._xlws.FILTER(B:B, A:A="2021-04"), 0))), "Left", "Ativo")</f>
        <v>Ativo</v>
      </c>
    </row>
    <row r="1773" spans="1:6" x14ac:dyDescent="0.25">
      <c r="A1773" t="s">
        <v>1529</v>
      </c>
      <c r="B1773" t="s">
        <v>807</v>
      </c>
      <c r="C1773" s="10" t="str" cm="1">
        <f t="array" ref="C1773">IF(AND(A1773="2020-12", ISNA(MATCH(B1773, _xlfn._xlws.FILTER(B:B, A:A="2021-01"), 0))), "Left", "Ativo")</f>
        <v>Ativo</v>
      </c>
      <c r="D1773" s="10" t="str" cm="1">
        <f t="array" ref="D1773">IF(AND(A1773="2021-01", ISNA(MATCH(B1773, _xlfn._xlws.FILTER(B:B, A:A="2021-02"), 0))), "Left", "Ativo")</f>
        <v>Ativo</v>
      </c>
      <c r="E1773" s="10" t="str" cm="1">
        <f t="array" ref="E1773">IF(AND(A1773="2021-02", ISNA(MATCH(B1773, _xlfn._xlws.FILTER(B:B, A:A="2021-03"), 0))), "Left", "Ativo")</f>
        <v>Ativo</v>
      </c>
      <c r="F1773" s="12" t="str" cm="1">
        <f t="array" ref="F1773">IF(AND(A1773="2021-03", ISNA(MATCH(B1773, _xlfn._xlws.FILTER(B:B, A:A="2021-04"), 0))), "Left", "Ativo")</f>
        <v>Ativo</v>
      </c>
    </row>
    <row r="1774" spans="1:6" x14ac:dyDescent="0.25">
      <c r="A1774" t="s">
        <v>1529</v>
      </c>
      <c r="B1774" t="s">
        <v>808</v>
      </c>
      <c r="C1774" s="10" t="str" cm="1">
        <f t="array" ref="C1774">IF(AND(A1774="2020-12", ISNA(MATCH(B1774, _xlfn._xlws.FILTER(B:B, A:A="2021-01"), 0))), "Left", "Ativo")</f>
        <v>Ativo</v>
      </c>
      <c r="D1774" s="10" t="str" cm="1">
        <f t="array" ref="D1774">IF(AND(A1774="2021-01", ISNA(MATCH(B1774, _xlfn._xlws.FILTER(B:B, A:A="2021-02"), 0))), "Left", "Ativo")</f>
        <v>Ativo</v>
      </c>
      <c r="E1774" s="10" t="str" cm="1">
        <f t="array" ref="E1774">IF(AND(A1774="2021-02", ISNA(MATCH(B1774, _xlfn._xlws.FILTER(B:B, A:A="2021-03"), 0))), "Left", "Ativo")</f>
        <v>Ativo</v>
      </c>
      <c r="F1774" s="12" t="str" cm="1">
        <f t="array" ref="F1774">IF(AND(A1774="2021-03", ISNA(MATCH(B1774, _xlfn._xlws.FILTER(B:B, A:A="2021-04"), 0))), "Left", "Ativo")</f>
        <v>Ativo</v>
      </c>
    </row>
    <row r="1775" spans="1:6" x14ac:dyDescent="0.25">
      <c r="A1775" t="s">
        <v>1529</v>
      </c>
      <c r="B1775" t="s">
        <v>809</v>
      </c>
      <c r="C1775" s="10" t="str" cm="1">
        <f t="array" ref="C1775">IF(AND(A1775="2020-12", ISNA(MATCH(B1775, _xlfn._xlws.FILTER(B:B, A:A="2021-01"), 0))), "Left", "Ativo")</f>
        <v>Ativo</v>
      </c>
      <c r="D1775" s="10" t="str" cm="1">
        <f t="array" ref="D1775">IF(AND(A1775="2021-01", ISNA(MATCH(B1775, _xlfn._xlws.FILTER(B:B, A:A="2021-02"), 0))), "Left", "Ativo")</f>
        <v>Ativo</v>
      </c>
      <c r="E1775" s="10" t="str" cm="1">
        <f t="array" ref="E1775">IF(AND(A1775="2021-02", ISNA(MATCH(B1775, _xlfn._xlws.FILTER(B:B, A:A="2021-03"), 0))), "Left", "Ativo")</f>
        <v>Ativo</v>
      </c>
      <c r="F1775" s="12" t="str" cm="1">
        <f t="array" ref="F1775">IF(AND(A1775="2021-03", ISNA(MATCH(B1775, _xlfn._xlws.FILTER(B:B, A:A="2021-04"), 0))), "Left", "Ativo")</f>
        <v>Ativo</v>
      </c>
    </row>
    <row r="1776" spans="1:6" x14ac:dyDescent="0.25">
      <c r="A1776" t="s">
        <v>1529</v>
      </c>
      <c r="B1776" t="s">
        <v>810</v>
      </c>
      <c r="C1776" s="10" t="str" cm="1">
        <f t="array" ref="C1776">IF(AND(A1776="2020-12", ISNA(MATCH(B1776, _xlfn._xlws.FILTER(B:B, A:A="2021-01"), 0))), "Left", "Ativo")</f>
        <v>Ativo</v>
      </c>
      <c r="D1776" s="10" t="str" cm="1">
        <f t="array" ref="D1776">IF(AND(A1776="2021-01", ISNA(MATCH(B1776, _xlfn._xlws.FILTER(B:B, A:A="2021-02"), 0))), "Left", "Ativo")</f>
        <v>Ativo</v>
      </c>
      <c r="E1776" s="10" t="str" cm="1">
        <f t="array" ref="E1776">IF(AND(A1776="2021-02", ISNA(MATCH(B1776, _xlfn._xlws.FILTER(B:B, A:A="2021-03"), 0))), "Left", "Ativo")</f>
        <v>Ativo</v>
      </c>
      <c r="F1776" s="12" t="str" cm="1">
        <f t="array" ref="F1776">IF(AND(A1776="2021-03", ISNA(MATCH(B1776, _xlfn._xlws.FILTER(B:B, A:A="2021-04"), 0))), "Left", "Ativo")</f>
        <v>Ativo</v>
      </c>
    </row>
    <row r="1777" spans="1:6" x14ac:dyDescent="0.25">
      <c r="A1777" t="s">
        <v>1529</v>
      </c>
      <c r="B1777" t="s">
        <v>811</v>
      </c>
      <c r="C1777" s="10" t="str" cm="1">
        <f t="array" ref="C1777">IF(AND(A1777="2020-12", ISNA(MATCH(B1777, _xlfn._xlws.FILTER(B:B, A:A="2021-01"), 0))), "Left", "Ativo")</f>
        <v>Ativo</v>
      </c>
      <c r="D1777" s="10" t="str" cm="1">
        <f t="array" ref="D1777">IF(AND(A1777="2021-01", ISNA(MATCH(B1777, _xlfn._xlws.FILTER(B:B, A:A="2021-02"), 0))), "Left", "Ativo")</f>
        <v>Ativo</v>
      </c>
      <c r="E1777" s="10" t="str" cm="1">
        <f t="array" ref="E1777">IF(AND(A1777="2021-02", ISNA(MATCH(B1777, _xlfn._xlws.FILTER(B:B, A:A="2021-03"), 0))), "Left", "Ativo")</f>
        <v>Ativo</v>
      </c>
      <c r="F1777" s="12" t="str" cm="1">
        <f t="array" ref="F1777">IF(AND(A1777="2021-03", ISNA(MATCH(B1777, _xlfn._xlws.FILTER(B:B, A:A="2021-04"), 0))), "Left", "Ativo")</f>
        <v>Ativo</v>
      </c>
    </row>
    <row r="1778" spans="1:6" x14ac:dyDescent="0.25">
      <c r="A1778" t="s">
        <v>1529</v>
      </c>
      <c r="B1778" t="s">
        <v>812</v>
      </c>
      <c r="C1778" s="10" t="str" cm="1">
        <f t="array" ref="C1778">IF(AND(A1778="2020-12", ISNA(MATCH(B1778, _xlfn._xlws.FILTER(B:B, A:A="2021-01"), 0))), "Left", "Ativo")</f>
        <v>Ativo</v>
      </c>
      <c r="D1778" s="10" t="str" cm="1">
        <f t="array" ref="D1778">IF(AND(A1778="2021-01", ISNA(MATCH(B1778, _xlfn._xlws.FILTER(B:B, A:A="2021-02"), 0))), "Left", "Ativo")</f>
        <v>Ativo</v>
      </c>
      <c r="E1778" s="10" t="str" cm="1">
        <f t="array" ref="E1778">IF(AND(A1778="2021-02", ISNA(MATCH(B1778, _xlfn._xlws.FILTER(B:B, A:A="2021-03"), 0))), "Left", "Ativo")</f>
        <v>Ativo</v>
      </c>
      <c r="F1778" s="12" t="str" cm="1">
        <f t="array" ref="F1778">IF(AND(A1778="2021-03", ISNA(MATCH(B1778, _xlfn._xlws.FILTER(B:B, A:A="2021-04"), 0))), "Left", "Ativo")</f>
        <v>Ativo</v>
      </c>
    </row>
    <row r="1779" spans="1:6" x14ac:dyDescent="0.25">
      <c r="A1779" t="s">
        <v>1529</v>
      </c>
      <c r="B1779" t="s">
        <v>813</v>
      </c>
      <c r="C1779" s="10" t="str" cm="1">
        <f t="array" ref="C1779">IF(AND(A1779="2020-12", ISNA(MATCH(B1779, _xlfn._xlws.FILTER(B:B, A:A="2021-01"), 0))), "Left", "Ativo")</f>
        <v>Ativo</v>
      </c>
      <c r="D1779" s="10" t="str" cm="1">
        <f t="array" ref="D1779">IF(AND(A1779="2021-01", ISNA(MATCH(B1779, _xlfn._xlws.FILTER(B:B, A:A="2021-02"), 0))), "Left", "Ativo")</f>
        <v>Ativo</v>
      </c>
      <c r="E1779" s="10" t="str" cm="1">
        <f t="array" ref="E1779">IF(AND(A1779="2021-02", ISNA(MATCH(B1779, _xlfn._xlws.FILTER(B:B, A:A="2021-03"), 0))), "Left", "Ativo")</f>
        <v>Ativo</v>
      </c>
      <c r="F1779" s="12" t="str" cm="1">
        <f t="array" ref="F1779">IF(AND(A1779="2021-03", ISNA(MATCH(B1779, _xlfn._xlws.FILTER(B:B, A:A="2021-04"), 0))), "Left", "Ativo")</f>
        <v>Ativo</v>
      </c>
    </row>
    <row r="1780" spans="1:6" x14ac:dyDescent="0.25">
      <c r="A1780" t="s">
        <v>1529</v>
      </c>
      <c r="B1780" t="s">
        <v>814</v>
      </c>
      <c r="C1780" s="10" t="str" cm="1">
        <f t="array" ref="C1780">IF(AND(A1780="2020-12", ISNA(MATCH(B1780, _xlfn._xlws.FILTER(B:B, A:A="2021-01"), 0))), "Left", "Ativo")</f>
        <v>Ativo</v>
      </c>
      <c r="D1780" s="10" t="str" cm="1">
        <f t="array" ref="D1780">IF(AND(A1780="2021-01", ISNA(MATCH(B1780, _xlfn._xlws.FILTER(B:B, A:A="2021-02"), 0))), "Left", "Ativo")</f>
        <v>Ativo</v>
      </c>
      <c r="E1780" s="10" t="str" cm="1">
        <f t="array" ref="E1780">IF(AND(A1780="2021-02", ISNA(MATCH(B1780, _xlfn._xlws.FILTER(B:B, A:A="2021-03"), 0))), "Left", "Ativo")</f>
        <v>Ativo</v>
      </c>
      <c r="F1780" s="12" t="str" cm="1">
        <f t="array" ref="F1780">IF(AND(A1780="2021-03", ISNA(MATCH(B1780, _xlfn._xlws.FILTER(B:B, A:A="2021-04"), 0))), "Left", "Ativo")</f>
        <v>Ativo</v>
      </c>
    </row>
    <row r="1781" spans="1:6" x14ac:dyDescent="0.25">
      <c r="A1781" t="s">
        <v>1529</v>
      </c>
      <c r="B1781" t="s">
        <v>815</v>
      </c>
      <c r="C1781" s="10" t="str" cm="1">
        <f t="array" ref="C1781">IF(AND(A1781="2020-12", ISNA(MATCH(B1781, _xlfn._xlws.FILTER(B:B, A:A="2021-01"), 0))), "Left", "Ativo")</f>
        <v>Ativo</v>
      </c>
      <c r="D1781" s="10" t="str" cm="1">
        <f t="array" ref="D1781">IF(AND(A1781="2021-01", ISNA(MATCH(B1781, _xlfn._xlws.FILTER(B:B, A:A="2021-02"), 0))), "Left", "Ativo")</f>
        <v>Ativo</v>
      </c>
      <c r="E1781" s="10" t="str" cm="1">
        <f t="array" ref="E1781">IF(AND(A1781="2021-02", ISNA(MATCH(B1781, _xlfn._xlws.FILTER(B:B, A:A="2021-03"), 0))), "Left", "Ativo")</f>
        <v>Ativo</v>
      </c>
      <c r="F1781" s="12" t="str" cm="1">
        <f t="array" ref="F1781">IF(AND(A1781="2021-03", ISNA(MATCH(B1781, _xlfn._xlws.FILTER(B:B, A:A="2021-04"), 0))), "Left", "Ativo")</f>
        <v>Ativo</v>
      </c>
    </row>
    <row r="1782" spans="1:6" x14ac:dyDescent="0.25">
      <c r="A1782" t="s">
        <v>1529</v>
      </c>
      <c r="B1782" t="s">
        <v>816</v>
      </c>
      <c r="C1782" s="10" t="str" cm="1">
        <f t="array" ref="C1782">IF(AND(A1782="2020-12", ISNA(MATCH(B1782, _xlfn._xlws.FILTER(B:B, A:A="2021-01"), 0))), "Left", "Ativo")</f>
        <v>Ativo</v>
      </c>
      <c r="D1782" s="10" t="str" cm="1">
        <f t="array" ref="D1782">IF(AND(A1782="2021-01", ISNA(MATCH(B1782, _xlfn._xlws.FILTER(B:B, A:A="2021-02"), 0))), "Left", "Ativo")</f>
        <v>Ativo</v>
      </c>
      <c r="E1782" s="10" t="str" cm="1">
        <f t="array" ref="E1782">IF(AND(A1782="2021-02", ISNA(MATCH(B1782, _xlfn._xlws.FILTER(B:B, A:A="2021-03"), 0))), "Left", "Ativo")</f>
        <v>Ativo</v>
      </c>
      <c r="F1782" s="12" t="str" cm="1">
        <f t="array" ref="F1782">IF(AND(A1782="2021-03", ISNA(MATCH(B1782, _xlfn._xlws.FILTER(B:B, A:A="2021-04"), 0))), "Left", "Ativo")</f>
        <v>Ativo</v>
      </c>
    </row>
    <row r="1783" spans="1:6" x14ac:dyDescent="0.25">
      <c r="A1783" t="s">
        <v>1529</v>
      </c>
      <c r="B1783" t="s">
        <v>817</v>
      </c>
      <c r="C1783" s="10" t="str" cm="1">
        <f t="array" ref="C1783">IF(AND(A1783="2020-12", ISNA(MATCH(B1783, _xlfn._xlws.FILTER(B:B, A:A="2021-01"), 0))), "Left", "Ativo")</f>
        <v>Ativo</v>
      </c>
      <c r="D1783" s="10" t="str" cm="1">
        <f t="array" ref="D1783">IF(AND(A1783="2021-01", ISNA(MATCH(B1783, _xlfn._xlws.FILTER(B:B, A:A="2021-02"), 0))), "Left", "Ativo")</f>
        <v>Ativo</v>
      </c>
      <c r="E1783" s="10" t="str" cm="1">
        <f t="array" ref="E1783">IF(AND(A1783="2021-02", ISNA(MATCH(B1783, _xlfn._xlws.FILTER(B:B, A:A="2021-03"), 0))), "Left", "Ativo")</f>
        <v>Ativo</v>
      </c>
      <c r="F1783" s="12" t="str" cm="1">
        <f t="array" ref="F1783">IF(AND(A1783="2021-03", ISNA(MATCH(B1783, _xlfn._xlws.FILTER(B:B, A:A="2021-04"), 0))), "Left", "Ativo")</f>
        <v>Ativo</v>
      </c>
    </row>
    <row r="1784" spans="1:6" x14ac:dyDescent="0.25">
      <c r="A1784" t="s">
        <v>1529</v>
      </c>
      <c r="B1784" t="s">
        <v>818</v>
      </c>
      <c r="C1784" s="10" t="str" cm="1">
        <f t="array" ref="C1784">IF(AND(A1784="2020-12", ISNA(MATCH(B1784, _xlfn._xlws.FILTER(B:B, A:A="2021-01"), 0))), "Left", "Ativo")</f>
        <v>Ativo</v>
      </c>
      <c r="D1784" s="10" t="str" cm="1">
        <f t="array" ref="D1784">IF(AND(A1784="2021-01", ISNA(MATCH(B1784, _xlfn._xlws.FILTER(B:B, A:A="2021-02"), 0))), "Left", "Ativo")</f>
        <v>Ativo</v>
      </c>
      <c r="E1784" s="10" t="str" cm="1">
        <f t="array" ref="E1784">IF(AND(A1784="2021-02", ISNA(MATCH(B1784, _xlfn._xlws.FILTER(B:B, A:A="2021-03"), 0))), "Left", "Ativo")</f>
        <v>Ativo</v>
      </c>
      <c r="F1784" s="12" t="str" cm="1">
        <f t="array" ref="F1784">IF(AND(A1784="2021-03", ISNA(MATCH(B1784, _xlfn._xlws.FILTER(B:B, A:A="2021-04"), 0))), "Left", "Ativo")</f>
        <v>Ativo</v>
      </c>
    </row>
    <row r="1785" spans="1:6" x14ac:dyDescent="0.25">
      <c r="A1785" t="s">
        <v>1529</v>
      </c>
      <c r="B1785" t="s">
        <v>819</v>
      </c>
      <c r="C1785" s="10" t="str" cm="1">
        <f t="array" ref="C1785">IF(AND(A1785="2020-12", ISNA(MATCH(B1785, _xlfn._xlws.FILTER(B:B, A:A="2021-01"), 0))), "Left", "Ativo")</f>
        <v>Ativo</v>
      </c>
      <c r="D1785" s="10" t="str" cm="1">
        <f t="array" ref="D1785">IF(AND(A1785="2021-01", ISNA(MATCH(B1785, _xlfn._xlws.FILTER(B:B, A:A="2021-02"), 0))), "Left", "Ativo")</f>
        <v>Ativo</v>
      </c>
      <c r="E1785" s="10" t="str" cm="1">
        <f t="array" ref="E1785">IF(AND(A1785="2021-02", ISNA(MATCH(B1785, _xlfn._xlws.FILTER(B:B, A:A="2021-03"), 0))), "Left", "Ativo")</f>
        <v>Ativo</v>
      </c>
      <c r="F1785" s="12" t="str" cm="1">
        <f t="array" ref="F1785">IF(AND(A1785="2021-03", ISNA(MATCH(B1785, _xlfn._xlws.FILTER(B:B, A:A="2021-04"), 0))), "Left", "Ativo")</f>
        <v>Ativo</v>
      </c>
    </row>
    <row r="1786" spans="1:6" x14ac:dyDescent="0.25">
      <c r="A1786" t="s">
        <v>1529</v>
      </c>
      <c r="B1786" t="s">
        <v>820</v>
      </c>
      <c r="C1786" s="10" t="str" cm="1">
        <f t="array" ref="C1786">IF(AND(A1786="2020-12", ISNA(MATCH(B1786, _xlfn._xlws.FILTER(B:B, A:A="2021-01"), 0))), "Left", "Ativo")</f>
        <v>Ativo</v>
      </c>
      <c r="D1786" s="10" t="str" cm="1">
        <f t="array" ref="D1786">IF(AND(A1786="2021-01", ISNA(MATCH(B1786, _xlfn._xlws.FILTER(B:B, A:A="2021-02"), 0))), "Left", "Ativo")</f>
        <v>Ativo</v>
      </c>
      <c r="E1786" s="10" t="str" cm="1">
        <f t="array" ref="E1786">IF(AND(A1786="2021-02", ISNA(MATCH(B1786, _xlfn._xlws.FILTER(B:B, A:A="2021-03"), 0))), "Left", "Ativo")</f>
        <v>Ativo</v>
      </c>
      <c r="F1786" s="12" t="str" cm="1">
        <f t="array" ref="F1786">IF(AND(A1786="2021-03", ISNA(MATCH(B1786, _xlfn._xlws.FILTER(B:B, A:A="2021-04"), 0))), "Left", "Ativo")</f>
        <v>Ativo</v>
      </c>
    </row>
    <row r="1787" spans="1:6" x14ac:dyDescent="0.25">
      <c r="A1787" t="s">
        <v>1529</v>
      </c>
      <c r="B1787" t="s">
        <v>821</v>
      </c>
      <c r="C1787" s="10" t="str" cm="1">
        <f t="array" ref="C1787">IF(AND(A1787="2020-12", ISNA(MATCH(B1787, _xlfn._xlws.FILTER(B:B, A:A="2021-01"), 0))), "Left", "Ativo")</f>
        <v>Ativo</v>
      </c>
      <c r="D1787" s="10" t="str" cm="1">
        <f t="array" ref="D1787">IF(AND(A1787="2021-01", ISNA(MATCH(B1787, _xlfn._xlws.FILTER(B:B, A:A="2021-02"), 0))), "Left", "Ativo")</f>
        <v>Ativo</v>
      </c>
      <c r="E1787" s="10" t="str" cm="1">
        <f t="array" ref="E1787">IF(AND(A1787="2021-02", ISNA(MATCH(B1787, _xlfn._xlws.FILTER(B:B, A:A="2021-03"), 0))), "Left", "Ativo")</f>
        <v>Ativo</v>
      </c>
      <c r="F1787" s="12" t="str" cm="1">
        <f t="array" ref="F1787">IF(AND(A1787="2021-03", ISNA(MATCH(B1787, _xlfn._xlws.FILTER(B:B, A:A="2021-04"), 0))), "Left", "Ativo")</f>
        <v>Ativo</v>
      </c>
    </row>
    <row r="1788" spans="1:6" x14ac:dyDescent="0.25">
      <c r="A1788" t="s">
        <v>1529</v>
      </c>
      <c r="B1788" t="s">
        <v>822</v>
      </c>
      <c r="C1788" s="10" t="str" cm="1">
        <f t="array" ref="C1788">IF(AND(A1788="2020-12", ISNA(MATCH(B1788, _xlfn._xlws.FILTER(B:B, A:A="2021-01"), 0))), "Left", "Ativo")</f>
        <v>Ativo</v>
      </c>
      <c r="D1788" s="10" t="str" cm="1">
        <f t="array" ref="D1788">IF(AND(A1788="2021-01", ISNA(MATCH(B1788, _xlfn._xlws.FILTER(B:B, A:A="2021-02"), 0))), "Left", "Ativo")</f>
        <v>Ativo</v>
      </c>
      <c r="E1788" s="10" t="str" cm="1">
        <f t="array" ref="E1788">IF(AND(A1788="2021-02", ISNA(MATCH(B1788, _xlfn._xlws.FILTER(B:B, A:A="2021-03"), 0))), "Left", "Ativo")</f>
        <v>Ativo</v>
      </c>
      <c r="F1788" s="12" t="str" cm="1">
        <f t="array" ref="F1788">IF(AND(A1788="2021-03", ISNA(MATCH(B1788, _xlfn._xlws.FILTER(B:B, A:A="2021-04"), 0))), "Left", "Ativo")</f>
        <v>Ativo</v>
      </c>
    </row>
    <row r="1789" spans="1:6" x14ac:dyDescent="0.25">
      <c r="A1789" t="s">
        <v>1529</v>
      </c>
      <c r="B1789" t="s">
        <v>823</v>
      </c>
      <c r="C1789" s="10" t="str" cm="1">
        <f t="array" ref="C1789">IF(AND(A1789="2020-12", ISNA(MATCH(B1789, _xlfn._xlws.FILTER(B:B, A:A="2021-01"), 0))), "Left", "Ativo")</f>
        <v>Ativo</v>
      </c>
      <c r="D1789" s="10" t="str" cm="1">
        <f t="array" ref="D1789">IF(AND(A1789="2021-01", ISNA(MATCH(B1789, _xlfn._xlws.FILTER(B:B, A:A="2021-02"), 0))), "Left", "Ativo")</f>
        <v>Ativo</v>
      </c>
      <c r="E1789" s="10" t="str" cm="1">
        <f t="array" ref="E1789">IF(AND(A1789="2021-02", ISNA(MATCH(B1789, _xlfn._xlws.FILTER(B:B, A:A="2021-03"), 0))), "Left", "Ativo")</f>
        <v>Ativo</v>
      </c>
      <c r="F1789" s="12" t="str" cm="1">
        <f t="array" ref="F1789">IF(AND(A1789="2021-03", ISNA(MATCH(B1789, _xlfn._xlws.FILTER(B:B, A:A="2021-04"), 0))), "Left", "Ativo")</f>
        <v>Ativo</v>
      </c>
    </row>
    <row r="1790" spans="1:6" x14ac:dyDescent="0.25">
      <c r="A1790" t="s">
        <v>1529</v>
      </c>
      <c r="B1790" t="s">
        <v>824</v>
      </c>
      <c r="C1790" s="10" t="str" cm="1">
        <f t="array" ref="C1790">IF(AND(A1790="2020-12", ISNA(MATCH(B1790, _xlfn._xlws.FILTER(B:B, A:A="2021-01"), 0))), "Left", "Ativo")</f>
        <v>Ativo</v>
      </c>
      <c r="D1790" s="10" t="str" cm="1">
        <f t="array" ref="D1790">IF(AND(A1790="2021-01", ISNA(MATCH(B1790, _xlfn._xlws.FILTER(B:B, A:A="2021-02"), 0))), "Left", "Ativo")</f>
        <v>Ativo</v>
      </c>
      <c r="E1790" s="10" t="str" cm="1">
        <f t="array" ref="E1790">IF(AND(A1790="2021-02", ISNA(MATCH(B1790, _xlfn._xlws.FILTER(B:B, A:A="2021-03"), 0))), "Left", "Ativo")</f>
        <v>Ativo</v>
      </c>
      <c r="F1790" s="12" t="str" cm="1">
        <f t="array" ref="F1790">IF(AND(A1790="2021-03", ISNA(MATCH(B1790, _xlfn._xlws.FILTER(B:B, A:A="2021-04"), 0))), "Left", "Ativo")</f>
        <v>Ativo</v>
      </c>
    </row>
    <row r="1791" spans="1:6" x14ac:dyDescent="0.25">
      <c r="A1791" t="s">
        <v>1529</v>
      </c>
      <c r="B1791" t="s">
        <v>825</v>
      </c>
      <c r="C1791" s="10" t="str" cm="1">
        <f t="array" ref="C1791">IF(AND(A1791="2020-12", ISNA(MATCH(B1791, _xlfn._xlws.FILTER(B:B, A:A="2021-01"), 0))), "Left", "Ativo")</f>
        <v>Ativo</v>
      </c>
      <c r="D1791" s="10" t="str" cm="1">
        <f t="array" ref="D1791">IF(AND(A1791="2021-01", ISNA(MATCH(B1791, _xlfn._xlws.FILTER(B:B, A:A="2021-02"), 0))), "Left", "Ativo")</f>
        <v>Ativo</v>
      </c>
      <c r="E1791" s="10" t="str" cm="1">
        <f t="array" ref="E1791">IF(AND(A1791="2021-02", ISNA(MATCH(B1791, _xlfn._xlws.FILTER(B:B, A:A="2021-03"), 0))), "Left", "Ativo")</f>
        <v>Ativo</v>
      </c>
      <c r="F1791" s="12" t="str" cm="1">
        <f t="array" ref="F1791">IF(AND(A1791="2021-03", ISNA(MATCH(B1791, _xlfn._xlws.FILTER(B:B, A:A="2021-04"), 0))), "Left", "Ativo")</f>
        <v>Ativo</v>
      </c>
    </row>
    <row r="1792" spans="1:6" x14ac:dyDescent="0.25">
      <c r="A1792" t="s">
        <v>1529</v>
      </c>
      <c r="B1792" t="s">
        <v>826</v>
      </c>
      <c r="C1792" s="10" t="str" cm="1">
        <f t="array" ref="C1792">IF(AND(A1792="2020-12", ISNA(MATCH(B1792, _xlfn._xlws.FILTER(B:B, A:A="2021-01"), 0))), "Left", "Ativo")</f>
        <v>Ativo</v>
      </c>
      <c r="D1792" s="10" t="str" cm="1">
        <f t="array" ref="D1792">IF(AND(A1792="2021-01", ISNA(MATCH(B1792, _xlfn._xlws.FILTER(B:B, A:A="2021-02"), 0))), "Left", "Ativo")</f>
        <v>Ativo</v>
      </c>
      <c r="E1792" s="10" t="str" cm="1">
        <f t="array" ref="E1792">IF(AND(A1792="2021-02", ISNA(MATCH(B1792, _xlfn._xlws.FILTER(B:B, A:A="2021-03"), 0))), "Left", "Ativo")</f>
        <v>Ativo</v>
      </c>
      <c r="F1792" s="12" t="str" cm="1">
        <f t="array" ref="F1792">IF(AND(A1792="2021-03", ISNA(MATCH(B1792, _xlfn._xlws.FILTER(B:B, A:A="2021-04"), 0))), "Left", "Ativo")</f>
        <v>Ativo</v>
      </c>
    </row>
    <row r="1793" spans="1:6" x14ac:dyDescent="0.25">
      <c r="A1793" t="s">
        <v>1529</v>
      </c>
      <c r="B1793" t="s">
        <v>827</v>
      </c>
      <c r="C1793" s="10" t="str" cm="1">
        <f t="array" ref="C1793">IF(AND(A1793="2020-12", ISNA(MATCH(B1793, _xlfn._xlws.FILTER(B:B, A:A="2021-01"), 0))), "Left", "Ativo")</f>
        <v>Ativo</v>
      </c>
      <c r="D1793" s="10" t="str" cm="1">
        <f t="array" ref="D1793">IF(AND(A1793="2021-01", ISNA(MATCH(B1793, _xlfn._xlws.FILTER(B:B, A:A="2021-02"), 0))), "Left", "Ativo")</f>
        <v>Ativo</v>
      </c>
      <c r="E1793" s="10" t="str" cm="1">
        <f t="array" ref="E1793">IF(AND(A1793="2021-02", ISNA(MATCH(B1793, _xlfn._xlws.FILTER(B:B, A:A="2021-03"), 0))), "Left", "Ativo")</f>
        <v>Ativo</v>
      </c>
      <c r="F1793" s="12" t="str" cm="1">
        <f t="array" ref="F1793">IF(AND(A1793="2021-03", ISNA(MATCH(B1793, _xlfn._xlws.FILTER(B:B, A:A="2021-04"), 0))), "Left", "Ativo")</f>
        <v>Ativo</v>
      </c>
    </row>
    <row r="1794" spans="1:6" x14ac:dyDescent="0.25">
      <c r="A1794" t="s">
        <v>1529</v>
      </c>
      <c r="B1794" t="s">
        <v>828</v>
      </c>
      <c r="C1794" s="10" t="str" cm="1">
        <f t="array" ref="C1794">IF(AND(A1794="2020-12", ISNA(MATCH(B1794, _xlfn._xlws.FILTER(B:B, A:A="2021-01"), 0))), "Left", "Ativo")</f>
        <v>Ativo</v>
      </c>
      <c r="D1794" s="10" t="str" cm="1">
        <f t="array" ref="D1794">IF(AND(A1794="2021-01", ISNA(MATCH(B1794, _xlfn._xlws.FILTER(B:B, A:A="2021-02"), 0))), "Left", "Ativo")</f>
        <v>Ativo</v>
      </c>
      <c r="E1794" s="10" t="str" cm="1">
        <f t="array" ref="E1794">IF(AND(A1794="2021-02", ISNA(MATCH(B1794, _xlfn._xlws.FILTER(B:B, A:A="2021-03"), 0))), "Left", "Ativo")</f>
        <v>Ativo</v>
      </c>
      <c r="F1794" s="12" t="str" cm="1">
        <f t="array" ref="F1794">IF(AND(A1794="2021-03", ISNA(MATCH(B1794, _xlfn._xlws.FILTER(B:B, A:A="2021-04"), 0))), "Left", "Ativo")</f>
        <v>Ativo</v>
      </c>
    </row>
    <row r="1795" spans="1:6" x14ac:dyDescent="0.25">
      <c r="A1795" t="s">
        <v>1529</v>
      </c>
      <c r="B1795" t="s">
        <v>829</v>
      </c>
      <c r="C1795" s="10" t="str" cm="1">
        <f t="array" ref="C1795">IF(AND(A1795="2020-12", ISNA(MATCH(B1795, _xlfn._xlws.FILTER(B:B, A:A="2021-01"), 0))), "Left", "Ativo")</f>
        <v>Ativo</v>
      </c>
      <c r="D1795" s="10" t="str" cm="1">
        <f t="array" ref="D1795">IF(AND(A1795="2021-01", ISNA(MATCH(B1795, _xlfn._xlws.FILTER(B:B, A:A="2021-02"), 0))), "Left", "Ativo")</f>
        <v>Ativo</v>
      </c>
      <c r="E1795" s="10" t="str" cm="1">
        <f t="array" ref="E1795">IF(AND(A1795="2021-02", ISNA(MATCH(B1795, _xlfn._xlws.FILTER(B:B, A:A="2021-03"), 0))), "Left", "Ativo")</f>
        <v>Ativo</v>
      </c>
      <c r="F1795" s="12" t="str" cm="1">
        <f t="array" ref="F1795">IF(AND(A1795="2021-03", ISNA(MATCH(B1795, _xlfn._xlws.FILTER(B:B, A:A="2021-04"), 0))), "Left", "Ativo")</f>
        <v>Ativo</v>
      </c>
    </row>
    <row r="1796" spans="1:6" x14ac:dyDescent="0.25">
      <c r="A1796" t="s">
        <v>1529</v>
      </c>
      <c r="B1796" t="s">
        <v>830</v>
      </c>
      <c r="C1796" s="10" t="str" cm="1">
        <f t="array" ref="C1796">IF(AND(A1796="2020-12", ISNA(MATCH(B1796, _xlfn._xlws.FILTER(B:B, A:A="2021-01"), 0))), "Left", "Ativo")</f>
        <v>Ativo</v>
      </c>
      <c r="D1796" s="10" t="str" cm="1">
        <f t="array" ref="D1796">IF(AND(A1796="2021-01", ISNA(MATCH(B1796, _xlfn._xlws.FILTER(B:B, A:A="2021-02"), 0))), "Left", "Ativo")</f>
        <v>Ativo</v>
      </c>
      <c r="E1796" s="10" t="str" cm="1">
        <f t="array" ref="E1796">IF(AND(A1796="2021-02", ISNA(MATCH(B1796, _xlfn._xlws.FILTER(B:B, A:A="2021-03"), 0))), "Left", "Ativo")</f>
        <v>Ativo</v>
      </c>
      <c r="F1796" s="12" t="str" cm="1">
        <f t="array" ref="F1796">IF(AND(A1796="2021-03", ISNA(MATCH(B1796, _xlfn._xlws.FILTER(B:B, A:A="2021-04"), 0))), "Left", "Ativo")</f>
        <v>Ativo</v>
      </c>
    </row>
    <row r="1797" spans="1:6" x14ac:dyDescent="0.25">
      <c r="A1797" t="s">
        <v>1529</v>
      </c>
      <c r="B1797" t="s">
        <v>831</v>
      </c>
      <c r="C1797" s="10" t="str" cm="1">
        <f t="array" ref="C1797">IF(AND(A1797="2020-12", ISNA(MATCH(B1797, _xlfn._xlws.FILTER(B:B, A:A="2021-01"), 0))), "Left", "Ativo")</f>
        <v>Ativo</v>
      </c>
      <c r="D1797" s="10" t="str" cm="1">
        <f t="array" ref="D1797">IF(AND(A1797="2021-01", ISNA(MATCH(B1797, _xlfn._xlws.FILTER(B:B, A:A="2021-02"), 0))), "Left", "Ativo")</f>
        <v>Ativo</v>
      </c>
      <c r="E1797" s="10" t="str" cm="1">
        <f t="array" ref="E1797">IF(AND(A1797="2021-02", ISNA(MATCH(B1797, _xlfn._xlws.FILTER(B:B, A:A="2021-03"), 0))), "Left", "Ativo")</f>
        <v>Ativo</v>
      </c>
      <c r="F1797" s="12" t="str" cm="1">
        <f t="array" ref="F1797">IF(AND(A1797="2021-03", ISNA(MATCH(B1797, _xlfn._xlws.FILTER(B:B, A:A="2021-04"), 0))), "Left", "Ativo")</f>
        <v>Ativo</v>
      </c>
    </row>
    <row r="1798" spans="1:6" x14ac:dyDescent="0.25">
      <c r="A1798" t="s">
        <v>1529</v>
      </c>
      <c r="B1798" t="s">
        <v>832</v>
      </c>
      <c r="C1798" s="10" t="str" cm="1">
        <f t="array" ref="C1798">IF(AND(A1798="2020-12", ISNA(MATCH(B1798, _xlfn._xlws.FILTER(B:B, A:A="2021-01"), 0))), "Left", "Ativo")</f>
        <v>Ativo</v>
      </c>
      <c r="D1798" s="10" t="str" cm="1">
        <f t="array" ref="D1798">IF(AND(A1798="2021-01", ISNA(MATCH(B1798, _xlfn._xlws.FILTER(B:B, A:A="2021-02"), 0))), "Left", "Ativo")</f>
        <v>Ativo</v>
      </c>
      <c r="E1798" s="10" t="str" cm="1">
        <f t="array" ref="E1798">IF(AND(A1798="2021-02", ISNA(MATCH(B1798, _xlfn._xlws.FILTER(B:B, A:A="2021-03"), 0))), "Left", "Ativo")</f>
        <v>Ativo</v>
      </c>
      <c r="F1798" s="12" t="str" cm="1">
        <f t="array" ref="F1798">IF(AND(A1798="2021-03", ISNA(MATCH(B1798, _xlfn._xlws.FILTER(B:B, A:A="2021-04"), 0))), "Left", "Ativo")</f>
        <v>Ativo</v>
      </c>
    </row>
    <row r="1799" spans="1:6" x14ac:dyDescent="0.25">
      <c r="A1799" t="s">
        <v>1529</v>
      </c>
      <c r="B1799" t="s">
        <v>833</v>
      </c>
      <c r="C1799" s="10" t="str" cm="1">
        <f t="array" ref="C1799">IF(AND(A1799="2020-12", ISNA(MATCH(B1799, _xlfn._xlws.FILTER(B:B, A:A="2021-01"), 0))), "Left", "Ativo")</f>
        <v>Ativo</v>
      </c>
      <c r="D1799" s="10" t="str" cm="1">
        <f t="array" ref="D1799">IF(AND(A1799="2021-01", ISNA(MATCH(B1799, _xlfn._xlws.FILTER(B:B, A:A="2021-02"), 0))), "Left", "Ativo")</f>
        <v>Ativo</v>
      </c>
      <c r="E1799" s="10" t="str" cm="1">
        <f t="array" ref="E1799">IF(AND(A1799="2021-02", ISNA(MATCH(B1799, _xlfn._xlws.FILTER(B:B, A:A="2021-03"), 0))), "Left", "Ativo")</f>
        <v>Ativo</v>
      </c>
      <c r="F1799" s="12" t="str" cm="1">
        <f t="array" ref="F1799">IF(AND(A1799="2021-03", ISNA(MATCH(B1799, _xlfn._xlws.FILTER(B:B, A:A="2021-04"), 0))), "Left", "Ativo")</f>
        <v>Ativo</v>
      </c>
    </row>
    <row r="1800" spans="1:6" x14ac:dyDescent="0.25">
      <c r="A1800" t="s">
        <v>1529</v>
      </c>
      <c r="B1800" t="s">
        <v>834</v>
      </c>
      <c r="C1800" s="10" t="str" cm="1">
        <f t="array" ref="C1800">IF(AND(A1800="2020-12", ISNA(MATCH(B1800, _xlfn._xlws.FILTER(B:B, A:A="2021-01"), 0))), "Left", "Ativo")</f>
        <v>Ativo</v>
      </c>
      <c r="D1800" s="10" t="str" cm="1">
        <f t="array" ref="D1800">IF(AND(A1800="2021-01", ISNA(MATCH(B1800, _xlfn._xlws.FILTER(B:B, A:A="2021-02"), 0))), "Left", "Ativo")</f>
        <v>Ativo</v>
      </c>
      <c r="E1800" s="10" t="str" cm="1">
        <f t="array" ref="E1800">IF(AND(A1800="2021-02", ISNA(MATCH(B1800, _xlfn._xlws.FILTER(B:B, A:A="2021-03"), 0))), "Left", "Ativo")</f>
        <v>Ativo</v>
      </c>
      <c r="F1800" s="12" t="str" cm="1">
        <f t="array" ref="F1800">IF(AND(A1800="2021-03", ISNA(MATCH(B1800, _xlfn._xlws.FILTER(B:B, A:A="2021-04"), 0))), "Left", "Ativo")</f>
        <v>Ativo</v>
      </c>
    </row>
    <row r="1801" spans="1:6" x14ac:dyDescent="0.25">
      <c r="A1801" t="s">
        <v>1529</v>
      </c>
      <c r="B1801" t="s">
        <v>835</v>
      </c>
      <c r="C1801" s="10" t="str" cm="1">
        <f t="array" ref="C1801">IF(AND(A1801="2020-12", ISNA(MATCH(B1801, _xlfn._xlws.FILTER(B:B, A:A="2021-01"), 0))), "Left", "Ativo")</f>
        <v>Ativo</v>
      </c>
      <c r="D1801" s="10" t="str" cm="1">
        <f t="array" ref="D1801">IF(AND(A1801="2021-01", ISNA(MATCH(B1801, _xlfn._xlws.FILTER(B:B, A:A="2021-02"), 0))), "Left", "Ativo")</f>
        <v>Ativo</v>
      </c>
      <c r="E1801" s="10" t="str" cm="1">
        <f t="array" ref="E1801">IF(AND(A1801="2021-02", ISNA(MATCH(B1801, _xlfn._xlws.FILTER(B:B, A:A="2021-03"), 0))), "Left", "Ativo")</f>
        <v>Ativo</v>
      </c>
      <c r="F1801" s="12" t="str" cm="1">
        <f t="array" ref="F1801">IF(AND(A1801="2021-03", ISNA(MATCH(B1801, _xlfn._xlws.FILTER(B:B, A:A="2021-04"), 0))), "Left", "Ativo")</f>
        <v>Ativo</v>
      </c>
    </row>
    <row r="1802" spans="1:6" x14ac:dyDescent="0.25">
      <c r="A1802" t="s">
        <v>1529</v>
      </c>
      <c r="B1802" t="s">
        <v>836</v>
      </c>
      <c r="C1802" s="10" t="str" cm="1">
        <f t="array" ref="C1802">IF(AND(A1802="2020-12", ISNA(MATCH(B1802, _xlfn._xlws.FILTER(B:B, A:A="2021-01"), 0))), "Left", "Ativo")</f>
        <v>Ativo</v>
      </c>
      <c r="D1802" s="10" t="str" cm="1">
        <f t="array" ref="D1802">IF(AND(A1802="2021-01", ISNA(MATCH(B1802, _xlfn._xlws.FILTER(B:B, A:A="2021-02"), 0))), "Left", "Ativo")</f>
        <v>Ativo</v>
      </c>
      <c r="E1802" s="10" t="str" cm="1">
        <f t="array" ref="E1802">IF(AND(A1802="2021-02", ISNA(MATCH(B1802, _xlfn._xlws.FILTER(B:B, A:A="2021-03"), 0))), "Left", "Ativo")</f>
        <v>Ativo</v>
      </c>
      <c r="F1802" s="12" t="str" cm="1">
        <f t="array" ref="F1802">IF(AND(A1802="2021-03", ISNA(MATCH(B1802, _xlfn._xlws.FILTER(B:B, A:A="2021-04"), 0))), "Left", "Ativo")</f>
        <v>Ativo</v>
      </c>
    </row>
    <row r="1803" spans="1:6" x14ac:dyDescent="0.25">
      <c r="A1803" t="s">
        <v>1529</v>
      </c>
      <c r="B1803" t="s">
        <v>837</v>
      </c>
      <c r="C1803" s="10" t="str" cm="1">
        <f t="array" ref="C1803">IF(AND(A1803="2020-12", ISNA(MATCH(B1803, _xlfn._xlws.FILTER(B:B, A:A="2021-01"), 0))), "Left", "Ativo")</f>
        <v>Ativo</v>
      </c>
      <c r="D1803" s="10" t="str" cm="1">
        <f t="array" ref="D1803">IF(AND(A1803="2021-01", ISNA(MATCH(B1803, _xlfn._xlws.FILTER(B:B, A:A="2021-02"), 0))), "Left", "Ativo")</f>
        <v>Ativo</v>
      </c>
      <c r="E1803" s="10" t="str" cm="1">
        <f t="array" ref="E1803">IF(AND(A1803="2021-02", ISNA(MATCH(B1803, _xlfn._xlws.FILTER(B:B, A:A="2021-03"), 0))), "Left", "Ativo")</f>
        <v>Ativo</v>
      </c>
      <c r="F1803" s="12" t="str" cm="1">
        <f t="array" ref="F1803">IF(AND(A1803="2021-03", ISNA(MATCH(B1803, _xlfn._xlws.FILTER(B:B, A:A="2021-04"), 0))), "Left", "Ativo")</f>
        <v>Ativo</v>
      </c>
    </row>
    <row r="1804" spans="1:6" x14ac:dyDescent="0.25">
      <c r="A1804" t="s">
        <v>1529</v>
      </c>
      <c r="B1804" t="s">
        <v>838</v>
      </c>
      <c r="C1804" s="10" t="str" cm="1">
        <f t="array" ref="C1804">IF(AND(A1804="2020-12", ISNA(MATCH(B1804, _xlfn._xlws.FILTER(B:B, A:A="2021-01"), 0))), "Left", "Ativo")</f>
        <v>Ativo</v>
      </c>
      <c r="D1804" s="10" t="str" cm="1">
        <f t="array" ref="D1804">IF(AND(A1804="2021-01", ISNA(MATCH(B1804, _xlfn._xlws.FILTER(B:B, A:A="2021-02"), 0))), "Left", "Ativo")</f>
        <v>Ativo</v>
      </c>
      <c r="E1804" s="10" t="str" cm="1">
        <f t="array" ref="E1804">IF(AND(A1804="2021-02", ISNA(MATCH(B1804, _xlfn._xlws.FILTER(B:B, A:A="2021-03"), 0))), "Left", "Ativo")</f>
        <v>Ativo</v>
      </c>
      <c r="F1804" s="12" t="str" cm="1">
        <f t="array" ref="F1804">IF(AND(A1804="2021-03", ISNA(MATCH(B1804, _xlfn._xlws.FILTER(B:B, A:A="2021-04"), 0))), "Left", "Ativo")</f>
        <v>Ativo</v>
      </c>
    </row>
    <row r="1805" spans="1:6" x14ac:dyDescent="0.25">
      <c r="A1805" t="s">
        <v>1529</v>
      </c>
      <c r="B1805" t="s">
        <v>839</v>
      </c>
      <c r="C1805" s="10" t="str" cm="1">
        <f t="array" ref="C1805">IF(AND(A1805="2020-12", ISNA(MATCH(B1805, _xlfn._xlws.FILTER(B:B, A:A="2021-01"), 0))), "Left", "Ativo")</f>
        <v>Ativo</v>
      </c>
      <c r="D1805" s="10" t="str" cm="1">
        <f t="array" ref="D1805">IF(AND(A1805="2021-01", ISNA(MATCH(B1805, _xlfn._xlws.FILTER(B:B, A:A="2021-02"), 0))), "Left", "Ativo")</f>
        <v>Ativo</v>
      </c>
      <c r="E1805" s="10" t="str" cm="1">
        <f t="array" ref="E1805">IF(AND(A1805="2021-02", ISNA(MATCH(B1805, _xlfn._xlws.FILTER(B:B, A:A="2021-03"), 0))), "Left", "Ativo")</f>
        <v>Ativo</v>
      </c>
      <c r="F1805" s="12" t="str" cm="1">
        <f t="array" ref="F1805">IF(AND(A1805="2021-03", ISNA(MATCH(B1805, _xlfn._xlws.FILTER(B:B, A:A="2021-04"), 0))), "Left", "Ativo")</f>
        <v>Ativo</v>
      </c>
    </row>
    <row r="1806" spans="1:6" x14ac:dyDescent="0.25">
      <c r="A1806" t="s">
        <v>1529</v>
      </c>
      <c r="B1806" t="s">
        <v>840</v>
      </c>
      <c r="C1806" s="10" t="str" cm="1">
        <f t="array" ref="C1806">IF(AND(A1806="2020-12", ISNA(MATCH(B1806, _xlfn._xlws.FILTER(B:B, A:A="2021-01"), 0))), "Left", "Ativo")</f>
        <v>Ativo</v>
      </c>
      <c r="D1806" s="10" t="str" cm="1">
        <f t="array" ref="D1806">IF(AND(A1806="2021-01", ISNA(MATCH(B1806, _xlfn._xlws.FILTER(B:B, A:A="2021-02"), 0))), "Left", "Ativo")</f>
        <v>Ativo</v>
      </c>
      <c r="E1806" s="10" t="str" cm="1">
        <f t="array" ref="E1806">IF(AND(A1806="2021-02", ISNA(MATCH(B1806, _xlfn._xlws.FILTER(B:B, A:A="2021-03"), 0))), "Left", "Ativo")</f>
        <v>Ativo</v>
      </c>
      <c r="F1806" s="12" t="str" cm="1">
        <f t="array" ref="F1806">IF(AND(A1806="2021-03", ISNA(MATCH(B1806, _xlfn._xlws.FILTER(B:B, A:A="2021-04"), 0))), "Left", "Ativo")</f>
        <v>Ativo</v>
      </c>
    </row>
    <row r="1807" spans="1:6" x14ac:dyDescent="0.25">
      <c r="A1807" t="s">
        <v>1529</v>
      </c>
      <c r="B1807" t="s">
        <v>841</v>
      </c>
      <c r="C1807" s="10" t="str" cm="1">
        <f t="array" ref="C1807">IF(AND(A1807="2020-12", ISNA(MATCH(B1807, _xlfn._xlws.FILTER(B:B, A:A="2021-01"), 0))), "Left", "Ativo")</f>
        <v>Ativo</v>
      </c>
      <c r="D1807" s="10" t="str" cm="1">
        <f t="array" ref="D1807">IF(AND(A1807="2021-01", ISNA(MATCH(B1807, _xlfn._xlws.FILTER(B:B, A:A="2021-02"), 0))), "Left", "Ativo")</f>
        <v>Ativo</v>
      </c>
      <c r="E1807" s="10" t="str" cm="1">
        <f t="array" ref="E1807">IF(AND(A1807="2021-02", ISNA(MATCH(B1807, _xlfn._xlws.FILTER(B:B, A:A="2021-03"), 0))), "Left", "Ativo")</f>
        <v>Ativo</v>
      </c>
      <c r="F1807" s="12" t="str" cm="1">
        <f t="array" ref="F1807">IF(AND(A1807="2021-03", ISNA(MATCH(B1807, _xlfn._xlws.FILTER(B:B, A:A="2021-04"), 0))), "Left", "Ativo")</f>
        <v>Ativo</v>
      </c>
    </row>
    <row r="1808" spans="1:6" x14ac:dyDescent="0.25">
      <c r="A1808" t="s">
        <v>1529</v>
      </c>
      <c r="B1808" t="s">
        <v>842</v>
      </c>
      <c r="C1808" s="10" t="str" cm="1">
        <f t="array" ref="C1808">IF(AND(A1808="2020-12", ISNA(MATCH(B1808, _xlfn._xlws.FILTER(B:B, A:A="2021-01"), 0))), "Left", "Ativo")</f>
        <v>Ativo</v>
      </c>
      <c r="D1808" s="10" t="str" cm="1">
        <f t="array" ref="D1808">IF(AND(A1808="2021-01", ISNA(MATCH(B1808, _xlfn._xlws.FILTER(B:B, A:A="2021-02"), 0))), "Left", "Ativo")</f>
        <v>Ativo</v>
      </c>
      <c r="E1808" s="10" t="str" cm="1">
        <f t="array" ref="E1808">IF(AND(A1808="2021-02", ISNA(MATCH(B1808, _xlfn._xlws.FILTER(B:B, A:A="2021-03"), 0))), "Left", "Ativo")</f>
        <v>Ativo</v>
      </c>
      <c r="F1808" s="12" t="str" cm="1">
        <f t="array" ref="F1808">IF(AND(A1808="2021-03", ISNA(MATCH(B1808, _xlfn._xlws.FILTER(B:B, A:A="2021-04"), 0))), "Left", "Ativo")</f>
        <v>Ativo</v>
      </c>
    </row>
    <row r="1809" spans="1:6" x14ac:dyDescent="0.25">
      <c r="A1809" t="s">
        <v>1529</v>
      </c>
      <c r="B1809" t="s">
        <v>843</v>
      </c>
      <c r="C1809" s="10" t="str" cm="1">
        <f t="array" ref="C1809">IF(AND(A1809="2020-12", ISNA(MATCH(B1809, _xlfn._xlws.FILTER(B:B, A:A="2021-01"), 0))), "Left", "Ativo")</f>
        <v>Ativo</v>
      </c>
      <c r="D1809" s="10" t="str" cm="1">
        <f t="array" ref="D1809">IF(AND(A1809="2021-01", ISNA(MATCH(B1809, _xlfn._xlws.FILTER(B:B, A:A="2021-02"), 0))), "Left", "Ativo")</f>
        <v>Ativo</v>
      </c>
      <c r="E1809" s="10" t="str" cm="1">
        <f t="array" ref="E1809">IF(AND(A1809="2021-02", ISNA(MATCH(B1809, _xlfn._xlws.FILTER(B:B, A:A="2021-03"), 0))), "Left", "Ativo")</f>
        <v>Ativo</v>
      </c>
      <c r="F1809" s="12" t="str" cm="1">
        <f t="array" ref="F1809">IF(AND(A1809="2021-03", ISNA(MATCH(B1809, _xlfn._xlws.FILTER(B:B, A:A="2021-04"), 0))), "Left", "Ativo")</f>
        <v>Ativo</v>
      </c>
    </row>
    <row r="1810" spans="1:6" x14ac:dyDescent="0.25">
      <c r="A1810" t="s">
        <v>1529</v>
      </c>
      <c r="B1810" t="s">
        <v>844</v>
      </c>
      <c r="C1810" s="10" t="str" cm="1">
        <f t="array" ref="C1810">IF(AND(A1810="2020-12", ISNA(MATCH(B1810, _xlfn._xlws.FILTER(B:B, A:A="2021-01"), 0))), "Left", "Ativo")</f>
        <v>Ativo</v>
      </c>
      <c r="D1810" s="10" t="str" cm="1">
        <f t="array" ref="D1810">IF(AND(A1810="2021-01", ISNA(MATCH(B1810, _xlfn._xlws.FILTER(B:B, A:A="2021-02"), 0))), "Left", "Ativo")</f>
        <v>Ativo</v>
      </c>
      <c r="E1810" s="10" t="str" cm="1">
        <f t="array" ref="E1810">IF(AND(A1810="2021-02", ISNA(MATCH(B1810, _xlfn._xlws.FILTER(B:B, A:A="2021-03"), 0))), "Left", "Ativo")</f>
        <v>Ativo</v>
      </c>
      <c r="F1810" s="12" t="str" cm="1">
        <f t="array" ref="F1810">IF(AND(A1810="2021-03", ISNA(MATCH(B1810, _xlfn._xlws.FILTER(B:B, A:A="2021-04"), 0))), "Left", "Ativo")</f>
        <v>Ativo</v>
      </c>
    </row>
    <row r="1811" spans="1:6" x14ac:dyDescent="0.25">
      <c r="A1811" t="s">
        <v>1529</v>
      </c>
      <c r="B1811" t="s">
        <v>845</v>
      </c>
      <c r="C1811" s="10" t="str" cm="1">
        <f t="array" ref="C1811">IF(AND(A1811="2020-12", ISNA(MATCH(B1811, _xlfn._xlws.FILTER(B:B, A:A="2021-01"), 0))), "Left", "Ativo")</f>
        <v>Ativo</v>
      </c>
      <c r="D1811" s="10" t="str" cm="1">
        <f t="array" ref="D1811">IF(AND(A1811="2021-01", ISNA(MATCH(B1811, _xlfn._xlws.FILTER(B:B, A:A="2021-02"), 0))), "Left", "Ativo")</f>
        <v>Ativo</v>
      </c>
      <c r="E1811" s="10" t="str" cm="1">
        <f t="array" ref="E1811">IF(AND(A1811="2021-02", ISNA(MATCH(B1811, _xlfn._xlws.FILTER(B:B, A:A="2021-03"), 0))), "Left", "Ativo")</f>
        <v>Ativo</v>
      </c>
      <c r="F1811" s="12" t="str" cm="1">
        <f t="array" ref="F1811">IF(AND(A1811="2021-03", ISNA(MATCH(B1811, _xlfn._xlws.FILTER(B:B, A:A="2021-04"), 0))), "Left", "Ativo")</f>
        <v>Ativo</v>
      </c>
    </row>
    <row r="1812" spans="1:6" x14ac:dyDescent="0.25">
      <c r="A1812" t="s">
        <v>1529</v>
      </c>
      <c r="B1812" t="s">
        <v>846</v>
      </c>
      <c r="C1812" s="10" t="str" cm="1">
        <f t="array" ref="C1812">IF(AND(A1812="2020-12", ISNA(MATCH(B1812, _xlfn._xlws.FILTER(B:B, A:A="2021-01"), 0))), "Left", "Ativo")</f>
        <v>Ativo</v>
      </c>
      <c r="D1812" s="10" t="str" cm="1">
        <f t="array" ref="D1812">IF(AND(A1812="2021-01", ISNA(MATCH(B1812, _xlfn._xlws.FILTER(B:B, A:A="2021-02"), 0))), "Left", "Ativo")</f>
        <v>Ativo</v>
      </c>
      <c r="E1812" s="10" t="str" cm="1">
        <f t="array" ref="E1812">IF(AND(A1812="2021-02", ISNA(MATCH(B1812, _xlfn._xlws.FILTER(B:B, A:A="2021-03"), 0))), "Left", "Ativo")</f>
        <v>Ativo</v>
      </c>
      <c r="F1812" s="12" t="str" cm="1">
        <f t="array" ref="F1812">IF(AND(A1812="2021-03", ISNA(MATCH(B1812, _xlfn._xlws.FILTER(B:B, A:A="2021-04"), 0))), "Left", "Ativo")</f>
        <v>Ativo</v>
      </c>
    </row>
    <row r="1813" spans="1:6" x14ac:dyDescent="0.25">
      <c r="A1813" t="s">
        <v>1529</v>
      </c>
      <c r="B1813" t="s">
        <v>847</v>
      </c>
      <c r="C1813" s="10" t="str" cm="1">
        <f t="array" ref="C1813">IF(AND(A1813="2020-12", ISNA(MATCH(B1813, _xlfn._xlws.FILTER(B:B, A:A="2021-01"), 0))), "Left", "Ativo")</f>
        <v>Ativo</v>
      </c>
      <c r="D1813" s="10" t="str" cm="1">
        <f t="array" ref="D1813">IF(AND(A1813="2021-01", ISNA(MATCH(B1813, _xlfn._xlws.FILTER(B:B, A:A="2021-02"), 0))), "Left", "Ativo")</f>
        <v>Ativo</v>
      </c>
      <c r="E1813" s="10" t="str" cm="1">
        <f t="array" ref="E1813">IF(AND(A1813="2021-02", ISNA(MATCH(B1813, _xlfn._xlws.FILTER(B:B, A:A="2021-03"), 0))), "Left", "Ativo")</f>
        <v>Ativo</v>
      </c>
      <c r="F1813" s="12" t="str" cm="1">
        <f t="array" ref="F1813">IF(AND(A1813="2021-03", ISNA(MATCH(B1813, _xlfn._xlws.FILTER(B:B, A:A="2021-04"), 0))), "Left", "Ativo")</f>
        <v>Ativo</v>
      </c>
    </row>
    <row r="1814" spans="1:6" x14ac:dyDescent="0.25">
      <c r="A1814" t="s">
        <v>1529</v>
      </c>
      <c r="B1814" t="s">
        <v>848</v>
      </c>
      <c r="C1814" s="10" t="str" cm="1">
        <f t="array" ref="C1814">IF(AND(A1814="2020-12", ISNA(MATCH(B1814, _xlfn._xlws.FILTER(B:B, A:A="2021-01"), 0))), "Left", "Ativo")</f>
        <v>Ativo</v>
      </c>
      <c r="D1814" s="10" t="str" cm="1">
        <f t="array" ref="D1814">IF(AND(A1814="2021-01", ISNA(MATCH(B1814, _xlfn._xlws.FILTER(B:B, A:A="2021-02"), 0))), "Left", "Ativo")</f>
        <v>Ativo</v>
      </c>
      <c r="E1814" s="10" t="str" cm="1">
        <f t="array" ref="E1814">IF(AND(A1814="2021-02", ISNA(MATCH(B1814, _xlfn._xlws.FILTER(B:B, A:A="2021-03"), 0))), "Left", "Ativo")</f>
        <v>Ativo</v>
      </c>
      <c r="F1814" s="12" t="str" cm="1">
        <f t="array" ref="F1814">IF(AND(A1814="2021-03", ISNA(MATCH(B1814, _xlfn._xlws.FILTER(B:B, A:A="2021-04"), 0))), "Left", "Ativo")</f>
        <v>Ativo</v>
      </c>
    </row>
    <row r="1815" spans="1:6" x14ac:dyDescent="0.25">
      <c r="A1815" t="s">
        <v>1529</v>
      </c>
      <c r="B1815" t="s">
        <v>849</v>
      </c>
      <c r="C1815" s="10" t="str" cm="1">
        <f t="array" ref="C1815">IF(AND(A1815="2020-12", ISNA(MATCH(B1815, _xlfn._xlws.FILTER(B:B, A:A="2021-01"), 0))), "Left", "Ativo")</f>
        <v>Ativo</v>
      </c>
      <c r="D1815" s="10" t="str" cm="1">
        <f t="array" ref="D1815">IF(AND(A1815="2021-01", ISNA(MATCH(B1815, _xlfn._xlws.FILTER(B:B, A:A="2021-02"), 0))), "Left", "Ativo")</f>
        <v>Ativo</v>
      </c>
      <c r="E1815" s="10" t="str" cm="1">
        <f t="array" ref="E1815">IF(AND(A1815="2021-02", ISNA(MATCH(B1815, _xlfn._xlws.FILTER(B:B, A:A="2021-03"), 0))), "Left", "Ativo")</f>
        <v>Ativo</v>
      </c>
      <c r="F1815" s="12" t="str" cm="1">
        <f t="array" ref="F1815">IF(AND(A1815="2021-03", ISNA(MATCH(B1815, _xlfn._xlws.FILTER(B:B, A:A="2021-04"), 0))), "Left", "Ativo")</f>
        <v>Ativo</v>
      </c>
    </row>
    <row r="1816" spans="1:6" x14ac:dyDescent="0.25">
      <c r="A1816" t="s">
        <v>1529</v>
      </c>
      <c r="B1816" t="s">
        <v>850</v>
      </c>
      <c r="C1816" s="10" t="str" cm="1">
        <f t="array" ref="C1816">IF(AND(A1816="2020-12", ISNA(MATCH(B1816, _xlfn._xlws.FILTER(B:B, A:A="2021-01"), 0))), "Left", "Ativo")</f>
        <v>Ativo</v>
      </c>
      <c r="D1816" s="10" t="str" cm="1">
        <f t="array" ref="D1816">IF(AND(A1816="2021-01", ISNA(MATCH(B1816, _xlfn._xlws.FILTER(B:B, A:A="2021-02"), 0))), "Left", "Ativo")</f>
        <v>Ativo</v>
      </c>
      <c r="E1816" s="10" t="str" cm="1">
        <f t="array" ref="E1816">IF(AND(A1816="2021-02", ISNA(MATCH(B1816, _xlfn._xlws.FILTER(B:B, A:A="2021-03"), 0))), "Left", "Ativo")</f>
        <v>Ativo</v>
      </c>
      <c r="F1816" s="12" t="str" cm="1">
        <f t="array" ref="F1816">IF(AND(A1816="2021-03", ISNA(MATCH(B1816, _xlfn._xlws.FILTER(B:B, A:A="2021-04"), 0))), "Left", "Ativo")</f>
        <v>Ativo</v>
      </c>
    </row>
    <row r="1817" spans="1:6" x14ac:dyDescent="0.25">
      <c r="A1817" t="s">
        <v>1529</v>
      </c>
      <c r="B1817" t="s">
        <v>851</v>
      </c>
      <c r="C1817" s="10" t="str" cm="1">
        <f t="array" ref="C1817">IF(AND(A1817="2020-12", ISNA(MATCH(B1817, _xlfn._xlws.FILTER(B:B, A:A="2021-01"), 0))), "Left", "Ativo")</f>
        <v>Ativo</v>
      </c>
      <c r="D1817" s="10" t="str" cm="1">
        <f t="array" ref="D1817">IF(AND(A1817="2021-01", ISNA(MATCH(B1817, _xlfn._xlws.FILTER(B:B, A:A="2021-02"), 0))), "Left", "Ativo")</f>
        <v>Ativo</v>
      </c>
      <c r="E1817" s="10" t="str" cm="1">
        <f t="array" ref="E1817">IF(AND(A1817="2021-02", ISNA(MATCH(B1817, _xlfn._xlws.FILTER(B:B, A:A="2021-03"), 0))), "Left", "Ativo")</f>
        <v>Ativo</v>
      </c>
      <c r="F1817" s="12" t="str" cm="1">
        <f t="array" ref="F1817">IF(AND(A1817="2021-03", ISNA(MATCH(B1817, _xlfn._xlws.FILTER(B:B, A:A="2021-04"), 0))), "Left", "Ativo")</f>
        <v>Ativo</v>
      </c>
    </row>
    <row r="1818" spans="1:6" x14ac:dyDescent="0.25">
      <c r="A1818" t="s">
        <v>1529</v>
      </c>
      <c r="B1818" t="s">
        <v>852</v>
      </c>
      <c r="C1818" s="10" t="str" cm="1">
        <f t="array" ref="C1818">IF(AND(A1818="2020-12", ISNA(MATCH(B1818, _xlfn._xlws.FILTER(B:B, A:A="2021-01"), 0))), "Left", "Ativo")</f>
        <v>Ativo</v>
      </c>
      <c r="D1818" s="10" t="str" cm="1">
        <f t="array" ref="D1818">IF(AND(A1818="2021-01", ISNA(MATCH(B1818, _xlfn._xlws.FILTER(B:B, A:A="2021-02"), 0))), "Left", "Ativo")</f>
        <v>Ativo</v>
      </c>
      <c r="E1818" s="10" t="str" cm="1">
        <f t="array" ref="E1818">IF(AND(A1818="2021-02", ISNA(MATCH(B1818, _xlfn._xlws.FILTER(B:B, A:A="2021-03"), 0))), "Left", "Ativo")</f>
        <v>Ativo</v>
      </c>
      <c r="F1818" s="12" t="str" cm="1">
        <f t="array" ref="F1818">IF(AND(A1818="2021-03", ISNA(MATCH(B1818, _xlfn._xlws.FILTER(B:B, A:A="2021-04"), 0))), "Left", "Ativo")</f>
        <v>Ativo</v>
      </c>
    </row>
    <row r="1819" spans="1:6" x14ac:dyDescent="0.25">
      <c r="A1819" t="s">
        <v>1529</v>
      </c>
      <c r="B1819" t="s">
        <v>853</v>
      </c>
      <c r="C1819" s="10" t="str" cm="1">
        <f t="array" ref="C1819">IF(AND(A1819="2020-12", ISNA(MATCH(B1819, _xlfn._xlws.FILTER(B:B, A:A="2021-01"), 0))), "Left", "Ativo")</f>
        <v>Ativo</v>
      </c>
      <c r="D1819" s="10" t="str" cm="1">
        <f t="array" ref="D1819">IF(AND(A1819="2021-01", ISNA(MATCH(B1819, _xlfn._xlws.FILTER(B:B, A:A="2021-02"), 0))), "Left", "Ativo")</f>
        <v>Ativo</v>
      </c>
      <c r="E1819" s="10" t="str" cm="1">
        <f t="array" ref="E1819">IF(AND(A1819="2021-02", ISNA(MATCH(B1819, _xlfn._xlws.FILTER(B:B, A:A="2021-03"), 0))), "Left", "Ativo")</f>
        <v>Ativo</v>
      </c>
      <c r="F1819" s="12" t="str" cm="1">
        <f t="array" ref="F1819">IF(AND(A1819="2021-03", ISNA(MATCH(B1819, _xlfn._xlws.FILTER(B:B, A:A="2021-04"), 0))), "Left", "Ativo")</f>
        <v>Ativo</v>
      </c>
    </row>
    <row r="1820" spans="1:6" x14ac:dyDescent="0.25">
      <c r="A1820" t="s">
        <v>1529</v>
      </c>
      <c r="B1820" t="s">
        <v>854</v>
      </c>
      <c r="C1820" s="10" t="str" cm="1">
        <f t="array" ref="C1820">IF(AND(A1820="2020-12", ISNA(MATCH(B1820, _xlfn._xlws.FILTER(B:B, A:A="2021-01"), 0))), "Left", "Ativo")</f>
        <v>Ativo</v>
      </c>
      <c r="D1820" s="10" t="str" cm="1">
        <f t="array" ref="D1820">IF(AND(A1820="2021-01", ISNA(MATCH(B1820, _xlfn._xlws.FILTER(B:B, A:A="2021-02"), 0))), "Left", "Ativo")</f>
        <v>Ativo</v>
      </c>
      <c r="E1820" s="10" t="str" cm="1">
        <f t="array" ref="E1820">IF(AND(A1820="2021-02", ISNA(MATCH(B1820, _xlfn._xlws.FILTER(B:B, A:A="2021-03"), 0))), "Left", "Ativo")</f>
        <v>Ativo</v>
      </c>
      <c r="F1820" s="12" t="str" cm="1">
        <f t="array" ref="F1820">IF(AND(A1820="2021-03", ISNA(MATCH(B1820, _xlfn._xlws.FILTER(B:B, A:A="2021-04"), 0))), "Left", "Ativo")</f>
        <v>Ativo</v>
      </c>
    </row>
    <row r="1821" spans="1:6" x14ac:dyDescent="0.25">
      <c r="A1821" t="s">
        <v>1529</v>
      </c>
      <c r="B1821" t="s">
        <v>855</v>
      </c>
      <c r="C1821" s="10" t="str" cm="1">
        <f t="array" ref="C1821">IF(AND(A1821="2020-12", ISNA(MATCH(B1821, _xlfn._xlws.FILTER(B:B, A:A="2021-01"), 0))), "Left", "Ativo")</f>
        <v>Ativo</v>
      </c>
      <c r="D1821" s="10" t="str" cm="1">
        <f t="array" ref="D1821">IF(AND(A1821="2021-01", ISNA(MATCH(B1821, _xlfn._xlws.FILTER(B:B, A:A="2021-02"), 0))), "Left", "Ativo")</f>
        <v>Ativo</v>
      </c>
      <c r="E1821" s="10" t="str" cm="1">
        <f t="array" ref="E1821">IF(AND(A1821="2021-02", ISNA(MATCH(B1821, _xlfn._xlws.FILTER(B:B, A:A="2021-03"), 0))), "Left", "Ativo")</f>
        <v>Ativo</v>
      </c>
      <c r="F1821" s="12" t="str" cm="1">
        <f t="array" ref="F1821">IF(AND(A1821="2021-03", ISNA(MATCH(B1821, _xlfn._xlws.FILTER(B:B, A:A="2021-04"), 0))), "Left", "Ativo")</f>
        <v>Ativo</v>
      </c>
    </row>
    <row r="1822" spans="1:6" x14ac:dyDescent="0.25">
      <c r="A1822" t="s">
        <v>1529</v>
      </c>
      <c r="B1822" t="s">
        <v>856</v>
      </c>
      <c r="C1822" s="10" t="str" cm="1">
        <f t="array" ref="C1822">IF(AND(A1822="2020-12", ISNA(MATCH(B1822, _xlfn._xlws.FILTER(B:B, A:A="2021-01"), 0))), "Left", "Ativo")</f>
        <v>Ativo</v>
      </c>
      <c r="D1822" s="10" t="str" cm="1">
        <f t="array" ref="D1822">IF(AND(A1822="2021-01", ISNA(MATCH(B1822, _xlfn._xlws.FILTER(B:B, A:A="2021-02"), 0))), "Left", "Ativo")</f>
        <v>Ativo</v>
      </c>
      <c r="E1822" s="10" t="str" cm="1">
        <f t="array" ref="E1822">IF(AND(A1822="2021-02", ISNA(MATCH(B1822, _xlfn._xlws.FILTER(B:B, A:A="2021-03"), 0))), "Left", "Ativo")</f>
        <v>Ativo</v>
      </c>
      <c r="F1822" s="12" t="str" cm="1">
        <f t="array" ref="F1822">IF(AND(A1822="2021-03", ISNA(MATCH(B1822, _xlfn._xlws.FILTER(B:B, A:A="2021-04"), 0))), "Left", "Ativo")</f>
        <v>Ativo</v>
      </c>
    </row>
    <row r="1823" spans="1:6" x14ac:dyDescent="0.25">
      <c r="A1823" t="s">
        <v>1529</v>
      </c>
      <c r="B1823" t="s">
        <v>857</v>
      </c>
      <c r="C1823" s="10" t="str" cm="1">
        <f t="array" ref="C1823">IF(AND(A1823="2020-12", ISNA(MATCH(B1823, _xlfn._xlws.FILTER(B:B, A:A="2021-01"), 0))), "Left", "Ativo")</f>
        <v>Ativo</v>
      </c>
      <c r="D1823" s="10" t="str" cm="1">
        <f t="array" ref="D1823">IF(AND(A1823="2021-01", ISNA(MATCH(B1823, _xlfn._xlws.FILTER(B:B, A:A="2021-02"), 0))), "Left", "Ativo")</f>
        <v>Ativo</v>
      </c>
      <c r="E1823" s="10" t="str" cm="1">
        <f t="array" ref="E1823">IF(AND(A1823="2021-02", ISNA(MATCH(B1823, _xlfn._xlws.FILTER(B:B, A:A="2021-03"), 0))), "Left", "Ativo")</f>
        <v>Ativo</v>
      </c>
      <c r="F1823" s="12" t="str" cm="1">
        <f t="array" ref="F1823">IF(AND(A1823="2021-03", ISNA(MATCH(B1823, _xlfn._xlws.FILTER(B:B, A:A="2021-04"), 0))), "Left", "Ativo")</f>
        <v>Ativo</v>
      </c>
    </row>
    <row r="1824" spans="1:6" x14ac:dyDescent="0.25">
      <c r="A1824" t="s">
        <v>1529</v>
      </c>
      <c r="B1824" t="s">
        <v>858</v>
      </c>
      <c r="C1824" s="10" t="str" cm="1">
        <f t="array" ref="C1824">IF(AND(A1824="2020-12", ISNA(MATCH(B1824, _xlfn._xlws.FILTER(B:B, A:A="2021-01"), 0))), "Left", "Ativo")</f>
        <v>Ativo</v>
      </c>
      <c r="D1824" s="10" t="str" cm="1">
        <f t="array" ref="D1824">IF(AND(A1824="2021-01", ISNA(MATCH(B1824, _xlfn._xlws.FILTER(B:B, A:A="2021-02"), 0))), "Left", "Ativo")</f>
        <v>Ativo</v>
      </c>
      <c r="E1824" s="10" t="str" cm="1">
        <f t="array" ref="E1824">IF(AND(A1824="2021-02", ISNA(MATCH(B1824, _xlfn._xlws.FILTER(B:B, A:A="2021-03"), 0))), "Left", "Ativo")</f>
        <v>Ativo</v>
      </c>
      <c r="F1824" s="12" t="str" cm="1">
        <f t="array" ref="F1824">IF(AND(A1824="2021-03", ISNA(MATCH(B1824, _xlfn._xlws.FILTER(B:B, A:A="2021-04"), 0))), "Left", "Ativo")</f>
        <v>Ativo</v>
      </c>
    </row>
    <row r="1825" spans="1:6" x14ac:dyDescent="0.25">
      <c r="A1825" t="s">
        <v>1529</v>
      </c>
      <c r="B1825" t="s">
        <v>859</v>
      </c>
      <c r="C1825" s="10" t="str" cm="1">
        <f t="array" ref="C1825">IF(AND(A1825="2020-12", ISNA(MATCH(B1825, _xlfn._xlws.FILTER(B:B, A:A="2021-01"), 0))), "Left", "Ativo")</f>
        <v>Ativo</v>
      </c>
      <c r="D1825" s="10" t="str" cm="1">
        <f t="array" ref="D1825">IF(AND(A1825="2021-01", ISNA(MATCH(B1825, _xlfn._xlws.FILTER(B:B, A:A="2021-02"), 0))), "Left", "Ativo")</f>
        <v>Ativo</v>
      </c>
      <c r="E1825" s="10" t="str" cm="1">
        <f t="array" ref="E1825">IF(AND(A1825="2021-02", ISNA(MATCH(B1825, _xlfn._xlws.FILTER(B:B, A:A="2021-03"), 0))), "Left", "Ativo")</f>
        <v>Ativo</v>
      </c>
      <c r="F1825" s="12" t="str" cm="1">
        <f t="array" ref="F1825">IF(AND(A1825="2021-03", ISNA(MATCH(B1825, _xlfn._xlws.FILTER(B:B, A:A="2021-04"), 0))), "Left", "Ativo")</f>
        <v>Ativo</v>
      </c>
    </row>
    <row r="1826" spans="1:6" x14ac:dyDescent="0.25">
      <c r="A1826" t="s">
        <v>1529</v>
      </c>
      <c r="B1826" t="s">
        <v>860</v>
      </c>
      <c r="C1826" s="10" t="str" cm="1">
        <f t="array" ref="C1826">IF(AND(A1826="2020-12", ISNA(MATCH(B1826, _xlfn._xlws.FILTER(B:B, A:A="2021-01"), 0))), "Left", "Ativo")</f>
        <v>Ativo</v>
      </c>
      <c r="D1826" s="10" t="str" cm="1">
        <f t="array" ref="D1826">IF(AND(A1826="2021-01", ISNA(MATCH(B1826, _xlfn._xlws.FILTER(B:B, A:A="2021-02"), 0))), "Left", "Ativo")</f>
        <v>Ativo</v>
      </c>
      <c r="E1826" s="10" t="str" cm="1">
        <f t="array" ref="E1826">IF(AND(A1826="2021-02", ISNA(MATCH(B1826, _xlfn._xlws.FILTER(B:B, A:A="2021-03"), 0))), "Left", "Ativo")</f>
        <v>Ativo</v>
      </c>
      <c r="F1826" s="12" t="str" cm="1">
        <f t="array" ref="F1826">IF(AND(A1826="2021-03", ISNA(MATCH(B1826, _xlfn._xlws.FILTER(B:B, A:A="2021-04"), 0))), "Left", "Ativo")</f>
        <v>Ativo</v>
      </c>
    </row>
    <row r="1827" spans="1:6" x14ac:dyDescent="0.25">
      <c r="A1827" t="s">
        <v>1529</v>
      </c>
      <c r="B1827" t="s">
        <v>861</v>
      </c>
      <c r="C1827" s="10" t="str" cm="1">
        <f t="array" ref="C1827">IF(AND(A1827="2020-12", ISNA(MATCH(B1827, _xlfn._xlws.FILTER(B:B, A:A="2021-01"), 0))), "Left", "Ativo")</f>
        <v>Ativo</v>
      </c>
      <c r="D1827" s="10" t="str" cm="1">
        <f t="array" ref="D1827">IF(AND(A1827="2021-01", ISNA(MATCH(B1827, _xlfn._xlws.FILTER(B:B, A:A="2021-02"), 0))), "Left", "Ativo")</f>
        <v>Ativo</v>
      </c>
      <c r="E1827" s="10" t="str" cm="1">
        <f t="array" ref="E1827">IF(AND(A1827="2021-02", ISNA(MATCH(B1827, _xlfn._xlws.FILTER(B:B, A:A="2021-03"), 0))), "Left", "Ativo")</f>
        <v>Ativo</v>
      </c>
      <c r="F1827" s="12" t="str" cm="1">
        <f t="array" ref="F1827">IF(AND(A1827="2021-03", ISNA(MATCH(B1827, _xlfn._xlws.FILTER(B:B, A:A="2021-04"), 0))), "Left", "Ativo")</f>
        <v>Ativo</v>
      </c>
    </row>
    <row r="1828" spans="1:6" x14ac:dyDescent="0.25">
      <c r="A1828" t="s">
        <v>1529</v>
      </c>
      <c r="B1828" t="s">
        <v>862</v>
      </c>
      <c r="C1828" s="10" t="str" cm="1">
        <f t="array" ref="C1828">IF(AND(A1828="2020-12", ISNA(MATCH(B1828, _xlfn._xlws.FILTER(B:B, A:A="2021-01"), 0))), "Left", "Ativo")</f>
        <v>Ativo</v>
      </c>
      <c r="D1828" s="10" t="str" cm="1">
        <f t="array" ref="D1828">IF(AND(A1828="2021-01", ISNA(MATCH(B1828, _xlfn._xlws.FILTER(B:B, A:A="2021-02"), 0))), "Left", "Ativo")</f>
        <v>Ativo</v>
      </c>
      <c r="E1828" s="10" t="str" cm="1">
        <f t="array" ref="E1828">IF(AND(A1828="2021-02", ISNA(MATCH(B1828, _xlfn._xlws.FILTER(B:B, A:A="2021-03"), 0))), "Left", "Ativo")</f>
        <v>Ativo</v>
      </c>
      <c r="F1828" s="12" t="str" cm="1">
        <f t="array" ref="F1828">IF(AND(A1828="2021-03", ISNA(MATCH(B1828, _xlfn._xlws.FILTER(B:B, A:A="2021-04"), 0))), "Left", "Ativo")</f>
        <v>Ativo</v>
      </c>
    </row>
    <row r="1829" spans="1:6" x14ac:dyDescent="0.25">
      <c r="A1829" t="s">
        <v>1529</v>
      </c>
      <c r="B1829" t="s">
        <v>863</v>
      </c>
      <c r="C1829" s="10" t="str" cm="1">
        <f t="array" ref="C1829">IF(AND(A1829="2020-12", ISNA(MATCH(B1829, _xlfn._xlws.FILTER(B:B, A:A="2021-01"), 0))), "Left", "Ativo")</f>
        <v>Ativo</v>
      </c>
      <c r="D1829" s="10" t="str" cm="1">
        <f t="array" ref="D1829">IF(AND(A1829="2021-01", ISNA(MATCH(B1829, _xlfn._xlws.FILTER(B:B, A:A="2021-02"), 0))), "Left", "Ativo")</f>
        <v>Ativo</v>
      </c>
      <c r="E1829" s="10" t="str" cm="1">
        <f t="array" ref="E1829">IF(AND(A1829="2021-02", ISNA(MATCH(B1829, _xlfn._xlws.FILTER(B:B, A:A="2021-03"), 0))), "Left", "Ativo")</f>
        <v>Ativo</v>
      </c>
      <c r="F1829" s="12" t="str" cm="1">
        <f t="array" ref="F1829">IF(AND(A1829="2021-03", ISNA(MATCH(B1829, _xlfn._xlws.FILTER(B:B, A:A="2021-04"), 0))), "Left", "Ativo")</f>
        <v>Ativo</v>
      </c>
    </row>
    <row r="1830" spans="1:6" x14ac:dyDescent="0.25">
      <c r="A1830" t="s">
        <v>1529</v>
      </c>
      <c r="B1830" t="s">
        <v>864</v>
      </c>
      <c r="C1830" s="10" t="str" cm="1">
        <f t="array" ref="C1830">IF(AND(A1830="2020-12", ISNA(MATCH(B1830, _xlfn._xlws.FILTER(B:B, A:A="2021-01"), 0))), "Left", "Ativo")</f>
        <v>Ativo</v>
      </c>
      <c r="D1830" s="10" t="str" cm="1">
        <f t="array" ref="D1830">IF(AND(A1830="2021-01", ISNA(MATCH(B1830, _xlfn._xlws.FILTER(B:B, A:A="2021-02"), 0))), "Left", "Ativo")</f>
        <v>Ativo</v>
      </c>
      <c r="E1830" s="10" t="str" cm="1">
        <f t="array" ref="E1830">IF(AND(A1830="2021-02", ISNA(MATCH(B1830, _xlfn._xlws.FILTER(B:B, A:A="2021-03"), 0))), "Left", "Ativo")</f>
        <v>Ativo</v>
      </c>
      <c r="F1830" s="12" t="str" cm="1">
        <f t="array" ref="F1830">IF(AND(A1830="2021-03", ISNA(MATCH(B1830, _xlfn._xlws.FILTER(B:B, A:A="2021-04"), 0))), "Left", "Ativo")</f>
        <v>Ativo</v>
      </c>
    </row>
    <row r="1831" spans="1:6" x14ac:dyDescent="0.25">
      <c r="A1831" t="s">
        <v>1529</v>
      </c>
      <c r="B1831" t="s">
        <v>865</v>
      </c>
      <c r="C1831" s="10" t="str" cm="1">
        <f t="array" ref="C1831">IF(AND(A1831="2020-12", ISNA(MATCH(B1831, _xlfn._xlws.FILTER(B:B, A:A="2021-01"), 0))), "Left", "Ativo")</f>
        <v>Ativo</v>
      </c>
      <c r="D1831" s="10" t="str" cm="1">
        <f t="array" ref="D1831">IF(AND(A1831="2021-01", ISNA(MATCH(B1831, _xlfn._xlws.FILTER(B:B, A:A="2021-02"), 0))), "Left", "Ativo")</f>
        <v>Ativo</v>
      </c>
      <c r="E1831" s="10" t="str" cm="1">
        <f t="array" ref="E1831">IF(AND(A1831="2021-02", ISNA(MATCH(B1831, _xlfn._xlws.FILTER(B:B, A:A="2021-03"), 0))), "Left", "Ativo")</f>
        <v>Ativo</v>
      </c>
      <c r="F1831" s="12" t="str" cm="1">
        <f t="array" ref="F1831">IF(AND(A1831="2021-03", ISNA(MATCH(B1831, _xlfn._xlws.FILTER(B:B, A:A="2021-04"), 0))), "Left", "Ativo")</f>
        <v>Ativo</v>
      </c>
    </row>
    <row r="1832" spans="1:6" x14ac:dyDescent="0.25">
      <c r="A1832" t="s">
        <v>1529</v>
      </c>
      <c r="B1832" t="s">
        <v>866</v>
      </c>
      <c r="C1832" s="10" t="str" cm="1">
        <f t="array" ref="C1832">IF(AND(A1832="2020-12", ISNA(MATCH(B1832, _xlfn._xlws.FILTER(B:B, A:A="2021-01"), 0))), "Left", "Ativo")</f>
        <v>Ativo</v>
      </c>
      <c r="D1832" s="10" t="str" cm="1">
        <f t="array" ref="D1832">IF(AND(A1832="2021-01", ISNA(MATCH(B1832, _xlfn._xlws.FILTER(B:B, A:A="2021-02"), 0))), "Left", "Ativo")</f>
        <v>Ativo</v>
      </c>
      <c r="E1832" s="10" t="str" cm="1">
        <f t="array" ref="E1832">IF(AND(A1832="2021-02", ISNA(MATCH(B1832, _xlfn._xlws.FILTER(B:B, A:A="2021-03"), 0))), "Left", "Ativo")</f>
        <v>Ativo</v>
      </c>
      <c r="F1832" s="12" t="str" cm="1">
        <f t="array" ref="F1832">IF(AND(A1832="2021-03", ISNA(MATCH(B1832, _xlfn._xlws.FILTER(B:B, A:A="2021-04"), 0))), "Left", "Ativo")</f>
        <v>Ativo</v>
      </c>
    </row>
    <row r="1833" spans="1:6" x14ac:dyDescent="0.25">
      <c r="A1833" t="s">
        <v>1529</v>
      </c>
      <c r="B1833" t="s">
        <v>867</v>
      </c>
      <c r="C1833" s="10" t="str" cm="1">
        <f t="array" ref="C1833">IF(AND(A1833="2020-12", ISNA(MATCH(B1833, _xlfn._xlws.FILTER(B:B, A:A="2021-01"), 0))), "Left", "Ativo")</f>
        <v>Ativo</v>
      </c>
      <c r="D1833" s="10" t="str" cm="1">
        <f t="array" ref="D1833">IF(AND(A1833="2021-01", ISNA(MATCH(B1833, _xlfn._xlws.FILTER(B:B, A:A="2021-02"), 0))), "Left", "Ativo")</f>
        <v>Ativo</v>
      </c>
      <c r="E1833" s="10" t="str" cm="1">
        <f t="array" ref="E1833">IF(AND(A1833="2021-02", ISNA(MATCH(B1833, _xlfn._xlws.FILTER(B:B, A:A="2021-03"), 0))), "Left", "Ativo")</f>
        <v>Ativo</v>
      </c>
      <c r="F1833" s="12" t="str" cm="1">
        <f t="array" ref="F1833">IF(AND(A1833="2021-03", ISNA(MATCH(B1833, _xlfn._xlws.FILTER(B:B, A:A="2021-04"), 0))), "Left", "Ativo")</f>
        <v>Ativo</v>
      </c>
    </row>
    <row r="1834" spans="1:6" x14ac:dyDescent="0.25">
      <c r="A1834" t="s">
        <v>1529</v>
      </c>
      <c r="B1834" t="s">
        <v>868</v>
      </c>
      <c r="C1834" s="10" t="str" cm="1">
        <f t="array" ref="C1834">IF(AND(A1834="2020-12", ISNA(MATCH(B1834, _xlfn._xlws.FILTER(B:B, A:A="2021-01"), 0))), "Left", "Ativo")</f>
        <v>Ativo</v>
      </c>
      <c r="D1834" s="10" t="str" cm="1">
        <f t="array" ref="D1834">IF(AND(A1834="2021-01", ISNA(MATCH(B1834, _xlfn._xlws.FILTER(B:B, A:A="2021-02"), 0))), "Left", "Ativo")</f>
        <v>Ativo</v>
      </c>
      <c r="E1834" s="10" t="str" cm="1">
        <f t="array" ref="E1834">IF(AND(A1834="2021-02", ISNA(MATCH(B1834, _xlfn._xlws.FILTER(B:B, A:A="2021-03"), 0))), "Left", "Ativo")</f>
        <v>Ativo</v>
      </c>
      <c r="F1834" s="12" t="str" cm="1">
        <f t="array" ref="F1834">IF(AND(A1834="2021-03", ISNA(MATCH(B1834, _xlfn._xlws.FILTER(B:B, A:A="2021-04"), 0))), "Left", "Ativo")</f>
        <v>Ativo</v>
      </c>
    </row>
    <row r="1835" spans="1:6" x14ac:dyDescent="0.25">
      <c r="A1835" t="s">
        <v>1529</v>
      </c>
      <c r="B1835" t="s">
        <v>869</v>
      </c>
      <c r="C1835" s="10" t="str" cm="1">
        <f t="array" ref="C1835">IF(AND(A1835="2020-12", ISNA(MATCH(B1835, _xlfn._xlws.FILTER(B:B, A:A="2021-01"), 0))), "Left", "Ativo")</f>
        <v>Ativo</v>
      </c>
      <c r="D1835" s="10" t="str" cm="1">
        <f t="array" ref="D1835">IF(AND(A1835="2021-01", ISNA(MATCH(B1835, _xlfn._xlws.FILTER(B:B, A:A="2021-02"), 0))), "Left", "Ativo")</f>
        <v>Ativo</v>
      </c>
      <c r="E1835" s="10" t="str" cm="1">
        <f t="array" ref="E1835">IF(AND(A1835="2021-02", ISNA(MATCH(B1835, _xlfn._xlws.FILTER(B:B, A:A="2021-03"), 0))), "Left", "Ativo")</f>
        <v>Ativo</v>
      </c>
      <c r="F1835" s="12" t="str" cm="1">
        <f t="array" ref="F1835">IF(AND(A1835="2021-03", ISNA(MATCH(B1835, _xlfn._xlws.FILTER(B:B, A:A="2021-04"), 0))), "Left", "Ativo")</f>
        <v>Ativo</v>
      </c>
    </row>
    <row r="1836" spans="1:6" x14ac:dyDescent="0.25">
      <c r="A1836" t="s">
        <v>1529</v>
      </c>
      <c r="B1836" t="s">
        <v>870</v>
      </c>
      <c r="C1836" s="10" t="str" cm="1">
        <f t="array" ref="C1836">IF(AND(A1836="2020-12", ISNA(MATCH(B1836, _xlfn._xlws.FILTER(B:B, A:A="2021-01"), 0))), "Left", "Ativo")</f>
        <v>Ativo</v>
      </c>
      <c r="D1836" s="10" t="str" cm="1">
        <f t="array" ref="D1836">IF(AND(A1836="2021-01", ISNA(MATCH(B1836, _xlfn._xlws.FILTER(B:B, A:A="2021-02"), 0))), "Left", "Ativo")</f>
        <v>Ativo</v>
      </c>
      <c r="E1836" s="10" t="str" cm="1">
        <f t="array" ref="E1836">IF(AND(A1836="2021-02", ISNA(MATCH(B1836, _xlfn._xlws.FILTER(B:B, A:A="2021-03"), 0))), "Left", "Ativo")</f>
        <v>Ativo</v>
      </c>
      <c r="F1836" s="12" t="str" cm="1">
        <f t="array" ref="F1836">IF(AND(A1836="2021-03", ISNA(MATCH(B1836, _xlfn._xlws.FILTER(B:B, A:A="2021-04"), 0))), "Left", "Ativo")</f>
        <v>Ativo</v>
      </c>
    </row>
    <row r="1837" spans="1:6" x14ac:dyDescent="0.25">
      <c r="A1837" t="s">
        <v>1529</v>
      </c>
      <c r="B1837" t="s">
        <v>871</v>
      </c>
      <c r="C1837" s="10" t="str" cm="1">
        <f t="array" ref="C1837">IF(AND(A1837="2020-12", ISNA(MATCH(B1837, _xlfn._xlws.FILTER(B:B, A:A="2021-01"), 0))), "Left", "Ativo")</f>
        <v>Ativo</v>
      </c>
      <c r="D1837" s="10" t="str" cm="1">
        <f t="array" ref="D1837">IF(AND(A1837="2021-01", ISNA(MATCH(B1837, _xlfn._xlws.FILTER(B:B, A:A="2021-02"), 0))), "Left", "Ativo")</f>
        <v>Ativo</v>
      </c>
      <c r="E1837" s="10" t="str" cm="1">
        <f t="array" ref="E1837">IF(AND(A1837="2021-02", ISNA(MATCH(B1837, _xlfn._xlws.FILTER(B:B, A:A="2021-03"), 0))), "Left", "Ativo")</f>
        <v>Ativo</v>
      </c>
      <c r="F1837" s="12" t="str" cm="1">
        <f t="array" ref="F1837">IF(AND(A1837="2021-03", ISNA(MATCH(B1837, _xlfn._xlws.FILTER(B:B, A:A="2021-04"), 0))), "Left", "Ativo")</f>
        <v>Ativo</v>
      </c>
    </row>
    <row r="1838" spans="1:6" x14ac:dyDescent="0.25">
      <c r="A1838" t="s">
        <v>1529</v>
      </c>
      <c r="B1838" t="s">
        <v>872</v>
      </c>
      <c r="C1838" s="10" t="str" cm="1">
        <f t="array" ref="C1838">IF(AND(A1838="2020-12", ISNA(MATCH(B1838, _xlfn._xlws.FILTER(B:B, A:A="2021-01"), 0))), "Left", "Ativo")</f>
        <v>Ativo</v>
      </c>
      <c r="D1838" s="10" t="str" cm="1">
        <f t="array" ref="D1838">IF(AND(A1838="2021-01", ISNA(MATCH(B1838, _xlfn._xlws.FILTER(B:B, A:A="2021-02"), 0))), "Left", "Ativo")</f>
        <v>Ativo</v>
      </c>
      <c r="E1838" s="10" t="str" cm="1">
        <f t="array" ref="E1838">IF(AND(A1838="2021-02", ISNA(MATCH(B1838, _xlfn._xlws.FILTER(B:B, A:A="2021-03"), 0))), "Left", "Ativo")</f>
        <v>Ativo</v>
      </c>
      <c r="F1838" s="12" t="str" cm="1">
        <f t="array" ref="F1838">IF(AND(A1838="2021-03", ISNA(MATCH(B1838, _xlfn._xlws.FILTER(B:B, A:A="2021-04"), 0))), "Left", "Ativo")</f>
        <v>Ativo</v>
      </c>
    </row>
    <row r="1839" spans="1:6" x14ac:dyDescent="0.25">
      <c r="A1839" t="s">
        <v>1529</v>
      </c>
      <c r="B1839" t="s">
        <v>873</v>
      </c>
      <c r="C1839" s="10" t="str" cm="1">
        <f t="array" ref="C1839">IF(AND(A1839="2020-12", ISNA(MATCH(B1839, _xlfn._xlws.FILTER(B:B, A:A="2021-01"), 0))), "Left", "Ativo")</f>
        <v>Ativo</v>
      </c>
      <c r="D1839" s="10" t="str" cm="1">
        <f t="array" ref="D1839">IF(AND(A1839="2021-01", ISNA(MATCH(B1839, _xlfn._xlws.FILTER(B:B, A:A="2021-02"), 0))), "Left", "Ativo")</f>
        <v>Ativo</v>
      </c>
      <c r="E1839" s="10" t="str" cm="1">
        <f t="array" ref="E1839">IF(AND(A1839="2021-02", ISNA(MATCH(B1839, _xlfn._xlws.FILTER(B:B, A:A="2021-03"), 0))), "Left", "Ativo")</f>
        <v>Ativo</v>
      </c>
      <c r="F1839" s="12" t="str" cm="1">
        <f t="array" ref="F1839">IF(AND(A1839="2021-03", ISNA(MATCH(B1839, _xlfn._xlws.FILTER(B:B, A:A="2021-04"), 0))), "Left", "Ativo")</f>
        <v>Ativo</v>
      </c>
    </row>
    <row r="1840" spans="1:6" x14ac:dyDescent="0.25">
      <c r="A1840" t="s">
        <v>1529</v>
      </c>
      <c r="B1840" t="s">
        <v>874</v>
      </c>
      <c r="C1840" s="10" t="str" cm="1">
        <f t="array" ref="C1840">IF(AND(A1840="2020-12", ISNA(MATCH(B1840, _xlfn._xlws.FILTER(B:B, A:A="2021-01"), 0))), "Left", "Ativo")</f>
        <v>Ativo</v>
      </c>
      <c r="D1840" s="10" t="str" cm="1">
        <f t="array" ref="D1840">IF(AND(A1840="2021-01", ISNA(MATCH(B1840, _xlfn._xlws.FILTER(B:B, A:A="2021-02"), 0))), "Left", "Ativo")</f>
        <v>Ativo</v>
      </c>
      <c r="E1840" s="10" t="str" cm="1">
        <f t="array" ref="E1840">IF(AND(A1840="2021-02", ISNA(MATCH(B1840, _xlfn._xlws.FILTER(B:B, A:A="2021-03"), 0))), "Left", "Ativo")</f>
        <v>Ativo</v>
      </c>
      <c r="F1840" s="12" t="str" cm="1">
        <f t="array" ref="F1840">IF(AND(A1840="2021-03", ISNA(MATCH(B1840, _xlfn._xlws.FILTER(B:B, A:A="2021-04"), 0))), "Left", "Ativo")</f>
        <v>Ativo</v>
      </c>
    </row>
    <row r="1841" spans="1:6" x14ac:dyDescent="0.25">
      <c r="A1841" t="s">
        <v>1529</v>
      </c>
      <c r="B1841" t="s">
        <v>875</v>
      </c>
      <c r="C1841" s="10" t="str" cm="1">
        <f t="array" ref="C1841">IF(AND(A1841="2020-12", ISNA(MATCH(B1841, _xlfn._xlws.FILTER(B:B, A:A="2021-01"), 0))), "Left", "Ativo")</f>
        <v>Ativo</v>
      </c>
      <c r="D1841" s="10" t="str" cm="1">
        <f t="array" ref="D1841">IF(AND(A1841="2021-01", ISNA(MATCH(B1841, _xlfn._xlws.FILTER(B:B, A:A="2021-02"), 0))), "Left", "Ativo")</f>
        <v>Ativo</v>
      </c>
      <c r="E1841" s="10" t="str" cm="1">
        <f t="array" ref="E1841">IF(AND(A1841="2021-02", ISNA(MATCH(B1841, _xlfn._xlws.FILTER(B:B, A:A="2021-03"), 0))), "Left", "Ativo")</f>
        <v>Ativo</v>
      </c>
      <c r="F1841" s="12" t="str" cm="1">
        <f t="array" ref="F1841">IF(AND(A1841="2021-03", ISNA(MATCH(B1841, _xlfn._xlws.FILTER(B:B, A:A="2021-04"), 0))), "Left", "Ativo")</f>
        <v>Ativo</v>
      </c>
    </row>
    <row r="1842" spans="1:6" x14ac:dyDescent="0.25">
      <c r="A1842" t="s">
        <v>1529</v>
      </c>
      <c r="B1842" t="s">
        <v>876</v>
      </c>
      <c r="C1842" s="10" t="str" cm="1">
        <f t="array" ref="C1842">IF(AND(A1842="2020-12", ISNA(MATCH(B1842, _xlfn._xlws.FILTER(B:B, A:A="2021-01"), 0))), "Left", "Ativo")</f>
        <v>Ativo</v>
      </c>
      <c r="D1842" s="10" t="str" cm="1">
        <f t="array" ref="D1842">IF(AND(A1842="2021-01", ISNA(MATCH(B1842, _xlfn._xlws.FILTER(B:B, A:A="2021-02"), 0))), "Left", "Ativo")</f>
        <v>Ativo</v>
      </c>
      <c r="E1842" s="10" t="str" cm="1">
        <f t="array" ref="E1842">IF(AND(A1842="2021-02", ISNA(MATCH(B1842, _xlfn._xlws.FILTER(B:B, A:A="2021-03"), 0))), "Left", "Ativo")</f>
        <v>Ativo</v>
      </c>
      <c r="F1842" s="12" t="str" cm="1">
        <f t="array" ref="F1842">IF(AND(A1842="2021-03", ISNA(MATCH(B1842, _xlfn._xlws.FILTER(B:B, A:A="2021-04"), 0))), "Left", "Ativo")</f>
        <v>Ativo</v>
      </c>
    </row>
    <row r="1843" spans="1:6" x14ac:dyDescent="0.25">
      <c r="A1843" t="s">
        <v>1529</v>
      </c>
      <c r="B1843" t="s">
        <v>877</v>
      </c>
      <c r="C1843" s="10" t="str" cm="1">
        <f t="array" ref="C1843">IF(AND(A1843="2020-12", ISNA(MATCH(B1843, _xlfn._xlws.FILTER(B:B, A:A="2021-01"), 0))), "Left", "Ativo")</f>
        <v>Ativo</v>
      </c>
      <c r="D1843" s="10" t="str" cm="1">
        <f t="array" ref="D1843">IF(AND(A1843="2021-01", ISNA(MATCH(B1843, _xlfn._xlws.FILTER(B:B, A:A="2021-02"), 0))), "Left", "Ativo")</f>
        <v>Ativo</v>
      </c>
      <c r="E1843" s="10" t="str" cm="1">
        <f t="array" ref="E1843">IF(AND(A1843="2021-02", ISNA(MATCH(B1843, _xlfn._xlws.FILTER(B:B, A:A="2021-03"), 0))), "Left", "Ativo")</f>
        <v>Ativo</v>
      </c>
      <c r="F1843" s="12" t="str" cm="1">
        <f t="array" ref="F1843">IF(AND(A1843="2021-03", ISNA(MATCH(B1843, _xlfn._xlws.FILTER(B:B, A:A="2021-04"), 0))), "Left", "Ativo")</f>
        <v>Ativo</v>
      </c>
    </row>
    <row r="1844" spans="1:6" x14ac:dyDescent="0.25">
      <c r="A1844" t="s">
        <v>1529</v>
      </c>
      <c r="B1844" t="s">
        <v>878</v>
      </c>
      <c r="C1844" s="10" t="str" cm="1">
        <f t="array" ref="C1844">IF(AND(A1844="2020-12", ISNA(MATCH(B1844, _xlfn._xlws.FILTER(B:B, A:A="2021-01"), 0))), "Left", "Ativo")</f>
        <v>Ativo</v>
      </c>
      <c r="D1844" s="10" t="str" cm="1">
        <f t="array" ref="D1844">IF(AND(A1844="2021-01", ISNA(MATCH(B1844, _xlfn._xlws.FILTER(B:B, A:A="2021-02"), 0))), "Left", "Ativo")</f>
        <v>Ativo</v>
      </c>
      <c r="E1844" s="10" t="str" cm="1">
        <f t="array" ref="E1844">IF(AND(A1844="2021-02", ISNA(MATCH(B1844, _xlfn._xlws.FILTER(B:B, A:A="2021-03"), 0))), "Left", "Ativo")</f>
        <v>Ativo</v>
      </c>
      <c r="F1844" s="12" t="str" cm="1">
        <f t="array" ref="F1844">IF(AND(A1844="2021-03", ISNA(MATCH(B1844, _xlfn._xlws.FILTER(B:B, A:A="2021-04"), 0))), "Left", "Ativo")</f>
        <v>Ativo</v>
      </c>
    </row>
    <row r="1845" spans="1:6" x14ac:dyDescent="0.25">
      <c r="A1845" t="s">
        <v>1529</v>
      </c>
      <c r="B1845" t="s">
        <v>879</v>
      </c>
      <c r="C1845" s="10" t="str" cm="1">
        <f t="array" ref="C1845">IF(AND(A1845="2020-12", ISNA(MATCH(B1845, _xlfn._xlws.FILTER(B:B, A:A="2021-01"), 0))), "Left", "Ativo")</f>
        <v>Ativo</v>
      </c>
      <c r="D1845" s="10" t="str" cm="1">
        <f t="array" ref="D1845">IF(AND(A1845="2021-01", ISNA(MATCH(B1845, _xlfn._xlws.FILTER(B:B, A:A="2021-02"), 0))), "Left", "Ativo")</f>
        <v>Ativo</v>
      </c>
      <c r="E1845" s="10" t="str" cm="1">
        <f t="array" ref="E1845">IF(AND(A1845="2021-02", ISNA(MATCH(B1845, _xlfn._xlws.FILTER(B:B, A:A="2021-03"), 0))), "Left", "Ativo")</f>
        <v>Ativo</v>
      </c>
      <c r="F1845" s="12" t="str" cm="1">
        <f t="array" ref="F1845">IF(AND(A1845="2021-03", ISNA(MATCH(B1845, _xlfn._xlws.FILTER(B:B, A:A="2021-04"), 0))), "Left", "Ativo")</f>
        <v>Ativo</v>
      </c>
    </row>
    <row r="1846" spans="1:6" x14ac:dyDescent="0.25">
      <c r="A1846" t="s">
        <v>1529</v>
      </c>
      <c r="B1846" t="s">
        <v>880</v>
      </c>
      <c r="C1846" s="10" t="str" cm="1">
        <f t="array" ref="C1846">IF(AND(A1846="2020-12", ISNA(MATCH(B1846, _xlfn._xlws.FILTER(B:B, A:A="2021-01"), 0))), "Left", "Ativo")</f>
        <v>Ativo</v>
      </c>
      <c r="D1846" s="10" t="str" cm="1">
        <f t="array" ref="D1846">IF(AND(A1846="2021-01", ISNA(MATCH(B1846, _xlfn._xlws.FILTER(B:B, A:A="2021-02"), 0))), "Left", "Ativo")</f>
        <v>Ativo</v>
      </c>
      <c r="E1846" s="10" t="str" cm="1">
        <f t="array" ref="E1846">IF(AND(A1846="2021-02", ISNA(MATCH(B1846, _xlfn._xlws.FILTER(B:B, A:A="2021-03"), 0))), "Left", "Ativo")</f>
        <v>Ativo</v>
      </c>
      <c r="F1846" s="12" t="str" cm="1">
        <f t="array" ref="F1846">IF(AND(A1846="2021-03", ISNA(MATCH(B1846, _xlfn._xlws.FILTER(B:B, A:A="2021-04"), 0))), "Left", "Ativo")</f>
        <v>Ativo</v>
      </c>
    </row>
    <row r="1847" spans="1:6" x14ac:dyDescent="0.25">
      <c r="A1847" t="s">
        <v>1529</v>
      </c>
      <c r="B1847" t="s">
        <v>881</v>
      </c>
      <c r="C1847" s="10" t="str" cm="1">
        <f t="array" ref="C1847">IF(AND(A1847="2020-12", ISNA(MATCH(B1847, _xlfn._xlws.FILTER(B:B, A:A="2021-01"), 0))), "Left", "Ativo")</f>
        <v>Ativo</v>
      </c>
      <c r="D1847" s="10" t="str" cm="1">
        <f t="array" ref="D1847">IF(AND(A1847="2021-01", ISNA(MATCH(B1847, _xlfn._xlws.FILTER(B:B, A:A="2021-02"), 0))), "Left", "Ativo")</f>
        <v>Ativo</v>
      </c>
      <c r="E1847" s="10" t="str" cm="1">
        <f t="array" ref="E1847">IF(AND(A1847="2021-02", ISNA(MATCH(B1847, _xlfn._xlws.FILTER(B:B, A:A="2021-03"), 0))), "Left", "Ativo")</f>
        <v>Ativo</v>
      </c>
      <c r="F1847" s="12" t="str" cm="1">
        <f t="array" ref="F1847">IF(AND(A1847="2021-03", ISNA(MATCH(B1847, _xlfn._xlws.FILTER(B:B, A:A="2021-04"), 0))), "Left", "Ativo")</f>
        <v>Ativo</v>
      </c>
    </row>
    <row r="1848" spans="1:6" x14ac:dyDescent="0.25">
      <c r="A1848" t="s">
        <v>1529</v>
      </c>
      <c r="B1848" t="s">
        <v>882</v>
      </c>
      <c r="C1848" s="10" t="str" cm="1">
        <f t="array" ref="C1848">IF(AND(A1848="2020-12", ISNA(MATCH(B1848, _xlfn._xlws.FILTER(B:B, A:A="2021-01"), 0))), "Left", "Ativo")</f>
        <v>Ativo</v>
      </c>
      <c r="D1848" s="10" t="str" cm="1">
        <f t="array" ref="D1848">IF(AND(A1848="2021-01", ISNA(MATCH(B1848, _xlfn._xlws.FILTER(B:B, A:A="2021-02"), 0))), "Left", "Ativo")</f>
        <v>Ativo</v>
      </c>
      <c r="E1848" s="10" t="str" cm="1">
        <f t="array" ref="E1848">IF(AND(A1848="2021-02", ISNA(MATCH(B1848, _xlfn._xlws.FILTER(B:B, A:A="2021-03"), 0))), "Left", "Ativo")</f>
        <v>Ativo</v>
      </c>
      <c r="F1848" s="12" t="str" cm="1">
        <f t="array" ref="F1848">IF(AND(A1848="2021-03", ISNA(MATCH(B1848, _xlfn._xlws.FILTER(B:B, A:A="2021-04"), 0))), "Left", "Ativo")</f>
        <v>Ativo</v>
      </c>
    </row>
    <row r="1849" spans="1:6" x14ac:dyDescent="0.25">
      <c r="A1849" t="s">
        <v>1529</v>
      </c>
      <c r="B1849" t="s">
        <v>883</v>
      </c>
      <c r="C1849" s="10" t="str" cm="1">
        <f t="array" ref="C1849">IF(AND(A1849="2020-12", ISNA(MATCH(B1849, _xlfn._xlws.FILTER(B:B, A:A="2021-01"), 0))), "Left", "Ativo")</f>
        <v>Ativo</v>
      </c>
      <c r="D1849" s="10" t="str" cm="1">
        <f t="array" ref="D1849">IF(AND(A1849="2021-01", ISNA(MATCH(B1849, _xlfn._xlws.FILTER(B:B, A:A="2021-02"), 0))), "Left", "Ativo")</f>
        <v>Ativo</v>
      </c>
      <c r="E1849" s="10" t="str" cm="1">
        <f t="array" ref="E1849">IF(AND(A1849="2021-02", ISNA(MATCH(B1849, _xlfn._xlws.FILTER(B:B, A:A="2021-03"), 0))), "Left", "Ativo")</f>
        <v>Ativo</v>
      </c>
      <c r="F1849" s="12" t="str" cm="1">
        <f t="array" ref="F1849">IF(AND(A1849="2021-03", ISNA(MATCH(B1849, _xlfn._xlws.FILTER(B:B, A:A="2021-04"), 0))), "Left", "Ativo")</f>
        <v>Ativo</v>
      </c>
    </row>
    <row r="1850" spans="1:6" x14ac:dyDescent="0.25">
      <c r="A1850" t="s">
        <v>1529</v>
      </c>
      <c r="B1850" t="s">
        <v>884</v>
      </c>
      <c r="C1850" s="10" t="str" cm="1">
        <f t="array" ref="C1850">IF(AND(A1850="2020-12", ISNA(MATCH(B1850, _xlfn._xlws.FILTER(B:B, A:A="2021-01"), 0))), "Left", "Ativo")</f>
        <v>Ativo</v>
      </c>
      <c r="D1850" s="10" t="str" cm="1">
        <f t="array" ref="D1850">IF(AND(A1850="2021-01", ISNA(MATCH(B1850, _xlfn._xlws.FILTER(B:B, A:A="2021-02"), 0))), "Left", "Ativo")</f>
        <v>Ativo</v>
      </c>
      <c r="E1850" s="10" t="str" cm="1">
        <f t="array" ref="E1850">IF(AND(A1850="2021-02", ISNA(MATCH(B1850, _xlfn._xlws.FILTER(B:B, A:A="2021-03"), 0))), "Left", "Ativo")</f>
        <v>Ativo</v>
      </c>
      <c r="F1850" s="12" t="str" cm="1">
        <f t="array" ref="F1850">IF(AND(A1850="2021-03", ISNA(MATCH(B1850, _xlfn._xlws.FILTER(B:B, A:A="2021-04"), 0))), "Left", "Ativo")</f>
        <v>Ativo</v>
      </c>
    </row>
    <row r="1851" spans="1:6" x14ac:dyDescent="0.25">
      <c r="A1851" t="s">
        <v>1529</v>
      </c>
      <c r="B1851" t="s">
        <v>885</v>
      </c>
      <c r="C1851" s="10" t="str" cm="1">
        <f t="array" ref="C1851">IF(AND(A1851="2020-12", ISNA(MATCH(B1851, _xlfn._xlws.FILTER(B:B, A:A="2021-01"), 0))), "Left", "Ativo")</f>
        <v>Ativo</v>
      </c>
      <c r="D1851" s="10" t="str" cm="1">
        <f t="array" ref="D1851">IF(AND(A1851="2021-01", ISNA(MATCH(B1851, _xlfn._xlws.FILTER(B:B, A:A="2021-02"), 0))), "Left", "Ativo")</f>
        <v>Ativo</v>
      </c>
      <c r="E1851" s="10" t="str" cm="1">
        <f t="array" ref="E1851">IF(AND(A1851="2021-02", ISNA(MATCH(B1851, _xlfn._xlws.FILTER(B:B, A:A="2021-03"), 0))), "Left", "Ativo")</f>
        <v>Ativo</v>
      </c>
      <c r="F1851" s="12" t="str" cm="1">
        <f t="array" ref="F1851">IF(AND(A1851="2021-03", ISNA(MATCH(B1851, _xlfn._xlws.FILTER(B:B, A:A="2021-04"), 0))), "Left", "Ativo")</f>
        <v>Ativo</v>
      </c>
    </row>
    <row r="1852" spans="1:6" x14ac:dyDescent="0.25">
      <c r="A1852" t="s">
        <v>1529</v>
      </c>
      <c r="B1852" t="s">
        <v>886</v>
      </c>
      <c r="C1852" s="10" t="str" cm="1">
        <f t="array" ref="C1852">IF(AND(A1852="2020-12", ISNA(MATCH(B1852, _xlfn._xlws.FILTER(B:B, A:A="2021-01"), 0))), "Left", "Ativo")</f>
        <v>Ativo</v>
      </c>
      <c r="D1852" s="10" t="str" cm="1">
        <f t="array" ref="D1852">IF(AND(A1852="2021-01", ISNA(MATCH(B1852, _xlfn._xlws.FILTER(B:B, A:A="2021-02"), 0))), "Left", "Ativo")</f>
        <v>Ativo</v>
      </c>
      <c r="E1852" s="10" t="str" cm="1">
        <f t="array" ref="E1852">IF(AND(A1852="2021-02", ISNA(MATCH(B1852, _xlfn._xlws.FILTER(B:B, A:A="2021-03"), 0))), "Left", "Ativo")</f>
        <v>Ativo</v>
      </c>
      <c r="F1852" s="12" t="str" cm="1">
        <f t="array" ref="F1852">IF(AND(A1852="2021-03", ISNA(MATCH(B1852, _xlfn._xlws.FILTER(B:B, A:A="2021-04"), 0))), "Left", "Ativo")</f>
        <v>Ativo</v>
      </c>
    </row>
    <row r="1853" spans="1:6" x14ac:dyDescent="0.25">
      <c r="A1853" t="s">
        <v>1529</v>
      </c>
      <c r="B1853" t="s">
        <v>887</v>
      </c>
      <c r="C1853" s="10" t="str" cm="1">
        <f t="array" ref="C1853">IF(AND(A1853="2020-12", ISNA(MATCH(B1853, _xlfn._xlws.FILTER(B:B, A:A="2021-01"), 0))), "Left", "Ativo")</f>
        <v>Ativo</v>
      </c>
      <c r="D1853" s="10" t="str" cm="1">
        <f t="array" ref="D1853">IF(AND(A1853="2021-01", ISNA(MATCH(B1853, _xlfn._xlws.FILTER(B:B, A:A="2021-02"), 0))), "Left", "Ativo")</f>
        <v>Ativo</v>
      </c>
      <c r="E1853" s="10" t="str" cm="1">
        <f t="array" ref="E1853">IF(AND(A1853="2021-02", ISNA(MATCH(B1853, _xlfn._xlws.FILTER(B:B, A:A="2021-03"), 0))), "Left", "Ativo")</f>
        <v>Ativo</v>
      </c>
      <c r="F1853" s="12" t="str" cm="1">
        <f t="array" ref="F1853">IF(AND(A1853="2021-03", ISNA(MATCH(B1853, _xlfn._xlws.FILTER(B:B, A:A="2021-04"), 0))), "Left", "Ativo")</f>
        <v>Ativo</v>
      </c>
    </row>
    <row r="1854" spans="1:6" x14ac:dyDescent="0.25">
      <c r="A1854" t="s">
        <v>1529</v>
      </c>
      <c r="B1854" t="s">
        <v>888</v>
      </c>
      <c r="C1854" s="10" t="str" cm="1">
        <f t="array" ref="C1854">IF(AND(A1854="2020-12", ISNA(MATCH(B1854, _xlfn._xlws.FILTER(B:B, A:A="2021-01"), 0))), "Left", "Ativo")</f>
        <v>Ativo</v>
      </c>
      <c r="D1854" s="10" t="str" cm="1">
        <f t="array" ref="D1854">IF(AND(A1854="2021-01", ISNA(MATCH(B1854, _xlfn._xlws.FILTER(B:B, A:A="2021-02"), 0))), "Left", "Ativo")</f>
        <v>Ativo</v>
      </c>
      <c r="E1854" s="10" t="str" cm="1">
        <f t="array" ref="E1854">IF(AND(A1854="2021-02", ISNA(MATCH(B1854, _xlfn._xlws.FILTER(B:B, A:A="2021-03"), 0))), "Left", "Ativo")</f>
        <v>Ativo</v>
      </c>
      <c r="F1854" s="12" t="str" cm="1">
        <f t="array" ref="F1854">IF(AND(A1854="2021-03", ISNA(MATCH(B1854, _xlfn._xlws.FILTER(B:B, A:A="2021-04"), 0))), "Left", "Ativo")</f>
        <v>Ativo</v>
      </c>
    </row>
    <row r="1855" spans="1:6" x14ac:dyDescent="0.25">
      <c r="A1855" t="s">
        <v>1529</v>
      </c>
      <c r="B1855" t="s">
        <v>889</v>
      </c>
      <c r="C1855" s="10" t="str" cm="1">
        <f t="array" ref="C1855">IF(AND(A1855="2020-12", ISNA(MATCH(B1855, _xlfn._xlws.FILTER(B:B, A:A="2021-01"), 0))), "Left", "Ativo")</f>
        <v>Ativo</v>
      </c>
      <c r="D1855" s="10" t="str" cm="1">
        <f t="array" ref="D1855">IF(AND(A1855="2021-01", ISNA(MATCH(B1855, _xlfn._xlws.FILTER(B:B, A:A="2021-02"), 0))), "Left", "Ativo")</f>
        <v>Ativo</v>
      </c>
      <c r="E1855" s="10" t="str" cm="1">
        <f t="array" ref="E1855">IF(AND(A1855="2021-02", ISNA(MATCH(B1855, _xlfn._xlws.FILTER(B:B, A:A="2021-03"), 0))), "Left", "Ativo")</f>
        <v>Ativo</v>
      </c>
      <c r="F1855" s="12" t="str" cm="1">
        <f t="array" ref="F1855">IF(AND(A1855="2021-03", ISNA(MATCH(B1855, _xlfn._xlws.FILTER(B:B, A:A="2021-04"), 0))), "Left", "Ativo")</f>
        <v>Ativo</v>
      </c>
    </row>
    <row r="1856" spans="1:6" x14ac:dyDescent="0.25">
      <c r="A1856" t="s">
        <v>1529</v>
      </c>
      <c r="B1856" t="s">
        <v>890</v>
      </c>
      <c r="C1856" s="10" t="str" cm="1">
        <f t="array" ref="C1856">IF(AND(A1856="2020-12", ISNA(MATCH(B1856, _xlfn._xlws.FILTER(B:B, A:A="2021-01"), 0))), "Left", "Ativo")</f>
        <v>Ativo</v>
      </c>
      <c r="D1856" s="10" t="str" cm="1">
        <f t="array" ref="D1856">IF(AND(A1856="2021-01", ISNA(MATCH(B1856, _xlfn._xlws.FILTER(B:B, A:A="2021-02"), 0))), "Left", "Ativo")</f>
        <v>Ativo</v>
      </c>
      <c r="E1856" s="10" t="str" cm="1">
        <f t="array" ref="E1856">IF(AND(A1856="2021-02", ISNA(MATCH(B1856, _xlfn._xlws.FILTER(B:B, A:A="2021-03"), 0))), "Left", "Ativo")</f>
        <v>Ativo</v>
      </c>
      <c r="F1856" s="12" t="str" cm="1">
        <f t="array" ref="F1856">IF(AND(A1856="2021-03", ISNA(MATCH(B1856, _xlfn._xlws.FILTER(B:B, A:A="2021-04"), 0))), "Left", "Ativo")</f>
        <v>Ativo</v>
      </c>
    </row>
    <row r="1857" spans="1:6" x14ac:dyDescent="0.25">
      <c r="A1857" t="s">
        <v>1529</v>
      </c>
      <c r="B1857" t="s">
        <v>891</v>
      </c>
      <c r="C1857" s="10" t="str" cm="1">
        <f t="array" ref="C1857">IF(AND(A1857="2020-12", ISNA(MATCH(B1857, _xlfn._xlws.FILTER(B:B, A:A="2021-01"), 0))), "Left", "Ativo")</f>
        <v>Ativo</v>
      </c>
      <c r="D1857" s="10" t="str" cm="1">
        <f t="array" ref="D1857">IF(AND(A1857="2021-01", ISNA(MATCH(B1857, _xlfn._xlws.FILTER(B:B, A:A="2021-02"), 0))), "Left", "Ativo")</f>
        <v>Ativo</v>
      </c>
      <c r="E1857" s="10" t="str" cm="1">
        <f t="array" ref="E1857">IF(AND(A1857="2021-02", ISNA(MATCH(B1857, _xlfn._xlws.FILTER(B:B, A:A="2021-03"), 0))), "Left", "Ativo")</f>
        <v>Ativo</v>
      </c>
      <c r="F1857" s="12" t="str" cm="1">
        <f t="array" ref="F1857">IF(AND(A1857="2021-03", ISNA(MATCH(B1857, _xlfn._xlws.FILTER(B:B, A:A="2021-04"), 0))), "Left", "Ativo")</f>
        <v>Ativo</v>
      </c>
    </row>
    <row r="1858" spans="1:6" x14ac:dyDescent="0.25">
      <c r="A1858" t="s">
        <v>1529</v>
      </c>
      <c r="B1858" t="s">
        <v>892</v>
      </c>
      <c r="C1858" s="10" t="str" cm="1">
        <f t="array" ref="C1858">IF(AND(A1858="2020-12", ISNA(MATCH(B1858, _xlfn._xlws.FILTER(B:B, A:A="2021-01"), 0))), "Left", "Ativo")</f>
        <v>Ativo</v>
      </c>
      <c r="D1858" s="10" t="str" cm="1">
        <f t="array" ref="D1858">IF(AND(A1858="2021-01", ISNA(MATCH(B1858, _xlfn._xlws.FILTER(B:B, A:A="2021-02"), 0))), "Left", "Ativo")</f>
        <v>Ativo</v>
      </c>
      <c r="E1858" s="10" t="str" cm="1">
        <f t="array" ref="E1858">IF(AND(A1858="2021-02", ISNA(MATCH(B1858, _xlfn._xlws.FILTER(B:B, A:A="2021-03"), 0))), "Left", "Ativo")</f>
        <v>Ativo</v>
      </c>
      <c r="F1858" s="12" t="str" cm="1">
        <f t="array" ref="F1858">IF(AND(A1858="2021-03", ISNA(MATCH(B1858, _xlfn._xlws.FILTER(B:B, A:A="2021-04"), 0))), "Left", "Ativo")</f>
        <v>Ativo</v>
      </c>
    </row>
    <row r="1859" spans="1:6" x14ac:dyDescent="0.25">
      <c r="A1859" t="s">
        <v>1529</v>
      </c>
      <c r="B1859" t="s">
        <v>893</v>
      </c>
      <c r="C1859" s="10" t="str" cm="1">
        <f t="array" ref="C1859">IF(AND(A1859="2020-12", ISNA(MATCH(B1859, _xlfn._xlws.FILTER(B:B, A:A="2021-01"), 0))), "Left", "Ativo")</f>
        <v>Ativo</v>
      </c>
      <c r="D1859" s="10" t="str" cm="1">
        <f t="array" ref="D1859">IF(AND(A1859="2021-01", ISNA(MATCH(B1859, _xlfn._xlws.FILTER(B:B, A:A="2021-02"), 0))), "Left", "Ativo")</f>
        <v>Ativo</v>
      </c>
      <c r="E1859" s="10" t="str" cm="1">
        <f t="array" ref="E1859">IF(AND(A1859="2021-02", ISNA(MATCH(B1859, _xlfn._xlws.FILTER(B:B, A:A="2021-03"), 0))), "Left", "Ativo")</f>
        <v>Ativo</v>
      </c>
      <c r="F1859" s="12" t="str" cm="1">
        <f t="array" ref="F1859">IF(AND(A1859="2021-03", ISNA(MATCH(B1859, _xlfn._xlws.FILTER(B:B, A:A="2021-04"), 0))), "Left", "Ativo")</f>
        <v>Ativo</v>
      </c>
    </row>
    <row r="1860" spans="1:6" x14ac:dyDescent="0.25">
      <c r="A1860" t="s">
        <v>1529</v>
      </c>
      <c r="B1860" t="s">
        <v>894</v>
      </c>
      <c r="C1860" s="10" t="str" cm="1">
        <f t="array" ref="C1860">IF(AND(A1860="2020-12", ISNA(MATCH(B1860, _xlfn._xlws.FILTER(B:B, A:A="2021-01"), 0))), "Left", "Ativo")</f>
        <v>Ativo</v>
      </c>
      <c r="D1860" s="10" t="str" cm="1">
        <f t="array" ref="D1860">IF(AND(A1860="2021-01", ISNA(MATCH(B1860, _xlfn._xlws.FILTER(B:B, A:A="2021-02"), 0))), "Left", "Ativo")</f>
        <v>Ativo</v>
      </c>
      <c r="E1860" s="10" t="str" cm="1">
        <f t="array" ref="E1860">IF(AND(A1860="2021-02", ISNA(MATCH(B1860, _xlfn._xlws.FILTER(B:B, A:A="2021-03"), 0))), "Left", "Ativo")</f>
        <v>Ativo</v>
      </c>
      <c r="F1860" s="12" t="str" cm="1">
        <f t="array" ref="F1860">IF(AND(A1860="2021-03", ISNA(MATCH(B1860, _xlfn._xlws.FILTER(B:B, A:A="2021-04"), 0))), "Left", "Ativo")</f>
        <v>Ativo</v>
      </c>
    </row>
    <row r="1861" spans="1:6" x14ac:dyDescent="0.25">
      <c r="A1861" t="s">
        <v>1529</v>
      </c>
      <c r="B1861" t="s">
        <v>895</v>
      </c>
      <c r="C1861" s="10" t="str" cm="1">
        <f t="array" ref="C1861">IF(AND(A1861="2020-12", ISNA(MATCH(B1861, _xlfn._xlws.FILTER(B:B, A:A="2021-01"), 0))), "Left", "Ativo")</f>
        <v>Ativo</v>
      </c>
      <c r="D1861" s="10" t="str" cm="1">
        <f t="array" ref="D1861">IF(AND(A1861="2021-01", ISNA(MATCH(B1861, _xlfn._xlws.FILTER(B:B, A:A="2021-02"), 0))), "Left", "Ativo")</f>
        <v>Ativo</v>
      </c>
      <c r="E1861" s="10" t="str" cm="1">
        <f t="array" ref="E1861">IF(AND(A1861="2021-02", ISNA(MATCH(B1861, _xlfn._xlws.FILTER(B:B, A:A="2021-03"), 0))), "Left", "Ativo")</f>
        <v>Ativo</v>
      </c>
      <c r="F1861" s="12" t="str" cm="1">
        <f t="array" ref="F1861">IF(AND(A1861="2021-03", ISNA(MATCH(B1861, _xlfn._xlws.FILTER(B:B, A:A="2021-04"), 0))), "Left", "Ativo")</f>
        <v>Ativo</v>
      </c>
    </row>
    <row r="1862" spans="1:6" x14ac:dyDescent="0.25">
      <c r="A1862" t="s">
        <v>1529</v>
      </c>
      <c r="B1862" t="s">
        <v>896</v>
      </c>
      <c r="C1862" s="10" t="str" cm="1">
        <f t="array" ref="C1862">IF(AND(A1862="2020-12", ISNA(MATCH(B1862, _xlfn._xlws.FILTER(B:B, A:A="2021-01"), 0))), "Left", "Ativo")</f>
        <v>Ativo</v>
      </c>
      <c r="D1862" s="10" t="str" cm="1">
        <f t="array" ref="D1862">IF(AND(A1862="2021-01", ISNA(MATCH(B1862, _xlfn._xlws.FILTER(B:B, A:A="2021-02"), 0))), "Left", "Ativo")</f>
        <v>Ativo</v>
      </c>
      <c r="E1862" s="10" t="str" cm="1">
        <f t="array" ref="E1862">IF(AND(A1862="2021-02", ISNA(MATCH(B1862, _xlfn._xlws.FILTER(B:B, A:A="2021-03"), 0))), "Left", "Ativo")</f>
        <v>Ativo</v>
      </c>
      <c r="F1862" s="12" t="str" cm="1">
        <f t="array" ref="F1862">IF(AND(A1862="2021-03", ISNA(MATCH(B1862, _xlfn._xlws.FILTER(B:B, A:A="2021-04"), 0))), "Left", "Ativo")</f>
        <v>Ativo</v>
      </c>
    </row>
    <row r="1863" spans="1:6" x14ac:dyDescent="0.25">
      <c r="A1863" t="s">
        <v>1529</v>
      </c>
      <c r="B1863" t="s">
        <v>897</v>
      </c>
      <c r="C1863" s="10" t="str" cm="1">
        <f t="array" ref="C1863">IF(AND(A1863="2020-12", ISNA(MATCH(B1863, _xlfn._xlws.FILTER(B:B, A:A="2021-01"), 0))), "Left", "Ativo")</f>
        <v>Ativo</v>
      </c>
      <c r="D1863" s="10" t="str" cm="1">
        <f t="array" ref="D1863">IF(AND(A1863="2021-01", ISNA(MATCH(B1863, _xlfn._xlws.FILTER(B:B, A:A="2021-02"), 0))), "Left", "Ativo")</f>
        <v>Ativo</v>
      </c>
      <c r="E1863" s="10" t="str" cm="1">
        <f t="array" ref="E1863">IF(AND(A1863="2021-02", ISNA(MATCH(B1863, _xlfn._xlws.FILTER(B:B, A:A="2021-03"), 0))), "Left", "Ativo")</f>
        <v>Ativo</v>
      </c>
      <c r="F1863" s="12" t="str" cm="1">
        <f t="array" ref="F1863">IF(AND(A1863="2021-03", ISNA(MATCH(B1863, _xlfn._xlws.FILTER(B:B, A:A="2021-04"), 0))), "Left", "Ativo")</f>
        <v>Ativo</v>
      </c>
    </row>
    <row r="1864" spans="1:6" x14ac:dyDescent="0.25">
      <c r="A1864" t="s">
        <v>1529</v>
      </c>
      <c r="B1864" t="s">
        <v>898</v>
      </c>
      <c r="C1864" s="10" t="str" cm="1">
        <f t="array" ref="C1864">IF(AND(A1864="2020-12", ISNA(MATCH(B1864, _xlfn._xlws.FILTER(B:B, A:A="2021-01"), 0))), "Left", "Ativo")</f>
        <v>Ativo</v>
      </c>
      <c r="D1864" s="10" t="str" cm="1">
        <f t="array" ref="D1864">IF(AND(A1864="2021-01", ISNA(MATCH(B1864, _xlfn._xlws.FILTER(B:B, A:A="2021-02"), 0))), "Left", "Ativo")</f>
        <v>Ativo</v>
      </c>
      <c r="E1864" s="10" t="str" cm="1">
        <f t="array" ref="E1864">IF(AND(A1864="2021-02", ISNA(MATCH(B1864, _xlfn._xlws.FILTER(B:B, A:A="2021-03"), 0))), "Left", "Ativo")</f>
        <v>Ativo</v>
      </c>
      <c r="F1864" s="12" t="str" cm="1">
        <f t="array" ref="F1864">IF(AND(A1864="2021-03", ISNA(MATCH(B1864, _xlfn._xlws.FILTER(B:B, A:A="2021-04"), 0))), "Left", "Ativo")</f>
        <v>Ativo</v>
      </c>
    </row>
    <row r="1865" spans="1:6" x14ac:dyDescent="0.25">
      <c r="A1865" t="s">
        <v>1529</v>
      </c>
      <c r="B1865" t="s">
        <v>899</v>
      </c>
      <c r="C1865" s="10" t="str" cm="1">
        <f t="array" ref="C1865">IF(AND(A1865="2020-12", ISNA(MATCH(B1865, _xlfn._xlws.FILTER(B:B, A:A="2021-01"), 0))), "Left", "Ativo")</f>
        <v>Ativo</v>
      </c>
      <c r="D1865" s="10" t="str" cm="1">
        <f t="array" ref="D1865">IF(AND(A1865="2021-01", ISNA(MATCH(B1865, _xlfn._xlws.FILTER(B:B, A:A="2021-02"), 0))), "Left", "Ativo")</f>
        <v>Ativo</v>
      </c>
      <c r="E1865" s="10" t="str" cm="1">
        <f t="array" ref="E1865">IF(AND(A1865="2021-02", ISNA(MATCH(B1865, _xlfn._xlws.FILTER(B:B, A:A="2021-03"), 0))), "Left", "Ativo")</f>
        <v>Ativo</v>
      </c>
      <c r="F1865" s="12" t="str" cm="1">
        <f t="array" ref="F1865">IF(AND(A1865="2021-03", ISNA(MATCH(B1865, _xlfn._xlws.FILTER(B:B, A:A="2021-04"), 0))), "Left", "Ativo")</f>
        <v>Ativo</v>
      </c>
    </row>
    <row r="1866" spans="1:6" x14ac:dyDescent="0.25">
      <c r="A1866" t="s">
        <v>1529</v>
      </c>
      <c r="B1866" t="s">
        <v>900</v>
      </c>
      <c r="C1866" s="10" t="str" cm="1">
        <f t="array" ref="C1866">IF(AND(A1866="2020-12", ISNA(MATCH(B1866, _xlfn._xlws.FILTER(B:B, A:A="2021-01"), 0))), "Left", "Ativo")</f>
        <v>Ativo</v>
      </c>
      <c r="D1866" s="10" t="str" cm="1">
        <f t="array" ref="D1866">IF(AND(A1866="2021-01", ISNA(MATCH(B1866, _xlfn._xlws.FILTER(B:B, A:A="2021-02"), 0))), "Left", "Ativo")</f>
        <v>Ativo</v>
      </c>
      <c r="E1866" s="10" t="str" cm="1">
        <f t="array" ref="E1866">IF(AND(A1866="2021-02", ISNA(MATCH(B1866, _xlfn._xlws.FILTER(B:B, A:A="2021-03"), 0))), "Left", "Ativo")</f>
        <v>Ativo</v>
      </c>
      <c r="F1866" s="12" t="str" cm="1">
        <f t="array" ref="F1866">IF(AND(A1866="2021-03", ISNA(MATCH(B1866, _xlfn._xlws.FILTER(B:B, A:A="2021-04"), 0))), "Left", "Ativo")</f>
        <v>Ativo</v>
      </c>
    </row>
    <row r="1867" spans="1:6" x14ac:dyDescent="0.25">
      <c r="A1867" t="s">
        <v>1529</v>
      </c>
      <c r="B1867" t="s">
        <v>901</v>
      </c>
      <c r="C1867" s="10" t="str" cm="1">
        <f t="array" ref="C1867">IF(AND(A1867="2020-12", ISNA(MATCH(B1867, _xlfn._xlws.FILTER(B:B, A:A="2021-01"), 0))), "Left", "Ativo")</f>
        <v>Ativo</v>
      </c>
      <c r="D1867" s="10" t="str" cm="1">
        <f t="array" ref="D1867">IF(AND(A1867="2021-01", ISNA(MATCH(B1867, _xlfn._xlws.FILTER(B:B, A:A="2021-02"), 0))), "Left", "Ativo")</f>
        <v>Ativo</v>
      </c>
      <c r="E1867" s="10" t="str" cm="1">
        <f t="array" ref="E1867">IF(AND(A1867="2021-02", ISNA(MATCH(B1867, _xlfn._xlws.FILTER(B:B, A:A="2021-03"), 0))), "Left", "Ativo")</f>
        <v>Ativo</v>
      </c>
      <c r="F1867" s="12" t="str" cm="1">
        <f t="array" ref="F1867">IF(AND(A1867="2021-03", ISNA(MATCH(B1867, _xlfn._xlws.FILTER(B:B, A:A="2021-04"), 0))), "Left", "Ativo")</f>
        <v>Ativo</v>
      </c>
    </row>
    <row r="1868" spans="1:6" x14ac:dyDescent="0.25">
      <c r="A1868" t="s">
        <v>1529</v>
      </c>
      <c r="B1868" t="s">
        <v>902</v>
      </c>
      <c r="C1868" s="10" t="str" cm="1">
        <f t="array" ref="C1868">IF(AND(A1868="2020-12", ISNA(MATCH(B1868, _xlfn._xlws.FILTER(B:B, A:A="2021-01"), 0))), "Left", "Ativo")</f>
        <v>Ativo</v>
      </c>
      <c r="D1868" s="10" t="str" cm="1">
        <f t="array" ref="D1868">IF(AND(A1868="2021-01", ISNA(MATCH(B1868, _xlfn._xlws.FILTER(B:B, A:A="2021-02"), 0))), "Left", "Ativo")</f>
        <v>Ativo</v>
      </c>
      <c r="E1868" s="10" t="str" cm="1">
        <f t="array" ref="E1868">IF(AND(A1868="2021-02", ISNA(MATCH(B1868, _xlfn._xlws.FILTER(B:B, A:A="2021-03"), 0))), "Left", "Ativo")</f>
        <v>Ativo</v>
      </c>
      <c r="F1868" s="12" t="str" cm="1">
        <f t="array" ref="F1868">IF(AND(A1868="2021-03", ISNA(MATCH(B1868, _xlfn._xlws.FILTER(B:B, A:A="2021-04"), 0))), "Left", "Ativo")</f>
        <v>Ativo</v>
      </c>
    </row>
    <row r="1869" spans="1:6" x14ac:dyDescent="0.25">
      <c r="A1869" t="s">
        <v>1529</v>
      </c>
      <c r="B1869" t="s">
        <v>903</v>
      </c>
      <c r="C1869" s="10" t="str" cm="1">
        <f t="array" ref="C1869">IF(AND(A1869="2020-12", ISNA(MATCH(B1869, _xlfn._xlws.FILTER(B:B, A:A="2021-01"), 0))), "Left", "Ativo")</f>
        <v>Ativo</v>
      </c>
      <c r="D1869" s="10" t="str" cm="1">
        <f t="array" ref="D1869">IF(AND(A1869="2021-01", ISNA(MATCH(B1869, _xlfn._xlws.FILTER(B:B, A:A="2021-02"), 0))), "Left", "Ativo")</f>
        <v>Ativo</v>
      </c>
      <c r="E1869" s="10" t="str" cm="1">
        <f t="array" ref="E1869">IF(AND(A1869="2021-02", ISNA(MATCH(B1869, _xlfn._xlws.FILTER(B:B, A:A="2021-03"), 0))), "Left", "Ativo")</f>
        <v>Ativo</v>
      </c>
      <c r="F1869" s="12" t="str" cm="1">
        <f t="array" ref="F1869">IF(AND(A1869="2021-03", ISNA(MATCH(B1869, _xlfn._xlws.FILTER(B:B, A:A="2021-04"), 0))), "Left", "Ativo")</f>
        <v>Ativo</v>
      </c>
    </row>
    <row r="1870" spans="1:6" x14ac:dyDescent="0.25">
      <c r="A1870" t="s">
        <v>1529</v>
      </c>
      <c r="B1870" t="s">
        <v>904</v>
      </c>
      <c r="C1870" s="10" t="str" cm="1">
        <f t="array" ref="C1870">IF(AND(A1870="2020-12", ISNA(MATCH(B1870, _xlfn._xlws.FILTER(B:B, A:A="2021-01"), 0))), "Left", "Ativo")</f>
        <v>Ativo</v>
      </c>
      <c r="D1870" s="10" t="str" cm="1">
        <f t="array" ref="D1870">IF(AND(A1870="2021-01", ISNA(MATCH(B1870, _xlfn._xlws.FILTER(B:B, A:A="2021-02"), 0))), "Left", "Ativo")</f>
        <v>Ativo</v>
      </c>
      <c r="E1870" s="10" t="str" cm="1">
        <f t="array" ref="E1870">IF(AND(A1870="2021-02", ISNA(MATCH(B1870, _xlfn._xlws.FILTER(B:B, A:A="2021-03"), 0))), "Left", "Ativo")</f>
        <v>Ativo</v>
      </c>
      <c r="F1870" s="12" t="str" cm="1">
        <f t="array" ref="F1870">IF(AND(A1870="2021-03", ISNA(MATCH(B1870, _xlfn._xlws.FILTER(B:B, A:A="2021-04"), 0))), "Left", "Ativo")</f>
        <v>Ativo</v>
      </c>
    </row>
    <row r="1871" spans="1:6" x14ac:dyDescent="0.25">
      <c r="A1871" t="s">
        <v>1529</v>
      </c>
      <c r="B1871" t="s">
        <v>905</v>
      </c>
      <c r="C1871" s="10" t="str" cm="1">
        <f t="array" ref="C1871">IF(AND(A1871="2020-12", ISNA(MATCH(B1871, _xlfn._xlws.FILTER(B:B, A:A="2021-01"), 0))), "Left", "Ativo")</f>
        <v>Ativo</v>
      </c>
      <c r="D1871" s="10" t="str" cm="1">
        <f t="array" ref="D1871">IF(AND(A1871="2021-01", ISNA(MATCH(B1871, _xlfn._xlws.FILTER(B:B, A:A="2021-02"), 0))), "Left", "Ativo")</f>
        <v>Ativo</v>
      </c>
      <c r="E1871" s="10" t="str" cm="1">
        <f t="array" ref="E1871">IF(AND(A1871="2021-02", ISNA(MATCH(B1871, _xlfn._xlws.FILTER(B:B, A:A="2021-03"), 0))), "Left", "Ativo")</f>
        <v>Ativo</v>
      </c>
      <c r="F1871" s="12" t="str" cm="1">
        <f t="array" ref="F1871">IF(AND(A1871="2021-03", ISNA(MATCH(B1871, _xlfn._xlws.FILTER(B:B, A:A="2021-04"), 0))), "Left", "Ativo")</f>
        <v>Ativo</v>
      </c>
    </row>
    <row r="1872" spans="1:6" x14ac:dyDescent="0.25">
      <c r="A1872" t="s">
        <v>1529</v>
      </c>
      <c r="B1872" t="s">
        <v>906</v>
      </c>
      <c r="C1872" s="10" t="str" cm="1">
        <f t="array" ref="C1872">IF(AND(A1872="2020-12", ISNA(MATCH(B1872, _xlfn._xlws.FILTER(B:B, A:A="2021-01"), 0))), "Left", "Ativo")</f>
        <v>Ativo</v>
      </c>
      <c r="D1872" s="10" t="str" cm="1">
        <f t="array" ref="D1872">IF(AND(A1872="2021-01", ISNA(MATCH(B1872, _xlfn._xlws.FILTER(B:B, A:A="2021-02"), 0))), "Left", "Ativo")</f>
        <v>Ativo</v>
      </c>
      <c r="E1872" s="10" t="str" cm="1">
        <f t="array" ref="E1872">IF(AND(A1872="2021-02", ISNA(MATCH(B1872, _xlfn._xlws.FILTER(B:B, A:A="2021-03"), 0))), "Left", "Ativo")</f>
        <v>Ativo</v>
      </c>
      <c r="F1872" s="12" t="str" cm="1">
        <f t="array" ref="F1872">IF(AND(A1872="2021-03", ISNA(MATCH(B1872, _xlfn._xlws.FILTER(B:B, A:A="2021-04"), 0))), "Left", "Ativo")</f>
        <v>Ativo</v>
      </c>
    </row>
    <row r="1873" spans="1:6" x14ac:dyDescent="0.25">
      <c r="A1873" t="s">
        <v>1529</v>
      </c>
      <c r="B1873" t="s">
        <v>907</v>
      </c>
      <c r="C1873" s="10" t="str" cm="1">
        <f t="array" ref="C1873">IF(AND(A1873="2020-12", ISNA(MATCH(B1873, _xlfn._xlws.FILTER(B:B, A:A="2021-01"), 0))), "Left", "Ativo")</f>
        <v>Ativo</v>
      </c>
      <c r="D1873" s="10" t="str" cm="1">
        <f t="array" ref="D1873">IF(AND(A1873="2021-01", ISNA(MATCH(B1873, _xlfn._xlws.FILTER(B:B, A:A="2021-02"), 0))), "Left", "Ativo")</f>
        <v>Ativo</v>
      </c>
      <c r="E1873" s="10" t="str" cm="1">
        <f t="array" ref="E1873">IF(AND(A1873="2021-02", ISNA(MATCH(B1873, _xlfn._xlws.FILTER(B:B, A:A="2021-03"), 0))), "Left", "Ativo")</f>
        <v>Ativo</v>
      </c>
      <c r="F1873" s="12" t="str" cm="1">
        <f t="array" ref="F1873">IF(AND(A1873="2021-03", ISNA(MATCH(B1873, _xlfn._xlws.FILTER(B:B, A:A="2021-04"), 0))), "Left", "Ativo")</f>
        <v>Ativo</v>
      </c>
    </row>
    <row r="1874" spans="1:6" x14ac:dyDescent="0.25">
      <c r="A1874" t="s">
        <v>1529</v>
      </c>
      <c r="B1874" t="s">
        <v>908</v>
      </c>
      <c r="C1874" s="10" t="str" cm="1">
        <f t="array" ref="C1874">IF(AND(A1874="2020-12", ISNA(MATCH(B1874, _xlfn._xlws.FILTER(B:B, A:A="2021-01"), 0))), "Left", "Ativo")</f>
        <v>Ativo</v>
      </c>
      <c r="D1874" s="10" t="str" cm="1">
        <f t="array" ref="D1874">IF(AND(A1874="2021-01", ISNA(MATCH(B1874, _xlfn._xlws.FILTER(B:B, A:A="2021-02"), 0))), "Left", "Ativo")</f>
        <v>Ativo</v>
      </c>
      <c r="E1874" s="10" t="str" cm="1">
        <f t="array" ref="E1874">IF(AND(A1874="2021-02", ISNA(MATCH(B1874, _xlfn._xlws.FILTER(B:B, A:A="2021-03"), 0))), "Left", "Ativo")</f>
        <v>Ativo</v>
      </c>
      <c r="F1874" s="12" t="str" cm="1">
        <f t="array" ref="F1874">IF(AND(A1874="2021-03", ISNA(MATCH(B1874, _xlfn._xlws.FILTER(B:B, A:A="2021-04"), 0))), "Left", "Ativo")</f>
        <v>Ativo</v>
      </c>
    </row>
    <row r="1875" spans="1:6" x14ac:dyDescent="0.25">
      <c r="A1875" t="s">
        <v>1529</v>
      </c>
      <c r="B1875" t="s">
        <v>909</v>
      </c>
      <c r="C1875" s="10" t="str" cm="1">
        <f t="array" ref="C1875">IF(AND(A1875="2020-12", ISNA(MATCH(B1875, _xlfn._xlws.FILTER(B:B, A:A="2021-01"), 0))), "Left", "Ativo")</f>
        <v>Ativo</v>
      </c>
      <c r="D1875" s="10" t="str" cm="1">
        <f t="array" ref="D1875">IF(AND(A1875="2021-01", ISNA(MATCH(B1875, _xlfn._xlws.FILTER(B:B, A:A="2021-02"), 0))), "Left", "Ativo")</f>
        <v>Ativo</v>
      </c>
      <c r="E1875" s="10" t="str" cm="1">
        <f t="array" ref="E1875">IF(AND(A1875="2021-02", ISNA(MATCH(B1875, _xlfn._xlws.FILTER(B:B, A:A="2021-03"), 0))), "Left", "Ativo")</f>
        <v>Ativo</v>
      </c>
      <c r="F1875" s="12" t="str" cm="1">
        <f t="array" ref="F1875">IF(AND(A1875="2021-03", ISNA(MATCH(B1875, _xlfn._xlws.FILTER(B:B, A:A="2021-04"), 0))), "Left", "Ativo")</f>
        <v>Ativo</v>
      </c>
    </row>
    <row r="1876" spans="1:6" x14ac:dyDescent="0.25">
      <c r="A1876" t="s">
        <v>1529</v>
      </c>
      <c r="B1876" t="s">
        <v>910</v>
      </c>
      <c r="C1876" s="10" t="str" cm="1">
        <f t="array" ref="C1876">IF(AND(A1876="2020-12", ISNA(MATCH(B1876, _xlfn._xlws.FILTER(B:B, A:A="2021-01"), 0))), "Left", "Ativo")</f>
        <v>Ativo</v>
      </c>
      <c r="D1876" s="10" t="str" cm="1">
        <f t="array" ref="D1876">IF(AND(A1876="2021-01", ISNA(MATCH(B1876, _xlfn._xlws.FILTER(B:B, A:A="2021-02"), 0))), "Left", "Ativo")</f>
        <v>Ativo</v>
      </c>
      <c r="E1876" s="10" t="str" cm="1">
        <f t="array" ref="E1876">IF(AND(A1876="2021-02", ISNA(MATCH(B1876, _xlfn._xlws.FILTER(B:B, A:A="2021-03"), 0))), "Left", "Ativo")</f>
        <v>Ativo</v>
      </c>
      <c r="F1876" s="12" t="str" cm="1">
        <f t="array" ref="F1876">IF(AND(A1876="2021-03", ISNA(MATCH(B1876, _xlfn._xlws.FILTER(B:B, A:A="2021-04"), 0))), "Left", "Ativo")</f>
        <v>Ativo</v>
      </c>
    </row>
    <row r="1877" spans="1:6" x14ac:dyDescent="0.25">
      <c r="A1877" t="s">
        <v>1529</v>
      </c>
      <c r="B1877" t="s">
        <v>911</v>
      </c>
      <c r="C1877" s="10" t="str" cm="1">
        <f t="array" ref="C1877">IF(AND(A1877="2020-12", ISNA(MATCH(B1877, _xlfn._xlws.FILTER(B:B, A:A="2021-01"), 0))), "Left", "Ativo")</f>
        <v>Ativo</v>
      </c>
      <c r="D1877" s="10" t="str" cm="1">
        <f t="array" ref="D1877">IF(AND(A1877="2021-01", ISNA(MATCH(B1877, _xlfn._xlws.FILTER(B:B, A:A="2021-02"), 0))), "Left", "Ativo")</f>
        <v>Ativo</v>
      </c>
      <c r="E1877" s="10" t="str" cm="1">
        <f t="array" ref="E1877">IF(AND(A1877="2021-02", ISNA(MATCH(B1877, _xlfn._xlws.FILTER(B:B, A:A="2021-03"), 0))), "Left", "Ativo")</f>
        <v>Ativo</v>
      </c>
      <c r="F1877" s="12" t="str" cm="1">
        <f t="array" ref="F1877">IF(AND(A1877="2021-03", ISNA(MATCH(B1877, _xlfn._xlws.FILTER(B:B, A:A="2021-04"), 0))), "Left", "Ativo")</f>
        <v>Ativo</v>
      </c>
    </row>
    <row r="1878" spans="1:6" x14ac:dyDescent="0.25">
      <c r="A1878" t="s">
        <v>1529</v>
      </c>
      <c r="B1878" t="s">
        <v>912</v>
      </c>
      <c r="C1878" s="10" t="str" cm="1">
        <f t="array" ref="C1878">IF(AND(A1878="2020-12", ISNA(MATCH(B1878, _xlfn._xlws.FILTER(B:B, A:A="2021-01"), 0))), "Left", "Ativo")</f>
        <v>Ativo</v>
      </c>
      <c r="D1878" s="10" t="str" cm="1">
        <f t="array" ref="D1878">IF(AND(A1878="2021-01", ISNA(MATCH(B1878, _xlfn._xlws.FILTER(B:B, A:A="2021-02"), 0))), "Left", "Ativo")</f>
        <v>Ativo</v>
      </c>
      <c r="E1878" s="10" t="str" cm="1">
        <f t="array" ref="E1878">IF(AND(A1878="2021-02", ISNA(MATCH(B1878, _xlfn._xlws.FILTER(B:B, A:A="2021-03"), 0))), "Left", "Ativo")</f>
        <v>Ativo</v>
      </c>
      <c r="F1878" s="12" t="str" cm="1">
        <f t="array" ref="F1878">IF(AND(A1878="2021-03", ISNA(MATCH(B1878, _xlfn._xlws.FILTER(B:B, A:A="2021-04"), 0))), "Left", "Ativo")</f>
        <v>Ativo</v>
      </c>
    </row>
    <row r="1879" spans="1:6" x14ac:dyDescent="0.25">
      <c r="A1879" t="s">
        <v>1529</v>
      </c>
      <c r="B1879" t="s">
        <v>913</v>
      </c>
      <c r="C1879" s="10" t="str" cm="1">
        <f t="array" ref="C1879">IF(AND(A1879="2020-12", ISNA(MATCH(B1879, _xlfn._xlws.FILTER(B:B, A:A="2021-01"), 0))), "Left", "Ativo")</f>
        <v>Ativo</v>
      </c>
      <c r="D1879" s="10" t="str" cm="1">
        <f t="array" ref="D1879">IF(AND(A1879="2021-01", ISNA(MATCH(B1879, _xlfn._xlws.FILTER(B:B, A:A="2021-02"), 0))), "Left", "Ativo")</f>
        <v>Ativo</v>
      </c>
      <c r="E1879" s="10" t="str" cm="1">
        <f t="array" ref="E1879">IF(AND(A1879="2021-02", ISNA(MATCH(B1879, _xlfn._xlws.FILTER(B:B, A:A="2021-03"), 0))), "Left", "Ativo")</f>
        <v>Ativo</v>
      </c>
      <c r="F1879" s="12" t="str" cm="1">
        <f t="array" ref="F1879">IF(AND(A1879="2021-03", ISNA(MATCH(B1879, _xlfn._xlws.FILTER(B:B, A:A="2021-04"), 0))), "Left", "Ativo")</f>
        <v>Ativo</v>
      </c>
    </row>
    <row r="1880" spans="1:6" x14ac:dyDescent="0.25">
      <c r="A1880" t="s">
        <v>1529</v>
      </c>
      <c r="B1880" t="s">
        <v>914</v>
      </c>
      <c r="C1880" s="10" t="str" cm="1">
        <f t="array" ref="C1880">IF(AND(A1880="2020-12", ISNA(MATCH(B1880, _xlfn._xlws.FILTER(B:B, A:A="2021-01"), 0))), "Left", "Ativo")</f>
        <v>Ativo</v>
      </c>
      <c r="D1880" s="10" t="str" cm="1">
        <f t="array" ref="D1880">IF(AND(A1880="2021-01", ISNA(MATCH(B1880, _xlfn._xlws.FILTER(B:B, A:A="2021-02"), 0))), "Left", "Ativo")</f>
        <v>Ativo</v>
      </c>
      <c r="E1880" s="10" t="str" cm="1">
        <f t="array" ref="E1880">IF(AND(A1880="2021-02", ISNA(MATCH(B1880, _xlfn._xlws.FILTER(B:B, A:A="2021-03"), 0))), "Left", "Ativo")</f>
        <v>Ativo</v>
      </c>
      <c r="F1880" s="12" t="str" cm="1">
        <f t="array" ref="F1880">IF(AND(A1880="2021-03", ISNA(MATCH(B1880, _xlfn._xlws.FILTER(B:B, A:A="2021-04"), 0))), "Left", "Ativo")</f>
        <v>Ativo</v>
      </c>
    </row>
    <row r="1881" spans="1:6" x14ac:dyDescent="0.25">
      <c r="A1881" t="s">
        <v>1529</v>
      </c>
      <c r="B1881" t="s">
        <v>915</v>
      </c>
      <c r="C1881" s="10" t="str" cm="1">
        <f t="array" ref="C1881">IF(AND(A1881="2020-12", ISNA(MATCH(B1881, _xlfn._xlws.FILTER(B:B, A:A="2021-01"), 0))), "Left", "Ativo")</f>
        <v>Ativo</v>
      </c>
      <c r="D1881" s="10" t="str" cm="1">
        <f t="array" ref="D1881">IF(AND(A1881="2021-01", ISNA(MATCH(B1881, _xlfn._xlws.FILTER(B:B, A:A="2021-02"), 0))), "Left", "Ativo")</f>
        <v>Ativo</v>
      </c>
      <c r="E1881" s="10" t="str" cm="1">
        <f t="array" ref="E1881">IF(AND(A1881="2021-02", ISNA(MATCH(B1881, _xlfn._xlws.FILTER(B:B, A:A="2021-03"), 0))), "Left", "Ativo")</f>
        <v>Ativo</v>
      </c>
      <c r="F1881" s="12" t="str" cm="1">
        <f t="array" ref="F1881">IF(AND(A1881="2021-03", ISNA(MATCH(B1881, _xlfn._xlws.FILTER(B:B, A:A="2021-04"), 0))), "Left", "Ativo")</f>
        <v>Ativo</v>
      </c>
    </row>
    <row r="1882" spans="1:6" x14ac:dyDescent="0.25">
      <c r="A1882" t="s">
        <v>1529</v>
      </c>
      <c r="B1882" t="s">
        <v>916</v>
      </c>
      <c r="C1882" s="10" t="str" cm="1">
        <f t="array" ref="C1882">IF(AND(A1882="2020-12", ISNA(MATCH(B1882, _xlfn._xlws.FILTER(B:B, A:A="2021-01"), 0))), "Left", "Ativo")</f>
        <v>Ativo</v>
      </c>
      <c r="D1882" s="10" t="str" cm="1">
        <f t="array" ref="D1882">IF(AND(A1882="2021-01", ISNA(MATCH(B1882, _xlfn._xlws.FILTER(B:B, A:A="2021-02"), 0))), "Left", "Ativo")</f>
        <v>Ativo</v>
      </c>
      <c r="E1882" s="10" t="str" cm="1">
        <f t="array" ref="E1882">IF(AND(A1882="2021-02", ISNA(MATCH(B1882, _xlfn._xlws.FILTER(B:B, A:A="2021-03"), 0))), "Left", "Ativo")</f>
        <v>Ativo</v>
      </c>
      <c r="F1882" s="12" t="str" cm="1">
        <f t="array" ref="F1882">IF(AND(A1882="2021-03", ISNA(MATCH(B1882, _xlfn._xlws.FILTER(B:B, A:A="2021-04"), 0))), "Left", "Ativo")</f>
        <v>Ativo</v>
      </c>
    </row>
    <row r="1883" spans="1:6" x14ac:dyDescent="0.25">
      <c r="A1883" t="s">
        <v>1529</v>
      </c>
      <c r="B1883" t="s">
        <v>917</v>
      </c>
      <c r="C1883" s="10" t="str" cm="1">
        <f t="array" ref="C1883">IF(AND(A1883="2020-12", ISNA(MATCH(B1883, _xlfn._xlws.FILTER(B:B, A:A="2021-01"), 0))), "Left", "Ativo")</f>
        <v>Ativo</v>
      </c>
      <c r="D1883" s="10" t="str" cm="1">
        <f t="array" ref="D1883">IF(AND(A1883="2021-01", ISNA(MATCH(B1883, _xlfn._xlws.FILTER(B:B, A:A="2021-02"), 0))), "Left", "Ativo")</f>
        <v>Ativo</v>
      </c>
      <c r="E1883" s="10" t="str" cm="1">
        <f t="array" ref="E1883">IF(AND(A1883="2021-02", ISNA(MATCH(B1883, _xlfn._xlws.FILTER(B:B, A:A="2021-03"), 0))), "Left", "Ativo")</f>
        <v>Ativo</v>
      </c>
      <c r="F1883" s="12" t="str" cm="1">
        <f t="array" ref="F1883">IF(AND(A1883="2021-03", ISNA(MATCH(B1883, _xlfn._xlws.FILTER(B:B, A:A="2021-04"), 0))), "Left", "Ativo")</f>
        <v>Ativo</v>
      </c>
    </row>
    <row r="1884" spans="1:6" x14ac:dyDescent="0.25">
      <c r="A1884" t="s">
        <v>1529</v>
      </c>
      <c r="B1884" t="s">
        <v>918</v>
      </c>
      <c r="C1884" s="10" t="str" cm="1">
        <f t="array" ref="C1884">IF(AND(A1884="2020-12", ISNA(MATCH(B1884, _xlfn._xlws.FILTER(B:B, A:A="2021-01"), 0))), "Left", "Ativo")</f>
        <v>Ativo</v>
      </c>
      <c r="D1884" s="10" t="str" cm="1">
        <f t="array" ref="D1884">IF(AND(A1884="2021-01", ISNA(MATCH(B1884, _xlfn._xlws.FILTER(B:B, A:A="2021-02"), 0))), "Left", "Ativo")</f>
        <v>Ativo</v>
      </c>
      <c r="E1884" s="10" t="str" cm="1">
        <f t="array" ref="E1884">IF(AND(A1884="2021-02", ISNA(MATCH(B1884, _xlfn._xlws.FILTER(B:B, A:A="2021-03"), 0))), "Left", "Ativo")</f>
        <v>Ativo</v>
      </c>
      <c r="F1884" s="12" t="str" cm="1">
        <f t="array" ref="F1884">IF(AND(A1884="2021-03", ISNA(MATCH(B1884, _xlfn._xlws.FILTER(B:B, A:A="2021-04"), 0))), "Left", "Ativo")</f>
        <v>Ativo</v>
      </c>
    </row>
    <row r="1885" spans="1:6" x14ac:dyDescent="0.25">
      <c r="A1885" t="s">
        <v>1529</v>
      </c>
      <c r="B1885" t="s">
        <v>919</v>
      </c>
      <c r="C1885" s="10" t="str" cm="1">
        <f t="array" ref="C1885">IF(AND(A1885="2020-12", ISNA(MATCH(B1885, _xlfn._xlws.FILTER(B:B, A:A="2021-01"), 0))), "Left", "Ativo")</f>
        <v>Ativo</v>
      </c>
      <c r="D1885" s="10" t="str" cm="1">
        <f t="array" ref="D1885">IF(AND(A1885="2021-01", ISNA(MATCH(B1885, _xlfn._xlws.FILTER(B:B, A:A="2021-02"), 0))), "Left", "Ativo")</f>
        <v>Ativo</v>
      </c>
      <c r="E1885" s="10" t="str" cm="1">
        <f t="array" ref="E1885">IF(AND(A1885="2021-02", ISNA(MATCH(B1885, _xlfn._xlws.FILTER(B:B, A:A="2021-03"), 0))), "Left", "Ativo")</f>
        <v>Ativo</v>
      </c>
      <c r="F1885" s="12" t="str" cm="1">
        <f t="array" ref="F1885">IF(AND(A1885="2021-03", ISNA(MATCH(B1885, _xlfn._xlws.FILTER(B:B, A:A="2021-04"), 0))), "Left", "Ativo")</f>
        <v>Ativo</v>
      </c>
    </row>
    <row r="1886" spans="1:6" x14ac:dyDescent="0.25">
      <c r="A1886" t="s">
        <v>1529</v>
      </c>
      <c r="B1886" t="s">
        <v>920</v>
      </c>
      <c r="C1886" s="10" t="str" cm="1">
        <f t="array" ref="C1886">IF(AND(A1886="2020-12", ISNA(MATCH(B1886, _xlfn._xlws.FILTER(B:B, A:A="2021-01"), 0))), "Left", "Ativo")</f>
        <v>Ativo</v>
      </c>
      <c r="D1886" s="10" t="str" cm="1">
        <f t="array" ref="D1886">IF(AND(A1886="2021-01", ISNA(MATCH(B1886, _xlfn._xlws.FILTER(B:B, A:A="2021-02"), 0))), "Left", "Ativo")</f>
        <v>Ativo</v>
      </c>
      <c r="E1886" s="10" t="str" cm="1">
        <f t="array" ref="E1886">IF(AND(A1886="2021-02", ISNA(MATCH(B1886, _xlfn._xlws.FILTER(B:B, A:A="2021-03"), 0))), "Left", "Ativo")</f>
        <v>Ativo</v>
      </c>
      <c r="F1886" s="12" t="str" cm="1">
        <f t="array" ref="F1886">IF(AND(A1886="2021-03", ISNA(MATCH(B1886, _xlfn._xlws.FILTER(B:B, A:A="2021-04"), 0))), "Left", "Ativo")</f>
        <v>Ativo</v>
      </c>
    </row>
    <row r="1887" spans="1:6" x14ac:dyDescent="0.25">
      <c r="A1887" t="s">
        <v>1529</v>
      </c>
      <c r="B1887" t="s">
        <v>921</v>
      </c>
      <c r="C1887" s="10" t="str" cm="1">
        <f t="array" ref="C1887">IF(AND(A1887="2020-12", ISNA(MATCH(B1887, _xlfn._xlws.FILTER(B:B, A:A="2021-01"), 0))), "Left", "Ativo")</f>
        <v>Ativo</v>
      </c>
      <c r="D1887" s="10" t="str" cm="1">
        <f t="array" ref="D1887">IF(AND(A1887="2021-01", ISNA(MATCH(B1887, _xlfn._xlws.FILTER(B:B, A:A="2021-02"), 0))), "Left", "Ativo")</f>
        <v>Ativo</v>
      </c>
      <c r="E1887" s="10" t="str" cm="1">
        <f t="array" ref="E1887">IF(AND(A1887="2021-02", ISNA(MATCH(B1887, _xlfn._xlws.FILTER(B:B, A:A="2021-03"), 0))), "Left", "Ativo")</f>
        <v>Ativo</v>
      </c>
      <c r="F1887" s="12" t="str" cm="1">
        <f t="array" ref="F1887">IF(AND(A1887="2021-03", ISNA(MATCH(B1887, _xlfn._xlws.FILTER(B:B, A:A="2021-04"), 0))), "Left", "Ativo")</f>
        <v>Ativo</v>
      </c>
    </row>
    <row r="1888" spans="1:6" x14ac:dyDescent="0.25">
      <c r="A1888" t="s">
        <v>1529</v>
      </c>
      <c r="B1888" t="s">
        <v>922</v>
      </c>
      <c r="C1888" s="10" t="str" cm="1">
        <f t="array" ref="C1888">IF(AND(A1888="2020-12", ISNA(MATCH(B1888, _xlfn._xlws.FILTER(B:B, A:A="2021-01"), 0))), "Left", "Ativo")</f>
        <v>Ativo</v>
      </c>
      <c r="D1888" s="10" t="str" cm="1">
        <f t="array" ref="D1888">IF(AND(A1888="2021-01", ISNA(MATCH(B1888, _xlfn._xlws.FILTER(B:B, A:A="2021-02"), 0))), "Left", "Ativo")</f>
        <v>Ativo</v>
      </c>
      <c r="E1888" s="10" t="str" cm="1">
        <f t="array" ref="E1888">IF(AND(A1888="2021-02", ISNA(MATCH(B1888, _xlfn._xlws.FILTER(B:B, A:A="2021-03"), 0))), "Left", "Ativo")</f>
        <v>Ativo</v>
      </c>
      <c r="F1888" s="12" t="str" cm="1">
        <f t="array" ref="F1888">IF(AND(A1888="2021-03", ISNA(MATCH(B1888, _xlfn._xlws.FILTER(B:B, A:A="2021-04"), 0))), "Left", "Ativo")</f>
        <v>Ativo</v>
      </c>
    </row>
    <row r="1889" spans="1:6" x14ac:dyDescent="0.25">
      <c r="A1889" t="s">
        <v>1529</v>
      </c>
      <c r="B1889" t="s">
        <v>923</v>
      </c>
      <c r="C1889" s="10" t="str" cm="1">
        <f t="array" ref="C1889">IF(AND(A1889="2020-12", ISNA(MATCH(B1889, _xlfn._xlws.FILTER(B:B, A:A="2021-01"), 0))), "Left", "Ativo")</f>
        <v>Ativo</v>
      </c>
      <c r="D1889" s="10" t="str" cm="1">
        <f t="array" ref="D1889">IF(AND(A1889="2021-01", ISNA(MATCH(B1889, _xlfn._xlws.FILTER(B:B, A:A="2021-02"), 0))), "Left", "Ativo")</f>
        <v>Ativo</v>
      </c>
      <c r="E1889" s="10" t="str" cm="1">
        <f t="array" ref="E1889">IF(AND(A1889="2021-02", ISNA(MATCH(B1889, _xlfn._xlws.FILTER(B:B, A:A="2021-03"), 0))), "Left", "Ativo")</f>
        <v>Ativo</v>
      </c>
      <c r="F1889" s="12" t="str" cm="1">
        <f t="array" ref="F1889">IF(AND(A1889="2021-03", ISNA(MATCH(B1889, _xlfn._xlws.FILTER(B:B, A:A="2021-04"), 0))), "Left", "Ativo")</f>
        <v>Ativo</v>
      </c>
    </row>
    <row r="1890" spans="1:6" x14ac:dyDescent="0.25">
      <c r="A1890" t="s">
        <v>1529</v>
      </c>
      <c r="B1890" t="s">
        <v>924</v>
      </c>
      <c r="C1890" s="10" t="str" cm="1">
        <f t="array" ref="C1890">IF(AND(A1890="2020-12", ISNA(MATCH(B1890, _xlfn._xlws.FILTER(B:B, A:A="2021-01"), 0))), "Left", "Ativo")</f>
        <v>Ativo</v>
      </c>
      <c r="D1890" s="10" t="str" cm="1">
        <f t="array" ref="D1890">IF(AND(A1890="2021-01", ISNA(MATCH(B1890, _xlfn._xlws.FILTER(B:B, A:A="2021-02"), 0))), "Left", "Ativo")</f>
        <v>Ativo</v>
      </c>
      <c r="E1890" s="10" t="str" cm="1">
        <f t="array" ref="E1890">IF(AND(A1890="2021-02", ISNA(MATCH(B1890, _xlfn._xlws.FILTER(B:B, A:A="2021-03"), 0))), "Left", "Ativo")</f>
        <v>Ativo</v>
      </c>
      <c r="F1890" s="12" t="str" cm="1">
        <f t="array" ref="F1890">IF(AND(A1890="2021-03", ISNA(MATCH(B1890, _xlfn._xlws.FILTER(B:B, A:A="2021-04"), 0))), "Left", "Ativo")</f>
        <v>Ativo</v>
      </c>
    </row>
    <row r="1891" spans="1:6" x14ac:dyDescent="0.25">
      <c r="A1891" t="s">
        <v>1529</v>
      </c>
      <c r="B1891" t="s">
        <v>925</v>
      </c>
      <c r="C1891" s="10" t="str" cm="1">
        <f t="array" ref="C1891">IF(AND(A1891="2020-12", ISNA(MATCH(B1891, _xlfn._xlws.FILTER(B:B, A:A="2021-01"), 0))), "Left", "Ativo")</f>
        <v>Ativo</v>
      </c>
      <c r="D1891" s="10" t="str" cm="1">
        <f t="array" ref="D1891">IF(AND(A1891="2021-01", ISNA(MATCH(B1891, _xlfn._xlws.FILTER(B:B, A:A="2021-02"), 0))), "Left", "Ativo")</f>
        <v>Ativo</v>
      </c>
      <c r="E1891" s="10" t="str" cm="1">
        <f t="array" ref="E1891">IF(AND(A1891="2021-02", ISNA(MATCH(B1891, _xlfn._xlws.FILTER(B:B, A:A="2021-03"), 0))), "Left", "Ativo")</f>
        <v>Ativo</v>
      </c>
      <c r="F1891" s="12" t="str" cm="1">
        <f t="array" ref="F1891">IF(AND(A1891="2021-03", ISNA(MATCH(B1891, _xlfn._xlws.FILTER(B:B, A:A="2021-04"), 0))), "Left", "Ativo")</f>
        <v>Ativo</v>
      </c>
    </row>
    <row r="1892" spans="1:6" x14ac:dyDescent="0.25">
      <c r="A1892" t="s">
        <v>1529</v>
      </c>
      <c r="B1892" t="s">
        <v>926</v>
      </c>
      <c r="C1892" s="10" t="str" cm="1">
        <f t="array" ref="C1892">IF(AND(A1892="2020-12", ISNA(MATCH(B1892, _xlfn._xlws.FILTER(B:B, A:A="2021-01"), 0))), "Left", "Ativo")</f>
        <v>Ativo</v>
      </c>
      <c r="D1892" s="10" t="str" cm="1">
        <f t="array" ref="D1892">IF(AND(A1892="2021-01", ISNA(MATCH(B1892, _xlfn._xlws.FILTER(B:B, A:A="2021-02"), 0))), "Left", "Ativo")</f>
        <v>Ativo</v>
      </c>
      <c r="E1892" s="10" t="str" cm="1">
        <f t="array" ref="E1892">IF(AND(A1892="2021-02", ISNA(MATCH(B1892, _xlfn._xlws.FILTER(B:B, A:A="2021-03"), 0))), "Left", "Ativo")</f>
        <v>Ativo</v>
      </c>
      <c r="F1892" s="12" t="str" cm="1">
        <f t="array" ref="F1892">IF(AND(A1892="2021-03", ISNA(MATCH(B1892, _xlfn._xlws.FILTER(B:B, A:A="2021-04"), 0))), "Left", "Ativo")</f>
        <v>Ativo</v>
      </c>
    </row>
    <row r="1893" spans="1:6" x14ac:dyDescent="0.25">
      <c r="A1893" t="s">
        <v>1529</v>
      </c>
      <c r="B1893" t="s">
        <v>927</v>
      </c>
      <c r="C1893" s="10" t="str" cm="1">
        <f t="array" ref="C1893">IF(AND(A1893="2020-12", ISNA(MATCH(B1893, _xlfn._xlws.FILTER(B:B, A:A="2021-01"), 0))), "Left", "Ativo")</f>
        <v>Ativo</v>
      </c>
      <c r="D1893" s="10" t="str" cm="1">
        <f t="array" ref="D1893">IF(AND(A1893="2021-01", ISNA(MATCH(B1893, _xlfn._xlws.FILTER(B:B, A:A="2021-02"), 0))), "Left", "Ativo")</f>
        <v>Ativo</v>
      </c>
      <c r="E1893" s="10" t="str" cm="1">
        <f t="array" ref="E1893">IF(AND(A1893="2021-02", ISNA(MATCH(B1893, _xlfn._xlws.FILTER(B:B, A:A="2021-03"), 0))), "Left", "Ativo")</f>
        <v>Ativo</v>
      </c>
      <c r="F1893" s="12" t="str" cm="1">
        <f t="array" ref="F1893">IF(AND(A1893="2021-03", ISNA(MATCH(B1893, _xlfn._xlws.FILTER(B:B, A:A="2021-04"), 0))), "Left", "Ativo")</f>
        <v>Ativo</v>
      </c>
    </row>
    <row r="1894" spans="1:6" x14ac:dyDescent="0.25">
      <c r="A1894" t="s">
        <v>1529</v>
      </c>
      <c r="B1894" t="s">
        <v>928</v>
      </c>
      <c r="C1894" s="10" t="str" cm="1">
        <f t="array" ref="C1894">IF(AND(A1894="2020-12", ISNA(MATCH(B1894, _xlfn._xlws.FILTER(B:B, A:A="2021-01"), 0))), "Left", "Ativo")</f>
        <v>Ativo</v>
      </c>
      <c r="D1894" s="10" t="str" cm="1">
        <f t="array" ref="D1894">IF(AND(A1894="2021-01", ISNA(MATCH(B1894, _xlfn._xlws.FILTER(B:B, A:A="2021-02"), 0))), "Left", "Ativo")</f>
        <v>Ativo</v>
      </c>
      <c r="E1894" s="10" t="str" cm="1">
        <f t="array" ref="E1894">IF(AND(A1894="2021-02", ISNA(MATCH(B1894, _xlfn._xlws.FILTER(B:B, A:A="2021-03"), 0))), "Left", "Ativo")</f>
        <v>Ativo</v>
      </c>
      <c r="F1894" s="12" t="str" cm="1">
        <f t="array" ref="F1894">IF(AND(A1894="2021-03", ISNA(MATCH(B1894, _xlfn._xlws.FILTER(B:B, A:A="2021-04"), 0))), "Left", "Ativo")</f>
        <v>Ativo</v>
      </c>
    </row>
    <row r="1895" spans="1:6" x14ac:dyDescent="0.25">
      <c r="A1895" t="s">
        <v>1529</v>
      </c>
      <c r="B1895" t="s">
        <v>929</v>
      </c>
      <c r="C1895" s="10" t="str" cm="1">
        <f t="array" ref="C1895">IF(AND(A1895="2020-12", ISNA(MATCH(B1895, _xlfn._xlws.FILTER(B:B, A:A="2021-01"), 0))), "Left", "Ativo")</f>
        <v>Ativo</v>
      </c>
      <c r="D1895" s="10" t="str" cm="1">
        <f t="array" ref="D1895">IF(AND(A1895="2021-01", ISNA(MATCH(B1895, _xlfn._xlws.FILTER(B:B, A:A="2021-02"), 0))), "Left", "Ativo")</f>
        <v>Ativo</v>
      </c>
      <c r="E1895" s="10" t="str" cm="1">
        <f t="array" ref="E1895">IF(AND(A1895="2021-02", ISNA(MATCH(B1895, _xlfn._xlws.FILTER(B:B, A:A="2021-03"), 0))), "Left", "Ativo")</f>
        <v>Ativo</v>
      </c>
      <c r="F1895" s="12" t="str" cm="1">
        <f t="array" ref="F1895">IF(AND(A1895="2021-03", ISNA(MATCH(B1895, _xlfn._xlws.FILTER(B:B, A:A="2021-04"), 0))), "Left", "Ativo")</f>
        <v>Ativo</v>
      </c>
    </row>
    <row r="1896" spans="1:6" x14ac:dyDescent="0.25">
      <c r="A1896" t="s">
        <v>1529</v>
      </c>
      <c r="B1896" t="s">
        <v>930</v>
      </c>
      <c r="C1896" s="10" t="str" cm="1">
        <f t="array" ref="C1896">IF(AND(A1896="2020-12", ISNA(MATCH(B1896, _xlfn._xlws.FILTER(B:B, A:A="2021-01"), 0))), "Left", "Ativo")</f>
        <v>Ativo</v>
      </c>
      <c r="D1896" s="10" t="str" cm="1">
        <f t="array" ref="D1896">IF(AND(A1896="2021-01", ISNA(MATCH(B1896, _xlfn._xlws.FILTER(B:B, A:A="2021-02"), 0))), "Left", "Ativo")</f>
        <v>Ativo</v>
      </c>
      <c r="E1896" s="10" t="str" cm="1">
        <f t="array" ref="E1896">IF(AND(A1896="2021-02", ISNA(MATCH(B1896, _xlfn._xlws.FILTER(B:B, A:A="2021-03"), 0))), "Left", "Ativo")</f>
        <v>Ativo</v>
      </c>
      <c r="F1896" s="12" t="str" cm="1">
        <f t="array" ref="F1896">IF(AND(A1896="2021-03", ISNA(MATCH(B1896, _xlfn._xlws.FILTER(B:B, A:A="2021-04"), 0))), "Left", "Ativo")</f>
        <v>Ativo</v>
      </c>
    </row>
    <row r="1897" spans="1:6" x14ac:dyDescent="0.25">
      <c r="A1897" t="s">
        <v>1529</v>
      </c>
      <c r="B1897" t="s">
        <v>931</v>
      </c>
      <c r="C1897" s="10" t="str" cm="1">
        <f t="array" ref="C1897">IF(AND(A1897="2020-12", ISNA(MATCH(B1897, _xlfn._xlws.FILTER(B:B, A:A="2021-01"), 0))), "Left", "Ativo")</f>
        <v>Ativo</v>
      </c>
      <c r="D1897" s="10" t="str" cm="1">
        <f t="array" ref="D1897">IF(AND(A1897="2021-01", ISNA(MATCH(B1897, _xlfn._xlws.FILTER(B:B, A:A="2021-02"), 0))), "Left", "Ativo")</f>
        <v>Ativo</v>
      </c>
      <c r="E1897" s="10" t="str" cm="1">
        <f t="array" ref="E1897">IF(AND(A1897="2021-02", ISNA(MATCH(B1897, _xlfn._xlws.FILTER(B:B, A:A="2021-03"), 0))), "Left", "Ativo")</f>
        <v>Ativo</v>
      </c>
      <c r="F1897" s="12" t="str" cm="1">
        <f t="array" ref="F1897">IF(AND(A1897="2021-03", ISNA(MATCH(B1897, _xlfn._xlws.FILTER(B:B, A:A="2021-04"), 0))), "Left", "Ativo")</f>
        <v>Ativo</v>
      </c>
    </row>
    <row r="1898" spans="1:6" x14ac:dyDescent="0.25">
      <c r="A1898" t="s">
        <v>1529</v>
      </c>
      <c r="B1898" t="s">
        <v>932</v>
      </c>
      <c r="C1898" s="10" t="str" cm="1">
        <f t="array" ref="C1898">IF(AND(A1898="2020-12", ISNA(MATCH(B1898, _xlfn._xlws.FILTER(B:B, A:A="2021-01"), 0))), "Left", "Ativo")</f>
        <v>Ativo</v>
      </c>
      <c r="D1898" s="10" t="str" cm="1">
        <f t="array" ref="D1898">IF(AND(A1898="2021-01", ISNA(MATCH(B1898, _xlfn._xlws.FILTER(B:B, A:A="2021-02"), 0))), "Left", "Ativo")</f>
        <v>Ativo</v>
      </c>
      <c r="E1898" s="10" t="str" cm="1">
        <f t="array" ref="E1898">IF(AND(A1898="2021-02", ISNA(MATCH(B1898, _xlfn._xlws.FILTER(B:B, A:A="2021-03"), 0))), "Left", "Ativo")</f>
        <v>Ativo</v>
      </c>
      <c r="F1898" s="12" t="str" cm="1">
        <f t="array" ref="F1898">IF(AND(A1898="2021-03", ISNA(MATCH(B1898, _xlfn._xlws.FILTER(B:B, A:A="2021-04"), 0))), "Left", "Ativo")</f>
        <v>Ativo</v>
      </c>
    </row>
    <row r="1899" spans="1:6" x14ac:dyDescent="0.25">
      <c r="A1899" t="s">
        <v>1529</v>
      </c>
      <c r="B1899" t="s">
        <v>933</v>
      </c>
      <c r="C1899" s="10" t="str" cm="1">
        <f t="array" ref="C1899">IF(AND(A1899="2020-12", ISNA(MATCH(B1899, _xlfn._xlws.FILTER(B:B, A:A="2021-01"), 0))), "Left", "Ativo")</f>
        <v>Ativo</v>
      </c>
      <c r="D1899" s="10" t="str" cm="1">
        <f t="array" ref="D1899">IF(AND(A1899="2021-01", ISNA(MATCH(B1899, _xlfn._xlws.FILTER(B:B, A:A="2021-02"), 0))), "Left", "Ativo")</f>
        <v>Ativo</v>
      </c>
      <c r="E1899" s="10" t="str" cm="1">
        <f t="array" ref="E1899">IF(AND(A1899="2021-02", ISNA(MATCH(B1899, _xlfn._xlws.FILTER(B:B, A:A="2021-03"), 0))), "Left", "Ativo")</f>
        <v>Ativo</v>
      </c>
      <c r="F1899" s="12" t="str" cm="1">
        <f t="array" ref="F1899">IF(AND(A1899="2021-03", ISNA(MATCH(B1899, _xlfn._xlws.FILTER(B:B, A:A="2021-04"), 0))), "Left", "Ativo")</f>
        <v>Ativo</v>
      </c>
    </row>
    <row r="1900" spans="1:6" x14ac:dyDescent="0.25">
      <c r="A1900" t="s">
        <v>1529</v>
      </c>
      <c r="B1900" t="s">
        <v>934</v>
      </c>
      <c r="C1900" s="10" t="str" cm="1">
        <f t="array" ref="C1900">IF(AND(A1900="2020-12", ISNA(MATCH(B1900, _xlfn._xlws.FILTER(B:B, A:A="2021-01"), 0))), "Left", "Ativo")</f>
        <v>Ativo</v>
      </c>
      <c r="D1900" s="10" t="str" cm="1">
        <f t="array" ref="D1900">IF(AND(A1900="2021-01", ISNA(MATCH(B1900, _xlfn._xlws.FILTER(B:B, A:A="2021-02"), 0))), "Left", "Ativo")</f>
        <v>Ativo</v>
      </c>
      <c r="E1900" s="10" t="str" cm="1">
        <f t="array" ref="E1900">IF(AND(A1900="2021-02", ISNA(MATCH(B1900, _xlfn._xlws.FILTER(B:B, A:A="2021-03"), 0))), "Left", "Ativo")</f>
        <v>Ativo</v>
      </c>
      <c r="F1900" s="12" t="str" cm="1">
        <f t="array" ref="F1900">IF(AND(A1900="2021-03", ISNA(MATCH(B1900, _xlfn._xlws.FILTER(B:B, A:A="2021-04"), 0))), "Left", "Ativo")</f>
        <v>Ativo</v>
      </c>
    </row>
    <row r="1901" spans="1:6" x14ac:dyDescent="0.25">
      <c r="A1901" t="s">
        <v>1529</v>
      </c>
      <c r="B1901" t="s">
        <v>935</v>
      </c>
      <c r="C1901" s="10" t="str" cm="1">
        <f t="array" ref="C1901">IF(AND(A1901="2020-12", ISNA(MATCH(B1901, _xlfn._xlws.FILTER(B:B, A:A="2021-01"), 0))), "Left", "Ativo")</f>
        <v>Ativo</v>
      </c>
      <c r="D1901" s="10" t="str" cm="1">
        <f t="array" ref="D1901">IF(AND(A1901="2021-01", ISNA(MATCH(B1901, _xlfn._xlws.FILTER(B:B, A:A="2021-02"), 0))), "Left", "Ativo")</f>
        <v>Ativo</v>
      </c>
      <c r="E1901" s="10" t="str" cm="1">
        <f t="array" ref="E1901">IF(AND(A1901="2021-02", ISNA(MATCH(B1901, _xlfn._xlws.FILTER(B:B, A:A="2021-03"), 0))), "Left", "Ativo")</f>
        <v>Ativo</v>
      </c>
      <c r="F1901" s="12" t="str" cm="1">
        <f t="array" ref="F1901">IF(AND(A1901="2021-03", ISNA(MATCH(B1901, _xlfn._xlws.FILTER(B:B, A:A="2021-04"), 0))), "Left", "Ativo")</f>
        <v>Ativo</v>
      </c>
    </row>
    <row r="1902" spans="1:6" x14ac:dyDescent="0.25">
      <c r="A1902" t="s">
        <v>1529</v>
      </c>
      <c r="B1902" t="s">
        <v>936</v>
      </c>
      <c r="C1902" s="10" t="str" cm="1">
        <f t="array" ref="C1902">IF(AND(A1902="2020-12", ISNA(MATCH(B1902, _xlfn._xlws.FILTER(B:B, A:A="2021-01"), 0))), "Left", "Ativo")</f>
        <v>Ativo</v>
      </c>
      <c r="D1902" s="10" t="str" cm="1">
        <f t="array" ref="D1902">IF(AND(A1902="2021-01", ISNA(MATCH(B1902, _xlfn._xlws.FILTER(B:B, A:A="2021-02"), 0))), "Left", "Ativo")</f>
        <v>Ativo</v>
      </c>
      <c r="E1902" s="10" t="str" cm="1">
        <f t="array" ref="E1902">IF(AND(A1902="2021-02", ISNA(MATCH(B1902, _xlfn._xlws.FILTER(B:B, A:A="2021-03"), 0))), "Left", "Ativo")</f>
        <v>Ativo</v>
      </c>
      <c r="F1902" s="12" t="str" cm="1">
        <f t="array" ref="F1902">IF(AND(A1902="2021-03", ISNA(MATCH(B1902, _xlfn._xlws.FILTER(B:B, A:A="2021-04"), 0))), "Left", "Ativo")</f>
        <v>Ativo</v>
      </c>
    </row>
    <row r="1903" spans="1:6" x14ac:dyDescent="0.25">
      <c r="A1903" t="s">
        <v>1529</v>
      </c>
      <c r="B1903" t="s">
        <v>937</v>
      </c>
      <c r="C1903" s="10" t="str" cm="1">
        <f t="array" ref="C1903">IF(AND(A1903="2020-12", ISNA(MATCH(B1903, _xlfn._xlws.FILTER(B:B, A:A="2021-01"), 0))), "Left", "Ativo")</f>
        <v>Ativo</v>
      </c>
      <c r="D1903" s="10" t="str" cm="1">
        <f t="array" ref="D1903">IF(AND(A1903="2021-01", ISNA(MATCH(B1903, _xlfn._xlws.FILTER(B:B, A:A="2021-02"), 0))), "Left", "Ativo")</f>
        <v>Ativo</v>
      </c>
      <c r="E1903" s="10" t="str" cm="1">
        <f t="array" ref="E1903">IF(AND(A1903="2021-02", ISNA(MATCH(B1903, _xlfn._xlws.FILTER(B:B, A:A="2021-03"), 0))), "Left", "Ativo")</f>
        <v>Ativo</v>
      </c>
      <c r="F1903" s="12" t="str" cm="1">
        <f t="array" ref="F1903">IF(AND(A1903="2021-03", ISNA(MATCH(B1903, _xlfn._xlws.FILTER(B:B, A:A="2021-04"), 0))), "Left", "Ativo")</f>
        <v>Ativo</v>
      </c>
    </row>
    <row r="1904" spans="1:6" x14ac:dyDescent="0.25">
      <c r="A1904" t="s">
        <v>1529</v>
      </c>
      <c r="B1904" t="s">
        <v>938</v>
      </c>
      <c r="C1904" s="10" t="str" cm="1">
        <f t="array" ref="C1904">IF(AND(A1904="2020-12", ISNA(MATCH(B1904, _xlfn._xlws.FILTER(B:B, A:A="2021-01"), 0))), "Left", "Ativo")</f>
        <v>Ativo</v>
      </c>
      <c r="D1904" s="10" t="str" cm="1">
        <f t="array" ref="D1904">IF(AND(A1904="2021-01", ISNA(MATCH(B1904, _xlfn._xlws.FILTER(B:B, A:A="2021-02"), 0))), "Left", "Ativo")</f>
        <v>Ativo</v>
      </c>
      <c r="E1904" s="10" t="str" cm="1">
        <f t="array" ref="E1904">IF(AND(A1904="2021-02", ISNA(MATCH(B1904, _xlfn._xlws.FILTER(B:B, A:A="2021-03"), 0))), "Left", "Ativo")</f>
        <v>Ativo</v>
      </c>
      <c r="F1904" s="12" t="str" cm="1">
        <f t="array" ref="F1904">IF(AND(A1904="2021-03", ISNA(MATCH(B1904, _xlfn._xlws.FILTER(B:B, A:A="2021-04"), 0))), "Left", "Ativo")</f>
        <v>Ativo</v>
      </c>
    </row>
    <row r="1905" spans="1:6" x14ac:dyDescent="0.25">
      <c r="A1905" t="s">
        <v>1529</v>
      </c>
      <c r="B1905" t="s">
        <v>939</v>
      </c>
      <c r="C1905" s="10" t="str" cm="1">
        <f t="array" ref="C1905">IF(AND(A1905="2020-12", ISNA(MATCH(B1905, _xlfn._xlws.FILTER(B:B, A:A="2021-01"), 0))), "Left", "Ativo")</f>
        <v>Ativo</v>
      </c>
      <c r="D1905" s="10" t="str" cm="1">
        <f t="array" ref="D1905">IF(AND(A1905="2021-01", ISNA(MATCH(B1905, _xlfn._xlws.FILTER(B:B, A:A="2021-02"), 0))), "Left", "Ativo")</f>
        <v>Ativo</v>
      </c>
      <c r="E1905" s="10" t="str" cm="1">
        <f t="array" ref="E1905">IF(AND(A1905="2021-02", ISNA(MATCH(B1905, _xlfn._xlws.FILTER(B:B, A:A="2021-03"), 0))), "Left", "Ativo")</f>
        <v>Ativo</v>
      </c>
      <c r="F1905" s="12" t="str" cm="1">
        <f t="array" ref="F1905">IF(AND(A1905="2021-03", ISNA(MATCH(B1905, _xlfn._xlws.FILTER(B:B, A:A="2021-04"), 0))), "Left", "Ativo")</f>
        <v>Ativo</v>
      </c>
    </row>
    <row r="1906" spans="1:6" x14ac:dyDescent="0.25">
      <c r="A1906" t="s">
        <v>1529</v>
      </c>
      <c r="B1906" t="s">
        <v>940</v>
      </c>
      <c r="C1906" s="10" t="str" cm="1">
        <f t="array" ref="C1906">IF(AND(A1906="2020-12", ISNA(MATCH(B1906, _xlfn._xlws.FILTER(B:B, A:A="2021-01"), 0))), "Left", "Ativo")</f>
        <v>Ativo</v>
      </c>
      <c r="D1906" s="10" t="str" cm="1">
        <f t="array" ref="D1906">IF(AND(A1906="2021-01", ISNA(MATCH(B1906, _xlfn._xlws.FILTER(B:B, A:A="2021-02"), 0))), "Left", "Ativo")</f>
        <v>Ativo</v>
      </c>
      <c r="E1906" s="10" t="str" cm="1">
        <f t="array" ref="E1906">IF(AND(A1906="2021-02", ISNA(MATCH(B1906, _xlfn._xlws.FILTER(B:B, A:A="2021-03"), 0))), "Left", "Ativo")</f>
        <v>Ativo</v>
      </c>
      <c r="F1906" s="12" t="str" cm="1">
        <f t="array" ref="F1906">IF(AND(A1906="2021-03", ISNA(MATCH(B1906, _xlfn._xlws.FILTER(B:B, A:A="2021-04"), 0))), "Left", "Ativo")</f>
        <v>Ativo</v>
      </c>
    </row>
    <row r="1907" spans="1:6" x14ac:dyDescent="0.25">
      <c r="A1907" t="s">
        <v>1530</v>
      </c>
      <c r="B1907" t="s">
        <v>11</v>
      </c>
      <c r="C1907" s="10" t="str" cm="1">
        <f t="array" ref="C1907">IF(AND(A1907="2020-12", ISNA(MATCH(B1907, _xlfn._xlws.FILTER(B:B, A:A="2021-01"), 0))), "Left", "Ativo")</f>
        <v>Ativo</v>
      </c>
      <c r="D1907" s="10" t="str" cm="1">
        <f t="array" ref="D1907">IF(AND(A1907="2021-01", ISNA(MATCH(B1907, _xlfn._xlws.FILTER(B:B, A:A="2021-02"), 0))), "Left", "Ativo")</f>
        <v>Ativo</v>
      </c>
      <c r="E1907" s="10" t="str" cm="1">
        <f t="array" ref="E1907">IF(AND(A1907="2021-02", ISNA(MATCH(B1907, _xlfn._xlws.FILTER(B:B, A:A="2021-03"), 0))), "Left", "Ativo")</f>
        <v>Ativo</v>
      </c>
      <c r="F1907" s="12" t="str" cm="1">
        <f t="array" ref="F1907">IF(AND(A1907="2021-03", ISNA(MATCH(B1907, _xlfn._xlws.FILTER(B:B, A:A="2021-04"), 0))), "Left", "Ativo")</f>
        <v>Ativo</v>
      </c>
    </row>
    <row r="1908" spans="1:6" x14ac:dyDescent="0.25">
      <c r="A1908" t="s">
        <v>1530</v>
      </c>
      <c r="B1908" t="s">
        <v>12</v>
      </c>
      <c r="C1908" s="10" t="str" cm="1">
        <f t="array" ref="C1908">IF(AND(A1908="2020-12", ISNA(MATCH(B1908, _xlfn._xlws.FILTER(B:B, A:A="2021-01"), 0))), "Left", "Ativo")</f>
        <v>Ativo</v>
      </c>
      <c r="D1908" s="10" t="str" cm="1">
        <f t="array" ref="D1908">IF(AND(A1908="2021-01", ISNA(MATCH(B1908, _xlfn._xlws.FILTER(B:B, A:A="2021-02"), 0))), "Left", "Ativo")</f>
        <v>Ativo</v>
      </c>
      <c r="E1908" s="10" t="str" cm="1">
        <f t="array" ref="E1908">IF(AND(A1908="2021-02", ISNA(MATCH(B1908, _xlfn._xlws.FILTER(B:B, A:A="2021-03"), 0))), "Left", "Ativo")</f>
        <v>Ativo</v>
      </c>
      <c r="F1908" s="12" t="str" cm="1">
        <f t="array" ref="F1908">IF(AND(A1908="2021-03", ISNA(MATCH(B1908, _xlfn._xlws.FILTER(B:B, A:A="2021-04"), 0))), "Left", "Ativo")</f>
        <v>Ativo</v>
      </c>
    </row>
    <row r="1909" spans="1:6" x14ac:dyDescent="0.25">
      <c r="A1909" t="s">
        <v>1530</v>
      </c>
      <c r="B1909" t="s">
        <v>13</v>
      </c>
      <c r="C1909" s="10" t="str" cm="1">
        <f t="array" ref="C1909">IF(AND(A1909="2020-12", ISNA(MATCH(B1909, _xlfn._xlws.FILTER(B:B, A:A="2021-01"), 0))), "Left", "Ativo")</f>
        <v>Ativo</v>
      </c>
      <c r="D1909" s="10" t="str" cm="1">
        <f t="array" ref="D1909">IF(AND(A1909="2021-01", ISNA(MATCH(B1909, _xlfn._xlws.FILTER(B:B, A:A="2021-02"), 0))), "Left", "Ativo")</f>
        <v>Ativo</v>
      </c>
      <c r="E1909" s="10" t="str" cm="1">
        <f t="array" ref="E1909">IF(AND(A1909="2021-02", ISNA(MATCH(B1909, _xlfn._xlws.FILTER(B:B, A:A="2021-03"), 0))), "Left", "Ativo")</f>
        <v>Ativo</v>
      </c>
      <c r="F1909" s="12" t="str" cm="1">
        <f t="array" ref="F1909">IF(AND(A1909="2021-03", ISNA(MATCH(B1909, _xlfn._xlws.FILTER(B:B, A:A="2021-04"), 0))), "Left", "Ativo")</f>
        <v>Ativo</v>
      </c>
    </row>
    <row r="1910" spans="1:6" x14ac:dyDescent="0.25">
      <c r="A1910" t="s">
        <v>1530</v>
      </c>
      <c r="B1910" t="s">
        <v>14</v>
      </c>
      <c r="C1910" s="10" t="str" cm="1">
        <f t="array" ref="C1910">IF(AND(A1910="2020-12", ISNA(MATCH(B1910, _xlfn._xlws.FILTER(B:B, A:A="2021-01"), 0))), "Left", "Ativo")</f>
        <v>Ativo</v>
      </c>
      <c r="D1910" s="10" t="str" cm="1">
        <f t="array" ref="D1910">IF(AND(A1910="2021-01", ISNA(MATCH(B1910, _xlfn._xlws.FILTER(B:B, A:A="2021-02"), 0))), "Left", "Ativo")</f>
        <v>Ativo</v>
      </c>
      <c r="E1910" s="10" t="str" cm="1">
        <f t="array" ref="E1910">IF(AND(A1910="2021-02", ISNA(MATCH(B1910, _xlfn._xlws.FILTER(B:B, A:A="2021-03"), 0))), "Left", "Ativo")</f>
        <v>Left</v>
      </c>
      <c r="F1910" s="12" t="str" cm="1">
        <f t="array" ref="F1910">IF(AND(A1910="2021-03", ISNA(MATCH(B1910, _xlfn._xlws.FILTER(B:B, A:A="2021-04"), 0))), "Left", "Ativo")</f>
        <v>Ativo</v>
      </c>
    </row>
    <row r="1911" spans="1:6" x14ac:dyDescent="0.25">
      <c r="A1911" t="s">
        <v>1530</v>
      </c>
      <c r="B1911" t="s">
        <v>15</v>
      </c>
      <c r="C1911" s="10" t="str" cm="1">
        <f t="array" ref="C1911">IF(AND(A1911="2020-12", ISNA(MATCH(B1911, _xlfn._xlws.FILTER(B:B, A:A="2021-01"), 0))), "Left", "Ativo")</f>
        <v>Ativo</v>
      </c>
      <c r="D1911" s="10" t="str" cm="1">
        <f t="array" ref="D1911">IF(AND(A1911="2021-01", ISNA(MATCH(B1911, _xlfn._xlws.FILTER(B:B, A:A="2021-02"), 0))), "Left", "Ativo")</f>
        <v>Ativo</v>
      </c>
      <c r="E1911" s="10" t="str" cm="1">
        <f t="array" ref="E1911">IF(AND(A1911="2021-02", ISNA(MATCH(B1911, _xlfn._xlws.FILTER(B:B, A:A="2021-03"), 0))), "Left", "Ativo")</f>
        <v>Left</v>
      </c>
      <c r="F1911" s="12" t="str" cm="1">
        <f t="array" ref="F1911">IF(AND(A1911="2021-03", ISNA(MATCH(B1911, _xlfn._xlws.FILTER(B:B, A:A="2021-04"), 0))), "Left", "Ativo")</f>
        <v>Ativo</v>
      </c>
    </row>
    <row r="1912" spans="1:6" x14ac:dyDescent="0.25">
      <c r="A1912" t="s">
        <v>1530</v>
      </c>
      <c r="B1912" t="s">
        <v>16</v>
      </c>
      <c r="C1912" s="10" t="str" cm="1">
        <f t="array" ref="C1912">IF(AND(A1912="2020-12", ISNA(MATCH(B1912, _xlfn._xlws.FILTER(B:B, A:A="2021-01"), 0))), "Left", "Ativo")</f>
        <v>Ativo</v>
      </c>
      <c r="D1912" s="10" t="str" cm="1">
        <f t="array" ref="D1912">IF(AND(A1912="2021-01", ISNA(MATCH(B1912, _xlfn._xlws.FILTER(B:B, A:A="2021-02"), 0))), "Left", "Ativo")</f>
        <v>Ativo</v>
      </c>
      <c r="E1912" s="10" t="str" cm="1">
        <f t="array" ref="E1912">IF(AND(A1912="2021-02", ISNA(MATCH(B1912, _xlfn._xlws.FILTER(B:B, A:A="2021-03"), 0))), "Left", "Ativo")</f>
        <v>Left</v>
      </c>
      <c r="F1912" s="12" t="str" cm="1">
        <f t="array" ref="F1912">IF(AND(A1912="2021-03", ISNA(MATCH(B1912, _xlfn._xlws.FILTER(B:B, A:A="2021-04"), 0))), "Left", "Ativo")</f>
        <v>Ativo</v>
      </c>
    </row>
    <row r="1913" spans="1:6" x14ac:dyDescent="0.25">
      <c r="A1913" t="s">
        <v>1530</v>
      </c>
      <c r="B1913" t="s">
        <v>17</v>
      </c>
      <c r="C1913" s="10" t="str" cm="1">
        <f t="array" ref="C1913">IF(AND(A1913="2020-12", ISNA(MATCH(B1913, _xlfn._xlws.FILTER(B:B, A:A="2021-01"), 0))), "Left", "Ativo")</f>
        <v>Ativo</v>
      </c>
      <c r="D1913" s="10" t="str" cm="1">
        <f t="array" ref="D1913">IF(AND(A1913="2021-01", ISNA(MATCH(B1913, _xlfn._xlws.FILTER(B:B, A:A="2021-02"), 0))), "Left", "Ativo")</f>
        <v>Ativo</v>
      </c>
      <c r="E1913" s="10" t="str" cm="1">
        <f t="array" ref="E1913">IF(AND(A1913="2021-02", ISNA(MATCH(B1913, _xlfn._xlws.FILTER(B:B, A:A="2021-03"), 0))), "Left", "Ativo")</f>
        <v>Left</v>
      </c>
      <c r="F1913" s="12" t="str" cm="1">
        <f t="array" ref="F1913">IF(AND(A1913="2021-03", ISNA(MATCH(B1913, _xlfn._xlws.FILTER(B:B, A:A="2021-04"), 0))), "Left", "Ativo")</f>
        <v>Ativo</v>
      </c>
    </row>
    <row r="1914" spans="1:6" x14ac:dyDescent="0.25">
      <c r="A1914" t="s">
        <v>1530</v>
      </c>
      <c r="B1914" t="s">
        <v>18</v>
      </c>
      <c r="C1914" s="10" t="str" cm="1">
        <f t="array" ref="C1914">IF(AND(A1914="2020-12", ISNA(MATCH(B1914, _xlfn._xlws.FILTER(B:B, A:A="2021-01"), 0))), "Left", "Ativo")</f>
        <v>Ativo</v>
      </c>
      <c r="D1914" s="10" t="str" cm="1">
        <f t="array" ref="D1914">IF(AND(A1914="2021-01", ISNA(MATCH(B1914, _xlfn._xlws.FILTER(B:B, A:A="2021-02"), 0))), "Left", "Ativo")</f>
        <v>Ativo</v>
      </c>
      <c r="E1914" s="10" t="str" cm="1">
        <f t="array" ref="E1914">IF(AND(A1914="2021-02", ISNA(MATCH(B1914, _xlfn._xlws.FILTER(B:B, A:A="2021-03"), 0))), "Left", "Ativo")</f>
        <v>Ativo</v>
      </c>
      <c r="F1914" s="12" t="str" cm="1">
        <f t="array" ref="F1914">IF(AND(A1914="2021-03", ISNA(MATCH(B1914, _xlfn._xlws.FILTER(B:B, A:A="2021-04"), 0))), "Left", "Ativo")</f>
        <v>Ativo</v>
      </c>
    </row>
    <row r="1915" spans="1:6" x14ac:dyDescent="0.25">
      <c r="A1915" t="s">
        <v>1530</v>
      </c>
      <c r="B1915" t="s">
        <v>19</v>
      </c>
      <c r="C1915" s="10" t="str" cm="1">
        <f t="array" ref="C1915">IF(AND(A1915="2020-12", ISNA(MATCH(B1915, _xlfn._xlws.FILTER(B:B, A:A="2021-01"), 0))), "Left", "Ativo")</f>
        <v>Ativo</v>
      </c>
      <c r="D1915" s="10" t="str" cm="1">
        <f t="array" ref="D1915">IF(AND(A1915="2021-01", ISNA(MATCH(B1915, _xlfn._xlws.FILTER(B:B, A:A="2021-02"), 0))), "Left", "Ativo")</f>
        <v>Ativo</v>
      </c>
      <c r="E1915" s="10" t="str" cm="1">
        <f t="array" ref="E1915">IF(AND(A1915="2021-02", ISNA(MATCH(B1915, _xlfn._xlws.FILTER(B:B, A:A="2021-03"), 0))), "Left", "Ativo")</f>
        <v>Ativo</v>
      </c>
      <c r="F1915" s="12" t="str" cm="1">
        <f t="array" ref="F1915">IF(AND(A1915="2021-03", ISNA(MATCH(B1915, _xlfn._xlws.FILTER(B:B, A:A="2021-04"), 0))), "Left", "Ativo")</f>
        <v>Ativo</v>
      </c>
    </row>
    <row r="1916" spans="1:6" x14ac:dyDescent="0.25">
      <c r="A1916" t="s">
        <v>1530</v>
      </c>
      <c r="B1916" t="s">
        <v>20</v>
      </c>
      <c r="C1916" s="10" t="str" cm="1">
        <f t="array" ref="C1916">IF(AND(A1916="2020-12", ISNA(MATCH(B1916, _xlfn._xlws.FILTER(B:B, A:A="2021-01"), 0))), "Left", "Ativo")</f>
        <v>Ativo</v>
      </c>
      <c r="D1916" s="10" t="str" cm="1">
        <f t="array" ref="D1916">IF(AND(A1916="2021-01", ISNA(MATCH(B1916, _xlfn._xlws.FILTER(B:B, A:A="2021-02"), 0))), "Left", "Ativo")</f>
        <v>Ativo</v>
      </c>
      <c r="E1916" s="10" t="str" cm="1">
        <f t="array" ref="E1916">IF(AND(A1916="2021-02", ISNA(MATCH(B1916, _xlfn._xlws.FILTER(B:B, A:A="2021-03"), 0))), "Left", "Ativo")</f>
        <v>Ativo</v>
      </c>
      <c r="F1916" s="12" t="str" cm="1">
        <f t="array" ref="F1916">IF(AND(A1916="2021-03", ISNA(MATCH(B1916, _xlfn._xlws.FILTER(B:B, A:A="2021-04"), 0))), "Left", "Ativo")</f>
        <v>Ativo</v>
      </c>
    </row>
    <row r="1917" spans="1:6" x14ac:dyDescent="0.25">
      <c r="A1917" t="s">
        <v>1530</v>
      </c>
      <c r="B1917" t="s">
        <v>21</v>
      </c>
      <c r="C1917" s="10" t="str" cm="1">
        <f t="array" ref="C1917">IF(AND(A1917="2020-12", ISNA(MATCH(B1917, _xlfn._xlws.FILTER(B:B, A:A="2021-01"), 0))), "Left", "Ativo")</f>
        <v>Ativo</v>
      </c>
      <c r="D1917" s="10" t="str" cm="1">
        <f t="array" ref="D1917">IF(AND(A1917="2021-01", ISNA(MATCH(B1917, _xlfn._xlws.FILTER(B:B, A:A="2021-02"), 0))), "Left", "Ativo")</f>
        <v>Ativo</v>
      </c>
      <c r="E1917" s="10" t="str" cm="1">
        <f t="array" ref="E1917">IF(AND(A1917="2021-02", ISNA(MATCH(B1917, _xlfn._xlws.FILTER(B:B, A:A="2021-03"), 0))), "Left", "Ativo")</f>
        <v>Ativo</v>
      </c>
      <c r="F1917" s="12" t="str" cm="1">
        <f t="array" ref="F1917">IF(AND(A1917="2021-03", ISNA(MATCH(B1917, _xlfn._xlws.FILTER(B:B, A:A="2021-04"), 0))), "Left", "Ativo")</f>
        <v>Ativo</v>
      </c>
    </row>
    <row r="1918" spans="1:6" x14ac:dyDescent="0.25">
      <c r="A1918" t="s">
        <v>1530</v>
      </c>
      <c r="B1918" t="s">
        <v>22</v>
      </c>
      <c r="C1918" s="10" t="str" cm="1">
        <f t="array" ref="C1918">IF(AND(A1918="2020-12", ISNA(MATCH(B1918, _xlfn._xlws.FILTER(B:B, A:A="2021-01"), 0))), "Left", "Ativo")</f>
        <v>Ativo</v>
      </c>
      <c r="D1918" s="10" t="str" cm="1">
        <f t="array" ref="D1918">IF(AND(A1918="2021-01", ISNA(MATCH(B1918, _xlfn._xlws.FILTER(B:B, A:A="2021-02"), 0))), "Left", "Ativo")</f>
        <v>Ativo</v>
      </c>
      <c r="E1918" s="10" t="str" cm="1">
        <f t="array" ref="E1918">IF(AND(A1918="2021-02", ISNA(MATCH(B1918, _xlfn._xlws.FILTER(B:B, A:A="2021-03"), 0))), "Left", "Ativo")</f>
        <v>Ativo</v>
      </c>
      <c r="F1918" s="12" t="str" cm="1">
        <f t="array" ref="F1918">IF(AND(A1918="2021-03", ISNA(MATCH(B1918, _xlfn._xlws.FILTER(B:B, A:A="2021-04"), 0))), "Left", "Ativo")</f>
        <v>Ativo</v>
      </c>
    </row>
    <row r="1919" spans="1:6" x14ac:dyDescent="0.25">
      <c r="A1919" t="s">
        <v>1530</v>
      </c>
      <c r="B1919" t="s">
        <v>23</v>
      </c>
      <c r="C1919" s="10" t="str" cm="1">
        <f t="array" ref="C1919">IF(AND(A1919="2020-12", ISNA(MATCH(B1919, _xlfn._xlws.FILTER(B:B, A:A="2021-01"), 0))), "Left", "Ativo")</f>
        <v>Ativo</v>
      </c>
      <c r="D1919" s="10" t="str" cm="1">
        <f t="array" ref="D1919">IF(AND(A1919="2021-01", ISNA(MATCH(B1919, _xlfn._xlws.FILTER(B:B, A:A="2021-02"), 0))), "Left", "Ativo")</f>
        <v>Ativo</v>
      </c>
      <c r="E1919" s="10" t="str" cm="1">
        <f t="array" ref="E1919">IF(AND(A1919="2021-02", ISNA(MATCH(B1919, _xlfn._xlws.FILTER(B:B, A:A="2021-03"), 0))), "Left", "Ativo")</f>
        <v>Ativo</v>
      </c>
      <c r="F1919" s="12" t="str" cm="1">
        <f t="array" ref="F1919">IF(AND(A1919="2021-03", ISNA(MATCH(B1919, _xlfn._xlws.FILTER(B:B, A:A="2021-04"), 0))), "Left", "Ativo")</f>
        <v>Ativo</v>
      </c>
    </row>
    <row r="1920" spans="1:6" x14ac:dyDescent="0.25">
      <c r="A1920" t="s">
        <v>1530</v>
      </c>
      <c r="B1920" t="s">
        <v>24</v>
      </c>
      <c r="C1920" s="10" t="str" cm="1">
        <f t="array" ref="C1920">IF(AND(A1920="2020-12", ISNA(MATCH(B1920, _xlfn._xlws.FILTER(B:B, A:A="2021-01"), 0))), "Left", "Ativo")</f>
        <v>Ativo</v>
      </c>
      <c r="D1920" s="10" t="str" cm="1">
        <f t="array" ref="D1920">IF(AND(A1920="2021-01", ISNA(MATCH(B1920, _xlfn._xlws.FILTER(B:B, A:A="2021-02"), 0))), "Left", "Ativo")</f>
        <v>Ativo</v>
      </c>
      <c r="E1920" s="10" t="str" cm="1">
        <f t="array" ref="E1920">IF(AND(A1920="2021-02", ISNA(MATCH(B1920, _xlfn._xlws.FILTER(B:B, A:A="2021-03"), 0))), "Left", "Ativo")</f>
        <v>Ativo</v>
      </c>
      <c r="F1920" s="12" t="str" cm="1">
        <f t="array" ref="F1920">IF(AND(A1920="2021-03", ISNA(MATCH(B1920, _xlfn._xlws.FILTER(B:B, A:A="2021-04"), 0))), "Left", "Ativo")</f>
        <v>Ativo</v>
      </c>
    </row>
    <row r="1921" spans="1:6" x14ac:dyDescent="0.25">
      <c r="A1921" t="s">
        <v>1530</v>
      </c>
      <c r="B1921" t="s">
        <v>25</v>
      </c>
      <c r="C1921" s="10" t="str" cm="1">
        <f t="array" ref="C1921">IF(AND(A1921="2020-12", ISNA(MATCH(B1921, _xlfn._xlws.FILTER(B:B, A:A="2021-01"), 0))), "Left", "Ativo")</f>
        <v>Ativo</v>
      </c>
      <c r="D1921" s="10" t="str" cm="1">
        <f t="array" ref="D1921">IF(AND(A1921="2021-01", ISNA(MATCH(B1921, _xlfn._xlws.FILTER(B:B, A:A="2021-02"), 0))), "Left", "Ativo")</f>
        <v>Ativo</v>
      </c>
      <c r="E1921" s="10" t="str" cm="1">
        <f t="array" ref="E1921">IF(AND(A1921="2021-02", ISNA(MATCH(B1921, _xlfn._xlws.FILTER(B:B, A:A="2021-03"), 0))), "Left", "Ativo")</f>
        <v>Ativo</v>
      </c>
      <c r="F1921" s="12" t="str" cm="1">
        <f t="array" ref="F1921">IF(AND(A1921="2021-03", ISNA(MATCH(B1921, _xlfn._xlws.FILTER(B:B, A:A="2021-04"), 0))), "Left", "Ativo")</f>
        <v>Ativo</v>
      </c>
    </row>
    <row r="1922" spans="1:6" x14ac:dyDescent="0.25">
      <c r="A1922" t="s">
        <v>1530</v>
      </c>
      <c r="B1922" t="s">
        <v>26</v>
      </c>
      <c r="C1922" s="10" t="str" cm="1">
        <f t="array" ref="C1922">IF(AND(A1922="2020-12", ISNA(MATCH(B1922, _xlfn._xlws.FILTER(B:B, A:A="2021-01"), 0))), "Left", "Ativo")</f>
        <v>Ativo</v>
      </c>
      <c r="D1922" s="10" t="str" cm="1">
        <f t="array" ref="D1922">IF(AND(A1922="2021-01", ISNA(MATCH(B1922, _xlfn._xlws.FILTER(B:B, A:A="2021-02"), 0))), "Left", "Ativo")</f>
        <v>Ativo</v>
      </c>
      <c r="E1922" s="10" t="str" cm="1">
        <f t="array" ref="E1922">IF(AND(A1922="2021-02", ISNA(MATCH(B1922, _xlfn._xlws.FILTER(B:B, A:A="2021-03"), 0))), "Left", "Ativo")</f>
        <v>Ativo</v>
      </c>
      <c r="F1922" s="12" t="str" cm="1">
        <f t="array" ref="F1922">IF(AND(A1922="2021-03", ISNA(MATCH(B1922, _xlfn._xlws.FILTER(B:B, A:A="2021-04"), 0))), "Left", "Ativo")</f>
        <v>Ativo</v>
      </c>
    </row>
    <row r="1923" spans="1:6" x14ac:dyDescent="0.25">
      <c r="A1923" t="s">
        <v>1530</v>
      </c>
      <c r="B1923" t="s">
        <v>27</v>
      </c>
      <c r="C1923" s="10" t="str" cm="1">
        <f t="array" ref="C1923">IF(AND(A1923="2020-12", ISNA(MATCH(B1923, _xlfn._xlws.FILTER(B:B, A:A="2021-01"), 0))), "Left", "Ativo")</f>
        <v>Ativo</v>
      </c>
      <c r="D1923" s="10" t="str" cm="1">
        <f t="array" ref="D1923">IF(AND(A1923="2021-01", ISNA(MATCH(B1923, _xlfn._xlws.FILTER(B:B, A:A="2021-02"), 0))), "Left", "Ativo")</f>
        <v>Ativo</v>
      </c>
      <c r="E1923" s="10" t="str" cm="1">
        <f t="array" ref="E1923">IF(AND(A1923="2021-02", ISNA(MATCH(B1923, _xlfn._xlws.FILTER(B:B, A:A="2021-03"), 0))), "Left", "Ativo")</f>
        <v>Ativo</v>
      </c>
      <c r="F1923" s="12" t="str" cm="1">
        <f t="array" ref="F1923">IF(AND(A1923="2021-03", ISNA(MATCH(B1923, _xlfn._xlws.FILTER(B:B, A:A="2021-04"), 0))), "Left", "Ativo")</f>
        <v>Ativo</v>
      </c>
    </row>
    <row r="1924" spans="1:6" x14ac:dyDescent="0.25">
      <c r="A1924" t="s">
        <v>1530</v>
      </c>
      <c r="B1924" t="s">
        <v>28</v>
      </c>
      <c r="C1924" s="10" t="str" cm="1">
        <f t="array" ref="C1924">IF(AND(A1924="2020-12", ISNA(MATCH(B1924, _xlfn._xlws.FILTER(B:B, A:A="2021-01"), 0))), "Left", "Ativo")</f>
        <v>Ativo</v>
      </c>
      <c r="D1924" s="10" t="str" cm="1">
        <f t="array" ref="D1924">IF(AND(A1924="2021-01", ISNA(MATCH(B1924, _xlfn._xlws.FILTER(B:B, A:A="2021-02"), 0))), "Left", "Ativo")</f>
        <v>Ativo</v>
      </c>
      <c r="E1924" s="10" t="str" cm="1">
        <f t="array" ref="E1924">IF(AND(A1924="2021-02", ISNA(MATCH(B1924, _xlfn._xlws.FILTER(B:B, A:A="2021-03"), 0))), "Left", "Ativo")</f>
        <v>Ativo</v>
      </c>
      <c r="F1924" s="12" t="str" cm="1">
        <f t="array" ref="F1924">IF(AND(A1924="2021-03", ISNA(MATCH(B1924, _xlfn._xlws.FILTER(B:B, A:A="2021-04"), 0))), "Left", "Ativo")</f>
        <v>Ativo</v>
      </c>
    </row>
    <row r="1925" spans="1:6" x14ac:dyDescent="0.25">
      <c r="A1925" t="s">
        <v>1530</v>
      </c>
      <c r="B1925" t="s">
        <v>29</v>
      </c>
      <c r="C1925" s="10" t="str" cm="1">
        <f t="array" ref="C1925">IF(AND(A1925="2020-12", ISNA(MATCH(B1925, _xlfn._xlws.FILTER(B:B, A:A="2021-01"), 0))), "Left", "Ativo")</f>
        <v>Ativo</v>
      </c>
      <c r="D1925" s="10" t="str" cm="1">
        <f t="array" ref="D1925">IF(AND(A1925="2021-01", ISNA(MATCH(B1925, _xlfn._xlws.FILTER(B:B, A:A="2021-02"), 0))), "Left", "Ativo")</f>
        <v>Ativo</v>
      </c>
      <c r="E1925" s="10" t="str" cm="1">
        <f t="array" ref="E1925">IF(AND(A1925="2021-02", ISNA(MATCH(B1925, _xlfn._xlws.FILTER(B:B, A:A="2021-03"), 0))), "Left", "Ativo")</f>
        <v>Ativo</v>
      </c>
      <c r="F1925" s="12" t="str" cm="1">
        <f t="array" ref="F1925">IF(AND(A1925="2021-03", ISNA(MATCH(B1925, _xlfn._xlws.FILTER(B:B, A:A="2021-04"), 0))), "Left", "Ativo")</f>
        <v>Ativo</v>
      </c>
    </row>
    <row r="1926" spans="1:6" x14ac:dyDescent="0.25">
      <c r="A1926" t="s">
        <v>1530</v>
      </c>
      <c r="B1926" t="s">
        <v>30</v>
      </c>
      <c r="C1926" s="10" t="str" cm="1">
        <f t="array" ref="C1926">IF(AND(A1926="2020-12", ISNA(MATCH(B1926, _xlfn._xlws.FILTER(B:B, A:A="2021-01"), 0))), "Left", "Ativo")</f>
        <v>Ativo</v>
      </c>
      <c r="D1926" s="10" t="str" cm="1">
        <f t="array" ref="D1926">IF(AND(A1926="2021-01", ISNA(MATCH(B1926, _xlfn._xlws.FILTER(B:B, A:A="2021-02"), 0))), "Left", "Ativo")</f>
        <v>Ativo</v>
      </c>
      <c r="E1926" s="10" t="str" cm="1">
        <f t="array" ref="E1926">IF(AND(A1926="2021-02", ISNA(MATCH(B1926, _xlfn._xlws.FILTER(B:B, A:A="2021-03"), 0))), "Left", "Ativo")</f>
        <v>Ativo</v>
      </c>
      <c r="F1926" s="12" t="str" cm="1">
        <f t="array" ref="F1926">IF(AND(A1926="2021-03", ISNA(MATCH(B1926, _xlfn._xlws.FILTER(B:B, A:A="2021-04"), 0))), "Left", "Ativo")</f>
        <v>Ativo</v>
      </c>
    </row>
    <row r="1927" spans="1:6" x14ac:dyDescent="0.25">
      <c r="A1927" t="s">
        <v>1530</v>
      </c>
      <c r="B1927" t="s">
        <v>31</v>
      </c>
      <c r="C1927" s="10" t="str" cm="1">
        <f t="array" ref="C1927">IF(AND(A1927="2020-12", ISNA(MATCH(B1927, _xlfn._xlws.FILTER(B:B, A:A="2021-01"), 0))), "Left", "Ativo")</f>
        <v>Ativo</v>
      </c>
      <c r="D1927" s="10" t="str" cm="1">
        <f t="array" ref="D1927">IF(AND(A1927="2021-01", ISNA(MATCH(B1927, _xlfn._xlws.FILTER(B:B, A:A="2021-02"), 0))), "Left", "Ativo")</f>
        <v>Ativo</v>
      </c>
      <c r="E1927" s="10" t="str" cm="1">
        <f t="array" ref="E1927">IF(AND(A1927="2021-02", ISNA(MATCH(B1927, _xlfn._xlws.FILTER(B:B, A:A="2021-03"), 0))), "Left", "Ativo")</f>
        <v>Ativo</v>
      </c>
      <c r="F1927" s="12" t="str" cm="1">
        <f t="array" ref="F1927">IF(AND(A1927="2021-03", ISNA(MATCH(B1927, _xlfn._xlws.FILTER(B:B, A:A="2021-04"), 0))), "Left", "Ativo")</f>
        <v>Ativo</v>
      </c>
    </row>
    <row r="1928" spans="1:6" x14ac:dyDescent="0.25">
      <c r="A1928" t="s">
        <v>1530</v>
      </c>
      <c r="B1928" t="s">
        <v>32</v>
      </c>
      <c r="C1928" s="10" t="str" cm="1">
        <f t="array" ref="C1928">IF(AND(A1928="2020-12", ISNA(MATCH(B1928, _xlfn._xlws.FILTER(B:B, A:A="2021-01"), 0))), "Left", "Ativo")</f>
        <v>Ativo</v>
      </c>
      <c r="D1928" s="10" t="str" cm="1">
        <f t="array" ref="D1928">IF(AND(A1928="2021-01", ISNA(MATCH(B1928, _xlfn._xlws.FILTER(B:B, A:A="2021-02"), 0))), "Left", "Ativo")</f>
        <v>Ativo</v>
      </c>
      <c r="E1928" s="10" t="str" cm="1">
        <f t="array" ref="E1928">IF(AND(A1928="2021-02", ISNA(MATCH(B1928, _xlfn._xlws.FILTER(B:B, A:A="2021-03"), 0))), "Left", "Ativo")</f>
        <v>Ativo</v>
      </c>
      <c r="F1928" s="12" t="str" cm="1">
        <f t="array" ref="F1928">IF(AND(A1928="2021-03", ISNA(MATCH(B1928, _xlfn._xlws.FILTER(B:B, A:A="2021-04"), 0))), "Left", "Ativo")</f>
        <v>Ativo</v>
      </c>
    </row>
    <row r="1929" spans="1:6" x14ac:dyDescent="0.25">
      <c r="A1929" t="s">
        <v>1530</v>
      </c>
      <c r="B1929" t="s">
        <v>33</v>
      </c>
      <c r="C1929" s="10" t="str" cm="1">
        <f t="array" ref="C1929">IF(AND(A1929="2020-12", ISNA(MATCH(B1929, _xlfn._xlws.FILTER(B:B, A:A="2021-01"), 0))), "Left", "Ativo")</f>
        <v>Ativo</v>
      </c>
      <c r="D1929" s="10" t="str" cm="1">
        <f t="array" ref="D1929">IF(AND(A1929="2021-01", ISNA(MATCH(B1929, _xlfn._xlws.FILTER(B:B, A:A="2021-02"), 0))), "Left", "Ativo")</f>
        <v>Ativo</v>
      </c>
      <c r="E1929" s="10" t="str" cm="1">
        <f t="array" ref="E1929">IF(AND(A1929="2021-02", ISNA(MATCH(B1929, _xlfn._xlws.FILTER(B:B, A:A="2021-03"), 0))), "Left", "Ativo")</f>
        <v>Ativo</v>
      </c>
      <c r="F1929" s="12" t="str" cm="1">
        <f t="array" ref="F1929">IF(AND(A1929="2021-03", ISNA(MATCH(B1929, _xlfn._xlws.FILTER(B:B, A:A="2021-04"), 0))), "Left", "Ativo")</f>
        <v>Ativo</v>
      </c>
    </row>
    <row r="1930" spans="1:6" x14ac:dyDescent="0.25">
      <c r="A1930" t="s">
        <v>1530</v>
      </c>
      <c r="B1930" t="s">
        <v>34</v>
      </c>
      <c r="C1930" s="10" t="str" cm="1">
        <f t="array" ref="C1930">IF(AND(A1930="2020-12", ISNA(MATCH(B1930, _xlfn._xlws.FILTER(B:B, A:A="2021-01"), 0))), "Left", "Ativo")</f>
        <v>Ativo</v>
      </c>
      <c r="D1930" s="10" t="str" cm="1">
        <f t="array" ref="D1930">IF(AND(A1930="2021-01", ISNA(MATCH(B1930, _xlfn._xlws.FILTER(B:B, A:A="2021-02"), 0))), "Left", "Ativo")</f>
        <v>Ativo</v>
      </c>
      <c r="E1930" s="10" t="str" cm="1">
        <f t="array" ref="E1930">IF(AND(A1930="2021-02", ISNA(MATCH(B1930, _xlfn._xlws.FILTER(B:B, A:A="2021-03"), 0))), "Left", "Ativo")</f>
        <v>Ativo</v>
      </c>
      <c r="F1930" s="12" t="str" cm="1">
        <f t="array" ref="F1930">IF(AND(A1930="2021-03", ISNA(MATCH(B1930, _xlfn._xlws.FILTER(B:B, A:A="2021-04"), 0))), "Left", "Ativo")</f>
        <v>Ativo</v>
      </c>
    </row>
    <row r="1931" spans="1:6" x14ac:dyDescent="0.25">
      <c r="A1931" t="s">
        <v>1530</v>
      </c>
      <c r="B1931" t="s">
        <v>35</v>
      </c>
      <c r="C1931" s="10" t="str" cm="1">
        <f t="array" ref="C1931">IF(AND(A1931="2020-12", ISNA(MATCH(B1931, _xlfn._xlws.FILTER(B:B, A:A="2021-01"), 0))), "Left", "Ativo")</f>
        <v>Ativo</v>
      </c>
      <c r="D1931" s="10" t="str" cm="1">
        <f t="array" ref="D1931">IF(AND(A1931="2021-01", ISNA(MATCH(B1931, _xlfn._xlws.FILTER(B:B, A:A="2021-02"), 0))), "Left", "Ativo")</f>
        <v>Ativo</v>
      </c>
      <c r="E1931" s="10" t="str" cm="1">
        <f t="array" ref="E1931">IF(AND(A1931="2021-02", ISNA(MATCH(B1931, _xlfn._xlws.FILTER(B:B, A:A="2021-03"), 0))), "Left", "Ativo")</f>
        <v>Ativo</v>
      </c>
      <c r="F1931" s="12" t="str" cm="1">
        <f t="array" ref="F1931">IF(AND(A1931="2021-03", ISNA(MATCH(B1931, _xlfn._xlws.FILTER(B:B, A:A="2021-04"), 0))), "Left", "Ativo")</f>
        <v>Ativo</v>
      </c>
    </row>
    <row r="1932" spans="1:6" x14ac:dyDescent="0.25">
      <c r="A1932" t="s">
        <v>1530</v>
      </c>
      <c r="B1932" t="s">
        <v>36</v>
      </c>
      <c r="C1932" s="10" t="str" cm="1">
        <f t="array" ref="C1932">IF(AND(A1932="2020-12", ISNA(MATCH(B1932, _xlfn._xlws.FILTER(B:B, A:A="2021-01"), 0))), "Left", "Ativo")</f>
        <v>Ativo</v>
      </c>
      <c r="D1932" s="10" t="str" cm="1">
        <f t="array" ref="D1932">IF(AND(A1932="2021-01", ISNA(MATCH(B1932, _xlfn._xlws.FILTER(B:B, A:A="2021-02"), 0))), "Left", "Ativo")</f>
        <v>Ativo</v>
      </c>
      <c r="E1932" s="10" t="str" cm="1">
        <f t="array" ref="E1932">IF(AND(A1932="2021-02", ISNA(MATCH(B1932, _xlfn._xlws.FILTER(B:B, A:A="2021-03"), 0))), "Left", "Ativo")</f>
        <v>Ativo</v>
      </c>
      <c r="F1932" s="12" t="str" cm="1">
        <f t="array" ref="F1932">IF(AND(A1932="2021-03", ISNA(MATCH(B1932, _xlfn._xlws.FILTER(B:B, A:A="2021-04"), 0))), "Left", "Ativo")</f>
        <v>Ativo</v>
      </c>
    </row>
    <row r="1933" spans="1:6" x14ac:dyDescent="0.25">
      <c r="A1933" t="s">
        <v>1530</v>
      </c>
      <c r="B1933" t="s">
        <v>37</v>
      </c>
      <c r="C1933" s="10" t="str" cm="1">
        <f t="array" ref="C1933">IF(AND(A1933="2020-12", ISNA(MATCH(B1933, _xlfn._xlws.FILTER(B:B, A:A="2021-01"), 0))), "Left", "Ativo")</f>
        <v>Ativo</v>
      </c>
      <c r="D1933" s="10" t="str" cm="1">
        <f t="array" ref="D1933">IF(AND(A1933="2021-01", ISNA(MATCH(B1933, _xlfn._xlws.FILTER(B:B, A:A="2021-02"), 0))), "Left", "Ativo")</f>
        <v>Ativo</v>
      </c>
      <c r="E1933" s="10" t="str" cm="1">
        <f t="array" ref="E1933">IF(AND(A1933="2021-02", ISNA(MATCH(B1933, _xlfn._xlws.FILTER(B:B, A:A="2021-03"), 0))), "Left", "Ativo")</f>
        <v>Ativo</v>
      </c>
      <c r="F1933" s="12" t="str" cm="1">
        <f t="array" ref="F1933">IF(AND(A1933="2021-03", ISNA(MATCH(B1933, _xlfn._xlws.FILTER(B:B, A:A="2021-04"), 0))), "Left", "Ativo")</f>
        <v>Ativo</v>
      </c>
    </row>
    <row r="1934" spans="1:6" x14ac:dyDescent="0.25">
      <c r="A1934" t="s">
        <v>1530</v>
      </c>
      <c r="B1934" t="s">
        <v>38</v>
      </c>
      <c r="C1934" s="10" t="str" cm="1">
        <f t="array" ref="C1934">IF(AND(A1934="2020-12", ISNA(MATCH(B1934, _xlfn._xlws.FILTER(B:B, A:A="2021-01"), 0))), "Left", "Ativo")</f>
        <v>Ativo</v>
      </c>
      <c r="D1934" s="10" t="str" cm="1">
        <f t="array" ref="D1934">IF(AND(A1934="2021-01", ISNA(MATCH(B1934, _xlfn._xlws.FILTER(B:B, A:A="2021-02"), 0))), "Left", "Ativo")</f>
        <v>Ativo</v>
      </c>
      <c r="E1934" s="10" t="str" cm="1">
        <f t="array" ref="E1934">IF(AND(A1934="2021-02", ISNA(MATCH(B1934, _xlfn._xlws.FILTER(B:B, A:A="2021-03"), 0))), "Left", "Ativo")</f>
        <v>Ativo</v>
      </c>
      <c r="F1934" s="12" t="str" cm="1">
        <f t="array" ref="F1934">IF(AND(A1934="2021-03", ISNA(MATCH(B1934, _xlfn._xlws.FILTER(B:B, A:A="2021-04"), 0))), "Left", "Ativo")</f>
        <v>Ativo</v>
      </c>
    </row>
    <row r="1935" spans="1:6" x14ac:dyDescent="0.25">
      <c r="A1935" t="s">
        <v>1530</v>
      </c>
      <c r="B1935" t="s">
        <v>39</v>
      </c>
      <c r="C1935" s="10" t="str" cm="1">
        <f t="array" ref="C1935">IF(AND(A1935="2020-12", ISNA(MATCH(B1935, _xlfn._xlws.FILTER(B:B, A:A="2021-01"), 0))), "Left", "Ativo")</f>
        <v>Ativo</v>
      </c>
      <c r="D1935" s="10" t="str" cm="1">
        <f t="array" ref="D1935">IF(AND(A1935="2021-01", ISNA(MATCH(B1935, _xlfn._xlws.FILTER(B:B, A:A="2021-02"), 0))), "Left", "Ativo")</f>
        <v>Ativo</v>
      </c>
      <c r="E1935" s="10" t="str" cm="1">
        <f t="array" ref="E1935">IF(AND(A1935="2021-02", ISNA(MATCH(B1935, _xlfn._xlws.FILTER(B:B, A:A="2021-03"), 0))), "Left", "Ativo")</f>
        <v>Ativo</v>
      </c>
      <c r="F1935" s="12" t="str" cm="1">
        <f t="array" ref="F1935">IF(AND(A1935="2021-03", ISNA(MATCH(B1935, _xlfn._xlws.FILTER(B:B, A:A="2021-04"), 0))), "Left", "Ativo")</f>
        <v>Ativo</v>
      </c>
    </row>
    <row r="1936" spans="1:6" x14ac:dyDescent="0.25">
      <c r="A1936" t="s">
        <v>1530</v>
      </c>
      <c r="B1936" t="s">
        <v>40</v>
      </c>
      <c r="C1936" s="10" t="str" cm="1">
        <f t="array" ref="C1936">IF(AND(A1936="2020-12", ISNA(MATCH(B1936, _xlfn._xlws.FILTER(B:B, A:A="2021-01"), 0))), "Left", "Ativo")</f>
        <v>Ativo</v>
      </c>
      <c r="D1936" s="10" t="str" cm="1">
        <f t="array" ref="D1936">IF(AND(A1936="2021-01", ISNA(MATCH(B1936, _xlfn._xlws.FILTER(B:B, A:A="2021-02"), 0))), "Left", "Ativo")</f>
        <v>Ativo</v>
      </c>
      <c r="E1936" s="10" t="str" cm="1">
        <f t="array" ref="E1936">IF(AND(A1936="2021-02", ISNA(MATCH(B1936, _xlfn._xlws.FILTER(B:B, A:A="2021-03"), 0))), "Left", "Ativo")</f>
        <v>Ativo</v>
      </c>
      <c r="F1936" s="12" t="str" cm="1">
        <f t="array" ref="F1936">IF(AND(A1936="2021-03", ISNA(MATCH(B1936, _xlfn._xlws.FILTER(B:B, A:A="2021-04"), 0))), "Left", "Ativo")</f>
        <v>Ativo</v>
      </c>
    </row>
    <row r="1937" spans="1:6" x14ac:dyDescent="0.25">
      <c r="A1937" t="s">
        <v>1530</v>
      </c>
      <c r="B1937" t="s">
        <v>41</v>
      </c>
      <c r="C1937" s="10" t="str" cm="1">
        <f t="array" ref="C1937">IF(AND(A1937="2020-12", ISNA(MATCH(B1937, _xlfn._xlws.FILTER(B:B, A:A="2021-01"), 0))), "Left", "Ativo")</f>
        <v>Ativo</v>
      </c>
      <c r="D1937" s="10" t="str" cm="1">
        <f t="array" ref="D1937">IF(AND(A1937="2021-01", ISNA(MATCH(B1937, _xlfn._xlws.FILTER(B:B, A:A="2021-02"), 0))), "Left", "Ativo")</f>
        <v>Ativo</v>
      </c>
      <c r="E1937" s="10" t="str" cm="1">
        <f t="array" ref="E1937">IF(AND(A1937="2021-02", ISNA(MATCH(B1937, _xlfn._xlws.FILTER(B:B, A:A="2021-03"), 0))), "Left", "Ativo")</f>
        <v>Ativo</v>
      </c>
      <c r="F1937" s="12" t="str" cm="1">
        <f t="array" ref="F1937">IF(AND(A1937="2021-03", ISNA(MATCH(B1937, _xlfn._xlws.FILTER(B:B, A:A="2021-04"), 0))), "Left", "Ativo")</f>
        <v>Ativo</v>
      </c>
    </row>
    <row r="1938" spans="1:6" x14ac:dyDescent="0.25">
      <c r="A1938" t="s">
        <v>1530</v>
      </c>
      <c r="B1938" t="s">
        <v>42</v>
      </c>
      <c r="C1938" s="10" t="str" cm="1">
        <f t="array" ref="C1938">IF(AND(A1938="2020-12", ISNA(MATCH(B1938, _xlfn._xlws.FILTER(B:B, A:A="2021-01"), 0))), "Left", "Ativo")</f>
        <v>Ativo</v>
      </c>
      <c r="D1938" s="10" t="str" cm="1">
        <f t="array" ref="D1938">IF(AND(A1938="2021-01", ISNA(MATCH(B1938, _xlfn._xlws.FILTER(B:B, A:A="2021-02"), 0))), "Left", "Ativo")</f>
        <v>Ativo</v>
      </c>
      <c r="E1938" s="10" t="str" cm="1">
        <f t="array" ref="E1938">IF(AND(A1938="2021-02", ISNA(MATCH(B1938, _xlfn._xlws.FILTER(B:B, A:A="2021-03"), 0))), "Left", "Ativo")</f>
        <v>Ativo</v>
      </c>
      <c r="F1938" s="12" t="str" cm="1">
        <f t="array" ref="F1938">IF(AND(A1938="2021-03", ISNA(MATCH(B1938, _xlfn._xlws.FILTER(B:B, A:A="2021-04"), 0))), "Left", "Ativo")</f>
        <v>Ativo</v>
      </c>
    </row>
    <row r="1939" spans="1:6" x14ac:dyDescent="0.25">
      <c r="A1939" t="s">
        <v>1530</v>
      </c>
      <c r="B1939" t="s">
        <v>43</v>
      </c>
      <c r="C1939" s="10" t="str" cm="1">
        <f t="array" ref="C1939">IF(AND(A1939="2020-12", ISNA(MATCH(B1939, _xlfn._xlws.FILTER(B:B, A:A="2021-01"), 0))), "Left", "Ativo")</f>
        <v>Ativo</v>
      </c>
      <c r="D1939" s="10" t="str" cm="1">
        <f t="array" ref="D1939">IF(AND(A1939="2021-01", ISNA(MATCH(B1939, _xlfn._xlws.FILTER(B:B, A:A="2021-02"), 0))), "Left", "Ativo")</f>
        <v>Ativo</v>
      </c>
      <c r="E1939" s="10" t="str" cm="1">
        <f t="array" ref="E1939">IF(AND(A1939="2021-02", ISNA(MATCH(B1939, _xlfn._xlws.FILTER(B:B, A:A="2021-03"), 0))), "Left", "Ativo")</f>
        <v>Ativo</v>
      </c>
      <c r="F1939" s="12" t="str" cm="1">
        <f t="array" ref="F1939">IF(AND(A1939="2021-03", ISNA(MATCH(B1939, _xlfn._xlws.FILTER(B:B, A:A="2021-04"), 0))), "Left", "Ativo")</f>
        <v>Ativo</v>
      </c>
    </row>
    <row r="1940" spans="1:6" x14ac:dyDescent="0.25">
      <c r="A1940" t="s">
        <v>1530</v>
      </c>
      <c r="B1940" t="s">
        <v>44</v>
      </c>
      <c r="C1940" s="10" t="str" cm="1">
        <f t="array" ref="C1940">IF(AND(A1940="2020-12", ISNA(MATCH(B1940, _xlfn._xlws.FILTER(B:B, A:A="2021-01"), 0))), "Left", "Ativo")</f>
        <v>Ativo</v>
      </c>
      <c r="D1940" s="10" t="str" cm="1">
        <f t="array" ref="D1940">IF(AND(A1940="2021-01", ISNA(MATCH(B1940, _xlfn._xlws.FILTER(B:B, A:A="2021-02"), 0))), "Left", "Ativo")</f>
        <v>Ativo</v>
      </c>
      <c r="E1940" s="10" t="str" cm="1">
        <f t="array" ref="E1940">IF(AND(A1940="2021-02", ISNA(MATCH(B1940, _xlfn._xlws.FILTER(B:B, A:A="2021-03"), 0))), "Left", "Ativo")</f>
        <v>Ativo</v>
      </c>
      <c r="F1940" s="12" t="str" cm="1">
        <f t="array" ref="F1940">IF(AND(A1940="2021-03", ISNA(MATCH(B1940, _xlfn._xlws.FILTER(B:B, A:A="2021-04"), 0))), "Left", "Ativo")</f>
        <v>Ativo</v>
      </c>
    </row>
    <row r="1941" spans="1:6" x14ac:dyDescent="0.25">
      <c r="A1941" t="s">
        <v>1530</v>
      </c>
      <c r="B1941" t="s">
        <v>45</v>
      </c>
      <c r="C1941" s="10" t="str" cm="1">
        <f t="array" ref="C1941">IF(AND(A1941="2020-12", ISNA(MATCH(B1941, _xlfn._xlws.FILTER(B:B, A:A="2021-01"), 0))), "Left", "Ativo")</f>
        <v>Ativo</v>
      </c>
      <c r="D1941" s="10" t="str" cm="1">
        <f t="array" ref="D1941">IF(AND(A1941="2021-01", ISNA(MATCH(B1941, _xlfn._xlws.FILTER(B:B, A:A="2021-02"), 0))), "Left", "Ativo")</f>
        <v>Ativo</v>
      </c>
      <c r="E1941" s="10" t="str" cm="1">
        <f t="array" ref="E1941">IF(AND(A1941="2021-02", ISNA(MATCH(B1941, _xlfn._xlws.FILTER(B:B, A:A="2021-03"), 0))), "Left", "Ativo")</f>
        <v>Ativo</v>
      </c>
      <c r="F1941" s="12" t="str" cm="1">
        <f t="array" ref="F1941">IF(AND(A1941="2021-03", ISNA(MATCH(B1941, _xlfn._xlws.FILTER(B:B, A:A="2021-04"), 0))), "Left", "Ativo")</f>
        <v>Ativo</v>
      </c>
    </row>
    <row r="1942" spans="1:6" x14ac:dyDescent="0.25">
      <c r="A1942" t="s">
        <v>1530</v>
      </c>
      <c r="B1942" t="s">
        <v>46</v>
      </c>
      <c r="C1942" s="10" t="str" cm="1">
        <f t="array" ref="C1942">IF(AND(A1942="2020-12", ISNA(MATCH(B1942, _xlfn._xlws.FILTER(B:B, A:A="2021-01"), 0))), "Left", "Ativo")</f>
        <v>Ativo</v>
      </c>
      <c r="D1942" s="10" t="str" cm="1">
        <f t="array" ref="D1942">IF(AND(A1942="2021-01", ISNA(MATCH(B1942, _xlfn._xlws.FILTER(B:B, A:A="2021-02"), 0))), "Left", "Ativo")</f>
        <v>Ativo</v>
      </c>
      <c r="E1942" s="10" t="str" cm="1">
        <f t="array" ref="E1942">IF(AND(A1942="2021-02", ISNA(MATCH(B1942, _xlfn._xlws.FILTER(B:B, A:A="2021-03"), 0))), "Left", "Ativo")</f>
        <v>Left</v>
      </c>
      <c r="F1942" s="12" t="str" cm="1">
        <f t="array" ref="F1942">IF(AND(A1942="2021-03", ISNA(MATCH(B1942, _xlfn._xlws.FILTER(B:B, A:A="2021-04"), 0))), "Left", "Ativo")</f>
        <v>Ativo</v>
      </c>
    </row>
    <row r="1943" spans="1:6" x14ac:dyDescent="0.25">
      <c r="A1943" t="s">
        <v>1530</v>
      </c>
      <c r="B1943" t="s">
        <v>47</v>
      </c>
      <c r="C1943" s="10" t="str" cm="1">
        <f t="array" ref="C1943">IF(AND(A1943="2020-12", ISNA(MATCH(B1943, _xlfn._xlws.FILTER(B:B, A:A="2021-01"), 0))), "Left", "Ativo")</f>
        <v>Ativo</v>
      </c>
      <c r="D1943" s="10" t="str" cm="1">
        <f t="array" ref="D1943">IF(AND(A1943="2021-01", ISNA(MATCH(B1943, _xlfn._xlws.FILTER(B:B, A:A="2021-02"), 0))), "Left", "Ativo")</f>
        <v>Ativo</v>
      </c>
      <c r="E1943" s="10" t="str" cm="1">
        <f t="array" ref="E1943">IF(AND(A1943="2021-02", ISNA(MATCH(B1943, _xlfn._xlws.FILTER(B:B, A:A="2021-03"), 0))), "Left", "Ativo")</f>
        <v>Ativo</v>
      </c>
      <c r="F1943" s="12" t="str" cm="1">
        <f t="array" ref="F1943">IF(AND(A1943="2021-03", ISNA(MATCH(B1943, _xlfn._xlws.FILTER(B:B, A:A="2021-04"), 0))), "Left", "Ativo")</f>
        <v>Ativo</v>
      </c>
    </row>
    <row r="1944" spans="1:6" x14ac:dyDescent="0.25">
      <c r="A1944" t="s">
        <v>1530</v>
      </c>
      <c r="B1944" t="s">
        <v>48</v>
      </c>
      <c r="C1944" s="10" t="str" cm="1">
        <f t="array" ref="C1944">IF(AND(A1944="2020-12", ISNA(MATCH(B1944, _xlfn._xlws.FILTER(B:B, A:A="2021-01"), 0))), "Left", "Ativo")</f>
        <v>Ativo</v>
      </c>
      <c r="D1944" s="10" t="str" cm="1">
        <f t="array" ref="D1944">IF(AND(A1944="2021-01", ISNA(MATCH(B1944, _xlfn._xlws.FILTER(B:B, A:A="2021-02"), 0))), "Left", "Ativo")</f>
        <v>Ativo</v>
      </c>
      <c r="E1944" s="10" t="str" cm="1">
        <f t="array" ref="E1944">IF(AND(A1944="2021-02", ISNA(MATCH(B1944, _xlfn._xlws.FILTER(B:B, A:A="2021-03"), 0))), "Left", "Ativo")</f>
        <v>Ativo</v>
      </c>
      <c r="F1944" s="12" t="str" cm="1">
        <f t="array" ref="F1944">IF(AND(A1944="2021-03", ISNA(MATCH(B1944, _xlfn._xlws.FILTER(B:B, A:A="2021-04"), 0))), "Left", "Ativo")</f>
        <v>Ativo</v>
      </c>
    </row>
    <row r="1945" spans="1:6" x14ac:dyDescent="0.25">
      <c r="A1945" t="s">
        <v>1530</v>
      </c>
      <c r="B1945" t="s">
        <v>49</v>
      </c>
      <c r="C1945" s="10" t="str" cm="1">
        <f t="array" ref="C1945">IF(AND(A1945="2020-12", ISNA(MATCH(B1945, _xlfn._xlws.FILTER(B:B, A:A="2021-01"), 0))), "Left", "Ativo")</f>
        <v>Ativo</v>
      </c>
      <c r="D1945" s="10" t="str" cm="1">
        <f t="array" ref="D1945">IF(AND(A1945="2021-01", ISNA(MATCH(B1945, _xlfn._xlws.FILTER(B:B, A:A="2021-02"), 0))), "Left", "Ativo")</f>
        <v>Ativo</v>
      </c>
      <c r="E1945" s="10" t="str" cm="1">
        <f t="array" ref="E1945">IF(AND(A1945="2021-02", ISNA(MATCH(B1945, _xlfn._xlws.FILTER(B:B, A:A="2021-03"), 0))), "Left", "Ativo")</f>
        <v>Left</v>
      </c>
      <c r="F1945" s="12" t="str" cm="1">
        <f t="array" ref="F1945">IF(AND(A1945="2021-03", ISNA(MATCH(B1945, _xlfn._xlws.FILTER(B:B, A:A="2021-04"), 0))), "Left", "Ativo")</f>
        <v>Ativo</v>
      </c>
    </row>
    <row r="1946" spans="1:6" x14ac:dyDescent="0.25">
      <c r="A1946" t="s">
        <v>1530</v>
      </c>
      <c r="B1946" t="s">
        <v>50</v>
      </c>
      <c r="C1946" s="10" t="str" cm="1">
        <f t="array" ref="C1946">IF(AND(A1946="2020-12", ISNA(MATCH(B1946, _xlfn._xlws.FILTER(B:B, A:A="2021-01"), 0))), "Left", "Ativo")</f>
        <v>Ativo</v>
      </c>
      <c r="D1946" s="10" t="str" cm="1">
        <f t="array" ref="D1946">IF(AND(A1946="2021-01", ISNA(MATCH(B1946, _xlfn._xlws.FILTER(B:B, A:A="2021-02"), 0))), "Left", "Ativo")</f>
        <v>Ativo</v>
      </c>
      <c r="E1946" s="10" t="str" cm="1">
        <f t="array" ref="E1946">IF(AND(A1946="2021-02", ISNA(MATCH(B1946, _xlfn._xlws.FILTER(B:B, A:A="2021-03"), 0))), "Left", "Ativo")</f>
        <v>Left</v>
      </c>
      <c r="F1946" s="12" t="str" cm="1">
        <f t="array" ref="F1946">IF(AND(A1946="2021-03", ISNA(MATCH(B1946, _xlfn._xlws.FILTER(B:B, A:A="2021-04"), 0))), "Left", "Ativo")</f>
        <v>Ativo</v>
      </c>
    </row>
    <row r="1947" spans="1:6" x14ac:dyDescent="0.25">
      <c r="A1947" t="s">
        <v>1530</v>
      </c>
      <c r="B1947" t="s">
        <v>51</v>
      </c>
      <c r="C1947" s="10" t="str" cm="1">
        <f t="array" ref="C1947">IF(AND(A1947="2020-12", ISNA(MATCH(B1947, _xlfn._xlws.FILTER(B:B, A:A="2021-01"), 0))), "Left", "Ativo")</f>
        <v>Ativo</v>
      </c>
      <c r="D1947" s="10" t="str" cm="1">
        <f t="array" ref="D1947">IF(AND(A1947="2021-01", ISNA(MATCH(B1947, _xlfn._xlws.FILTER(B:B, A:A="2021-02"), 0))), "Left", "Ativo")</f>
        <v>Ativo</v>
      </c>
      <c r="E1947" s="10" t="str" cm="1">
        <f t="array" ref="E1947">IF(AND(A1947="2021-02", ISNA(MATCH(B1947, _xlfn._xlws.FILTER(B:B, A:A="2021-03"), 0))), "Left", "Ativo")</f>
        <v>Ativo</v>
      </c>
      <c r="F1947" s="12" t="str" cm="1">
        <f t="array" ref="F1947">IF(AND(A1947="2021-03", ISNA(MATCH(B1947, _xlfn._xlws.FILTER(B:B, A:A="2021-04"), 0))), "Left", "Ativo")</f>
        <v>Ativo</v>
      </c>
    </row>
    <row r="1948" spans="1:6" x14ac:dyDescent="0.25">
      <c r="A1948" t="s">
        <v>1530</v>
      </c>
      <c r="B1948" t="s">
        <v>52</v>
      </c>
      <c r="C1948" s="10" t="str" cm="1">
        <f t="array" ref="C1948">IF(AND(A1948="2020-12", ISNA(MATCH(B1948, _xlfn._xlws.FILTER(B:B, A:A="2021-01"), 0))), "Left", "Ativo")</f>
        <v>Ativo</v>
      </c>
      <c r="D1948" s="10" t="str" cm="1">
        <f t="array" ref="D1948">IF(AND(A1948="2021-01", ISNA(MATCH(B1948, _xlfn._xlws.FILTER(B:B, A:A="2021-02"), 0))), "Left", "Ativo")</f>
        <v>Ativo</v>
      </c>
      <c r="E1948" s="10" t="str" cm="1">
        <f t="array" ref="E1948">IF(AND(A1948="2021-02", ISNA(MATCH(B1948, _xlfn._xlws.FILTER(B:B, A:A="2021-03"), 0))), "Left", "Ativo")</f>
        <v>Ativo</v>
      </c>
      <c r="F1948" s="12" t="str" cm="1">
        <f t="array" ref="F1948">IF(AND(A1948="2021-03", ISNA(MATCH(B1948, _xlfn._xlws.FILTER(B:B, A:A="2021-04"), 0))), "Left", "Ativo")</f>
        <v>Ativo</v>
      </c>
    </row>
    <row r="1949" spans="1:6" x14ac:dyDescent="0.25">
      <c r="A1949" t="s">
        <v>1530</v>
      </c>
      <c r="B1949" t="s">
        <v>53</v>
      </c>
      <c r="C1949" s="10" t="str" cm="1">
        <f t="array" ref="C1949">IF(AND(A1949="2020-12", ISNA(MATCH(B1949, _xlfn._xlws.FILTER(B:B, A:A="2021-01"), 0))), "Left", "Ativo")</f>
        <v>Ativo</v>
      </c>
      <c r="D1949" s="10" t="str" cm="1">
        <f t="array" ref="D1949">IF(AND(A1949="2021-01", ISNA(MATCH(B1949, _xlfn._xlws.FILTER(B:B, A:A="2021-02"), 0))), "Left", "Ativo")</f>
        <v>Ativo</v>
      </c>
      <c r="E1949" s="10" t="str" cm="1">
        <f t="array" ref="E1949">IF(AND(A1949="2021-02", ISNA(MATCH(B1949, _xlfn._xlws.FILTER(B:B, A:A="2021-03"), 0))), "Left", "Ativo")</f>
        <v>Ativo</v>
      </c>
      <c r="F1949" s="12" t="str" cm="1">
        <f t="array" ref="F1949">IF(AND(A1949="2021-03", ISNA(MATCH(B1949, _xlfn._xlws.FILTER(B:B, A:A="2021-04"), 0))), "Left", "Ativo")</f>
        <v>Ativo</v>
      </c>
    </row>
    <row r="1950" spans="1:6" x14ac:dyDescent="0.25">
      <c r="A1950" t="s">
        <v>1530</v>
      </c>
      <c r="B1950" t="s">
        <v>54</v>
      </c>
      <c r="C1950" s="10" t="str" cm="1">
        <f t="array" ref="C1950">IF(AND(A1950="2020-12", ISNA(MATCH(B1950, _xlfn._xlws.FILTER(B:B, A:A="2021-01"), 0))), "Left", "Ativo")</f>
        <v>Ativo</v>
      </c>
      <c r="D1950" s="10" t="str" cm="1">
        <f t="array" ref="D1950">IF(AND(A1950="2021-01", ISNA(MATCH(B1950, _xlfn._xlws.FILTER(B:B, A:A="2021-02"), 0))), "Left", "Ativo")</f>
        <v>Ativo</v>
      </c>
      <c r="E1950" s="10" t="str" cm="1">
        <f t="array" ref="E1950">IF(AND(A1950="2021-02", ISNA(MATCH(B1950, _xlfn._xlws.FILTER(B:B, A:A="2021-03"), 0))), "Left", "Ativo")</f>
        <v>Ativo</v>
      </c>
      <c r="F1950" s="12" t="str" cm="1">
        <f t="array" ref="F1950">IF(AND(A1950="2021-03", ISNA(MATCH(B1950, _xlfn._xlws.FILTER(B:B, A:A="2021-04"), 0))), "Left", "Ativo")</f>
        <v>Ativo</v>
      </c>
    </row>
    <row r="1951" spans="1:6" x14ac:dyDescent="0.25">
      <c r="A1951" t="s">
        <v>1530</v>
      </c>
      <c r="B1951" t="s">
        <v>55</v>
      </c>
      <c r="C1951" s="10" t="str" cm="1">
        <f t="array" ref="C1951">IF(AND(A1951="2020-12", ISNA(MATCH(B1951, _xlfn._xlws.FILTER(B:B, A:A="2021-01"), 0))), "Left", "Ativo")</f>
        <v>Ativo</v>
      </c>
      <c r="D1951" s="10" t="str" cm="1">
        <f t="array" ref="D1951">IF(AND(A1951="2021-01", ISNA(MATCH(B1951, _xlfn._xlws.FILTER(B:B, A:A="2021-02"), 0))), "Left", "Ativo")</f>
        <v>Ativo</v>
      </c>
      <c r="E1951" s="10" t="str" cm="1">
        <f t="array" ref="E1951">IF(AND(A1951="2021-02", ISNA(MATCH(B1951, _xlfn._xlws.FILTER(B:B, A:A="2021-03"), 0))), "Left", "Ativo")</f>
        <v>Ativo</v>
      </c>
      <c r="F1951" s="12" t="str" cm="1">
        <f t="array" ref="F1951">IF(AND(A1951="2021-03", ISNA(MATCH(B1951, _xlfn._xlws.FILTER(B:B, A:A="2021-04"), 0))), "Left", "Ativo")</f>
        <v>Ativo</v>
      </c>
    </row>
    <row r="1952" spans="1:6" x14ac:dyDescent="0.25">
      <c r="A1952" t="s">
        <v>1530</v>
      </c>
      <c r="B1952" t="s">
        <v>56</v>
      </c>
      <c r="C1952" s="10" t="str" cm="1">
        <f t="array" ref="C1952">IF(AND(A1952="2020-12", ISNA(MATCH(B1952, _xlfn._xlws.FILTER(B:B, A:A="2021-01"), 0))), "Left", "Ativo")</f>
        <v>Ativo</v>
      </c>
      <c r="D1952" s="10" t="str" cm="1">
        <f t="array" ref="D1952">IF(AND(A1952="2021-01", ISNA(MATCH(B1952, _xlfn._xlws.FILTER(B:B, A:A="2021-02"), 0))), "Left", "Ativo")</f>
        <v>Ativo</v>
      </c>
      <c r="E1952" s="10" t="str" cm="1">
        <f t="array" ref="E1952">IF(AND(A1952="2021-02", ISNA(MATCH(B1952, _xlfn._xlws.FILTER(B:B, A:A="2021-03"), 0))), "Left", "Ativo")</f>
        <v>Ativo</v>
      </c>
      <c r="F1952" s="12" t="str" cm="1">
        <f t="array" ref="F1952">IF(AND(A1952="2021-03", ISNA(MATCH(B1952, _xlfn._xlws.FILTER(B:B, A:A="2021-04"), 0))), "Left", "Ativo")</f>
        <v>Ativo</v>
      </c>
    </row>
    <row r="1953" spans="1:6" x14ac:dyDescent="0.25">
      <c r="A1953" t="s">
        <v>1530</v>
      </c>
      <c r="B1953" t="s">
        <v>57</v>
      </c>
      <c r="C1953" s="10" t="str" cm="1">
        <f t="array" ref="C1953">IF(AND(A1953="2020-12", ISNA(MATCH(B1953, _xlfn._xlws.FILTER(B:B, A:A="2021-01"), 0))), "Left", "Ativo")</f>
        <v>Ativo</v>
      </c>
      <c r="D1953" s="10" t="str" cm="1">
        <f t="array" ref="D1953">IF(AND(A1953="2021-01", ISNA(MATCH(B1953, _xlfn._xlws.FILTER(B:B, A:A="2021-02"), 0))), "Left", "Ativo")</f>
        <v>Ativo</v>
      </c>
      <c r="E1953" s="10" t="str" cm="1">
        <f t="array" ref="E1953">IF(AND(A1953="2021-02", ISNA(MATCH(B1953, _xlfn._xlws.FILTER(B:B, A:A="2021-03"), 0))), "Left", "Ativo")</f>
        <v>Ativo</v>
      </c>
      <c r="F1953" s="12" t="str" cm="1">
        <f t="array" ref="F1953">IF(AND(A1953="2021-03", ISNA(MATCH(B1953, _xlfn._xlws.FILTER(B:B, A:A="2021-04"), 0))), "Left", "Ativo")</f>
        <v>Ativo</v>
      </c>
    </row>
    <row r="1954" spans="1:6" x14ac:dyDescent="0.25">
      <c r="A1954" t="s">
        <v>1530</v>
      </c>
      <c r="B1954" t="s">
        <v>58</v>
      </c>
      <c r="C1954" s="10" t="str" cm="1">
        <f t="array" ref="C1954">IF(AND(A1954="2020-12", ISNA(MATCH(B1954, _xlfn._xlws.FILTER(B:B, A:A="2021-01"), 0))), "Left", "Ativo")</f>
        <v>Ativo</v>
      </c>
      <c r="D1954" s="10" t="str" cm="1">
        <f t="array" ref="D1954">IF(AND(A1954="2021-01", ISNA(MATCH(B1954, _xlfn._xlws.FILTER(B:B, A:A="2021-02"), 0))), "Left", "Ativo")</f>
        <v>Ativo</v>
      </c>
      <c r="E1954" s="10" t="str" cm="1">
        <f t="array" ref="E1954">IF(AND(A1954="2021-02", ISNA(MATCH(B1954, _xlfn._xlws.FILTER(B:B, A:A="2021-03"), 0))), "Left", "Ativo")</f>
        <v>Ativo</v>
      </c>
      <c r="F1954" s="12" t="str" cm="1">
        <f t="array" ref="F1954">IF(AND(A1954="2021-03", ISNA(MATCH(B1954, _xlfn._xlws.FILTER(B:B, A:A="2021-04"), 0))), "Left", "Ativo")</f>
        <v>Ativo</v>
      </c>
    </row>
    <row r="1955" spans="1:6" x14ac:dyDescent="0.25">
      <c r="A1955" t="s">
        <v>1530</v>
      </c>
      <c r="B1955" t="s">
        <v>59</v>
      </c>
      <c r="C1955" s="10" t="str" cm="1">
        <f t="array" ref="C1955">IF(AND(A1955="2020-12", ISNA(MATCH(B1955, _xlfn._xlws.FILTER(B:B, A:A="2021-01"), 0))), "Left", "Ativo")</f>
        <v>Ativo</v>
      </c>
      <c r="D1955" s="10" t="str" cm="1">
        <f t="array" ref="D1955">IF(AND(A1955="2021-01", ISNA(MATCH(B1955, _xlfn._xlws.FILTER(B:B, A:A="2021-02"), 0))), "Left", "Ativo")</f>
        <v>Ativo</v>
      </c>
      <c r="E1955" s="10" t="str" cm="1">
        <f t="array" ref="E1955">IF(AND(A1955="2021-02", ISNA(MATCH(B1955, _xlfn._xlws.FILTER(B:B, A:A="2021-03"), 0))), "Left", "Ativo")</f>
        <v>Ativo</v>
      </c>
      <c r="F1955" s="12" t="str" cm="1">
        <f t="array" ref="F1955">IF(AND(A1955="2021-03", ISNA(MATCH(B1955, _xlfn._xlws.FILTER(B:B, A:A="2021-04"), 0))), "Left", "Ativo")</f>
        <v>Ativo</v>
      </c>
    </row>
    <row r="1956" spans="1:6" x14ac:dyDescent="0.25">
      <c r="A1956" t="s">
        <v>1530</v>
      </c>
      <c r="B1956" t="s">
        <v>60</v>
      </c>
      <c r="C1956" s="10" t="str" cm="1">
        <f t="array" ref="C1956">IF(AND(A1956="2020-12", ISNA(MATCH(B1956, _xlfn._xlws.FILTER(B:B, A:A="2021-01"), 0))), "Left", "Ativo")</f>
        <v>Ativo</v>
      </c>
      <c r="D1956" s="10" t="str" cm="1">
        <f t="array" ref="D1956">IF(AND(A1956="2021-01", ISNA(MATCH(B1956, _xlfn._xlws.FILTER(B:B, A:A="2021-02"), 0))), "Left", "Ativo")</f>
        <v>Ativo</v>
      </c>
      <c r="E1956" s="10" t="str" cm="1">
        <f t="array" ref="E1956">IF(AND(A1956="2021-02", ISNA(MATCH(B1956, _xlfn._xlws.FILTER(B:B, A:A="2021-03"), 0))), "Left", "Ativo")</f>
        <v>Ativo</v>
      </c>
      <c r="F1956" s="12" t="str" cm="1">
        <f t="array" ref="F1956">IF(AND(A1956="2021-03", ISNA(MATCH(B1956, _xlfn._xlws.FILTER(B:B, A:A="2021-04"), 0))), "Left", "Ativo")</f>
        <v>Ativo</v>
      </c>
    </row>
    <row r="1957" spans="1:6" x14ac:dyDescent="0.25">
      <c r="A1957" t="s">
        <v>1530</v>
      </c>
      <c r="B1957" t="s">
        <v>61</v>
      </c>
      <c r="C1957" s="10" t="str" cm="1">
        <f t="array" ref="C1957">IF(AND(A1957="2020-12", ISNA(MATCH(B1957, _xlfn._xlws.FILTER(B:B, A:A="2021-01"), 0))), "Left", "Ativo")</f>
        <v>Ativo</v>
      </c>
      <c r="D1957" s="10" t="str" cm="1">
        <f t="array" ref="D1957">IF(AND(A1957="2021-01", ISNA(MATCH(B1957, _xlfn._xlws.FILTER(B:B, A:A="2021-02"), 0))), "Left", "Ativo")</f>
        <v>Ativo</v>
      </c>
      <c r="E1957" s="10" t="str" cm="1">
        <f t="array" ref="E1957">IF(AND(A1957="2021-02", ISNA(MATCH(B1957, _xlfn._xlws.FILTER(B:B, A:A="2021-03"), 0))), "Left", "Ativo")</f>
        <v>Ativo</v>
      </c>
      <c r="F1957" s="12" t="str" cm="1">
        <f t="array" ref="F1957">IF(AND(A1957="2021-03", ISNA(MATCH(B1957, _xlfn._xlws.FILTER(B:B, A:A="2021-04"), 0))), "Left", "Ativo")</f>
        <v>Ativo</v>
      </c>
    </row>
    <row r="1958" spans="1:6" x14ac:dyDescent="0.25">
      <c r="A1958" t="s">
        <v>1530</v>
      </c>
      <c r="B1958" t="s">
        <v>62</v>
      </c>
      <c r="C1958" s="10" t="str" cm="1">
        <f t="array" ref="C1958">IF(AND(A1958="2020-12", ISNA(MATCH(B1958, _xlfn._xlws.FILTER(B:B, A:A="2021-01"), 0))), "Left", "Ativo")</f>
        <v>Ativo</v>
      </c>
      <c r="D1958" s="10" t="str" cm="1">
        <f t="array" ref="D1958">IF(AND(A1958="2021-01", ISNA(MATCH(B1958, _xlfn._xlws.FILTER(B:B, A:A="2021-02"), 0))), "Left", "Ativo")</f>
        <v>Ativo</v>
      </c>
      <c r="E1958" s="10" t="str" cm="1">
        <f t="array" ref="E1958">IF(AND(A1958="2021-02", ISNA(MATCH(B1958, _xlfn._xlws.FILTER(B:B, A:A="2021-03"), 0))), "Left", "Ativo")</f>
        <v>Ativo</v>
      </c>
      <c r="F1958" s="12" t="str" cm="1">
        <f t="array" ref="F1958">IF(AND(A1958="2021-03", ISNA(MATCH(B1958, _xlfn._xlws.FILTER(B:B, A:A="2021-04"), 0))), "Left", "Ativo")</f>
        <v>Ativo</v>
      </c>
    </row>
    <row r="1959" spans="1:6" x14ac:dyDescent="0.25">
      <c r="A1959" t="s">
        <v>1530</v>
      </c>
      <c r="B1959" t="s">
        <v>63</v>
      </c>
      <c r="C1959" s="10" t="str" cm="1">
        <f t="array" ref="C1959">IF(AND(A1959="2020-12", ISNA(MATCH(B1959, _xlfn._xlws.FILTER(B:B, A:A="2021-01"), 0))), "Left", "Ativo")</f>
        <v>Ativo</v>
      </c>
      <c r="D1959" s="10" t="str" cm="1">
        <f t="array" ref="D1959">IF(AND(A1959="2021-01", ISNA(MATCH(B1959, _xlfn._xlws.FILTER(B:B, A:A="2021-02"), 0))), "Left", "Ativo")</f>
        <v>Ativo</v>
      </c>
      <c r="E1959" s="10" t="str" cm="1">
        <f t="array" ref="E1959">IF(AND(A1959="2021-02", ISNA(MATCH(B1959, _xlfn._xlws.FILTER(B:B, A:A="2021-03"), 0))), "Left", "Ativo")</f>
        <v>Ativo</v>
      </c>
      <c r="F1959" s="12" t="str" cm="1">
        <f t="array" ref="F1959">IF(AND(A1959="2021-03", ISNA(MATCH(B1959, _xlfn._xlws.FILTER(B:B, A:A="2021-04"), 0))), "Left", "Ativo")</f>
        <v>Ativo</v>
      </c>
    </row>
    <row r="1960" spans="1:6" x14ac:dyDescent="0.25">
      <c r="A1960" t="s">
        <v>1530</v>
      </c>
      <c r="B1960" t="s">
        <v>64</v>
      </c>
      <c r="C1960" s="10" t="str" cm="1">
        <f t="array" ref="C1960">IF(AND(A1960="2020-12", ISNA(MATCH(B1960, _xlfn._xlws.FILTER(B:B, A:A="2021-01"), 0))), "Left", "Ativo")</f>
        <v>Ativo</v>
      </c>
      <c r="D1960" s="10" t="str" cm="1">
        <f t="array" ref="D1960">IF(AND(A1960="2021-01", ISNA(MATCH(B1960, _xlfn._xlws.FILTER(B:B, A:A="2021-02"), 0))), "Left", "Ativo")</f>
        <v>Ativo</v>
      </c>
      <c r="E1960" s="10" t="str" cm="1">
        <f t="array" ref="E1960">IF(AND(A1960="2021-02", ISNA(MATCH(B1960, _xlfn._xlws.FILTER(B:B, A:A="2021-03"), 0))), "Left", "Ativo")</f>
        <v>Left</v>
      </c>
      <c r="F1960" s="12" t="str" cm="1">
        <f t="array" ref="F1960">IF(AND(A1960="2021-03", ISNA(MATCH(B1960, _xlfn._xlws.FILTER(B:B, A:A="2021-04"), 0))), "Left", "Ativo")</f>
        <v>Ativo</v>
      </c>
    </row>
    <row r="1961" spans="1:6" x14ac:dyDescent="0.25">
      <c r="A1961" t="s">
        <v>1530</v>
      </c>
      <c r="B1961" t="s">
        <v>65</v>
      </c>
      <c r="C1961" s="10" t="str" cm="1">
        <f t="array" ref="C1961">IF(AND(A1961="2020-12", ISNA(MATCH(B1961, _xlfn._xlws.FILTER(B:B, A:A="2021-01"), 0))), "Left", "Ativo")</f>
        <v>Ativo</v>
      </c>
      <c r="D1961" s="10" t="str" cm="1">
        <f t="array" ref="D1961">IF(AND(A1961="2021-01", ISNA(MATCH(B1961, _xlfn._xlws.FILTER(B:B, A:A="2021-02"), 0))), "Left", "Ativo")</f>
        <v>Ativo</v>
      </c>
      <c r="E1961" s="10" t="str" cm="1">
        <f t="array" ref="E1961">IF(AND(A1961="2021-02", ISNA(MATCH(B1961, _xlfn._xlws.FILTER(B:B, A:A="2021-03"), 0))), "Left", "Ativo")</f>
        <v>Ativo</v>
      </c>
      <c r="F1961" s="12" t="str" cm="1">
        <f t="array" ref="F1961">IF(AND(A1961="2021-03", ISNA(MATCH(B1961, _xlfn._xlws.FILTER(B:B, A:A="2021-04"), 0))), "Left", "Ativo")</f>
        <v>Ativo</v>
      </c>
    </row>
    <row r="1962" spans="1:6" x14ac:dyDescent="0.25">
      <c r="A1962" t="s">
        <v>1530</v>
      </c>
      <c r="B1962" t="s">
        <v>66</v>
      </c>
      <c r="C1962" s="10" t="str" cm="1">
        <f t="array" ref="C1962">IF(AND(A1962="2020-12", ISNA(MATCH(B1962, _xlfn._xlws.FILTER(B:B, A:A="2021-01"), 0))), "Left", "Ativo")</f>
        <v>Ativo</v>
      </c>
      <c r="D1962" s="10" t="str" cm="1">
        <f t="array" ref="D1962">IF(AND(A1962="2021-01", ISNA(MATCH(B1962, _xlfn._xlws.FILTER(B:B, A:A="2021-02"), 0))), "Left", "Ativo")</f>
        <v>Ativo</v>
      </c>
      <c r="E1962" s="10" t="str" cm="1">
        <f t="array" ref="E1962">IF(AND(A1962="2021-02", ISNA(MATCH(B1962, _xlfn._xlws.FILTER(B:B, A:A="2021-03"), 0))), "Left", "Ativo")</f>
        <v>Ativo</v>
      </c>
      <c r="F1962" s="12" t="str" cm="1">
        <f t="array" ref="F1962">IF(AND(A1962="2021-03", ISNA(MATCH(B1962, _xlfn._xlws.FILTER(B:B, A:A="2021-04"), 0))), "Left", "Ativo")</f>
        <v>Ativo</v>
      </c>
    </row>
    <row r="1963" spans="1:6" x14ac:dyDescent="0.25">
      <c r="A1963" t="s">
        <v>1530</v>
      </c>
      <c r="B1963" t="s">
        <v>67</v>
      </c>
      <c r="C1963" s="10" t="str" cm="1">
        <f t="array" ref="C1963">IF(AND(A1963="2020-12", ISNA(MATCH(B1963, _xlfn._xlws.FILTER(B:B, A:A="2021-01"), 0))), "Left", "Ativo")</f>
        <v>Ativo</v>
      </c>
      <c r="D1963" s="10" t="str" cm="1">
        <f t="array" ref="D1963">IF(AND(A1963="2021-01", ISNA(MATCH(B1963, _xlfn._xlws.FILTER(B:B, A:A="2021-02"), 0))), "Left", "Ativo")</f>
        <v>Ativo</v>
      </c>
      <c r="E1963" s="10" t="str" cm="1">
        <f t="array" ref="E1963">IF(AND(A1963="2021-02", ISNA(MATCH(B1963, _xlfn._xlws.FILTER(B:B, A:A="2021-03"), 0))), "Left", "Ativo")</f>
        <v>Ativo</v>
      </c>
      <c r="F1963" s="12" t="str" cm="1">
        <f t="array" ref="F1963">IF(AND(A1963="2021-03", ISNA(MATCH(B1963, _xlfn._xlws.FILTER(B:B, A:A="2021-04"), 0))), "Left", "Ativo")</f>
        <v>Ativo</v>
      </c>
    </row>
    <row r="1964" spans="1:6" x14ac:dyDescent="0.25">
      <c r="A1964" t="s">
        <v>1530</v>
      </c>
      <c r="B1964" t="s">
        <v>68</v>
      </c>
      <c r="C1964" s="10" t="str" cm="1">
        <f t="array" ref="C1964">IF(AND(A1964="2020-12", ISNA(MATCH(B1964, _xlfn._xlws.FILTER(B:B, A:A="2021-01"), 0))), "Left", "Ativo")</f>
        <v>Ativo</v>
      </c>
      <c r="D1964" s="10" t="str" cm="1">
        <f t="array" ref="D1964">IF(AND(A1964="2021-01", ISNA(MATCH(B1964, _xlfn._xlws.FILTER(B:B, A:A="2021-02"), 0))), "Left", "Ativo")</f>
        <v>Ativo</v>
      </c>
      <c r="E1964" s="10" t="str" cm="1">
        <f t="array" ref="E1964">IF(AND(A1964="2021-02", ISNA(MATCH(B1964, _xlfn._xlws.FILTER(B:B, A:A="2021-03"), 0))), "Left", "Ativo")</f>
        <v>Ativo</v>
      </c>
      <c r="F1964" s="12" t="str" cm="1">
        <f t="array" ref="F1964">IF(AND(A1964="2021-03", ISNA(MATCH(B1964, _xlfn._xlws.FILTER(B:B, A:A="2021-04"), 0))), "Left", "Ativo")</f>
        <v>Ativo</v>
      </c>
    </row>
    <row r="1965" spans="1:6" x14ac:dyDescent="0.25">
      <c r="A1965" t="s">
        <v>1530</v>
      </c>
      <c r="B1965" t="s">
        <v>69</v>
      </c>
      <c r="C1965" s="10" t="str" cm="1">
        <f t="array" ref="C1965">IF(AND(A1965="2020-12", ISNA(MATCH(B1965, _xlfn._xlws.FILTER(B:B, A:A="2021-01"), 0))), "Left", "Ativo")</f>
        <v>Ativo</v>
      </c>
      <c r="D1965" s="10" t="str" cm="1">
        <f t="array" ref="D1965">IF(AND(A1965="2021-01", ISNA(MATCH(B1965, _xlfn._xlws.FILTER(B:B, A:A="2021-02"), 0))), "Left", "Ativo")</f>
        <v>Ativo</v>
      </c>
      <c r="E1965" s="10" t="str" cm="1">
        <f t="array" ref="E1965">IF(AND(A1965="2021-02", ISNA(MATCH(B1965, _xlfn._xlws.FILTER(B:B, A:A="2021-03"), 0))), "Left", "Ativo")</f>
        <v>Ativo</v>
      </c>
      <c r="F1965" s="12" t="str" cm="1">
        <f t="array" ref="F1965">IF(AND(A1965="2021-03", ISNA(MATCH(B1965, _xlfn._xlws.FILTER(B:B, A:A="2021-04"), 0))), "Left", "Ativo")</f>
        <v>Ativo</v>
      </c>
    </row>
    <row r="1966" spans="1:6" x14ac:dyDescent="0.25">
      <c r="A1966" t="s">
        <v>1530</v>
      </c>
      <c r="B1966" t="s">
        <v>70</v>
      </c>
      <c r="C1966" s="10" t="str" cm="1">
        <f t="array" ref="C1966">IF(AND(A1966="2020-12", ISNA(MATCH(B1966, _xlfn._xlws.FILTER(B:B, A:A="2021-01"), 0))), "Left", "Ativo")</f>
        <v>Ativo</v>
      </c>
      <c r="D1966" s="10" t="str" cm="1">
        <f t="array" ref="D1966">IF(AND(A1966="2021-01", ISNA(MATCH(B1966, _xlfn._xlws.FILTER(B:B, A:A="2021-02"), 0))), "Left", "Ativo")</f>
        <v>Ativo</v>
      </c>
      <c r="E1966" s="10" t="str" cm="1">
        <f t="array" ref="E1966">IF(AND(A1966="2021-02", ISNA(MATCH(B1966, _xlfn._xlws.FILTER(B:B, A:A="2021-03"), 0))), "Left", "Ativo")</f>
        <v>Ativo</v>
      </c>
      <c r="F1966" s="12" t="str" cm="1">
        <f t="array" ref="F1966">IF(AND(A1966="2021-03", ISNA(MATCH(B1966, _xlfn._xlws.FILTER(B:B, A:A="2021-04"), 0))), "Left", "Ativo")</f>
        <v>Ativo</v>
      </c>
    </row>
    <row r="1967" spans="1:6" x14ac:dyDescent="0.25">
      <c r="A1967" t="s">
        <v>1530</v>
      </c>
      <c r="B1967" t="s">
        <v>71</v>
      </c>
      <c r="C1967" s="10" t="str" cm="1">
        <f t="array" ref="C1967">IF(AND(A1967="2020-12", ISNA(MATCH(B1967, _xlfn._xlws.FILTER(B:B, A:A="2021-01"), 0))), "Left", "Ativo")</f>
        <v>Ativo</v>
      </c>
      <c r="D1967" s="10" t="str" cm="1">
        <f t="array" ref="D1967">IF(AND(A1967="2021-01", ISNA(MATCH(B1967, _xlfn._xlws.FILTER(B:B, A:A="2021-02"), 0))), "Left", "Ativo")</f>
        <v>Ativo</v>
      </c>
      <c r="E1967" s="10" t="str" cm="1">
        <f t="array" ref="E1967">IF(AND(A1967="2021-02", ISNA(MATCH(B1967, _xlfn._xlws.FILTER(B:B, A:A="2021-03"), 0))), "Left", "Ativo")</f>
        <v>Ativo</v>
      </c>
      <c r="F1967" s="12" t="str" cm="1">
        <f t="array" ref="F1967">IF(AND(A1967="2021-03", ISNA(MATCH(B1967, _xlfn._xlws.FILTER(B:B, A:A="2021-04"), 0))), "Left", "Ativo")</f>
        <v>Ativo</v>
      </c>
    </row>
    <row r="1968" spans="1:6" x14ac:dyDescent="0.25">
      <c r="A1968" t="s">
        <v>1530</v>
      </c>
      <c r="B1968" t="s">
        <v>72</v>
      </c>
      <c r="C1968" s="10" t="str" cm="1">
        <f t="array" ref="C1968">IF(AND(A1968="2020-12", ISNA(MATCH(B1968, _xlfn._xlws.FILTER(B:B, A:A="2021-01"), 0))), "Left", "Ativo")</f>
        <v>Ativo</v>
      </c>
      <c r="D1968" s="10" t="str" cm="1">
        <f t="array" ref="D1968">IF(AND(A1968="2021-01", ISNA(MATCH(B1968, _xlfn._xlws.FILTER(B:B, A:A="2021-02"), 0))), "Left", "Ativo")</f>
        <v>Ativo</v>
      </c>
      <c r="E1968" s="10" t="str" cm="1">
        <f t="array" ref="E1968">IF(AND(A1968="2021-02", ISNA(MATCH(B1968, _xlfn._xlws.FILTER(B:B, A:A="2021-03"), 0))), "Left", "Ativo")</f>
        <v>Ativo</v>
      </c>
      <c r="F1968" s="12" t="str" cm="1">
        <f t="array" ref="F1968">IF(AND(A1968="2021-03", ISNA(MATCH(B1968, _xlfn._xlws.FILTER(B:B, A:A="2021-04"), 0))), "Left", "Ativo")</f>
        <v>Ativo</v>
      </c>
    </row>
    <row r="1969" spans="1:6" x14ac:dyDescent="0.25">
      <c r="A1969" t="s">
        <v>1530</v>
      </c>
      <c r="B1969" t="s">
        <v>73</v>
      </c>
      <c r="C1969" s="10" t="str" cm="1">
        <f t="array" ref="C1969">IF(AND(A1969="2020-12", ISNA(MATCH(B1969, _xlfn._xlws.FILTER(B:B, A:A="2021-01"), 0))), "Left", "Ativo")</f>
        <v>Ativo</v>
      </c>
      <c r="D1969" s="10" t="str" cm="1">
        <f t="array" ref="D1969">IF(AND(A1969="2021-01", ISNA(MATCH(B1969, _xlfn._xlws.FILTER(B:B, A:A="2021-02"), 0))), "Left", "Ativo")</f>
        <v>Ativo</v>
      </c>
      <c r="E1969" s="10" t="str" cm="1">
        <f t="array" ref="E1969">IF(AND(A1969="2021-02", ISNA(MATCH(B1969, _xlfn._xlws.FILTER(B:B, A:A="2021-03"), 0))), "Left", "Ativo")</f>
        <v>Ativo</v>
      </c>
      <c r="F1969" s="12" t="str" cm="1">
        <f t="array" ref="F1969">IF(AND(A1969="2021-03", ISNA(MATCH(B1969, _xlfn._xlws.FILTER(B:B, A:A="2021-04"), 0))), "Left", "Ativo")</f>
        <v>Ativo</v>
      </c>
    </row>
    <row r="1970" spans="1:6" x14ac:dyDescent="0.25">
      <c r="A1970" t="s">
        <v>1530</v>
      </c>
      <c r="B1970" t="s">
        <v>74</v>
      </c>
      <c r="C1970" s="10" t="str" cm="1">
        <f t="array" ref="C1970">IF(AND(A1970="2020-12", ISNA(MATCH(B1970, _xlfn._xlws.FILTER(B:B, A:A="2021-01"), 0))), "Left", "Ativo")</f>
        <v>Ativo</v>
      </c>
      <c r="D1970" s="10" t="str" cm="1">
        <f t="array" ref="D1970">IF(AND(A1970="2021-01", ISNA(MATCH(B1970, _xlfn._xlws.FILTER(B:B, A:A="2021-02"), 0))), "Left", "Ativo")</f>
        <v>Ativo</v>
      </c>
      <c r="E1970" s="10" t="str" cm="1">
        <f t="array" ref="E1970">IF(AND(A1970="2021-02", ISNA(MATCH(B1970, _xlfn._xlws.FILTER(B:B, A:A="2021-03"), 0))), "Left", "Ativo")</f>
        <v>Ativo</v>
      </c>
      <c r="F1970" s="12" t="str" cm="1">
        <f t="array" ref="F1970">IF(AND(A1970="2021-03", ISNA(MATCH(B1970, _xlfn._xlws.FILTER(B:B, A:A="2021-04"), 0))), "Left", "Ativo")</f>
        <v>Ativo</v>
      </c>
    </row>
    <row r="1971" spans="1:6" x14ac:dyDescent="0.25">
      <c r="A1971" t="s">
        <v>1530</v>
      </c>
      <c r="B1971" t="s">
        <v>75</v>
      </c>
      <c r="C1971" s="10" t="str" cm="1">
        <f t="array" ref="C1971">IF(AND(A1971="2020-12", ISNA(MATCH(B1971, _xlfn._xlws.FILTER(B:B, A:A="2021-01"), 0))), "Left", "Ativo")</f>
        <v>Ativo</v>
      </c>
      <c r="D1971" s="10" t="str" cm="1">
        <f t="array" ref="D1971">IF(AND(A1971="2021-01", ISNA(MATCH(B1971, _xlfn._xlws.FILTER(B:B, A:A="2021-02"), 0))), "Left", "Ativo")</f>
        <v>Ativo</v>
      </c>
      <c r="E1971" s="10" t="str" cm="1">
        <f t="array" ref="E1971">IF(AND(A1971="2021-02", ISNA(MATCH(B1971, _xlfn._xlws.FILTER(B:B, A:A="2021-03"), 0))), "Left", "Ativo")</f>
        <v>Ativo</v>
      </c>
      <c r="F1971" s="12" t="str" cm="1">
        <f t="array" ref="F1971">IF(AND(A1971="2021-03", ISNA(MATCH(B1971, _xlfn._xlws.FILTER(B:B, A:A="2021-04"), 0))), "Left", "Ativo")</f>
        <v>Ativo</v>
      </c>
    </row>
    <row r="1972" spans="1:6" x14ac:dyDescent="0.25">
      <c r="A1972" t="s">
        <v>1530</v>
      </c>
      <c r="B1972" t="s">
        <v>76</v>
      </c>
      <c r="C1972" s="10" t="str" cm="1">
        <f t="array" ref="C1972">IF(AND(A1972="2020-12", ISNA(MATCH(B1972, _xlfn._xlws.FILTER(B:B, A:A="2021-01"), 0))), "Left", "Ativo")</f>
        <v>Ativo</v>
      </c>
      <c r="D1972" s="10" t="str" cm="1">
        <f t="array" ref="D1972">IF(AND(A1972="2021-01", ISNA(MATCH(B1972, _xlfn._xlws.FILTER(B:B, A:A="2021-02"), 0))), "Left", "Ativo")</f>
        <v>Ativo</v>
      </c>
      <c r="E1972" s="10" t="str" cm="1">
        <f t="array" ref="E1972">IF(AND(A1972="2021-02", ISNA(MATCH(B1972, _xlfn._xlws.FILTER(B:B, A:A="2021-03"), 0))), "Left", "Ativo")</f>
        <v>Ativo</v>
      </c>
      <c r="F1972" s="12" t="str" cm="1">
        <f t="array" ref="F1972">IF(AND(A1972="2021-03", ISNA(MATCH(B1972, _xlfn._xlws.FILTER(B:B, A:A="2021-04"), 0))), "Left", "Ativo")</f>
        <v>Ativo</v>
      </c>
    </row>
    <row r="1973" spans="1:6" x14ac:dyDescent="0.25">
      <c r="A1973" t="s">
        <v>1530</v>
      </c>
      <c r="B1973" t="s">
        <v>77</v>
      </c>
      <c r="C1973" s="10" t="str" cm="1">
        <f t="array" ref="C1973">IF(AND(A1973="2020-12", ISNA(MATCH(B1973, _xlfn._xlws.FILTER(B:B, A:A="2021-01"), 0))), "Left", "Ativo")</f>
        <v>Ativo</v>
      </c>
      <c r="D1973" s="10" t="str" cm="1">
        <f t="array" ref="D1973">IF(AND(A1973="2021-01", ISNA(MATCH(B1973, _xlfn._xlws.FILTER(B:B, A:A="2021-02"), 0))), "Left", "Ativo")</f>
        <v>Ativo</v>
      </c>
      <c r="E1973" s="10" t="str" cm="1">
        <f t="array" ref="E1973">IF(AND(A1973="2021-02", ISNA(MATCH(B1973, _xlfn._xlws.FILTER(B:B, A:A="2021-03"), 0))), "Left", "Ativo")</f>
        <v>Ativo</v>
      </c>
      <c r="F1973" s="12" t="str" cm="1">
        <f t="array" ref="F1973">IF(AND(A1973="2021-03", ISNA(MATCH(B1973, _xlfn._xlws.FILTER(B:B, A:A="2021-04"), 0))), "Left", "Ativo")</f>
        <v>Ativo</v>
      </c>
    </row>
    <row r="1974" spans="1:6" x14ac:dyDescent="0.25">
      <c r="A1974" t="s">
        <v>1530</v>
      </c>
      <c r="B1974" t="s">
        <v>78</v>
      </c>
      <c r="C1974" s="10" t="str" cm="1">
        <f t="array" ref="C1974">IF(AND(A1974="2020-12", ISNA(MATCH(B1974, _xlfn._xlws.FILTER(B:B, A:A="2021-01"), 0))), "Left", "Ativo")</f>
        <v>Ativo</v>
      </c>
      <c r="D1974" s="10" t="str" cm="1">
        <f t="array" ref="D1974">IF(AND(A1974="2021-01", ISNA(MATCH(B1974, _xlfn._xlws.FILTER(B:B, A:A="2021-02"), 0))), "Left", "Ativo")</f>
        <v>Ativo</v>
      </c>
      <c r="E1974" s="10" t="str" cm="1">
        <f t="array" ref="E1974">IF(AND(A1974="2021-02", ISNA(MATCH(B1974, _xlfn._xlws.FILTER(B:B, A:A="2021-03"), 0))), "Left", "Ativo")</f>
        <v>Ativo</v>
      </c>
      <c r="F1974" s="12" t="str" cm="1">
        <f t="array" ref="F1974">IF(AND(A1974="2021-03", ISNA(MATCH(B1974, _xlfn._xlws.FILTER(B:B, A:A="2021-04"), 0))), "Left", "Ativo")</f>
        <v>Ativo</v>
      </c>
    </row>
    <row r="1975" spans="1:6" x14ac:dyDescent="0.25">
      <c r="A1975" t="s">
        <v>1530</v>
      </c>
      <c r="B1975" t="s">
        <v>79</v>
      </c>
      <c r="C1975" s="10" t="str" cm="1">
        <f t="array" ref="C1975">IF(AND(A1975="2020-12", ISNA(MATCH(B1975, _xlfn._xlws.FILTER(B:B, A:A="2021-01"), 0))), "Left", "Ativo")</f>
        <v>Ativo</v>
      </c>
      <c r="D1975" s="10" t="str" cm="1">
        <f t="array" ref="D1975">IF(AND(A1975="2021-01", ISNA(MATCH(B1975, _xlfn._xlws.FILTER(B:B, A:A="2021-02"), 0))), "Left", "Ativo")</f>
        <v>Ativo</v>
      </c>
      <c r="E1975" s="10" t="str" cm="1">
        <f t="array" ref="E1975">IF(AND(A1975="2021-02", ISNA(MATCH(B1975, _xlfn._xlws.FILTER(B:B, A:A="2021-03"), 0))), "Left", "Ativo")</f>
        <v>Ativo</v>
      </c>
      <c r="F1975" s="12" t="str" cm="1">
        <f t="array" ref="F1975">IF(AND(A1975="2021-03", ISNA(MATCH(B1975, _xlfn._xlws.FILTER(B:B, A:A="2021-04"), 0))), "Left", "Ativo")</f>
        <v>Ativo</v>
      </c>
    </row>
    <row r="1976" spans="1:6" x14ac:dyDescent="0.25">
      <c r="A1976" t="s">
        <v>1530</v>
      </c>
      <c r="B1976" t="s">
        <v>80</v>
      </c>
      <c r="C1976" s="10" t="str" cm="1">
        <f t="array" ref="C1976">IF(AND(A1976="2020-12", ISNA(MATCH(B1976, _xlfn._xlws.FILTER(B:B, A:A="2021-01"), 0))), "Left", "Ativo")</f>
        <v>Ativo</v>
      </c>
      <c r="D1976" s="10" t="str" cm="1">
        <f t="array" ref="D1976">IF(AND(A1976="2021-01", ISNA(MATCH(B1976, _xlfn._xlws.FILTER(B:B, A:A="2021-02"), 0))), "Left", "Ativo")</f>
        <v>Ativo</v>
      </c>
      <c r="E1976" s="10" t="str" cm="1">
        <f t="array" ref="E1976">IF(AND(A1976="2021-02", ISNA(MATCH(B1976, _xlfn._xlws.FILTER(B:B, A:A="2021-03"), 0))), "Left", "Ativo")</f>
        <v>Ativo</v>
      </c>
      <c r="F1976" s="12" t="str" cm="1">
        <f t="array" ref="F1976">IF(AND(A1976="2021-03", ISNA(MATCH(B1976, _xlfn._xlws.FILTER(B:B, A:A="2021-04"), 0))), "Left", "Ativo")</f>
        <v>Ativo</v>
      </c>
    </row>
    <row r="1977" spans="1:6" x14ac:dyDescent="0.25">
      <c r="A1977" t="s">
        <v>1530</v>
      </c>
      <c r="B1977" t="s">
        <v>81</v>
      </c>
      <c r="C1977" s="10" t="str" cm="1">
        <f t="array" ref="C1977">IF(AND(A1977="2020-12", ISNA(MATCH(B1977, _xlfn._xlws.FILTER(B:B, A:A="2021-01"), 0))), "Left", "Ativo")</f>
        <v>Ativo</v>
      </c>
      <c r="D1977" s="10" t="str" cm="1">
        <f t="array" ref="D1977">IF(AND(A1977="2021-01", ISNA(MATCH(B1977, _xlfn._xlws.FILTER(B:B, A:A="2021-02"), 0))), "Left", "Ativo")</f>
        <v>Ativo</v>
      </c>
      <c r="E1977" s="10" t="str" cm="1">
        <f t="array" ref="E1977">IF(AND(A1977="2021-02", ISNA(MATCH(B1977, _xlfn._xlws.FILTER(B:B, A:A="2021-03"), 0))), "Left", "Ativo")</f>
        <v>Ativo</v>
      </c>
      <c r="F1977" s="12" t="str" cm="1">
        <f t="array" ref="F1977">IF(AND(A1977="2021-03", ISNA(MATCH(B1977, _xlfn._xlws.FILTER(B:B, A:A="2021-04"), 0))), "Left", "Ativo")</f>
        <v>Ativo</v>
      </c>
    </row>
    <row r="1978" spans="1:6" x14ac:dyDescent="0.25">
      <c r="A1978" t="s">
        <v>1530</v>
      </c>
      <c r="B1978" t="s">
        <v>82</v>
      </c>
      <c r="C1978" s="10" t="str" cm="1">
        <f t="array" ref="C1978">IF(AND(A1978="2020-12", ISNA(MATCH(B1978, _xlfn._xlws.FILTER(B:B, A:A="2021-01"), 0))), "Left", "Ativo")</f>
        <v>Ativo</v>
      </c>
      <c r="D1978" s="10" t="str" cm="1">
        <f t="array" ref="D1978">IF(AND(A1978="2021-01", ISNA(MATCH(B1978, _xlfn._xlws.FILTER(B:B, A:A="2021-02"), 0))), "Left", "Ativo")</f>
        <v>Ativo</v>
      </c>
      <c r="E1978" s="10" t="str" cm="1">
        <f t="array" ref="E1978">IF(AND(A1978="2021-02", ISNA(MATCH(B1978, _xlfn._xlws.FILTER(B:B, A:A="2021-03"), 0))), "Left", "Ativo")</f>
        <v>Ativo</v>
      </c>
      <c r="F1978" s="12" t="str" cm="1">
        <f t="array" ref="F1978">IF(AND(A1978="2021-03", ISNA(MATCH(B1978, _xlfn._xlws.FILTER(B:B, A:A="2021-04"), 0))), "Left", "Ativo")</f>
        <v>Ativo</v>
      </c>
    </row>
    <row r="1979" spans="1:6" x14ac:dyDescent="0.25">
      <c r="A1979" t="s">
        <v>1530</v>
      </c>
      <c r="B1979" t="s">
        <v>83</v>
      </c>
      <c r="C1979" s="10" t="str" cm="1">
        <f t="array" ref="C1979">IF(AND(A1979="2020-12", ISNA(MATCH(B1979, _xlfn._xlws.FILTER(B:B, A:A="2021-01"), 0))), "Left", "Ativo")</f>
        <v>Ativo</v>
      </c>
      <c r="D1979" s="10" t="str" cm="1">
        <f t="array" ref="D1979">IF(AND(A1979="2021-01", ISNA(MATCH(B1979, _xlfn._xlws.FILTER(B:B, A:A="2021-02"), 0))), "Left", "Ativo")</f>
        <v>Ativo</v>
      </c>
      <c r="E1979" s="10" t="str" cm="1">
        <f t="array" ref="E1979">IF(AND(A1979="2021-02", ISNA(MATCH(B1979, _xlfn._xlws.FILTER(B:B, A:A="2021-03"), 0))), "Left", "Ativo")</f>
        <v>Ativo</v>
      </c>
      <c r="F1979" s="12" t="str" cm="1">
        <f t="array" ref="F1979">IF(AND(A1979="2021-03", ISNA(MATCH(B1979, _xlfn._xlws.FILTER(B:B, A:A="2021-04"), 0))), "Left", "Ativo")</f>
        <v>Ativo</v>
      </c>
    </row>
    <row r="1980" spans="1:6" x14ac:dyDescent="0.25">
      <c r="A1980" t="s">
        <v>1530</v>
      </c>
      <c r="B1980" t="s">
        <v>84</v>
      </c>
      <c r="C1980" s="10" t="str" cm="1">
        <f t="array" ref="C1980">IF(AND(A1980="2020-12", ISNA(MATCH(B1980, _xlfn._xlws.FILTER(B:B, A:A="2021-01"), 0))), "Left", "Ativo")</f>
        <v>Ativo</v>
      </c>
      <c r="D1980" s="10" t="str" cm="1">
        <f t="array" ref="D1980">IF(AND(A1980="2021-01", ISNA(MATCH(B1980, _xlfn._xlws.FILTER(B:B, A:A="2021-02"), 0))), "Left", "Ativo")</f>
        <v>Ativo</v>
      </c>
      <c r="E1980" s="10" t="str" cm="1">
        <f t="array" ref="E1980">IF(AND(A1980="2021-02", ISNA(MATCH(B1980, _xlfn._xlws.FILTER(B:B, A:A="2021-03"), 0))), "Left", "Ativo")</f>
        <v>Left</v>
      </c>
      <c r="F1980" s="12" t="str" cm="1">
        <f t="array" ref="F1980">IF(AND(A1980="2021-03", ISNA(MATCH(B1980, _xlfn._xlws.FILTER(B:B, A:A="2021-04"), 0))), "Left", "Ativo")</f>
        <v>Ativo</v>
      </c>
    </row>
    <row r="1981" spans="1:6" x14ac:dyDescent="0.25">
      <c r="A1981" t="s">
        <v>1530</v>
      </c>
      <c r="B1981" t="s">
        <v>85</v>
      </c>
      <c r="C1981" s="10" t="str" cm="1">
        <f t="array" ref="C1981">IF(AND(A1981="2020-12", ISNA(MATCH(B1981, _xlfn._xlws.FILTER(B:B, A:A="2021-01"), 0))), "Left", "Ativo")</f>
        <v>Ativo</v>
      </c>
      <c r="D1981" s="10" t="str" cm="1">
        <f t="array" ref="D1981">IF(AND(A1981="2021-01", ISNA(MATCH(B1981, _xlfn._xlws.FILTER(B:B, A:A="2021-02"), 0))), "Left", "Ativo")</f>
        <v>Ativo</v>
      </c>
      <c r="E1981" s="10" t="str" cm="1">
        <f t="array" ref="E1981">IF(AND(A1981="2021-02", ISNA(MATCH(B1981, _xlfn._xlws.FILTER(B:B, A:A="2021-03"), 0))), "Left", "Ativo")</f>
        <v>Ativo</v>
      </c>
      <c r="F1981" s="12" t="str" cm="1">
        <f t="array" ref="F1981">IF(AND(A1981="2021-03", ISNA(MATCH(B1981, _xlfn._xlws.FILTER(B:B, A:A="2021-04"), 0))), "Left", "Ativo")</f>
        <v>Ativo</v>
      </c>
    </row>
    <row r="1982" spans="1:6" x14ac:dyDescent="0.25">
      <c r="A1982" t="s">
        <v>1530</v>
      </c>
      <c r="B1982" t="s">
        <v>86</v>
      </c>
      <c r="C1982" s="10" t="str" cm="1">
        <f t="array" ref="C1982">IF(AND(A1982="2020-12", ISNA(MATCH(B1982, _xlfn._xlws.FILTER(B:B, A:A="2021-01"), 0))), "Left", "Ativo")</f>
        <v>Ativo</v>
      </c>
      <c r="D1982" s="10" t="str" cm="1">
        <f t="array" ref="D1982">IF(AND(A1982="2021-01", ISNA(MATCH(B1982, _xlfn._xlws.FILTER(B:B, A:A="2021-02"), 0))), "Left", "Ativo")</f>
        <v>Ativo</v>
      </c>
      <c r="E1982" s="10" t="str" cm="1">
        <f t="array" ref="E1982">IF(AND(A1982="2021-02", ISNA(MATCH(B1982, _xlfn._xlws.FILTER(B:B, A:A="2021-03"), 0))), "Left", "Ativo")</f>
        <v>Ativo</v>
      </c>
      <c r="F1982" s="12" t="str" cm="1">
        <f t="array" ref="F1982">IF(AND(A1982="2021-03", ISNA(MATCH(B1982, _xlfn._xlws.FILTER(B:B, A:A="2021-04"), 0))), "Left", "Ativo")</f>
        <v>Ativo</v>
      </c>
    </row>
    <row r="1983" spans="1:6" x14ac:dyDescent="0.25">
      <c r="A1983" t="s">
        <v>1530</v>
      </c>
      <c r="B1983" t="s">
        <v>87</v>
      </c>
      <c r="C1983" s="10" t="str" cm="1">
        <f t="array" ref="C1983">IF(AND(A1983="2020-12", ISNA(MATCH(B1983, _xlfn._xlws.FILTER(B:B, A:A="2021-01"), 0))), "Left", "Ativo")</f>
        <v>Ativo</v>
      </c>
      <c r="D1983" s="10" t="str" cm="1">
        <f t="array" ref="D1983">IF(AND(A1983="2021-01", ISNA(MATCH(B1983, _xlfn._xlws.FILTER(B:B, A:A="2021-02"), 0))), "Left", "Ativo")</f>
        <v>Ativo</v>
      </c>
      <c r="E1983" s="10" t="str" cm="1">
        <f t="array" ref="E1983">IF(AND(A1983="2021-02", ISNA(MATCH(B1983, _xlfn._xlws.FILTER(B:B, A:A="2021-03"), 0))), "Left", "Ativo")</f>
        <v>Ativo</v>
      </c>
      <c r="F1983" s="12" t="str" cm="1">
        <f t="array" ref="F1983">IF(AND(A1983="2021-03", ISNA(MATCH(B1983, _xlfn._xlws.FILTER(B:B, A:A="2021-04"), 0))), "Left", "Ativo")</f>
        <v>Ativo</v>
      </c>
    </row>
    <row r="1984" spans="1:6" x14ac:dyDescent="0.25">
      <c r="A1984" t="s">
        <v>1530</v>
      </c>
      <c r="B1984" t="s">
        <v>88</v>
      </c>
      <c r="C1984" s="10" t="str" cm="1">
        <f t="array" ref="C1984">IF(AND(A1984="2020-12", ISNA(MATCH(B1984, _xlfn._xlws.FILTER(B:B, A:A="2021-01"), 0))), "Left", "Ativo")</f>
        <v>Ativo</v>
      </c>
      <c r="D1984" s="10" t="str" cm="1">
        <f t="array" ref="D1984">IF(AND(A1984="2021-01", ISNA(MATCH(B1984, _xlfn._xlws.FILTER(B:B, A:A="2021-02"), 0))), "Left", "Ativo")</f>
        <v>Ativo</v>
      </c>
      <c r="E1984" s="10" t="str" cm="1">
        <f t="array" ref="E1984">IF(AND(A1984="2021-02", ISNA(MATCH(B1984, _xlfn._xlws.FILTER(B:B, A:A="2021-03"), 0))), "Left", "Ativo")</f>
        <v>Ativo</v>
      </c>
      <c r="F1984" s="12" t="str" cm="1">
        <f t="array" ref="F1984">IF(AND(A1984="2021-03", ISNA(MATCH(B1984, _xlfn._xlws.FILTER(B:B, A:A="2021-04"), 0))), "Left", "Ativo")</f>
        <v>Ativo</v>
      </c>
    </row>
    <row r="1985" spans="1:6" x14ac:dyDescent="0.25">
      <c r="A1985" t="s">
        <v>1530</v>
      </c>
      <c r="B1985" t="s">
        <v>89</v>
      </c>
      <c r="C1985" s="10" t="str" cm="1">
        <f t="array" ref="C1985">IF(AND(A1985="2020-12", ISNA(MATCH(B1985, _xlfn._xlws.FILTER(B:B, A:A="2021-01"), 0))), "Left", "Ativo")</f>
        <v>Ativo</v>
      </c>
      <c r="D1985" s="10" t="str" cm="1">
        <f t="array" ref="D1985">IF(AND(A1985="2021-01", ISNA(MATCH(B1985, _xlfn._xlws.FILTER(B:B, A:A="2021-02"), 0))), "Left", "Ativo")</f>
        <v>Ativo</v>
      </c>
      <c r="E1985" s="10" t="str" cm="1">
        <f t="array" ref="E1985">IF(AND(A1985="2021-02", ISNA(MATCH(B1985, _xlfn._xlws.FILTER(B:B, A:A="2021-03"), 0))), "Left", "Ativo")</f>
        <v>Ativo</v>
      </c>
      <c r="F1985" s="12" t="str" cm="1">
        <f t="array" ref="F1985">IF(AND(A1985="2021-03", ISNA(MATCH(B1985, _xlfn._xlws.FILTER(B:B, A:A="2021-04"), 0))), "Left", "Ativo")</f>
        <v>Ativo</v>
      </c>
    </row>
    <row r="1986" spans="1:6" x14ac:dyDescent="0.25">
      <c r="A1986" t="s">
        <v>1530</v>
      </c>
      <c r="B1986" t="s">
        <v>90</v>
      </c>
      <c r="C1986" s="10" t="str" cm="1">
        <f t="array" ref="C1986">IF(AND(A1986="2020-12", ISNA(MATCH(B1986, _xlfn._xlws.FILTER(B:B, A:A="2021-01"), 0))), "Left", "Ativo")</f>
        <v>Ativo</v>
      </c>
      <c r="D1986" s="10" t="str" cm="1">
        <f t="array" ref="D1986">IF(AND(A1986="2021-01", ISNA(MATCH(B1986, _xlfn._xlws.FILTER(B:B, A:A="2021-02"), 0))), "Left", "Ativo")</f>
        <v>Ativo</v>
      </c>
      <c r="E1986" s="10" t="str" cm="1">
        <f t="array" ref="E1986">IF(AND(A1986="2021-02", ISNA(MATCH(B1986, _xlfn._xlws.FILTER(B:B, A:A="2021-03"), 0))), "Left", "Ativo")</f>
        <v>Ativo</v>
      </c>
      <c r="F1986" s="12" t="str" cm="1">
        <f t="array" ref="F1986">IF(AND(A1986="2021-03", ISNA(MATCH(B1986, _xlfn._xlws.FILTER(B:B, A:A="2021-04"), 0))), "Left", "Ativo")</f>
        <v>Ativo</v>
      </c>
    </row>
    <row r="1987" spans="1:6" x14ac:dyDescent="0.25">
      <c r="A1987" t="s">
        <v>1530</v>
      </c>
      <c r="B1987" t="s">
        <v>91</v>
      </c>
      <c r="C1987" s="10" t="str" cm="1">
        <f t="array" ref="C1987">IF(AND(A1987="2020-12", ISNA(MATCH(B1987, _xlfn._xlws.FILTER(B:B, A:A="2021-01"), 0))), "Left", "Ativo")</f>
        <v>Ativo</v>
      </c>
      <c r="D1987" s="10" t="str" cm="1">
        <f t="array" ref="D1987">IF(AND(A1987="2021-01", ISNA(MATCH(B1987, _xlfn._xlws.FILTER(B:B, A:A="2021-02"), 0))), "Left", "Ativo")</f>
        <v>Ativo</v>
      </c>
      <c r="E1987" s="10" t="str" cm="1">
        <f t="array" ref="E1987">IF(AND(A1987="2021-02", ISNA(MATCH(B1987, _xlfn._xlws.FILTER(B:B, A:A="2021-03"), 0))), "Left", "Ativo")</f>
        <v>Ativo</v>
      </c>
      <c r="F1987" s="12" t="str" cm="1">
        <f t="array" ref="F1987">IF(AND(A1987="2021-03", ISNA(MATCH(B1987, _xlfn._xlws.FILTER(B:B, A:A="2021-04"), 0))), "Left", "Ativo")</f>
        <v>Ativo</v>
      </c>
    </row>
    <row r="1988" spans="1:6" x14ac:dyDescent="0.25">
      <c r="A1988" t="s">
        <v>1530</v>
      </c>
      <c r="B1988" t="s">
        <v>92</v>
      </c>
      <c r="C1988" s="10" t="str" cm="1">
        <f t="array" ref="C1988">IF(AND(A1988="2020-12", ISNA(MATCH(B1988, _xlfn._xlws.FILTER(B:B, A:A="2021-01"), 0))), "Left", "Ativo")</f>
        <v>Ativo</v>
      </c>
      <c r="D1988" s="10" t="str" cm="1">
        <f t="array" ref="D1988">IF(AND(A1988="2021-01", ISNA(MATCH(B1988, _xlfn._xlws.FILTER(B:B, A:A="2021-02"), 0))), "Left", "Ativo")</f>
        <v>Ativo</v>
      </c>
      <c r="E1988" s="10" t="str" cm="1">
        <f t="array" ref="E1988">IF(AND(A1988="2021-02", ISNA(MATCH(B1988, _xlfn._xlws.FILTER(B:B, A:A="2021-03"), 0))), "Left", "Ativo")</f>
        <v>Ativo</v>
      </c>
      <c r="F1988" s="12" t="str" cm="1">
        <f t="array" ref="F1988">IF(AND(A1988="2021-03", ISNA(MATCH(B1988, _xlfn._xlws.FILTER(B:B, A:A="2021-04"), 0))), "Left", "Ativo")</f>
        <v>Ativo</v>
      </c>
    </row>
    <row r="1989" spans="1:6" x14ac:dyDescent="0.25">
      <c r="A1989" t="s">
        <v>1530</v>
      </c>
      <c r="B1989" t="s">
        <v>93</v>
      </c>
      <c r="C1989" s="10" t="str" cm="1">
        <f t="array" ref="C1989">IF(AND(A1989="2020-12", ISNA(MATCH(B1989, _xlfn._xlws.FILTER(B:B, A:A="2021-01"), 0))), "Left", "Ativo")</f>
        <v>Ativo</v>
      </c>
      <c r="D1989" s="10" t="str" cm="1">
        <f t="array" ref="D1989">IF(AND(A1989="2021-01", ISNA(MATCH(B1989, _xlfn._xlws.FILTER(B:B, A:A="2021-02"), 0))), "Left", "Ativo")</f>
        <v>Ativo</v>
      </c>
      <c r="E1989" s="10" t="str" cm="1">
        <f t="array" ref="E1989">IF(AND(A1989="2021-02", ISNA(MATCH(B1989, _xlfn._xlws.FILTER(B:B, A:A="2021-03"), 0))), "Left", "Ativo")</f>
        <v>Ativo</v>
      </c>
      <c r="F1989" s="12" t="str" cm="1">
        <f t="array" ref="F1989">IF(AND(A1989="2021-03", ISNA(MATCH(B1989, _xlfn._xlws.FILTER(B:B, A:A="2021-04"), 0))), "Left", "Ativo")</f>
        <v>Ativo</v>
      </c>
    </row>
    <row r="1990" spans="1:6" x14ac:dyDescent="0.25">
      <c r="A1990" t="s">
        <v>1530</v>
      </c>
      <c r="B1990" t="s">
        <v>94</v>
      </c>
      <c r="C1990" s="10" t="str" cm="1">
        <f t="array" ref="C1990">IF(AND(A1990="2020-12", ISNA(MATCH(B1990, _xlfn._xlws.FILTER(B:B, A:A="2021-01"), 0))), "Left", "Ativo")</f>
        <v>Ativo</v>
      </c>
      <c r="D1990" s="10" t="str" cm="1">
        <f t="array" ref="D1990">IF(AND(A1990="2021-01", ISNA(MATCH(B1990, _xlfn._xlws.FILTER(B:B, A:A="2021-02"), 0))), "Left", "Ativo")</f>
        <v>Ativo</v>
      </c>
      <c r="E1990" s="10" t="str" cm="1">
        <f t="array" ref="E1990">IF(AND(A1990="2021-02", ISNA(MATCH(B1990, _xlfn._xlws.FILTER(B:B, A:A="2021-03"), 0))), "Left", "Ativo")</f>
        <v>Ativo</v>
      </c>
      <c r="F1990" s="12" t="str" cm="1">
        <f t="array" ref="F1990">IF(AND(A1990="2021-03", ISNA(MATCH(B1990, _xlfn._xlws.FILTER(B:B, A:A="2021-04"), 0))), "Left", "Ativo")</f>
        <v>Ativo</v>
      </c>
    </row>
    <row r="1991" spans="1:6" x14ac:dyDescent="0.25">
      <c r="A1991" t="s">
        <v>1530</v>
      </c>
      <c r="B1991" t="s">
        <v>95</v>
      </c>
      <c r="C1991" s="10" t="str" cm="1">
        <f t="array" ref="C1991">IF(AND(A1991="2020-12", ISNA(MATCH(B1991, _xlfn._xlws.FILTER(B:B, A:A="2021-01"), 0))), "Left", "Ativo")</f>
        <v>Ativo</v>
      </c>
      <c r="D1991" s="10" t="str" cm="1">
        <f t="array" ref="D1991">IF(AND(A1991="2021-01", ISNA(MATCH(B1991, _xlfn._xlws.FILTER(B:B, A:A="2021-02"), 0))), "Left", "Ativo")</f>
        <v>Ativo</v>
      </c>
      <c r="E1991" s="10" t="str" cm="1">
        <f t="array" ref="E1991">IF(AND(A1991="2021-02", ISNA(MATCH(B1991, _xlfn._xlws.FILTER(B:B, A:A="2021-03"), 0))), "Left", "Ativo")</f>
        <v>Ativo</v>
      </c>
      <c r="F1991" s="12" t="str" cm="1">
        <f t="array" ref="F1991">IF(AND(A1991="2021-03", ISNA(MATCH(B1991, _xlfn._xlws.FILTER(B:B, A:A="2021-04"), 0))), "Left", "Ativo")</f>
        <v>Ativo</v>
      </c>
    </row>
    <row r="1992" spans="1:6" x14ac:dyDescent="0.25">
      <c r="A1992" t="s">
        <v>1530</v>
      </c>
      <c r="B1992" t="s">
        <v>96</v>
      </c>
      <c r="C1992" s="10" t="str" cm="1">
        <f t="array" ref="C1992">IF(AND(A1992="2020-12", ISNA(MATCH(B1992, _xlfn._xlws.FILTER(B:B, A:A="2021-01"), 0))), "Left", "Ativo")</f>
        <v>Ativo</v>
      </c>
      <c r="D1992" s="10" t="str" cm="1">
        <f t="array" ref="D1992">IF(AND(A1992="2021-01", ISNA(MATCH(B1992, _xlfn._xlws.FILTER(B:B, A:A="2021-02"), 0))), "Left", "Ativo")</f>
        <v>Ativo</v>
      </c>
      <c r="E1992" s="10" t="str" cm="1">
        <f t="array" ref="E1992">IF(AND(A1992="2021-02", ISNA(MATCH(B1992, _xlfn._xlws.FILTER(B:B, A:A="2021-03"), 0))), "Left", "Ativo")</f>
        <v>Ativo</v>
      </c>
      <c r="F1992" s="12" t="str" cm="1">
        <f t="array" ref="F1992">IF(AND(A1992="2021-03", ISNA(MATCH(B1992, _xlfn._xlws.FILTER(B:B, A:A="2021-04"), 0))), "Left", "Ativo")</f>
        <v>Ativo</v>
      </c>
    </row>
    <row r="1993" spans="1:6" x14ac:dyDescent="0.25">
      <c r="A1993" t="s">
        <v>1530</v>
      </c>
      <c r="B1993" t="s">
        <v>97</v>
      </c>
      <c r="C1993" s="10" t="str" cm="1">
        <f t="array" ref="C1993">IF(AND(A1993="2020-12", ISNA(MATCH(B1993, _xlfn._xlws.FILTER(B:B, A:A="2021-01"), 0))), "Left", "Ativo")</f>
        <v>Ativo</v>
      </c>
      <c r="D1993" s="10" t="str" cm="1">
        <f t="array" ref="D1993">IF(AND(A1993="2021-01", ISNA(MATCH(B1993, _xlfn._xlws.FILTER(B:B, A:A="2021-02"), 0))), "Left", "Ativo")</f>
        <v>Ativo</v>
      </c>
      <c r="E1993" s="10" t="str" cm="1">
        <f t="array" ref="E1993">IF(AND(A1993="2021-02", ISNA(MATCH(B1993, _xlfn._xlws.FILTER(B:B, A:A="2021-03"), 0))), "Left", "Ativo")</f>
        <v>Ativo</v>
      </c>
      <c r="F1993" s="12" t="str" cm="1">
        <f t="array" ref="F1993">IF(AND(A1993="2021-03", ISNA(MATCH(B1993, _xlfn._xlws.FILTER(B:B, A:A="2021-04"), 0))), "Left", "Ativo")</f>
        <v>Ativo</v>
      </c>
    </row>
    <row r="1994" spans="1:6" x14ac:dyDescent="0.25">
      <c r="A1994" t="s">
        <v>1530</v>
      </c>
      <c r="B1994" t="s">
        <v>98</v>
      </c>
      <c r="C1994" s="10" t="str" cm="1">
        <f t="array" ref="C1994">IF(AND(A1994="2020-12", ISNA(MATCH(B1994, _xlfn._xlws.FILTER(B:B, A:A="2021-01"), 0))), "Left", "Ativo")</f>
        <v>Ativo</v>
      </c>
      <c r="D1994" s="10" t="str" cm="1">
        <f t="array" ref="D1994">IF(AND(A1994="2021-01", ISNA(MATCH(B1994, _xlfn._xlws.FILTER(B:B, A:A="2021-02"), 0))), "Left", "Ativo")</f>
        <v>Ativo</v>
      </c>
      <c r="E1994" s="10" t="str" cm="1">
        <f t="array" ref="E1994">IF(AND(A1994="2021-02", ISNA(MATCH(B1994, _xlfn._xlws.FILTER(B:B, A:A="2021-03"), 0))), "Left", "Ativo")</f>
        <v>Ativo</v>
      </c>
      <c r="F1994" s="12" t="str" cm="1">
        <f t="array" ref="F1994">IF(AND(A1994="2021-03", ISNA(MATCH(B1994, _xlfn._xlws.FILTER(B:B, A:A="2021-04"), 0))), "Left", "Ativo")</f>
        <v>Ativo</v>
      </c>
    </row>
    <row r="1995" spans="1:6" x14ac:dyDescent="0.25">
      <c r="A1995" t="s">
        <v>1530</v>
      </c>
      <c r="B1995" t="s">
        <v>99</v>
      </c>
      <c r="C1995" s="10" t="str" cm="1">
        <f t="array" ref="C1995">IF(AND(A1995="2020-12", ISNA(MATCH(B1995, _xlfn._xlws.FILTER(B:B, A:A="2021-01"), 0))), "Left", "Ativo")</f>
        <v>Ativo</v>
      </c>
      <c r="D1995" s="10" t="str" cm="1">
        <f t="array" ref="D1995">IF(AND(A1995="2021-01", ISNA(MATCH(B1995, _xlfn._xlws.FILTER(B:B, A:A="2021-02"), 0))), "Left", "Ativo")</f>
        <v>Ativo</v>
      </c>
      <c r="E1995" s="10" t="str" cm="1">
        <f t="array" ref="E1995">IF(AND(A1995="2021-02", ISNA(MATCH(B1995, _xlfn._xlws.FILTER(B:B, A:A="2021-03"), 0))), "Left", "Ativo")</f>
        <v>Ativo</v>
      </c>
      <c r="F1995" s="12" t="str" cm="1">
        <f t="array" ref="F1995">IF(AND(A1995="2021-03", ISNA(MATCH(B1995, _xlfn._xlws.FILTER(B:B, A:A="2021-04"), 0))), "Left", "Ativo")</f>
        <v>Ativo</v>
      </c>
    </row>
    <row r="1996" spans="1:6" x14ac:dyDescent="0.25">
      <c r="A1996" t="s">
        <v>1530</v>
      </c>
      <c r="B1996" t="s">
        <v>100</v>
      </c>
      <c r="C1996" s="10" t="str" cm="1">
        <f t="array" ref="C1996">IF(AND(A1996="2020-12", ISNA(MATCH(B1996, _xlfn._xlws.FILTER(B:B, A:A="2021-01"), 0))), "Left", "Ativo")</f>
        <v>Ativo</v>
      </c>
      <c r="D1996" s="10" t="str" cm="1">
        <f t="array" ref="D1996">IF(AND(A1996="2021-01", ISNA(MATCH(B1996, _xlfn._xlws.FILTER(B:B, A:A="2021-02"), 0))), "Left", "Ativo")</f>
        <v>Ativo</v>
      </c>
      <c r="E1996" s="10" t="str" cm="1">
        <f t="array" ref="E1996">IF(AND(A1996="2021-02", ISNA(MATCH(B1996, _xlfn._xlws.FILTER(B:B, A:A="2021-03"), 0))), "Left", "Ativo")</f>
        <v>Ativo</v>
      </c>
      <c r="F1996" s="12" t="str" cm="1">
        <f t="array" ref="F1996">IF(AND(A1996="2021-03", ISNA(MATCH(B1996, _xlfn._xlws.FILTER(B:B, A:A="2021-04"), 0))), "Left", "Ativo")</f>
        <v>Ativo</v>
      </c>
    </row>
    <row r="1997" spans="1:6" x14ac:dyDescent="0.25">
      <c r="A1997" t="s">
        <v>1530</v>
      </c>
      <c r="B1997" t="s">
        <v>101</v>
      </c>
      <c r="C1997" s="10" t="str" cm="1">
        <f t="array" ref="C1997">IF(AND(A1997="2020-12", ISNA(MATCH(B1997, _xlfn._xlws.FILTER(B:B, A:A="2021-01"), 0))), "Left", "Ativo")</f>
        <v>Ativo</v>
      </c>
      <c r="D1997" s="10" t="str" cm="1">
        <f t="array" ref="D1997">IF(AND(A1997="2021-01", ISNA(MATCH(B1997, _xlfn._xlws.FILTER(B:B, A:A="2021-02"), 0))), "Left", "Ativo")</f>
        <v>Ativo</v>
      </c>
      <c r="E1997" s="10" t="str" cm="1">
        <f t="array" ref="E1997">IF(AND(A1997="2021-02", ISNA(MATCH(B1997, _xlfn._xlws.FILTER(B:B, A:A="2021-03"), 0))), "Left", "Ativo")</f>
        <v>Ativo</v>
      </c>
      <c r="F1997" s="12" t="str" cm="1">
        <f t="array" ref="F1997">IF(AND(A1997="2021-03", ISNA(MATCH(B1997, _xlfn._xlws.FILTER(B:B, A:A="2021-04"), 0))), "Left", "Ativo")</f>
        <v>Ativo</v>
      </c>
    </row>
    <row r="1998" spans="1:6" x14ac:dyDescent="0.25">
      <c r="A1998" t="s">
        <v>1530</v>
      </c>
      <c r="B1998" t="s">
        <v>102</v>
      </c>
      <c r="C1998" s="10" t="str" cm="1">
        <f t="array" ref="C1998">IF(AND(A1998="2020-12", ISNA(MATCH(B1998, _xlfn._xlws.FILTER(B:B, A:A="2021-01"), 0))), "Left", "Ativo")</f>
        <v>Ativo</v>
      </c>
      <c r="D1998" s="10" t="str" cm="1">
        <f t="array" ref="D1998">IF(AND(A1998="2021-01", ISNA(MATCH(B1998, _xlfn._xlws.FILTER(B:B, A:A="2021-02"), 0))), "Left", "Ativo")</f>
        <v>Ativo</v>
      </c>
      <c r="E1998" s="10" t="str" cm="1">
        <f t="array" ref="E1998">IF(AND(A1998="2021-02", ISNA(MATCH(B1998, _xlfn._xlws.FILTER(B:B, A:A="2021-03"), 0))), "Left", "Ativo")</f>
        <v>Ativo</v>
      </c>
      <c r="F1998" s="12" t="str" cm="1">
        <f t="array" ref="F1998">IF(AND(A1998="2021-03", ISNA(MATCH(B1998, _xlfn._xlws.FILTER(B:B, A:A="2021-04"), 0))), "Left", "Ativo")</f>
        <v>Ativo</v>
      </c>
    </row>
    <row r="1999" spans="1:6" x14ac:dyDescent="0.25">
      <c r="A1999" t="s">
        <v>1530</v>
      </c>
      <c r="B1999" t="s">
        <v>103</v>
      </c>
      <c r="C1999" s="10" t="str" cm="1">
        <f t="array" ref="C1999">IF(AND(A1999="2020-12", ISNA(MATCH(B1999, _xlfn._xlws.FILTER(B:B, A:A="2021-01"), 0))), "Left", "Ativo")</f>
        <v>Ativo</v>
      </c>
      <c r="D1999" s="10" t="str" cm="1">
        <f t="array" ref="D1999">IF(AND(A1999="2021-01", ISNA(MATCH(B1999, _xlfn._xlws.FILTER(B:B, A:A="2021-02"), 0))), "Left", "Ativo")</f>
        <v>Ativo</v>
      </c>
      <c r="E1999" s="10" t="str" cm="1">
        <f t="array" ref="E1999">IF(AND(A1999="2021-02", ISNA(MATCH(B1999, _xlfn._xlws.FILTER(B:B, A:A="2021-03"), 0))), "Left", "Ativo")</f>
        <v>Ativo</v>
      </c>
      <c r="F1999" s="12" t="str" cm="1">
        <f t="array" ref="F1999">IF(AND(A1999="2021-03", ISNA(MATCH(B1999, _xlfn._xlws.FILTER(B:B, A:A="2021-04"), 0))), "Left", "Ativo")</f>
        <v>Ativo</v>
      </c>
    </row>
    <row r="2000" spans="1:6" x14ac:dyDescent="0.25">
      <c r="A2000" t="s">
        <v>1530</v>
      </c>
      <c r="B2000" t="s">
        <v>104</v>
      </c>
      <c r="C2000" s="10" t="str" cm="1">
        <f t="array" ref="C2000">IF(AND(A2000="2020-12", ISNA(MATCH(B2000, _xlfn._xlws.FILTER(B:B, A:A="2021-01"), 0))), "Left", "Ativo")</f>
        <v>Ativo</v>
      </c>
      <c r="D2000" s="10" t="str" cm="1">
        <f t="array" ref="D2000">IF(AND(A2000="2021-01", ISNA(MATCH(B2000, _xlfn._xlws.FILTER(B:B, A:A="2021-02"), 0))), "Left", "Ativo")</f>
        <v>Ativo</v>
      </c>
      <c r="E2000" s="10" t="str" cm="1">
        <f t="array" ref="E2000">IF(AND(A2000="2021-02", ISNA(MATCH(B2000, _xlfn._xlws.FILTER(B:B, A:A="2021-03"), 0))), "Left", "Ativo")</f>
        <v>Ativo</v>
      </c>
      <c r="F2000" s="12" t="str" cm="1">
        <f t="array" ref="F2000">IF(AND(A2000="2021-03", ISNA(MATCH(B2000, _xlfn._xlws.FILTER(B:B, A:A="2021-04"), 0))), "Left", "Ativo")</f>
        <v>Ativo</v>
      </c>
    </row>
    <row r="2001" spans="1:6" x14ac:dyDescent="0.25">
      <c r="A2001" t="s">
        <v>1530</v>
      </c>
      <c r="B2001" t="s">
        <v>105</v>
      </c>
      <c r="C2001" s="10" t="str" cm="1">
        <f t="array" ref="C2001">IF(AND(A2001="2020-12", ISNA(MATCH(B2001, _xlfn._xlws.FILTER(B:B, A:A="2021-01"), 0))), "Left", "Ativo")</f>
        <v>Ativo</v>
      </c>
      <c r="D2001" s="10" t="str" cm="1">
        <f t="array" ref="D2001">IF(AND(A2001="2021-01", ISNA(MATCH(B2001, _xlfn._xlws.FILTER(B:B, A:A="2021-02"), 0))), "Left", "Ativo")</f>
        <v>Ativo</v>
      </c>
      <c r="E2001" s="10" t="str" cm="1">
        <f t="array" ref="E2001">IF(AND(A2001="2021-02", ISNA(MATCH(B2001, _xlfn._xlws.FILTER(B:B, A:A="2021-03"), 0))), "Left", "Ativo")</f>
        <v>Ativo</v>
      </c>
      <c r="F2001" s="12" t="str" cm="1">
        <f t="array" ref="F2001">IF(AND(A2001="2021-03", ISNA(MATCH(B2001, _xlfn._xlws.FILTER(B:B, A:A="2021-04"), 0))), "Left", "Ativo")</f>
        <v>Ativo</v>
      </c>
    </row>
    <row r="2002" spans="1:6" x14ac:dyDescent="0.25">
      <c r="A2002" t="s">
        <v>1530</v>
      </c>
      <c r="B2002" t="s">
        <v>106</v>
      </c>
      <c r="C2002" s="10" t="str" cm="1">
        <f t="array" ref="C2002">IF(AND(A2002="2020-12", ISNA(MATCH(B2002, _xlfn._xlws.FILTER(B:B, A:A="2021-01"), 0))), "Left", "Ativo")</f>
        <v>Ativo</v>
      </c>
      <c r="D2002" s="10" t="str" cm="1">
        <f t="array" ref="D2002">IF(AND(A2002="2021-01", ISNA(MATCH(B2002, _xlfn._xlws.FILTER(B:B, A:A="2021-02"), 0))), "Left", "Ativo")</f>
        <v>Ativo</v>
      </c>
      <c r="E2002" s="10" t="str" cm="1">
        <f t="array" ref="E2002">IF(AND(A2002="2021-02", ISNA(MATCH(B2002, _xlfn._xlws.FILTER(B:B, A:A="2021-03"), 0))), "Left", "Ativo")</f>
        <v>Ativo</v>
      </c>
      <c r="F2002" s="12" t="str" cm="1">
        <f t="array" ref="F2002">IF(AND(A2002="2021-03", ISNA(MATCH(B2002, _xlfn._xlws.FILTER(B:B, A:A="2021-04"), 0))), "Left", "Ativo")</f>
        <v>Ativo</v>
      </c>
    </row>
    <row r="2003" spans="1:6" x14ac:dyDescent="0.25">
      <c r="A2003" t="s">
        <v>1530</v>
      </c>
      <c r="B2003" t="s">
        <v>107</v>
      </c>
      <c r="C2003" s="10" t="str" cm="1">
        <f t="array" ref="C2003">IF(AND(A2003="2020-12", ISNA(MATCH(B2003, _xlfn._xlws.FILTER(B:B, A:A="2021-01"), 0))), "Left", "Ativo")</f>
        <v>Ativo</v>
      </c>
      <c r="D2003" s="10" t="str" cm="1">
        <f t="array" ref="D2003">IF(AND(A2003="2021-01", ISNA(MATCH(B2003, _xlfn._xlws.FILTER(B:B, A:A="2021-02"), 0))), "Left", "Ativo")</f>
        <v>Ativo</v>
      </c>
      <c r="E2003" s="10" t="str" cm="1">
        <f t="array" ref="E2003">IF(AND(A2003="2021-02", ISNA(MATCH(B2003, _xlfn._xlws.FILTER(B:B, A:A="2021-03"), 0))), "Left", "Ativo")</f>
        <v>Ativo</v>
      </c>
      <c r="F2003" s="12" t="str" cm="1">
        <f t="array" ref="F2003">IF(AND(A2003="2021-03", ISNA(MATCH(B2003, _xlfn._xlws.FILTER(B:B, A:A="2021-04"), 0))), "Left", "Ativo")</f>
        <v>Ativo</v>
      </c>
    </row>
    <row r="2004" spans="1:6" x14ac:dyDescent="0.25">
      <c r="A2004" t="s">
        <v>1530</v>
      </c>
      <c r="B2004" t="s">
        <v>108</v>
      </c>
      <c r="C2004" s="10" t="str" cm="1">
        <f t="array" ref="C2004">IF(AND(A2004="2020-12", ISNA(MATCH(B2004, _xlfn._xlws.FILTER(B:B, A:A="2021-01"), 0))), "Left", "Ativo")</f>
        <v>Ativo</v>
      </c>
      <c r="D2004" s="10" t="str" cm="1">
        <f t="array" ref="D2004">IF(AND(A2004="2021-01", ISNA(MATCH(B2004, _xlfn._xlws.FILTER(B:B, A:A="2021-02"), 0))), "Left", "Ativo")</f>
        <v>Ativo</v>
      </c>
      <c r="E2004" s="10" t="str" cm="1">
        <f t="array" ref="E2004">IF(AND(A2004="2021-02", ISNA(MATCH(B2004, _xlfn._xlws.FILTER(B:B, A:A="2021-03"), 0))), "Left", "Ativo")</f>
        <v>Ativo</v>
      </c>
      <c r="F2004" s="12" t="str" cm="1">
        <f t="array" ref="F2004">IF(AND(A2004="2021-03", ISNA(MATCH(B2004, _xlfn._xlws.FILTER(B:B, A:A="2021-04"), 0))), "Left", "Ativo")</f>
        <v>Ativo</v>
      </c>
    </row>
    <row r="2005" spans="1:6" x14ac:dyDescent="0.25">
      <c r="A2005" t="s">
        <v>1530</v>
      </c>
      <c r="B2005" t="s">
        <v>109</v>
      </c>
      <c r="C2005" s="10" t="str" cm="1">
        <f t="array" ref="C2005">IF(AND(A2005="2020-12", ISNA(MATCH(B2005, _xlfn._xlws.FILTER(B:B, A:A="2021-01"), 0))), "Left", "Ativo")</f>
        <v>Ativo</v>
      </c>
      <c r="D2005" s="10" t="str" cm="1">
        <f t="array" ref="D2005">IF(AND(A2005="2021-01", ISNA(MATCH(B2005, _xlfn._xlws.FILTER(B:B, A:A="2021-02"), 0))), "Left", "Ativo")</f>
        <v>Ativo</v>
      </c>
      <c r="E2005" s="10" t="str" cm="1">
        <f t="array" ref="E2005">IF(AND(A2005="2021-02", ISNA(MATCH(B2005, _xlfn._xlws.FILTER(B:B, A:A="2021-03"), 0))), "Left", "Ativo")</f>
        <v>Ativo</v>
      </c>
      <c r="F2005" s="12" t="str" cm="1">
        <f t="array" ref="F2005">IF(AND(A2005="2021-03", ISNA(MATCH(B2005, _xlfn._xlws.FILTER(B:B, A:A="2021-04"), 0))), "Left", "Ativo")</f>
        <v>Ativo</v>
      </c>
    </row>
    <row r="2006" spans="1:6" x14ac:dyDescent="0.25">
      <c r="A2006" t="s">
        <v>1530</v>
      </c>
      <c r="B2006" t="s">
        <v>110</v>
      </c>
      <c r="C2006" s="10" t="str" cm="1">
        <f t="array" ref="C2006">IF(AND(A2006="2020-12", ISNA(MATCH(B2006, _xlfn._xlws.FILTER(B:B, A:A="2021-01"), 0))), "Left", "Ativo")</f>
        <v>Ativo</v>
      </c>
      <c r="D2006" s="10" t="str" cm="1">
        <f t="array" ref="D2006">IF(AND(A2006="2021-01", ISNA(MATCH(B2006, _xlfn._xlws.FILTER(B:B, A:A="2021-02"), 0))), "Left", "Ativo")</f>
        <v>Ativo</v>
      </c>
      <c r="E2006" s="10" t="str" cm="1">
        <f t="array" ref="E2006">IF(AND(A2006="2021-02", ISNA(MATCH(B2006, _xlfn._xlws.FILTER(B:B, A:A="2021-03"), 0))), "Left", "Ativo")</f>
        <v>Ativo</v>
      </c>
      <c r="F2006" s="12" t="str" cm="1">
        <f t="array" ref="F2006">IF(AND(A2006="2021-03", ISNA(MATCH(B2006, _xlfn._xlws.FILTER(B:B, A:A="2021-04"), 0))), "Left", "Ativo")</f>
        <v>Ativo</v>
      </c>
    </row>
    <row r="2007" spans="1:6" x14ac:dyDescent="0.25">
      <c r="A2007" t="s">
        <v>1530</v>
      </c>
      <c r="B2007" t="s">
        <v>111</v>
      </c>
      <c r="C2007" s="10" t="str" cm="1">
        <f t="array" ref="C2007">IF(AND(A2007="2020-12", ISNA(MATCH(B2007, _xlfn._xlws.FILTER(B:B, A:A="2021-01"), 0))), "Left", "Ativo")</f>
        <v>Ativo</v>
      </c>
      <c r="D2007" s="10" t="str" cm="1">
        <f t="array" ref="D2007">IF(AND(A2007="2021-01", ISNA(MATCH(B2007, _xlfn._xlws.FILTER(B:B, A:A="2021-02"), 0))), "Left", "Ativo")</f>
        <v>Ativo</v>
      </c>
      <c r="E2007" s="10" t="str" cm="1">
        <f t="array" ref="E2007">IF(AND(A2007="2021-02", ISNA(MATCH(B2007, _xlfn._xlws.FILTER(B:B, A:A="2021-03"), 0))), "Left", "Ativo")</f>
        <v>Ativo</v>
      </c>
      <c r="F2007" s="12" t="str" cm="1">
        <f t="array" ref="F2007">IF(AND(A2007="2021-03", ISNA(MATCH(B2007, _xlfn._xlws.FILTER(B:B, A:A="2021-04"), 0))), "Left", "Ativo")</f>
        <v>Ativo</v>
      </c>
    </row>
    <row r="2008" spans="1:6" x14ac:dyDescent="0.25">
      <c r="A2008" t="s">
        <v>1530</v>
      </c>
      <c r="B2008" t="s">
        <v>112</v>
      </c>
      <c r="C2008" s="10" t="str" cm="1">
        <f t="array" ref="C2008">IF(AND(A2008="2020-12", ISNA(MATCH(B2008, _xlfn._xlws.FILTER(B:B, A:A="2021-01"), 0))), "Left", "Ativo")</f>
        <v>Ativo</v>
      </c>
      <c r="D2008" s="10" t="str" cm="1">
        <f t="array" ref="D2008">IF(AND(A2008="2021-01", ISNA(MATCH(B2008, _xlfn._xlws.FILTER(B:B, A:A="2021-02"), 0))), "Left", "Ativo")</f>
        <v>Ativo</v>
      </c>
      <c r="E2008" s="10" t="str" cm="1">
        <f t="array" ref="E2008">IF(AND(A2008="2021-02", ISNA(MATCH(B2008, _xlfn._xlws.FILTER(B:B, A:A="2021-03"), 0))), "Left", "Ativo")</f>
        <v>Ativo</v>
      </c>
      <c r="F2008" s="12" t="str" cm="1">
        <f t="array" ref="F2008">IF(AND(A2008="2021-03", ISNA(MATCH(B2008, _xlfn._xlws.FILTER(B:B, A:A="2021-04"), 0))), "Left", "Ativo")</f>
        <v>Ativo</v>
      </c>
    </row>
    <row r="2009" spans="1:6" x14ac:dyDescent="0.25">
      <c r="A2009" t="s">
        <v>1530</v>
      </c>
      <c r="B2009" t="s">
        <v>113</v>
      </c>
      <c r="C2009" s="10" t="str" cm="1">
        <f t="array" ref="C2009">IF(AND(A2009="2020-12", ISNA(MATCH(B2009, _xlfn._xlws.FILTER(B:B, A:A="2021-01"), 0))), "Left", "Ativo")</f>
        <v>Ativo</v>
      </c>
      <c r="D2009" s="10" t="str" cm="1">
        <f t="array" ref="D2009">IF(AND(A2009="2021-01", ISNA(MATCH(B2009, _xlfn._xlws.FILTER(B:B, A:A="2021-02"), 0))), "Left", "Ativo")</f>
        <v>Ativo</v>
      </c>
      <c r="E2009" s="10" t="str" cm="1">
        <f t="array" ref="E2009">IF(AND(A2009="2021-02", ISNA(MATCH(B2009, _xlfn._xlws.FILTER(B:B, A:A="2021-03"), 0))), "Left", "Ativo")</f>
        <v>Ativo</v>
      </c>
      <c r="F2009" s="12" t="str" cm="1">
        <f t="array" ref="F2009">IF(AND(A2009="2021-03", ISNA(MATCH(B2009, _xlfn._xlws.FILTER(B:B, A:A="2021-04"), 0))), "Left", "Ativo")</f>
        <v>Ativo</v>
      </c>
    </row>
    <row r="2010" spans="1:6" x14ac:dyDescent="0.25">
      <c r="A2010" t="s">
        <v>1530</v>
      </c>
      <c r="B2010" t="s">
        <v>114</v>
      </c>
      <c r="C2010" s="10" t="str" cm="1">
        <f t="array" ref="C2010">IF(AND(A2010="2020-12", ISNA(MATCH(B2010, _xlfn._xlws.FILTER(B:B, A:A="2021-01"), 0))), "Left", "Ativo")</f>
        <v>Ativo</v>
      </c>
      <c r="D2010" s="10" t="str" cm="1">
        <f t="array" ref="D2010">IF(AND(A2010="2021-01", ISNA(MATCH(B2010, _xlfn._xlws.FILTER(B:B, A:A="2021-02"), 0))), "Left", "Ativo")</f>
        <v>Ativo</v>
      </c>
      <c r="E2010" s="10" t="str" cm="1">
        <f t="array" ref="E2010">IF(AND(A2010="2021-02", ISNA(MATCH(B2010, _xlfn._xlws.FILTER(B:B, A:A="2021-03"), 0))), "Left", "Ativo")</f>
        <v>Ativo</v>
      </c>
      <c r="F2010" s="12" t="str" cm="1">
        <f t="array" ref="F2010">IF(AND(A2010="2021-03", ISNA(MATCH(B2010, _xlfn._xlws.FILTER(B:B, A:A="2021-04"), 0))), "Left", "Ativo")</f>
        <v>Ativo</v>
      </c>
    </row>
    <row r="2011" spans="1:6" x14ac:dyDescent="0.25">
      <c r="A2011" t="s">
        <v>1530</v>
      </c>
      <c r="B2011" t="s">
        <v>115</v>
      </c>
      <c r="C2011" s="10" t="str" cm="1">
        <f t="array" ref="C2011">IF(AND(A2011="2020-12", ISNA(MATCH(B2011, _xlfn._xlws.FILTER(B:B, A:A="2021-01"), 0))), "Left", "Ativo")</f>
        <v>Ativo</v>
      </c>
      <c r="D2011" s="10" t="str" cm="1">
        <f t="array" ref="D2011">IF(AND(A2011="2021-01", ISNA(MATCH(B2011, _xlfn._xlws.FILTER(B:B, A:A="2021-02"), 0))), "Left", "Ativo")</f>
        <v>Ativo</v>
      </c>
      <c r="E2011" s="10" t="str" cm="1">
        <f t="array" ref="E2011">IF(AND(A2011="2021-02", ISNA(MATCH(B2011, _xlfn._xlws.FILTER(B:B, A:A="2021-03"), 0))), "Left", "Ativo")</f>
        <v>Ativo</v>
      </c>
      <c r="F2011" s="12" t="str" cm="1">
        <f t="array" ref="F2011">IF(AND(A2011="2021-03", ISNA(MATCH(B2011, _xlfn._xlws.FILTER(B:B, A:A="2021-04"), 0))), "Left", "Ativo")</f>
        <v>Ativo</v>
      </c>
    </row>
    <row r="2012" spans="1:6" x14ac:dyDescent="0.25">
      <c r="A2012" t="s">
        <v>1530</v>
      </c>
      <c r="B2012" t="s">
        <v>116</v>
      </c>
      <c r="C2012" s="10" t="str" cm="1">
        <f t="array" ref="C2012">IF(AND(A2012="2020-12", ISNA(MATCH(B2012, _xlfn._xlws.FILTER(B:B, A:A="2021-01"), 0))), "Left", "Ativo")</f>
        <v>Ativo</v>
      </c>
      <c r="D2012" s="10" t="str" cm="1">
        <f t="array" ref="D2012">IF(AND(A2012="2021-01", ISNA(MATCH(B2012, _xlfn._xlws.FILTER(B:B, A:A="2021-02"), 0))), "Left", "Ativo")</f>
        <v>Ativo</v>
      </c>
      <c r="E2012" s="10" t="str" cm="1">
        <f t="array" ref="E2012">IF(AND(A2012="2021-02", ISNA(MATCH(B2012, _xlfn._xlws.FILTER(B:B, A:A="2021-03"), 0))), "Left", "Ativo")</f>
        <v>Left</v>
      </c>
      <c r="F2012" s="12" t="str" cm="1">
        <f t="array" ref="F2012">IF(AND(A2012="2021-03", ISNA(MATCH(B2012, _xlfn._xlws.FILTER(B:B, A:A="2021-04"), 0))), "Left", "Ativo")</f>
        <v>Ativo</v>
      </c>
    </row>
    <row r="2013" spans="1:6" x14ac:dyDescent="0.25">
      <c r="A2013" t="s">
        <v>1530</v>
      </c>
      <c r="B2013" t="s">
        <v>117</v>
      </c>
      <c r="C2013" s="10" t="str" cm="1">
        <f t="array" ref="C2013">IF(AND(A2013="2020-12", ISNA(MATCH(B2013, _xlfn._xlws.FILTER(B:B, A:A="2021-01"), 0))), "Left", "Ativo")</f>
        <v>Ativo</v>
      </c>
      <c r="D2013" s="10" t="str" cm="1">
        <f t="array" ref="D2013">IF(AND(A2013="2021-01", ISNA(MATCH(B2013, _xlfn._xlws.FILTER(B:B, A:A="2021-02"), 0))), "Left", "Ativo")</f>
        <v>Ativo</v>
      </c>
      <c r="E2013" s="10" t="str" cm="1">
        <f t="array" ref="E2013">IF(AND(A2013="2021-02", ISNA(MATCH(B2013, _xlfn._xlws.FILTER(B:B, A:A="2021-03"), 0))), "Left", "Ativo")</f>
        <v>Ativo</v>
      </c>
      <c r="F2013" s="12" t="str" cm="1">
        <f t="array" ref="F2013">IF(AND(A2013="2021-03", ISNA(MATCH(B2013, _xlfn._xlws.FILTER(B:B, A:A="2021-04"), 0))), "Left", "Ativo")</f>
        <v>Ativo</v>
      </c>
    </row>
    <row r="2014" spans="1:6" x14ac:dyDescent="0.25">
      <c r="A2014" t="s">
        <v>1530</v>
      </c>
      <c r="B2014" t="s">
        <v>118</v>
      </c>
      <c r="C2014" s="10" t="str" cm="1">
        <f t="array" ref="C2014">IF(AND(A2014="2020-12", ISNA(MATCH(B2014, _xlfn._xlws.FILTER(B:B, A:A="2021-01"), 0))), "Left", "Ativo")</f>
        <v>Ativo</v>
      </c>
      <c r="D2014" s="10" t="str" cm="1">
        <f t="array" ref="D2014">IF(AND(A2014="2021-01", ISNA(MATCH(B2014, _xlfn._xlws.FILTER(B:B, A:A="2021-02"), 0))), "Left", "Ativo")</f>
        <v>Ativo</v>
      </c>
      <c r="E2014" s="10" t="str" cm="1">
        <f t="array" ref="E2014">IF(AND(A2014="2021-02", ISNA(MATCH(B2014, _xlfn._xlws.FILTER(B:B, A:A="2021-03"), 0))), "Left", "Ativo")</f>
        <v>Ativo</v>
      </c>
      <c r="F2014" s="12" t="str" cm="1">
        <f t="array" ref="F2014">IF(AND(A2014="2021-03", ISNA(MATCH(B2014, _xlfn._xlws.FILTER(B:B, A:A="2021-04"), 0))), "Left", "Ativo")</f>
        <v>Ativo</v>
      </c>
    </row>
    <row r="2015" spans="1:6" x14ac:dyDescent="0.25">
      <c r="A2015" t="s">
        <v>1530</v>
      </c>
      <c r="B2015" t="s">
        <v>119</v>
      </c>
      <c r="C2015" s="10" t="str" cm="1">
        <f t="array" ref="C2015">IF(AND(A2015="2020-12", ISNA(MATCH(B2015, _xlfn._xlws.FILTER(B:B, A:A="2021-01"), 0))), "Left", "Ativo")</f>
        <v>Ativo</v>
      </c>
      <c r="D2015" s="10" t="str" cm="1">
        <f t="array" ref="D2015">IF(AND(A2015="2021-01", ISNA(MATCH(B2015, _xlfn._xlws.FILTER(B:B, A:A="2021-02"), 0))), "Left", "Ativo")</f>
        <v>Ativo</v>
      </c>
      <c r="E2015" s="10" t="str" cm="1">
        <f t="array" ref="E2015">IF(AND(A2015="2021-02", ISNA(MATCH(B2015, _xlfn._xlws.FILTER(B:B, A:A="2021-03"), 0))), "Left", "Ativo")</f>
        <v>Ativo</v>
      </c>
      <c r="F2015" s="12" t="str" cm="1">
        <f t="array" ref="F2015">IF(AND(A2015="2021-03", ISNA(MATCH(B2015, _xlfn._xlws.FILTER(B:B, A:A="2021-04"), 0))), "Left", "Ativo")</f>
        <v>Ativo</v>
      </c>
    </row>
    <row r="2016" spans="1:6" x14ac:dyDescent="0.25">
      <c r="A2016" t="s">
        <v>1530</v>
      </c>
      <c r="B2016" t="s">
        <v>120</v>
      </c>
      <c r="C2016" s="10" t="str" cm="1">
        <f t="array" ref="C2016">IF(AND(A2016="2020-12", ISNA(MATCH(B2016, _xlfn._xlws.FILTER(B:B, A:A="2021-01"), 0))), "Left", "Ativo")</f>
        <v>Ativo</v>
      </c>
      <c r="D2016" s="10" t="str" cm="1">
        <f t="array" ref="D2016">IF(AND(A2016="2021-01", ISNA(MATCH(B2016, _xlfn._xlws.FILTER(B:B, A:A="2021-02"), 0))), "Left", "Ativo")</f>
        <v>Ativo</v>
      </c>
      <c r="E2016" s="10" t="str" cm="1">
        <f t="array" ref="E2016">IF(AND(A2016="2021-02", ISNA(MATCH(B2016, _xlfn._xlws.FILTER(B:B, A:A="2021-03"), 0))), "Left", "Ativo")</f>
        <v>Ativo</v>
      </c>
      <c r="F2016" s="12" t="str" cm="1">
        <f t="array" ref="F2016">IF(AND(A2016="2021-03", ISNA(MATCH(B2016, _xlfn._xlws.FILTER(B:B, A:A="2021-04"), 0))), "Left", "Ativo")</f>
        <v>Ativo</v>
      </c>
    </row>
    <row r="2017" spans="1:6" x14ac:dyDescent="0.25">
      <c r="A2017" t="s">
        <v>1530</v>
      </c>
      <c r="B2017" t="s">
        <v>121</v>
      </c>
      <c r="C2017" s="10" t="str" cm="1">
        <f t="array" ref="C2017">IF(AND(A2017="2020-12", ISNA(MATCH(B2017, _xlfn._xlws.FILTER(B:B, A:A="2021-01"), 0))), "Left", "Ativo")</f>
        <v>Ativo</v>
      </c>
      <c r="D2017" s="10" t="str" cm="1">
        <f t="array" ref="D2017">IF(AND(A2017="2021-01", ISNA(MATCH(B2017, _xlfn._xlws.FILTER(B:B, A:A="2021-02"), 0))), "Left", "Ativo")</f>
        <v>Ativo</v>
      </c>
      <c r="E2017" s="10" t="str" cm="1">
        <f t="array" ref="E2017">IF(AND(A2017="2021-02", ISNA(MATCH(B2017, _xlfn._xlws.FILTER(B:B, A:A="2021-03"), 0))), "Left", "Ativo")</f>
        <v>Ativo</v>
      </c>
      <c r="F2017" s="12" t="str" cm="1">
        <f t="array" ref="F2017">IF(AND(A2017="2021-03", ISNA(MATCH(B2017, _xlfn._xlws.FILTER(B:B, A:A="2021-04"), 0))), "Left", "Ativo")</f>
        <v>Ativo</v>
      </c>
    </row>
    <row r="2018" spans="1:6" x14ac:dyDescent="0.25">
      <c r="A2018" t="s">
        <v>1530</v>
      </c>
      <c r="B2018" t="s">
        <v>122</v>
      </c>
      <c r="C2018" s="10" t="str" cm="1">
        <f t="array" ref="C2018">IF(AND(A2018="2020-12", ISNA(MATCH(B2018, _xlfn._xlws.FILTER(B:B, A:A="2021-01"), 0))), "Left", "Ativo")</f>
        <v>Ativo</v>
      </c>
      <c r="D2018" s="10" t="str" cm="1">
        <f t="array" ref="D2018">IF(AND(A2018="2021-01", ISNA(MATCH(B2018, _xlfn._xlws.FILTER(B:B, A:A="2021-02"), 0))), "Left", "Ativo")</f>
        <v>Ativo</v>
      </c>
      <c r="E2018" s="10" t="str" cm="1">
        <f t="array" ref="E2018">IF(AND(A2018="2021-02", ISNA(MATCH(B2018, _xlfn._xlws.FILTER(B:B, A:A="2021-03"), 0))), "Left", "Ativo")</f>
        <v>Ativo</v>
      </c>
      <c r="F2018" s="12" t="str" cm="1">
        <f t="array" ref="F2018">IF(AND(A2018="2021-03", ISNA(MATCH(B2018, _xlfn._xlws.FILTER(B:B, A:A="2021-04"), 0))), "Left", "Ativo")</f>
        <v>Ativo</v>
      </c>
    </row>
    <row r="2019" spans="1:6" x14ac:dyDescent="0.25">
      <c r="A2019" t="s">
        <v>1530</v>
      </c>
      <c r="B2019" t="s">
        <v>123</v>
      </c>
      <c r="C2019" s="10" t="str" cm="1">
        <f t="array" ref="C2019">IF(AND(A2019="2020-12", ISNA(MATCH(B2019, _xlfn._xlws.FILTER(B:B, A:A="2021-01"), 0))), "Left", "Ativo")</f>
        <v>Ativo</v>
      </c>
      <c r="D2019" s="10" t="str" cm="1">
        <f t="array" ref="D2019">IF(AND(A2019="2021-01", ISNA(MATCH(B2019, _xlfn._xlws.FILTER(B:B, A:A="2021-02"), 0))), "Left", "Ativo")</f>
        <v>Ativo</v>
      </c>
      <c r="E2019" s="10" t="str" cm="1">
        <f t="array" ref="E2019">IF(AND(A2019="2021-02", ISNA(MATCH(B2019, _xlfn._xlws.FILTER(B:B, A:A="2021-03"), 0))), "Left", "Ativo")</f>
        <v>Ativo</v>
      </c>
      <c r="F2019" s="12" t="str" cm="1">
        <f t="array" ref="F2019">IF(AND(A2019="2021-03", ISNA(MATCH(B2019, _xlfn._xlws.FILTER(B:B, A:A="2021-04"), 0))), "Left", "Ativo")</f>
        <v>Ativo</v>
      </c>
    </row>
    <row r="2020" spans="1:6" x14ac:dyDescent="0.25">
      <c r="A2020" t="s">
        <v>1530</v>
      </c>
      <c r="B2020" t="s">
        <v>124</v>
      </c>
      <c r="C2020" s="10" t="str" cm="1">
        <f t="array" ref="C2020">IF(AND(A2020="2020-12", ISNA(MATCH(B2020, _xlfn._xlws.FILTER(B:B, A:A="2021-01"), 0))), "Left", "Ativo")</f>
        <v>Ativo</v>
      </c>
      <c r="D2020" s="10" t="str" cm="1">
        <f t="array" ref="D2020">IF(AND(A2020="2021-01", ISNA(MATCH(B2020, _xlfn._xlws.FILTER(B:B, A:A="2021-02"), 0))), "Left", "Ativo")</f>
        <v>Ativo</v>
      </c>
      <c r="E2020" s="10" t="str" cm="1">
        <f t="array" ref="E2020">IF(AND(A2020="2021-02", ISNA(MATCH(B2020, _xlfn._xlws.FILTER(B:B, A:A="2021-03"), 0))), "Left", "Ativo")</f>
        <v>Ativo</v>
      </c>
      <c r="F2020" s="12" t="str" cm="1">
        <f t="array" ref="F2020">IF(AND(A2020="2021-03", ISNA(MATCH(B2020, _xlfn._xlws.FILTER(B:B, A:A="2021-04"), 0))), "Left", "Ativo")</f>
        <v>Ativo</v>
      </c>
    </row>
    <row r="2021" spans="1:6" x14ac:dyDescent="0.25">
      <c r="A2021" t="s">
        <v>1530</v>
      </c>
      <c r="B2021" t="s">
        <v>125</v>
      </c>
      <c r="C2021" s="10" t="str" cm="1">
        <f t="array" ref="C2021">IF(AND(A2021="2020-12", ISNA(MATCH(B2021, _xlfn._xlws.FILTER(B:B, A:A="2021-01"), 0))), "Left", "Ativo")</f>
        <v>Ativo</v>
      </c>
      <c r="D2021" s="10" t="str" cm="1">
        <f t="array" ref="D2021">IF(AND(A2021="2021-01", ISNA(MATCH(B2021, _xlfn._xlws.FILTER(B:B, A:A="2021-02"), 0))), "Left", "Ativo")</f>
        <v>Ativo</v>
      </c>
      <c r="E2021" s="10" t="str" cm="1">
        <f t="array" ref="E2021">IF(AND(A2021="2021-02", ISNA(MATCH(B2021, _xlfn._xlws.FILTER(B:B, A:A="2021-03"), 0))), "Left", "Ativo")</f>
        <v>Ativo</v>
      </c>
      <c r="F2021" s="12" t="str" cm="1">
        <f t="array" ref="F2021">IF(AND(A2021="2021-03", ISNA(MATCH(B2021, _xlfn._xlws.FILTER(B:B, A:A="2021-04"), 0))), "Left", "Ativo")</f>
        <v>Ativo</v>
      </c>
    </row>
    <row r="2022" spans="1:6" x14ac:dyDescent="0.25">
      <c r="A2022" t="s">
        <v>1530</v>
      </c>
      <c r="B2022" t="s">
        <v>126</v>
      </c>
      <c r="C2022" s="10" t="str" cm="1">
        <f t="array" ref="C2022">IF(AND(A2022="2020-12", ISNA(MATCH(B2022, _xlfn._xlws.FILTER(B:B, A:A="2021-01"), 0))), "Left", "Ativo")</f>
        <v>Ativo</v>
      </c>
      <c r="D2022" s="10" t="str" cm="1">
        <f t="array" ref="D2022">IF(AND(A2022="2021-01", ISNA(MATCH(B2022, _xlfn._xlws.FILTER(B:B, A:A="2021-02"), 0))), "Left", "Ativo")</f>
        <v>Ativo</v>
      </c>
      <c r="E2022" s="10" t="str" cm="1">
        <f t="array" ref="E2022">IF(AND(A2022="2021-02", ISNA(MATCH(B2022, _xlfn._xlws.FILTER(B:B, A:A="2021-03"), 0))), "Left", "Ativo")</f>
        <v>Ativo</v>
      </c>
      <c r="F2022" s="12" t="str" cm="1">
        <f t="array" ref="F2022">IF(AND(A2022="2021-03", ISNA(MATCH(B2022, _xlfn._xlws.FILTER(B:B, A:A="2021-04"), 0))), "Left", "Ativo")</f>
        <v>Ativo</v>
      </c>
    </row>
    <row r="2023" spans="1:6" x14ac:dyDescent="0.25">
      <c r="A2023" t="s">
        <v>1530</v>
      </c>
      <c r="B2023" t="s">
        <v>127</v>
      </c>
      <c r="C2023" s="10" t="str" cm="1">
        <f t="array" ref="C2023">IF(AND(A2023="2020-12", ISNA(MATCH(B2023, _xlfn._xlws.FILTER(B:B, A:A="2021-01"), 0))), "Left", "Ativo")</f>
        <v>Ativo</v>
      </c>
      <c r="D2023" s="10" t="str" cm="1">
        <f t="array" ref="D2023">IF(AND(A2023="2021-01", ISNA(MATCH(B2023, _xlfn._xlws.FILTER(B:B, A:A="2021-02"), 0))), "Left", "Ativo")</f>
        <v>Ativo</v>
      </c>
      <c r="E2023" s="10" t="str" cm="1">
        <f t="array" ref="E2023">IF(AND(A2023="2021-02", ISNA(MATCH(B2023, _xlfn._xlws.FILTER(B:B, A:A="2021-03"), 0))), "Left", "Ativo")</f>
        <v>Ativo</v>
      </c>
      <c r="F2023" s="12" t="str" cm="1">
        <f t="array" ref="F2023">IF(AND(A2023="2021-03", ISNA(MATCH(B2023, _xlfn._xlws.FILTER(B:B, A:A="2021-04"), 0))), "Left", "Ativo")</f>
        <v>Ativo</v>
      </c>
    </row>
    <row r="2024" spans="1:6" x14ac:dyDescent="0.25">
      <c r="A2024" t="s">
        <v>1530</v>
      </c>
      <c r="B2024" t="s">
        <v>128</v>
      </c>
      <c r="C2024" s="10" t="str" cm="1">
        <f t="array" ref="C2024">IF(AND(A2024="2020-12", ISNA(MATCH(B2024, _xlfn._xlws.FILTER(B:B, A:A="2021-01"), 0))), "Left", "Ativo")</f>
        <v>Ativo</v>
      </c>
      <c r="D2024" s="10" t="str" cm="1">
        <f t="array" ref="D2024">IF(AND(A2024="2021-01", ISNA(MATCH(B2024, _xlfn._xlws.FILTER(B:B, A:A="2021-02"), 0))), "Left", "Ativo")</f>
        <v>Ativo</v>
      </c>
      <c r="E2024" s="10" t="str" cm="1">
        <f t="array" ref="E2024">IF(AND(A2024="2021-02", ISNA(MATCH(B2024, _xlfn._xlws.FILTER(B:B, A:A="2021-03"), 0))), "Left", "Ativo")</f>
        <v>Ativo</v>
      </c>
      <c r="F2024" s="12" t="str" cm="1">
        <f t="array" ref="F2024">IF(AND(A2024="2021-03", ISNA(MATCH(B2024, _xlfn._xlws.FILTER(B:B, A:A="2021-04"), 0))), "Left", "Ativo")</f>
        <v>Ativo</v>
      </c>
    </row>
    <row r="2025" spans="1:6" x14ac:dyDescent="0.25">
      <c r="A2025" t="s">
        <v>1530</v>
      </c>
      <c r="B2025" t="s">
        <v>129</v>
      </c>
      <c r="C2025" s="10" t="str" cm="1">
        <f t="array" ref="C2025">IF(AND(A2025="2020-12", ISNA(MATCH(B2025, _xlfn._xlws.FILTER(B:B, A:A="2021-01"), 0))), "Left", "Ativo")</f>
        <v>Ativo</v>
      </c>
      <c r="D2025" s="10" t="str" cm="1">
        <f t="array" ref="D2025">IF(AND(A2025="2021-01", ISNA(MATCH(B2025, _xlfn._xlws.FILTER(B:B, A:A="2021-02"), 0))), "Left", "Ativo")</f>
        <v>Ativo</v>
      </c>
      <c r="E2025" s="10" t="str" cm="1">
        <f t="array" ref="E2025">IF(AND(A2025="2021-02", ISNA(MATCH(B2025, _xlfn._xlws.FILTER(B:B, A:A="2021-03"), 0))), "Left", "Ativo")</f>
        <v>Ativo</v>
      </c>
      <c r="F2025" s="12" t="str" cm="1">
        <f t="array" ref="F2025">IF(AND(A2025="2021-03", ISNA(MATCH(B2025, _xlfn._xlws.FILTER(B:B, A:A="2021-04"), 0))), "Left", "Ativo")</f>
        <v>Ativo</v>
      </c>
    </row>
    <row r="2026" spans="1:6" x14ac:dyDescent="0.25">
      <c r="A2026" t="s">
        <v>1530</v>
      </c>
      <c r="B2026" t="s">
        <v>130</v>
      </c>
      <c r="C2026" s="10" t="str" cm="1">
        <f t="array" ref="C2026">IF(AND(A2026="2020-12", ISNA(MATCH(B2026, _xlfn._xlws.FILTER(B:B, A:A="2021-01"), 0))), "Left", "Ativo")</f>
        <v>Ativo</v>
      </c>
      <c r="D2026" s="10" t="str" cm="1">
        <f t="array" ref="D2026">IF(AND(A2026="2021-01", ISNA(MATCH(B2026, _xlfn._xlws.FILTER(B:B, A:A="2021-02"), 0))), "Left", "Ativo")</f>
        <v>Ativo</v>
      </c>
      <c r="E2026" s="10" t="str" cm="1">
        <f t="array" ref="E2026">IF(AND(A2026="2021-02", ISNA(MATCH(B2026, _xlfn._xlws.FILTER(B:B, A:A="2021-03"), 0))), "Left", "Ativo")</f>
        <v>Ativo</v>
      </c>
      <c r="F2026" s="12" t="str" cm="1">
        <f t="array" ref="F2026">IF(AND(A2026="2021-03", ISNA(MATCH(B2026, _xlfn._xlws.FILTER(B:B, A:A="2021-04"), 0))), "Left", "Ativo")</f>
        <v>Ativo</v>
      </c>
    </row>
    <row r="2027" spans="1:6" x14ac:dyDescent="0.25">
      <c r="A2027" t="s">
        <v>1530</v>
      </c>
      <c r="B2027" t="s">
        <v>131</v>
      </c>
      <c r="C2027" s="10" t="str" cm="1">
        <f t="array" ref="C2027">IF(AND(A2027="2020-12", ISNA(MATCH(B2027, _xlfn._xlws.FILTER(B:B, A:A="2021-01"), 0))), "Left", "Ativo")</f>
        <v>Ativo</v>
      </c>
      <c r="D2027" s="10" t="str" cm="1">
        <f t="array" ref="D2027">IF(AND(A2027="2021-01", ISNA(MATCH(B2027, _xlfn._xlws.FILTER(B:B, A:A="2021-02"), 0))), "Left", "Ativo")</f>
        <v>Ativo</v>
      </c>
      <c r="E2027" s="10" t="str" cm="1">
        <f t="array" ref="E2027">IF(AND(A2027="2021-02", ISNA(MATCH(B2027, _xlfn._xlws.FILTER(B:B, A:A="2021-03"), 0))), "Left", "Ativo")</f>
        <v>Ativo</v>
      </c>
      <c r="F2027" s="12" t="str" cm="1">
        <f t="array" ref="F2027">IF(AND(A2027="2021-03", ISNA(MATCH(B2027, _xlfn._xlws.FILTER(B:B, A:A="2021-04"), 0))), "Left", "Ativo")</f>
        <v>Ativo</v>
      </c>
    </row>
    <row r="2028" spans="1:6" x14ac:dyDescent="0.25">
      <c r="A2028" t="s">
        <v>1530</v>
      </c>
      <c r="B2028" t="s">
        <v>132</v>
      </c>
      <c r="C2028" s="10" t="str" cm="1">
        <f t="array" ref="C2028">IF(AND(A2028="2020-12", ISNA(MATCH(B2028, _xlfn._xlws.FILTER(B:B, A:A="2021-01"), 0))), "Left", "Ativo")</f>
        <v>Ativo</v>
      </c>
      <c r="D2028" s="10" t="str" cm="1">
        <f t="array" ref="D2028">IF(AND(A2028="2021-01", ISNA(MATCH(B2028, _xlfn._xlws.FILTER(B:B, A:A="2021-02"), 0))), "Left", "Ativo")</f>
        <v>Ativo</v>
      </c>
      <c r="E2028" s="10" t="str" cm="1">
        <f t="array" ref="E2028">IF(AND(A2028="2021-02", ISNA(MATCH(B2028, _xlfn._xlws.FILTER(B:B, A:A="2021-03"), 0))), "Left", "Ativo")</f>
        <v>Ativo</v>
      </c>
      <c r="F2028" s="12" t="str" cm="1">
        <f t="array" ref="F2028">IF(AND(A2028="2021-03", ISNA(MATCH(B2028, _xlfn._xlws.FILTER(B:B, A:A="2021-04"), 0))), "Left", "Ativo")</f>
        <v>Ativo</v>
      </c>
    </row>
    <row r="2029" spans="1:6" x14ac:dyDescent="0.25">
      <c r="A2029" t="s">
        <v>1530</v>
      </c>
      <c r="B2029" t="s">
        <v>133</v>
      </c>
      <c r="C2029" s="10" t="str" cm="1">
        <f t="array" ref="C2029">IF(AND(A2029="2020-12", ISNA(MATCH(B2029, _xlfn._xlws.FILTER(B:B, A:A="2021-01"), 0))), "Left", "Ativo")</f>
        <v>Ativo</v>
      </c>
      <c r="D2029" s="10" t="str" cm="1">
        <f t="array" ref="D2029">IF(AND(A2029="2021-01", ISNA(MATCH(B2029, _xlfn._xlws.FILTER(B:B, A:A="2021-02"), 0))), "Left", "Ativo")</f>
        <v>Ativo</v>
      </c>
      <c r="E2029" s="10" t="str" cm="1">
        <f t="array" ref="E2029">IF(AND(A2029="2021-02", ISNA(MATCH(B2029, _xlfn._xlws.FILTER(B:B, A:A="2021-03"), 0))), "Left", "Ativo")</f>
        <v>Ativo</v>
      </c>
      <c r="F2029" s="12" t="str" cm="1">
        <f t="array" ref="F2029">IF(AND(A2029="2021-03", ISNA(MATCH(B2029, _xlfn._xlws.FILTER(B:B, A:A="2021-04"), 0))), "Left", "Ativo")</f>
        <v>Ativo</v>
      </c>
    </row>
    <row r="2030" spans="1:6" x14ac:dyDescent="0.25">
      <c r="A2030" t="s">
        <v>1530</v>
      </c>
      <c r="B2030" t="s">
        <v>134</v>
      </c>
      <c r="C2030" s="10" t="str" cm="1">
        <f t="array" ref="C2030">IF(AND(A2030="2020-12", ISNA(MATCH(B2030, _xlfn._xlws.FILTER(B:B, A:A="2021-01"), 0))), "Left", "Ativo")</f>
        <v>Ativo</v>
      </c>
      <c r="D2030" s="10" t="str" cm="1">
        <f t="array" ref="D2030">IF(AND(A2030="2021-01", ISNA(MATCH(B2030, _xlfn._xlws.FILTER(B:B, A:A="2021-02"), 0))), "Left", "Ativo")</f>
        <v>Ativo</v>
      </c>
      <c r="E2030" s="10" t="str" cm="1">
        <f t="array" ref="E2030">IF(AND(A2030="2021-02", ISNA(MATCH(B2030, _xlfn._xlws.FILTER(B:B, A:A="2021-03"), 0))), "Left", "Ativo")</f>
        <v>Ativo</v>
      </c>
      <c r="F2030" s="12" t="str" cm="1">
        <f t="array" ref="F2030">IF(AND(A2030="2021-03", ISNA(MATCH(B2030, _xlfn._xlws.FILTER(B:B, A:A="2021-04"), 0))), "Left", "Ativo")</f>
        <v>Ativo</v>
      </c>
    </row>
    <row r="2031" spans="1:6" x14ac:dyDescent="0.25">
      <c r="A2031" t="s">
        <v>1530</v>
      </c>
      <c r="B2031" t="s">
        <v>135</v>
      </c>
      <c r="C2031" s="10" t="str" cm="1">
        <f t="array" ref="C2031">IF(AND(A2031="2020-12", ISNA(MATCH(B2031, _xlfn._xlws.FILTER(B:B, A:A="2021-01"), 0))), "Left", "Ativo")</f>
        <v>Ativo</v>
      </c>
      <c r="D2031" s="10" t="str" cm="1">
        <f t="array" ref="D2031">IF(AND(A2031="2021-01", ISNA(MATCH(B2031, _xlfn._xlws.FILTER(B:B, A:A="2021-02"), 0))), "Left", "Ativo")</f>
        <v>Ativo</v>
      </c>
      <c r="E2031" s="10" t="str" cm="1">
        <f t="array" ref="E2031">IF(AND(A2031="2021-02", ISNA(MATCH(B2031, _xlfn._xlws.FILTER(B:B, A:A="2021-03"), 0))), "Left", "Ativo")</f>
        <v>Ativo</v>
      </c>
      <c r="F2031" s="12" t="str" cm="1">
        <f t="array" ref="F2031">IF(AND(A2031="2021-03", ISNA(MATCH(B2031, _xlfn._xlws.FILTER(B:B, A:A="2021-04"), 0))), "Left", "Ativo")</f>
        <v>Ativo</v>
      </c>
    </row>
    <row r="2032" spans="1:6" x14ac:dyDescent="0.25">
      <c r="A2032" t="s">
        <v>1530</v>
      </c>
      <c r="B2032" t="s">
        <v>136</v>
      </c>
      <c r="C2032" s="10" t="str" cm="1">
        <f t="array" ref="C2032">IF(AND(A2032="2020-12", ISNA(MATCH(B2032, _xlfn._xlws.FILTER(B:B, A:A="2021-01"), 0))), "Left", "Ativo")</f>
        <v>Ativo</v>
      </c>
      <c r="D2032" s="10" t="str" cm="1">
        <f t="array" ref="D2032">IF(AND(A2032="2021-01", ISNA(MATCH(B2032, _xlfn._xlws.FILTER(B:B, A:A="2021-02"), 0))), "Left", "Ativo")</f>
        <v>Ativo</v>
      </c>
      <c r="E2032" s="10" t="str" cm="1">
        <f t="array" ref="E2032">IF(AND(A2032="2021-02", ISNA(MATCH(B2032, _xlfn._xlws.FILTER(B:B, A:A="2021-03"), 0))), "Left", "Ativo")</f>
        <v>Ativo</v>
      </c>
      <c r="F2032" s="12" t="str" cm="1">
        <f t="array" ref="F2032">IF(AND(A2032="2021-03", ISNA(MATCH(B2032, _xlfn._xlws.FILTER(B:B, A:A="2021-04"), 0))), "Left", "Ativo")</f>
        <v>Ativo</v>
      </c>
    </row>
    <row r="2033" spans="1:6" x14ac:dyDescent="0.25">
      <c r="A2033" t="s">
        <v>1530</v>
      </c>
      <c r="B2033" t="s">
        <v>137</v>
      </c>
      <c r="C2033" s="10" t="str" cm="1">
        <f t="array" ref="C2033">IF(AND(A2033="2020-12", ISNA(MATCH(B2033, _xlfn._xlws.FILTER(B:B, A:A="2021-01"), 0))), "Left", "Ativo")</f>
        <v>Ativo</v>
      </c>
      <c r="D2033" s="10" t="str" cm="1">
        <f t="array" ref="D2033">IF(AND(A2033="2021-01", ISNA(MATCH(B2033, _xlfn._xlws.FILTER(B:B, A:A="2021-02"), 0))), "Left", "Ativo")</f>
        <v>Ativo</v>
      </c>
      <c r="E2033" s="10" t="str" cm="1">
        <f t="array" ref="E2033">IF(AND(A2033="2021-02", ISNA(MATCH(B2033, _xlfn._xlws.FILTER(B:B, A:A="2021-03"), 0))), "Left", "Ativo")</f>
        <v>Ativo</v>
      </c>
      <c r="F2033" s="12" t="str" cm="1">
        <f t="array" ref="F2033">IF(AND(A2033="2021-03", ISNA(MATCH(B2033, _xlfn._xlws.FILTER(B:B, A:A="2021-04"), 0))), "Left", "Ativo")</f>
        <v>Ativo</v>
      </c>
    </row>
    <row r="2034" spans="1:6" x14ac:dyDescent="0.25">
      <c r="A2034" t="s">
        <v>1530</v>
      </c>
      <c r="B2034" t="s">
        <v>138</v>
      </c>
      <c r="C2034" s="10" t="str" cm="1">
        <f t="array" ref="C2034">IF(AND(A2034="2020-12", ISNA(MATCH(B2034, _xlfn._xlws.FILTER(B:B, A:A="2021-01"), 0))), "Left", "Ativo")</f>
        <v>Ativo</v>
      </c>
      <c r="D2034" s="10" t="str" cm="1">
        <f t="array" ref="D2034">IF(AND(A2034="2021-01", ISNA(MATCH(B2034, _xlfn._xlws.FILTER(B:B, A:A="2021-02"), 0))), "Left", "Ativo")</f>
        <v>Ativo</v>
      </c>
      <c r="E2034" s="10" t="str" cm="1">
        <f t="array" ref="E2034">IF(AND(A2034="2021-02", ISNA(MATCH(B2034, _xlfn._xlws.FILTER(B:B, A:A="2021-03"), 0))), "Left", "Ativo")</f>
        <v>Ativo</v>
      </c>
      <c r="F2034" s="12" t="str" cm="1">
        <f t="array" ref="F2034">IF(AND(A2034="2021-03", ISNA(MATCH(B2034, _xlfn._xlws.FILTER(B:B, A:A="2021-04"), 0))), "Left", "Ativo")</f>
        <v>Ativo</v>
      </c>
    </row>
    <row r="2035" spans="1:6" x14ac:dyDescent="0.25">
      <c r="A2035" t="s">
        <v>1530</v>
      </c>
      <c r="B2035" t="s">
        <v>139</v>
      </c>
      <c r="C2035" s="10" t="str" cm="1">
        <f t="array" ref="C2035">IF(AND(A2035="2020-12", ISNA(MATCH(B2035, _xlfn._xlws.FILTER(B:B, A:A="2021-01"), 0))), "Left", "Ativo")</f>
        <v>Ativo</v>
      </c>
      <c r="D2035" s="10" t="str" cm="1">
        <f t="array" ref="D2035">IF(AND(A2035="2021-01", ISNA(MATCH(B2035, _xlfn._xlws.FILTER(B:B, A:A="2021-02"), 0))), "Left", "Ativo")</f>
        <v>Ativo</v>
      </c>
      <c r="E2035" s="10" t="str" cm="1">
        <f t="array" ref="E2035">IF(AND(A2035="2021-02", ISNA(MATCH(B2035, _xlfn._xlws.FILTER(B:B, A:A="2021-03"), 0))), "Left", "Ativo")</f>
        <v>Ativo</v>
      </c>
      <c r="F2035" s="12" t="str" cm="1">
        <f t="array" ref="F2035">IF(AND(A2035="2021-03", ISNA(MATCH(B2035, _xlfn._xlws.FILTER(B:B, A:A="2021-04"), 0))), "Left", "Ativo")</f>
        <v>Ativo</v>
      </c>
    </row>
    <row r="2036" spans="1:6" x14ac:dyDescent="0.25">
      <c r="A2036" t="s">
        <v>1530</v>
      </c>
      <c r="B2036" t="s">
        <v>140</v>
      </c>
      <c r="C2036" s="10" t="str" cm="1">
        <f t="array" ref="C2036">IF(AND(A2036="2020-12", ISNA(MATCH(B2036, _xlfn._xlws.FILTER(B:B, A:A="2021-01"), 0))), "Left", "Ativo")</f>
        <v>Ativo</v>
      </c>
      <c r="D2036" s="10" t="str" cm="1">
        <f t="array" ref="D2036">IF(AND(A2036="2021-01", ISNA(MATCH(B2036, _xlfn._xlws.FILTER(B:B, A:A="2021-02"), 0))), "Left", "Ativo")</f>
        <v>Ativo</v>
      </c>
      <c r="E2036" s="10" t="str" cm="1">
        <f t="array" ref="E2036">IF(AND(A2036="2021-02", ISNA(MATCH(B2036, _xlfn._xlws.FILTER(B:B, A:A="2021-03"), 0))), "Left", "Ativo")</f>
        <v>Ativo</v>
      </c>
      <c r="F2036" s="12" t="str" cm="1">
        <f t="array" ref="F2036">IF(AND(A2036="2021-03", ISNA(MATCH(B2036, _xlfn._xlws.FILTER(B:B, A:A="2021-04"), 0))), "Left", "Ativo")</f>
        <v>Ativo</v>
      </c>
    </row>
    <row r="2037" spans="1:6" x14ac:dyDescent="0.25">
      <c r="A2037" t="s">
        <v>1530</v>
      </c>
      <c r="B2037" t="s">
        <v>141</v>
      </c>
      <c r="C2037" s="10" t="str" cm="1">
        <f t="array" ref="C2037">IF(AND(A2037="2020-12", ISNA(MATCH(B2037, _xlfn._xlws.FILTER(B:B, A:A="2021-01"), 0))), "Left", "Ativo")</f>
        <v>Ativo</v>
      </c>
      <c r="D2037" s="10" t="str" cm="1">
        <f t="array" ref="D2037">IF(AND(A2037="2021-01", ISNA(MATCH(B2037, _xlfn._xlws.FILTER(B:B, A:A="2021-02"), 0))), "Left", "Ativo")</f>
        <v>Ativo</v>
      </c>
      <c r="E2037" s="10" t="str" cm="1">
        <f t="array" ref="E2037">IF(AND(A2037="2021-02", ISNA(MATCH(B2037, _xlfn._xlws.FILTER(B:B, A:A="2021-03"), 0))), "Left", "Ativo")</f>
        <v>Ativo</v>
      </c>
      <c r="F2037" s="12" t="str" cm="1">
        <f t="array" ref="F2037">IF(AND(A2037="2021-03", ISNA(MATCH(B2037, _xlfn._xlws.FILTER(B:B, A:A="2021-04"), 0))), "Left", "Ativo")</f>
        <v>Ativo</v>
      </c>
    </row>
    <row r="2038" spans="1:6" x14ac:dyDescent="0.25">
      <c r="A2038" t="s">
        <v>1530</v>
      </c>
      <c r="B2038" t="s">
        <v>142</v>
      </c>
      <c r="C2038" s="10" t="str" cm="1">
        <f t="array" ref="C2038">IF(AND(A2038="2020-12", ISNA(MATCH(B2038, _xlfn._xlws.FILTER(B:B, A:A="2021-01"), 0))), "Left", "Ativo")</f>
        <v>Ativo</v>
      </c>
      <c r="D2038" s="10" t="str" cm="1">
        <f t="array" ref="D2038">IF(AND(A2038="2021-01", ISNA(MATCH(B2038, _xlfn._xlws.FILTER(B:B, A:A="2021-02"), 0))), "Left", "Ativo")</f>
        <v>Ativo</v>
      </c>
      <c r="E2038" s="10" t="str" cm="1">
        <f t="array" ref="E2038">IF(AND(A2038="2021-02", ISNA(MATCH(B2038, _xlfn._xlws.FILTER(B:B, A:A="2021-03"), 0))), "Left", "Ativo")</f>
        <v>Ativo</v>
      </c>
      <c r="F2038" s="12" t="str" cm="1">
        <f t="array" ref="F2038">IF(AND(A2038="2021-03", ISNA(MATCH(B2038, _xlfn._xlws.FILTER(B:B, A:A="2021-04"), 0))), "Left", "Ativo")</f>
        <v>Ativo</v>
      </c>
    </row>
    <row r="2039" spans="1:6" x14ac:dyDescent="0.25">
      <c r="A2039" t="s">
        <v>1530</v>
      </c>
      <c r="B2039" t="s">
        <v>143</v>
      </c>
      <c r="C2039" s="10" t="str" cm="1">
        <f t="array" ref="C2039">IF(AND(A2039="2020-12", ISNA(MATCH(B2039, _xlfn._xlws.FILTER(B:B, A:A="2021-01"), 0))), "Left", "Ativo")</f>
        <v>Ativo</v>
      </c>
      <c r="D2039" s="10" t="str" cm="1">
        <f t="array" ref="D2039">IF(AND(A2039="2021-01", ISNA(MATCH(B2039, _xlfn._xlws.FILTER(B:B, A:A="2021-02"), 0))), "Left", "Ativo")</f>
        <v>Ativo</v>
      </c>
      <c r="E2039" s="10" t="str" cm="1">
        <f t="array" ref="E2039">IF(AND(A2039="2021-02", ISNA(MATCH(B2039, _xlfn._xlws.FILTER(B:B, A:A="2021-03"), 0))), "Left", "Ativo")</f>
        <v>Ativo</v>
      </c>
      <c r="F2039" s="12" t="str" cm="1">
        <f t="array" ref="F2039">IF(AND(A2039="2021-03", ISNA(MATCH(B2039, _xlfn._xlws.FILTER(B:B, A:A="2021-04"), 0))), "Left", "Ativo")</f>
        <v>Ativo</v>
      </c>
    </row>
    <row r="2040" spans="1:6" x14ac:dyDescent="0.25">
      <c r="A2040" t="s">
        <v>1530</v>
      </c>
      <c r="B2040" t="s">
        <v>144</v>
      </c>
      <c r="C2040" s="10" t="str" cm="1">
        <f t="array" ref="C2040">IF(AND(A2040="2020-12", ISNA(MATCH(B2040, _xlfn._xlws.FILTER(B:B, A:A="2021-01"), 0))), "Left", "Ativo")</f>
        <v>Ativo</v>
      </c>
      <c r="D2040" s="10" t="str" cm="1">
        <f t="array" ref="D2040">IF(AND(A2040="2021-01", ISNA(MATCH(B2040, _xlfn._xlws.FILTER(B:B, A:A="2021-02"), 0))), "Left", "Ativo")</f>
        <v>Ativo</v>
      </c>
      <c r="E2040" s="10" t="str" cm="1">
        <f t="array" ref="E2040">IF(AND(A2040="2021-02", ISNA(MATCH(B2040, _xlfn._xlws.FILTER(B:B, A:A="2021-03"), 0))), "Left", "Ativo")</f>
        <v>Ativo</v>
      </c>
      <c r="F2040" s="12" t="str" cm="1">
        <f t="array" ref="F2040">IF(AND(A2040="2021-03", ISNA(MATCH(B2040, _xlfn._xlws.FILTER(B:B, A:A="2021-04"), 0))), "Left", "Ativo")</f>
        <v>Ativo</v>
      </c>
    </row>
    <row r="2041" spans="1:6" x14ac:dyDescent="0.25">
      <c r="A2041" t="s">
        <v>1530</v>
      </c>
      <c r="B2041" t="s">
        <v>145</v>
      </c>
      <c r="C2041" s="10" t="str" cm="1">
        <f t="array" ref="C2041">IF(AND(A2041="2020-12", ISNA(MATCH(B2041, _xlfn._xlws.FILTER(B:B, A:A="2021-01"), 0))), "Left", "Ativo")</f>
        <v>Ativo</v>
      </c>
      <c r="D2041" s="10" t="str" cm="1">
        <f t="array" ref="D2041">IF(AND(A2041="2021-01", ISNA(MATCH(B2041, _xlfn._xlws.FILTER(B:B, A:A="2021-02"), 0))), "Left", "Ativo")</f>
        <v>Ativo</v>
      </c>
      <c r="E2041" s="10" t="str" cm="1">
        <f t="array" ref="E2041">IF(AND(A2041="2021-02", ISNA(MATCH(B2041, _xlfn._xlws.FILTER(B:B, A:A="2021-03"), 0))), "Left", "Ativo")</f>
        <v>Ativo</v>
      </c>
      <c r="F2041" s="12" t="str" cm="1">
        <f t="array" ref="F2041">IF(AND(A2041="2021-03", ISNA(MATCH(B2041, _xlfn._xlws.FILTER(B:B, A:A="2021-04"), 0))), "Left", "Ativo")</f>
        <v>Ativo</v>
      </c>
    </row>
    <row r="2042" spans="1:6" x14ac:dyDescent="0.25">
      <c r="A2042" t="s">
        <v>1530</v>
      </c>
      <c r="B2042" t="s">
        <v>146</v>
      </c>
      <c r="C2042" s="10" t="str" cm="1">
        <f t="array" ref="C2042">IF(AND(A2042="2020-12", ISNA(MATCH(B2042, _xlfn._xlws.FILTER(B:B, A:A="2021-01"), 0))), "Left", "Ativo")</f>
        <v>Ativo</v>
      </c>
      <c r="D2042" s="10" t="str" cm="1">
        <f t="array" ref="D2042">IF(AND(A2042="2021-01", ISNA(MATCH(B2042, _xlfn._xlws.FILTER(B:B, A:A="2021-02"), 0))), "Left", "Ativo")</f>
        <v>Ativo</v>
      </c>
      <c r="E2042" s="10" t="str" cm="1">
        <f t="array" ref="E2042">IF(AND(A2042="2021-02", ISNA(MATCH(B2042, _xlfn._xlws.FILTER(B:B, A:A="2021-03"), 0))), "Left", "Ativo")</f>
        <v>Ativo</v>
      </c>
      <c r="F2042" s="12" t="str" cm="1">
        <f t="array" ref="F2042">IF(AND(A2042="2021-03", ISNA(MATCH(B2042, _xlfn._xlws.FILTER(B:B, A:A="2021-04"), 0))), "Left", "Ativo")</f>
        <v>Ativo</v>
      </c>
    </row>
    <row r="2043" spans="1:6" x14ac:dyDescent="0.25">
      <c r="A2043" t="s">
        <v>1530</v>
      </c>
      <c r="B2043" t="s">
        <v>147</v>
      </c>
      <c r="C2043" s="10" t="str" cm="1">
        <f t="array" ref="C2043">IF(AND(A2043="2020-12", ISNA(MATCH(B2043, _xlfn._xlws.FILTER(B:B, A:A="2021-01"), 0))), "Left", "Ativo")</f>
        <v>Ativo</v>
      </c>
      <c r="D2043" s="10" t="str" cm="1">
        <f t="array" ref="D2043">IF(AND(A2043="2021-01", ISNA(MATCH(B2043, _xlfn._xlws.FILTER(B:B, A:A="2021-02"), 0))), "Left", "Ativo")</f>
        <v>Ativo</v>
      </c>
      <c r="E2043" s="10" t="str" cm="1">
        <f t="array" ref="E2043">IF(AND(A2043="2021-02", ISNA(MATCH(B2043, _xlfn._xlws.FILTER(B:B, A:A="2021-03"), 0))), "Left", "Ativo")</f>
        <v>Ativo</v>
      </c>
      <c r="F2043" s="12" t="str" cm="1">
        <f t="array" ref="F2043">IF(AND(A2043="2021-03", ISNA(MATCH(B2043, _xlfn._xlws.FILTER(B:B, A:A="2021-04"), 0))), "Left", "Ativo")</f>
        <v>Ativo</v>
      </c>
    </row>
    <row r="2044" spans="1:6" x14ac:dyDescent="0.25">
      <c r="A2044" t="s">
        <v>1530</v>
      </c>
      <c r="B2044" t="s">
        <v>148</v>
      </c>
      <c r="C2044" s="10" t="str" cm="1">
        <f t="array" ref="C2044">IF(AND(A2044="2020-12", ISNA(MATCH(B2044, _xlfn._xlws.FILTER(B:B, A:A="2021-01"), 0))), "Left", "Ativo")</f>
        <v>Ativo</v>
      </c>
      <c r="D2044" s="10" t="str" cm="1">
        <f t="array" ref="D2044">IF(AND(A2044="2021-01", ISNA(MATCH(B2044, _xlfn._xlws.FILTER(B:B, A:A="2021-02"), 0))), "Left", "Ativo")</f>
        <v>Ativo</v>
      </c>
      <c r="E2044" s="10" t="str" cm="1">
        <f t="array" ref="E2044">IF(AND(A2044="2021-02", ISNA(MATCH(B2044, _xlfn._xlws.FILTER(B:B, A:A="2021-03"), 0))), "Left", "Ativo")</f>
        <v>Ativo</v>
      </c>
      <c r="F2044" s="12" t="str" cm="1">
        <f t="array" ref="F2044">IF(AND(A2044="2021-03", ISNA(MATCH(B2044, _xlfn._xlws.FILTER(B:B, A:A="2021-04"), 0))), "Left", "Ativo")</f>
        <v>Ativo</v>
      </c>
    </row>
    <row r="2045" spans="1:6" x14ac:dyDescent="0.25">
      <c r="A2045" t="s">
        <v>1530</v>
      </c>
      <c r="B2045" t="s">
        <v>149</v>
      </c>
      <c r="C2045" s="10" t="str" cm="1">
        <f t="array" ref="C2045">IF(AND(A2045="2020-12", ISNA(MATCH(B2045, _xlfn._xlws.FILTER(B:B, A:A="2021-01"), 0))), "Left", "Ativo")</f>
        <v>Ativo</v>
      </c>
      <c r="D2045" s="10" t="str" cm="1">
        <f t="array" ref="D2045">IF(AND(A2045="2021-01", ISNA(MATCH(B2045, _xlfn._xlws.FILTER(B:B, A:A="2021-02"), 0))), "Left", "Ativo")</f>
        <v>Ativo</v>
      </c>
      <c r="E2045" s="10" t="str" cm="1">
        <f t="array" ref="E2045">IF(AND(A2045="2021-02", ISNA(MATCH(B2045, _xlfn._xlws.FILTER(B:B, A:A="2021-03"), 0))), "Left", "Ativo")</f>
        <v>Ativo</v>
      </c>
      <c r="F2045" s="12" t="str" cm="1">
        <f t="array" ref="F2045">IF(AND(A2045="2021-03", ISNA(MATCH(B2045, _xlfn._xlws.FILTER(B:B, A:A="2021-04"), 0))), "Left", "Ativo")</f>
        <v>Ativo</v>
      </c>
    </row>
    <row r="2046" spans="1:6" x14ac:dyDescent="0.25">
      <c r="A2046" t="s">
        <v>1530</v>
      </c>
      <c r="B2046" t="s">
        <v>150</v>
      </c>
      <c r="C2046" s="10" t="str" cm="1">
        <f t="array" ref="C2046">IF(AND(A2046="2020-12", ISNA(MATCH(B2046, _xlfn._xlws.FILTER(B:B, A:A="2021-01"), 0))), "Left", "Ativo")</f>
        <v>Ativo</v>
      </c>
      <c r="D2046" s="10" t="str" cm="1">
        <f t="array" ref="D2046">IF(AND(A2046="2021-01", ISNA(MATCH(B2046, _xlfn._xlws.FILTER(B:B, A:A="2021-02"), 0))), "Left", "Ativo")</f>
        <v>Ativo</v>
      </c>
      <c r="E2046" s="10" t="str" cm="1">
        <f t="array" ref="E2046">IF(AND(A2046="2021-02", ISNA(MATCH(B2046, _xlfn._xlws.FILTER(B:B, A:A="2021-03"), 0))), "Left", "Ativo")</f>
        <v>Ativo</v>
      </c>
      <c r="F2046" s="12" t="str" cm="1">
        <f t="array" ref="F2046">IF(AND(A2046="2021-03", ISNA(MATCH(B2046, _xlfn._xlws.FILTER(B:B, A:A="2021-04"), 0))), "Left", "Ativo")</f>
        <v>Ativo</v>
      </c>
    </row>
    <row r="2047" spans="1:6" x14ac:dyDescent="0.25">
      <c r="A2047" t="s">
        <v>1530</v>
      </c>
      <c r="B2047" t="s">
        <v>151</v>
      </c>
      <c r="C2047" s="10" t="str" cm="1">
        <f t="array" ref="C2047">IF(AND(A2047="2020-12", ISNA(MATCH(B2047, _xlfn._xlws.FILTER(B:B, A:A="2021-01"), 0))), "Left", "Ativo")</f>
        <v>Ativo</v>
      </c>
      <c r="D2047" s="10" t="str" cm="1">
        <f t="array" ref="D2047">IF(AND(A2047="2021-01", ISNA(MATCH(B2047, _xlfn._xlws.FILTER(B:B, A:A="2021-02"), 0))), "Left", "Ativo")</f>
        <v>Ativo</v>
      </c>
      <c r="E2047" s="10" t="str" cm="1">
        <f t="array" ref="E2047">IF(AND(A2047="2021-02", ISNA(MATCH(B2047, _xlfn._xlws.FILTER(B:B, A:A="2021-03"), 0))), "Left", "Ativo")</f>
        <v>Ativo</v>
      </c>
      <c r="F2047" s="12" t="str" cm="1">
        <f t="array" ref="F2047">IF(AND(A2047="2021-03", ISNA(MATCH(B2047, _xlfn._xlws.FILTER(B:B, A:A="2021-04"), 0))), "Left", "Ativo")</f>
        <v>Ativo</v>
      </c>
    </row>
    <row r="2048" spans="1:6" x14ac:dyDescent="0.25">
      <c r="A2048" t="s">
        <v>1530</v>
      </c>
      <c r="B2048" t="s">
        <v>152</v>
      </c>
      <c r="C2048" s="10" t="str" cm="1">
        <f t="array" ref="C2048">IF(AND(A2048="2020-12", ISNA(MATCH(B2048, _xlfn._xlws.FILTER(B:B, A:A="2021-01"), 0))), "Left", "Ativo")</f>
        <v>Ativo</v>
      </c>
      <c r="D2048" s="10" t="str" cm="1">
        <f t="array" ref="D2048">IF(AND(A2048="2021-01", ISNA(MATCH(B2048, _xlfn._xlws.FILTER(B:B, A:A="2021-02"), 0))), "Left", "Ativo")</f>
        <v>Ativo</v>
      </c>
      <c r="E2048" s="10" t="str" cm="1">
        <f t="array" ref="E2048">IF(AND(A2048="2021-02", ISNA(MATCH(B2048, _xlfn._xlws.FILTER(B:B, A:A="2021-03"), 0))), "Left", "Ativo")</f>
        <v>Ativo</v>
      </c>
      <c r="F2048" s="12" t="str" cm="1">
        <f t="array" ref="F2048">IF(AND(A2048="2021-03", ISNA(MATCH(B2048, _xlfn._xlws.FILTER(B:B, A:A="2021-04"), 0))), "Left", "Ativo")</f>
        <v>Ativo</v>
      </c>
    </row>
    <row r="2049" spans="1:6" x14ac:dyDescent="0.25">
      <c r="A2049" t="s">
        <v>1530</v>
      </c>
      <c r="B2049" t="s">
        <v>153</v>
      </c>
      <c r="C2049" s="10" t="str" cm="1">
        <f t="array" ref="C2049">IF(AND(A2049="2020-12", ISNA(MATCH(B2049, _xlfn._xlws.FILTER(B:B, A:A="2021-01"), 0))), "Left", "Ativo")</f>
        <v>Ativo</v>
      </c>
      <c r="D2049" s="10" t="str" cm="1">
        <f t="array" ref="D2049">IF(AND(A2049="2021-01", ISNA(MATCH(B2049, _xlfn._xlws.FILTER(B:B, A:A="2021-02"), 0))), "Left", "Ativo")</f>
        <v>Ativo</v>
      </c>
      <c r="E2049" s="10" t="str" cm="1">
        <f t="array" ref="E2049">IF(AND(A2049="2021-02", ISNA(MATCH(B2049, _xlfn._xlws.FILTER(B:B, A:A="2021-03"), 0))), "Left", "Ativo")</f>
        <v>Ativo</v>
      </c>
      <c r="F2049" s="12" t="str" cm="1">
        <f t="array" ref="F2049">IF(AND(A2049="2021-03", ISNA(MATCH(B2049, _xlfn._xlws.FILTER(B:B, A:A="2021-04"), 0))), "Left", "Ativo")</f>
        <v>Ativo</v>
      </c>
    </row>
    <row r="2050" spans="1:6" x14ac:dyDescent="0.25">
      <c r="A2050" t="s">
        <v>1530</v>
      </c>
      <c r="B2050" t="s">
        <v>154</v>
      </c>
      <c r="C2050" s="10" t="str" cm="1">
        <f t="array" ref="C2050">IF(AND(A2050="2020-12", ISNA(MATCH(B2050, _xlfn._xlws.FILTER(B:B, A:A="2021-01"), 0))), "Left", "Ativo")</f>
        <v>Ativo</v>
      </c>
      <c r="D2050" s="10" t="str" cm="1">
        <f t="array" ref="D2050">IF(AND(A2050="2021-01", ISNA(MATCH(B2050, _xlfn._xlws.FILTER(B:B, A:A="2021-02"), 0))), "Left", "Ativo")</f>
        <v>Ativo</v>
      </c>
      <c r="E2050" s="10" t="str" cm="1">
        <f t="array" ref="E2050">IF(AND(A2050="2021-02", ISNA(MATCH(B2050, _xlfn._xlws.FILTER(B:B, A:A="2021-03"), 0))), "Left", "Ativo")</f>
        <v>Ativo</v>
      </c>
      <c r="F2050" s="12" t="str" cm="1">
        <f t="array" ref="F2050">IF(AND(A2050="2021-03", ISNA(MATCH(B2050, _xlfn._xlws.FILTER(B:B, A:A="2021-04"), 0))), "Left", "Ativo")</f>
        <v>Ativo</v>
      </c>
    </row>
    <row r="2051" spans="1:6" x14ac:dyDescent="0.25">
      <c r="A2051" t="s">
        <v>1530</v>
      </c>
      <c r="B2051" t="s">
        <v>155</v>
      </c>
      <c r="C2051" s="10" t="str" cm="1">
        <f t="array" ref="C2051">IF(AND(A2051="2020-12", ISNA(MATCH(B2051, _xlfn._xlws.FILTER(B:B, A:A="2021-01"), 0))), "Left", "Ativo")</f>
        <v>Ativo</v>
      </c>
      <c r="D2051" s="10" t="str" cm="1">
        <f t="array" ref="D2051">IF(AND(A2051="2021-01", ISNA(MATCH(B2051, _xlfn._xlws.FILTER(B:B, A:A="2021-02"), 0))), "Left", "Ativo")</f>
        <v>Ativo</v>
      </c>
      <c r="E2051" s="10" t="str" cm="1">
        <f t="array" ref="E2051">IF(AND(A2051="2021-02", ISNA(MATCH(B2051, _xlfn._xlws.FILTER(B:B, A:A="2021-03"), 0))), "Left", "Ativo")</f>
        <v>Ativo</v>
      </c>
      <c r="F2051" s="12" t="str" cm="1">
        <f t="array" ref="F2051">IF(AND(A2051="2021-03", ISNA(MATCH(B2051, _xlfn._xlws.FILTER(B:B, A:A="2021-04"), 0))), "Left", "Ativo")</f>
        <v>Ativo</v>
      </c>
    </row>
    <row r="2052" spans="1:6" x14ac:dyDescent="0.25">
      <c r="A2052" t="s">
        <v>1530</v>
      </c>
      <c r="B2052" t="s">
        <v>156</v>
      </c>
      <c r="C2052" s="10" t="str" cm="1">
        <f t="array" ref="C2052">IF(AND(A2052="2020-12", ISNA(MATCH(B2052, _xlfn._xlws.FILTER(B:B, A:A="2021-01"), 0))), "Left", "Ativo")</f>
        <v>Ativo</v>
      </c>
      <c r="D2052" s="10" t="str" cm="1">
        <f t="array" ref="D2052">IF(AND(A2052="2021-01", ISNA(MATCH(B2052, _xlfn._xlws.FILTER(B:B, A:A="2021-02"), 0))), "Left", "Ativo")</f>
        <v>Ativo</v>
      </c>
      <c r="E2052" s="10" t="str" cm="1">
        <f t="array" ref="E2052">IF(AND(A2052="2021-02", ISNA(MATCH(B2052, _xlfn._xlws.FILTER(B:B, A:A="2021-03"), 0))), "Left", "Ativo")</f>
        <v>Ativo</v>
      </c>
      <c r="F2052" s="12" t="str" cm="1">
        <f t="array" ref="F2052">IF(AND(A2052="2021-03", ISNA(MATCH(B2052, _xlfn._xlws.FILTER(B:B, A:A="2021-04"), 0))), "Left", "Ativo")</f>
        <v>Ativo</v>
      </c>
    </row>
    <row r="2053" spans="1:6" x14ac:dyDescent="0.25">
      <c r="A2053" t="s">
        <v>1530</v>
      </c>
      <c r="B2053" t="s">
        <v>157</v>
      </c>
      <c r="C2053" s="10" t="str" cm="1">
        <f t="array" ref="C2053">IF(AND(A2053="2020-12", ISNA(MATCH(B2053, _xlfn._xlws.FILTER(B:B, A:A="2021-01"), 0))), "Left", "Ativo")</f>
        <v>Ativo</v>
      </c>
      <c r="D2053" s="10" t="str" cm="1">
        <f t="array" ref="D2053">IF(AND(A2053="2021-01", ISNA(MATCH(B2053, _xlfn._xlws.FILTER(B:B, A:A="2021-02"), 0))), "Left", "Ativo")</f>
        <v>Ativo</v>
      </c>
      <c r="E2053" s="10" t="str" cm="1">
        <f t="array" ref="E2053">IF(AND(A2053="2021-02", ISNA(MATCH(B2053, _xlfn._xlws.FILTER(B:B, A:A="2021-03"), 0))), "Left", "Ativo")</f>
        <v>Ativo</v>
      </c>
      <c r="F2053" s="12" t="str" cm="1">
        <f t="array" ref="F2053">IF(AND(A2053="2021-03", ISNA(MATCH(B2053, _xlfn._xlws.FILTER(B:B, A:A="2021-04"), 0))), "Left", "Ativo")</f>
        <v>Ativo</v>
      </c>
    </row>
    <row r="2054" spans="1:6" x14ac:dyDescent="0.25">
      <c r="A2054" t="s">
        <v>1530</v>
      </c>
      <c r="B2054" t="s">
        <v>158</v>
      </c>
      <c r="C2054" s="10" t="str" cm="1">
        <f t="array" ref="C2054">IF(AND(A2054="2020-12", ISNA(MATCH(B2054, _xlfn._xlws.FILTER(B:B, A:A="2021-01"), 0))), "Left", "Ativo")</f>
        <v>Ativo</v>
      </c>
      <c r="D2054" s="10" t="str" cm="1">
        <f t="array" ref="D2054">IF(AND(A2054="2021-01", ISNA(MATCH(B2054, _xlfn._xlws.FILTER(B:B, A:A="2021-02"), 0))), "Left", "Ativo")</f>
        <v>Ativo</v>
      </c>
      <c r="E2054" s="10" t="str" cm="1">
        <f t="array" ref="E2054">IF(AND(A2054="2021-02", ISNA(MATCH(B2054, _xlfn._xlws.FILTER(B:B, A:A="2021-03"), 0))), "Left", "Ativo")</f>
        <v>Ativo</v>
      </c>
      <c r="F2054" s="12" t="str" cm="1">
        <f t="array" ref="F2054">IF(AND(A2054="2021-03", ISNA(MATCH(B2054, _xlfn._xlws.FILTER(B:B, A:A="2021-04"), 0))), "Left", "Ativo")</f>
        <v>Ativo</v>
      </c>
    </row>
    <row r="2055" spans="1:6" x14ac:dyDescent="0.25">
      <c r="A2055" t="s">
        <v>1530</v>
      </c>
      <c r="B2055" t="s">
        <v>159</v>
      </c>
      <c r="C2055" s="10" t="str" cm="1">
        <f t="array" ref="C2055">IF(AND(A2055="2020-12", ISNA(MATCH(B2055, _xlfn._xlws.FILTER(B:B, A:A="2021-01"), 0))), "Left", "Ativo")</f>
        <v>Ativo</v>
      </c>
      <c r="D2055" s="10" t="str" cm="1">
        <f t="array" ref="D2055">IF(AND(A2055="2021-01", ISNA(MATCH(B2055, _xlfn._xlws.FILTER(B:B, A:A="2021-02"), 0))), "Left", "Ativo")</f>
        <v>Ativo</v>
      </c>
      <c r="E2055" s="10" t="str" cm="1">
        <f t="array" ref="E2055">IF(AND(A2055="2021-02", ISNA(MATCH(B2055, _xlfn._xlws.FILTER(B:B, A:A="2021-03"), 0))), "Left", "Ativo")</f>
        <v>Ativo</v>
      </c>
      <c r="F2055" s="12" t="str" cm="1">
        <f t="array" ref="F2055">IF(AND(A2055="2021-03", ISNA(MATCH(B2055, _xlfn._xlws.FILTER(B:B, A:A="2021-04"), 0))), "Left", "Ativo")</f>
        <v>Ativo</v>
      </c>
    </row>
    <row r="2056" spans="1:6" x14ac:dyDescent="0.25">
      <c r="A2056" t="s">
        <v>1530</v>
      </c>
      <c r="B2056" t="s">
        <v>160</v>
      </c>
      <c r="C2056" s="10" t="str" cm="1">
        <f t="array" ref="C2056">IF(AND(A2056="2020-12", ISNA(MATCH(B2056, _xlfn._xlws.FILTER(B:B, A:A="2021-01"), 0))), "Left", "Ativo")</f>
        <v>Ativo</v>
      </c>
      <c r="D2056" s="10" t="str" cm="1">
        <f t="array" ref="D2056">IF(AND(A2056="2021-01", ISNA(MATCH(B2056, _xlfn._xlws.FILTER(B:B, A:A="2021-02"), 0))), "Left", "Ativo")</f>
        <v>Ativo</v>
      </c>
      <c r="E2056" s="10" t="str" cm="1">
        <f t="array" ref="E2056">IF(AND(A2056="2021-02", ISNA(MATCH(B2056, _xlfn._xlws.FILTER(B:B, A:A="2021-03"), 0))), "Left", "Ativo")</f>
        <v>Ativo</v>
      </c>
      <c r="F2056" s="12" t="str" cm="1">
        <f t="array" ref="F2056">IF(AND(A2056="2021-03", ISNA(MATCH(B2056, _xlfn._xlws.FILTER(B:B, A:A="2021-04"), 0))), "Left", "Ativo")</f>
        <v>Ativo</v>
      </c>
    </row>
    <row r="2057" spans="1:6" x14ac:dyDescent="0.25">
      <c r="A2057" t="s">
        <v>1530</v>
      </c>
      <c r="B2057" t="s">
        <v>161</v>
      </c>
      <c r="C2057" s="10" t="str" cm="1">
        <f t="array" ref="C2057">IF(AND(A2057="2020-12", ISNA(MATCH(B2057, _xlfn._xlws.FILTER(B:B, A:A="2021-01"), 0))), "Left", "Ativo")</f>
        <v>Ativo</v>
      </c>
      <c r="D2057" s="10" t="str" cm="1">
        <f t="array" ref="D2057">IF(AND(A2057="2021-01", ISNA(MATCH(B2057, _xlfn._xlws.FILTER(B:B, A:A="2021-02"), 0))), "Left", "Ativo")</f>
        <v>Ativo</v>
      </c>
      <c r="E2057" s="10" t="str" cm="1">
        <f t="array" ref="E2057">IF(AND(A2057="2021-02", ISNA(MATCH(B2057, _xlfn._xlws.FILTER(B:B, A:A="2021-03"), 0))), "Left", "Ativo")</f>
        <v>Ativo</v>
      </c>
      <c r="F2057" s="12" t="str" cm="1">
        <f t="array" ref="F2057">IF(AND(A2057="2021-03", ISNA(MATCH(B2057, _xlfn._xlws.FILTER(B:B, A:A="2021-04"), 0))), "Left", "Ativo")</f>
        <v>Ativo</v>
      </c>
    </row>
    <row r="2058" spans="1:6" x14ac:dyDescent="0.25">
      <c r="A2058" t="s">
        <v>1530</v>
      </c>
      <c r="B2058" t="s">
        <v>162</v>
      </c>
      <c r="C2058" s="10" t="str" cm="1">
        <f t="array" ref="C2058">IF(AND(A2058="2020-12", ISNA(MATCH(B2058, _xlfn._xlws.FILTER(B:B, A:A="2021-01"), 0))), "Left", "Ativo")</f>
        <v>Ativo</v>
      </c>
      <c r="D2058" s="10" t="str" cm="1">
        <f t="array" ref="D2058">IF(AND(A2058="2021-01", ISNA(MATCH(B2058, _xlfn._xlws.FILTER(B:B, A:A="2021-02"), 0))), "Left", "Ativo")</f>
        <v>Ativo</v>
      </c>
      <c r="E2058" s="10" t="str" cm="1">
        <f t="array" ref="E2058">IF(AND(A2058="2021-02", ISNA(MATCH(B2058, _xlfn._xlws.FILTER(B:B, A:A="2021-03"), 0))), "Left", "Ativo")</f>
        <v>Ativo</v>
      </c>
      <c r="F2058" s="12" t="str" cm="1">
        <f t="array" ref="F2058">IF(AND(A2058="2021-03", ISNA(MATCH(B2058, _xlfn._xlws.FILTER(B:B, A:A="2021-04"), 0))), "Left", "Ativo")</f>
        <v>Ativo</v>
      </c>
    </row>
    <row r="2059" spans="1:6" x14ac:dyDescent="0.25">
      <c r="A2059" t="s">
        <v>1530</v>
      </c>
      <c r="B2059" t="s">
        <v>163</v>
      </c>
      <c r="C2059" s="10" t="str" cm="1">
        <f t="array" ref="C2059">IF(AND(A2059="2020-12", ISNA(MATCH(B2059, _xlfn._xlws.FILTER(B:B, A:A="2021-01"), 0))), "Left", "Ativo")</f>
        <v>Ativo</v>
      </c>
      <c r="D2059" s="10" t="str" cm="1">
        <f t="array" ref="D2059">IF(AND(A2059="2021-01", ISNA(MATCH(B2059, _xlfn._xlws.FILTER(B:B, A:A="2021-02"), 0))), "Left", "Ativo")</f>
        <v>Ativo</v>
      </c>
      <c r="E2059" s="10" t="str" cm="1">
        <f t="array" ref="E2059">IF(AND(A2059="2021-02", ISNA(MATCH(B2059, _xlfn._xlws.FILTER(B:B, A:A="2021-03"), 0))), "Left", "Ativo")</f>
        <v>Ativo</v>
      </c>
      <c r="F2059" s="12" t="str" cm="1">
        <f t="array" ref="F2059">IF(AND(A2059="2021-03", ISNA(MATCH(B2059, _xlfn._xlws.FILTER(B:B, A:A="2021-04"), 0))), "Left", "Ativo")</f>
        <v>Ativo</v>
      </c>
    </row>
    <row r="2060" spans="1:6" x14ac:dyDescent="0.25">
      <c r="A2060" t="s">
        <v>1530</v>
      </c>
      <c r="B2060" t="s">
        <v>164</v>
      </c>
      <c r="C2060" s="10" t="str" cm="1">
        <f t="array" ref="C2060">IF(AND(A2060="2020-12", ISNA(MATCH(B2060, _xlfn._xlws.FILTER(B:B, A:A="2021-01"), 0))), "Left", "Ativo")</f>
        <v>Ativo</v>
      </c>
      <c r="D2060" s="10" t="str" cm="1">
        <f t="array" ref="D2060">IF(AND(A2060="2021-01", ISNA(MATCH(B2060, _xlfn._xlws.FILTER(B:B, A:A="2021-02"), 0))), "Left", "Ativo")</f>
        <v>Ativo</v>
      </c>
      <c r="E2060" s="10" t="str" cm="1">
        <f t="array" ref="E2060">IF(AND(A2060="2021-02", ISNA(MATCH(B2060, _xlfn._xlws.FILTER(B:B, A:A="2021-03"), 0))), "Left", "Ativo")</f>
        <v>Ativo</v>
      </c>
      <c r="F2060" s="12" t="str" cm="1">
        <f t="array" ref="F2060">IF(AND(A2060="2021-03", ISNA(MATCH(B2060, _xlfn._xlws.FILTER(B:B, A:A="2021-04"), 0))), "Left", "Ativo")</f>
        <v>Ativo</v>
      </c>
    </row>
    <row r="2061" spans="1:6" x14ac:dyDescent="0.25">
      <c r="A2061" t="s">
        <v>1530</v>
      </c>
      <c r="B2061" t="s">
        <v>165</v>
      </c>
      <c r="C2061" s="10" t="str" cm="1">
        <f t="array" ref="C2061">IF(AND(A2061="2020-12", ISNA(MATCH(B2061, _xlfn._xlws.FILTER(B:B, A:A="2021-01"), 0))), "Left", "Ativo")</f>
        <v>Ativo</v>
      </c>
      <c r="D2061" s="10" t="str" cm="1">
        <f t="array" ref="D2061">IF(AND(A2061="2021-01", ISNA(MATCH(B2061, _xlfn._xlws.FILTER(B:B, A:A="2021-02"), 0))), "Left", "Ativo")</f>
        <v>Ativo</v>
      </c>
      <c r="E2061" s="10" t="str" cm="1">
        <f t="array" ref="E2061">IF(AND(A2061="2021-02", ISNA(MATCH(B2061, _xlfn._xlws.FILTER(B:B, A:A="2021-03"), 0))), "Left", "Ativo")</f>
        <v>Ativo</v>
      </c>
      <c r="F2061" s="12" t="str" cm="1">
        <f t="array" ref="F2061">IF(AND(A2061="2021-03", ISNA(MATCH(B2061, _xlfn._xlws.FILTER(B:B, A:A="2021-04"), 0))), "Left", "Ativo")</f>
        <v>Ativo</v>
      </c>
    </row>
    <row r="2062" spans="1:6" x14ac:dyDescent="0.25">
      <c r="A2062" t="s">
        <v>1530</v>
      </c>
      <c r="B2062" t="s">
        <v>166</v>
      </c>
      <c r="C2062" s="10" t="str" cm="1">
        <f t="array" ref="C2062">IF(AND(A2062="2020-12", ISNA(MATCH(B2062, _xlfn._xlws.FILTER(B:B, A:A="2021-01"), 0))), "Left", "Ativo")</f>
        <v>Ativo</v>
      </c>
      <c r="D2062" s="10" t="str" cm="1">
        <f t="array" ref="D2062">IF(AND(A2062="2021-01", ISNA(MATCH(B2062, _xlfn._xlws.FILTER(B:B, A:A="2021-02"), 0))), "Left", "Ativo")</f>
        <v>Ativo</v>
      </c>
      <c r="E2062" s="10" t="str" cm="1">
        <f t="array" ref="E2062">IF(AND(A2062="2021-02", ISNA(MATCH(B2062, _xlfn._xlws.FILTER(B:B, A:A="2021-03"), 0))), "Left", "Ativo")</f>
        <v>Ativo</v>
      </c>
      <c r="F2062" s="12" t="str" cm="1">
        <f t="array" ref="F2062">IF(AND(A2062="2021-03", ISNA(MATCH(B2062, _xlfn._xlws.FILTER(B:B, A:A="2021-04"), 0))), "Left", "Ativo")</f>
        <v>Ativo</v>
      </c>
    </row>
    <row r="2063" spans="1:6" x14ac:dyDescent="0.25">
      <c r="A2063" t="s">
        <v>1530</v>
      </c>
      <c r="B2063" t="s">
        <v>167</v>
      </c>
      <c r="C2063" s="10" t="str" cm="1">
        <f t="array" ref="C2063">IF(AND(A2063="2020-12", ISNA(MATCH(B2063, _xlfn._xlws.FILTER(B:B, A:A="2021-01"), 0))), "Left", "Ativo")</f>
        <v>Ativo</v>
      </c>
      <c r="D2063" s="10" t="str" cm="1">
        <f t="array" ref="D2063">IF(AND(A2063="2021-01", ISNA(MATCH(B2063, _xlfn._xlws.FILTER(B:B, A:A="2021-02"), 0))), "Left", "Ativo")</f>
        <v>Ativo</v>
      </c>
      <c r="E2063" s="10" t="str" cm="1">
        <f t="array" ref="E2063">IF(AND(A2063="2021-02", ISNA(MATCH(B2063, _xlfn._xlws.FILTER(B:B, A:A="2021-03"), 0))), "Left", "Ativo")</f>
        <v>Ativo</v>
      </c>
      <c r="F2063" s="12" t="str" cm="1">
        <f t="array" ref="F2063">IF(AND(A2063="2021-03", ISNA(MATCH(B2063, _xlfn._xlws.FILTER(B:B, A:A="2021-04"), 0))), "Left", "Ativo")</f>
        <v>Ativo</v>
      </c>
    </row>
    <row r="2064" spans="1:6" x14ac:dyDescent="0.25">
      <c r="A2064" t="s">
        <v>1530</v>
      </c>
      <c r="B2064" t="s">
        <v>168</v>
      </c>
      <c r="C2064" s="10" t="str" cm="1">
        <f t="array" ref="C2064">IF(AND(A2064="2020-12", ISNA(MATCH(B2064, _xlfn._xlws.FILTER(B:B, A:A="2021-01"), 0))), "Left", "Ativo")</f>
        <v>Ativo</v>
      </c>
      <c r="D2064" s="10" t="str" cm="1">
        <f t="array" ref="D2064">IF(AND(A2064="2021-01", ISNA(MATCH(B2064, _xlfn._xlws.FILTER(B:B, A:A="2021-02"), 0))), "Left", "Ativo")</f>
        <v>Ativo</v>
      </c>
      <c r="E2064" s="10" t="str" cm="1">
        <f t="array" ref="E2064">IF(AND(A2064="2021-02", ISNA(MATCH(B2064, _xlfn._xlws.FILTER(B:B, A:A="2021-03"), 0))), "Left", "Ativo")</f>
        <v>Ativo</v>
      </c>
      <c r="F2064" s="12" t="str" cm="1">
        <f t="array" ref="F2064">IF(AND(A2064="2021-03", ISNA(MATCH(B2064, _xlfn._xlws.FILTER(B:B, A:A="2021-04"), 0))), "Left", "Ativo")</f>
        <v>Ativo</v>
      </c>
    </row>
    <row r="2065" spans="1:6" x14ac:dyDescent="0.25">
      <c r="A2065" t="s">
        <v>1530</v>
      </c>
      <c r="B2065" t="s">
        <v>169</v>
      </c>
      <c r="C2065" s="10" t="str" cm="1">
        <f t="array" ref="C2065">IF(AND(A2065="2020-12", ISNA(MATCH(B2065, _xlfn._xlws.FILTER(B:B, A:A="2021-01"), 0))), "Left", "Ativo")</f>
        <v>Ativo</v>
      </c>
      <c r="D2065" s="10" t="str" cm="1">
        <f t="array" ref="D2065">IF(AND(A2065="2021-01", ISNA(MATCH(B2065, _xlfn._xlws.FILTER(B:B, A:A="2021-02"), 0))), "Left", "Ativo")</f>
        <v>Ativo</v>
      </c>
      <c r="E2065" s="10" t="str" cm="1">
        <f t="array" ref="E2065">IF(AND(A2065="2021-02", ISNA(MATCH(B2065, _xlfn._xlws.FILTER(B:B, A:A="2021-03"), 0))), "Left", "Ativo")</f>
        <v>Ativo</v>
      </c>
      <c r="F2065" s="12" t="str" cm="1">
        <f t="array" ref="F2065">IF(AND(A2065="2021-03", ISNA(MATCH(B2065, _xlfn._xlws.FILTER(B:B, A:A="2021-04"), 0))), "Left", "Ativo")</f>
        <v>Ativo</v>
      </c>
    </row>
    <row r="2066" spans="1:6" x14ac:dyDescent="0.25">
      <c r="A2066" t="s">
        <v>1530</v>
      </c>
      <c r="B2066" t="s">
        <v>170</v>
      </c>
      <c r="C2066" s="10" t="str" cm="1">
        <f t="array" ref="C2066">IF(AND(A2066="2020-12", ISNA(MATCH(B2066, _xlfn._xlws.FILTER(B:B, A:A="2021-01"), 0))), "Left", "Ativo")</f>
        <v>Ativo</v>
      </c>
      <c r="D2066" s="10" t="str" cm="1">
        <f t="array" ref="D2066">IF(AND(A2066="2021-01", ISNA(MATCH(B2066, _xlfn._xlws.FILTER(B:B, A:A="2021-02"), 0))), "Left", "Ativo")</f>
        <v>Ativo</v>
      </c>
      <c r="E2066" s="10" t="str" cm="1">
        <f t="array" ref="E2066">IF(AND(A2066="2021-02", ISNA(MATCH(B2066, _xlfn._xlws.FILTER(B:B, A:A="2021-03"), 0))), "Left", "Ativo")</f>
        <v>Ativo</v>
      </c>
      <c r="F2066" s="12" t="str" cm="1">
        <f t="array" ref="F2066">IF(AND(A2066="2021-03", ISNA(MATCH(B2066, _xlfn._xlws.FILTER(B:B, A:A="2021-04"), 0))), "Left", "Ativo")</f>
        <v>Ativo</v>
      </c>
    </row>
    <row r="2067" spans="1:6" x14ac:dyDescent="0.25">
      <c r="A2067" t="s">
        <v>1530</v>
      </c>
      <c r="B2067" t="s">
        <v>171</v>
      </c>
      <c r="C2067" s="10" t="str" cm="1">
        <f t="array" ref="C2067">IF(AND(A2067="2020-12", ISNA(MATCH(B2067, _xlfn._xlws.FILTER(B:B, A:A="2021-01"), 0))), "Left", "Ativo")</f>
        <v>Ativo</v>
      </c>
      <c r="D2067" s="10" t="str" cm="1">
        <f t="array" ref="D2067">IF(AND(A2067="2021-01", ISNA(MATCH(B2067, _xlfn._xlws.FILTER(B:B, A:A="2021-02"), 0))), "Left", "Ativo")</f>
        <v>Ativo</v>
      </c>
      <c r="E2067" s="10" t="str" cm="1">
        <f t="array" ref="E2067">IF(AND(A2067="2021-02", ISNA(MATCH(B2067, _xlfn._xlws.FILTER(B:B, A:A="2021-03"), 0))), "Left", "Ativo")</f>
        <v>Ativo</v>
      </c>
      <c r="F2067" s="12" t="str" cm="1">
        <f t="array" ref="F2067">IF(AND(A2067="2021-03", ISNA(MATCH(B2067, _xlfn._xlws.FILTER(B:B, A:A="2021-04"), 0))), "Left", "Ativo")</f>
        <v>Ativo</v>
      </c>
    </row>
    <row r="2068" spans="1:6" x14ac:dyDescent="0.25">
      <c r="A2068" t="s">
        <v>1530</v>
      </c>
      <c r="B2068" t="s">
        <v>172</v>
      </c>
      <c r="C2068" s="10" t="str" cm="1">
        <f t="array" ref="C2068">IF(AND(A2068="2020-12", ISNA(MATCH(B2068, _xlfn._xlws.FILTER(B:B, A:A="2021-01"), 0))), "Left", "Ativo")</f>
        <v>Ativo</v>
      </c>
      <c r="D2068" s="10" t="str" cm="1">
        <f t="array" ref="D2068">IF(AND(A2068="2021-01", ISNA(MATCH(B2068, _xlfn._xlws.FILTER(B:B, A:A="2021-02"), 0))), "Left", "Ativo")</f>
        <v>Ativo</v>
      </c>
      <c r="E2068" s="10" t="str" cm="1">
        <f t="array" ref="E2068">IF(AND(A2068="2021-02", ISNA(MATCH(B2068, _xlfn._xlws.FILTER(B:B, A:A="2021-03"), 0))), "Left", "Ativo")</f>
        <v>Ativo</v>
      </c>
      <c r="F2068" s="12" t="str" cm="1">
        <f t="array" ref="F2068">IF(AND(A2068="2021-03", ISNA(MATCH(B2068, _xlfn._xlws.FILTER(B:B, A:A="2021-04"), 0))), "Left", "Ativo")</f>
        <v>Ativo</v>
      </c>
    </row>
    <row r="2069" spans="1:6" x14ac:dyDescent="0.25">
      <c r="A2069" t="s">
        <v>1530</v>
      </c>
      <c r="B2069" t="s">
        <v>173</v>
      </c>
      <c r="C2069" s="10" t="str" cm="1">
        <f t="array" ref="C2069">IF(AND(A2069="2020-12", ISNA(MATCH(B2069, _xlfn._xlws.FILTER(B:B, A:A="2021-01"), 0))), "Left", "Ativo")</f>
        <v>Ativo</v>
      </c>
      <c r="D2069" s="10" t="str" cm="1">
        <f t="array" ref="D2069">IF(AND(A2069="2021-01", ISNA(MATCH(B2069, _xlfn._xlws.FILTER(B:B, A:A="2021-02"), 0))), "Left", "Ativo")</f>
        <v>Ativo</v>
      </c>
      <c r="E2069" s="10" t="str" cm="1">
        <f t="array" ref="E2069">IF(AND(A2069="2021-02", ISNA(MATCH(B2069, _xlfn._xlws.FILTER(B:B, A:A="2021-03"), 0))), "Left", "Ativo")</f>
        <v>Ativo</v>
      </c>
      <c r="F2069" s="12" t="str" cm="1">
        <f t="array" ref="F2069">IF(AND(A2069="2021-03", ISNA(MATCH(B2069, _xlfn._xlws.FILTER(B:B, A:A="2021-04"), 0))), "Left", "Ativo")</f>
        <v>Ativo</v>
      </c>
    </row>
    <row r="2070" spans="1:6" x14ac:dyDescent="0.25">
      <c r="A2070" t="s">
        <v>1530</v>
      </c>
      <c r="B2070" t="s">
        <v>174</v>
      </c>
      <c r="C2070" s="10" t="str" cm="1">
        <f t="array" ref="C2070">IF(AND(A2070="2020-12", ISNA(MATCH(B2070, _xlfn._xlws.FILTER(B:B, A:A="2021-01"), 0))), "Left", "Ativo")</f>
        <v>Ativo</v>
      </c>
      <c r="D2070" s="10" t="str" cm="1">
        <f t="array" ref="D2070">IF(AND(A2070="2021-01", ISNA(MATCH(B2070, _xlfn._xlws.FILTER(B:B, A:A="2021-02"), 0))), "Left", "Ativo")</f>
        <v>Ativo</v>
      </c>
      <c r="E2070" s="10" t="str" cm="1">
        <f t="array" ref="E2070">IF(AND(A2070="2021-02", ISNA(MATCH(B2070, _xlfn._xlws.FILTER(B:B, A:A="2021-03"), 0))), "Left", "Ativo")</f>
        <v>Ativo</v>
      </c>
      <c r="F2070" s="12" t="str" cm="1">
        <f t="array" ref="F2070">IF(AND(A2070="2021-03", ISNA(MATCH(B2070, _xlfn._xlws.FILTER(B:B, A:A="2021-04"), 0))), "Left", "Ativo")</f>
        <v>Ativo</v>
      </c>
    </row>
    <row r="2071" spans="1:6" x14ac:dyDescent="0.25">
      <c r="A2071" t="s">
        <v>1530</v>
      </c>
      <c r="B2071" t="s">
        <v>175</v>
      </c>
      <c r="C2071" s="10" t="str" cm="1">
        <f t="array" ref="C2071">IF(AND(A2071="2020-12", ISNA(MATCH(B2071, _xlfn._xlws.FILTER(B:B, A:A="2021-01"), 0))), "Left", "Ativo")</f>
        <v>Ativo</v>
      </c>
      <c r="D2071" s="10" t="str" cm="1">
        <f t="array" ref="D2071">IF(AND(A2071="2021-01", ISNA(MATCH(B2071, _xlfn._xlws.FILTER(B:B, A:A="2021-02"), 0))), "Left", "Ativo")</f>
        <v>Ativo</v>
      </c>
      <c r="E2071" s="10" t="str" cm="1">
        <f t="array" ref="E2071">IF(AND(A2071="2021-02", ISNA(MATCH(B2071, _xlfn._xlws.FILTER(B:B, A:A="2021-03"), 0))), "Left", "Ativo")</f>
        <v>Ativo</v>
      </c>
      <c r="F2071" s="12" t="str" cm="1">
        <f t="array" ref="F2071">IF(AND(A2071="2021-03", ISNA(MATCH(B2071, _xlfn._xlws.FILTER(B:B, A:A="2021-04"), 0))), "Left", "Ativo")</f>
        <v>Ativo</v>
      </c>
    </row>
    <row r="2072" spans="1:6" x14ac:dyDescent="0.25">
      <c r="A2072" t="s">
        <v>1530</v>
      </c>
      <c r="B2072" t="s">
        <v>176</v>
      </c>
      <c r="C2072" s="10" t="str" cm="1">
        <f t="array" ref="C2072">IF(AND(A2072="2020-12", ISNA(MATCH(B2072, _xlfn._xlws.FILTER(B:B, A:A="2021-01"), 0))), "Left", "Ativo")</f>
        <v>Ativo</v>
      </c>
      <c r="D2072" s="10" t="str" cm="1">
        <f t="array" ref="D2072">IF(AND(A2072="2021-01", ISNA(MATCH(B2072, _xlfn._xlws.FILTER(B:B, A:A="2021-02"), 0))), "Left", "Ativo")</f>
        <v>Ativo</v>
      </c>
      <c r="E2072" s="10" t="str" cm="1">
        <f t="array" ref="E2072">IF(AND(A2072="2021-02", ISNA(MATCH(B2072, _xlfn._xlws.FILTER(B:B, A:A="2021-03"), 0))), "Left", "Ativo")</f>
        <v>Ativo</v>
      </c>
      <c r="F2072" s="12" t="str" cm="1">
        <f t="array" ref="F2072">IF(AND(A2072="2021-03", ISNA(MATCH(B2072, _xlfn._xlws.FILTER(B:B, A:A="2021-04"), 0))), "Left", "Ativo")</f>
        <v>Ativo</v>
      </c>
    </row>
    <row r="2073" spans="1:6" x14ac:dyDescent="0.25">
      <c r="A2073" t="s">
        <v>1530</v>
      </c>
      <c r="B2073" t="s">
        <v>177</v>
      </c>
      <c r="C2073" s="10" t="str" cm="1">
        <f t="array" ref="C2073">IF(AND(A2073="2020-12", ISNA(MATCH(B2073, _xlfn._xlws.FILTER(B:B, A:A="2021-01"), 0))), "Left", "Ativo")</f>
        <v>Ativo</v>
      </c>
      <c r="D2073" s="10" t="str" cm="1">
        <f t="array" ref="D2073">IF(AND(A2073="2021-01", ISNA(MATCH(B2073, _xlfn._xlws.FILTER(B:B, A:A="2021-02"), 0))), "Left", "Ativo")</f>
        <v>Ativo</v>
      </c>
      <c r="E2073" s="10" t="str" cm="1">
        <f t="array" ref="E2073">IF(AND(A2073="2021-02", ISNA(MATCH(B2073, _xlfn._xlws.FILTER(B:B, A:A="2021-03"), 0))), "Left", "Ativo")</f>
        <v>Ativo</v>
      </c>
      <c r="F2073" s="12" t="str" cm="1">
        <f t="array" ref="F2073">IF(AND(A2073="2021-03", ISNA(MATCH(B2073, _xlfn._xlws.FILTER(B:B, A:A="2021-04"), 0))), "Left", "Ativo")</f>
        <v>Ativo</v>
      </c>
    </row>
    <row r="2074" spans="1:6" x14ac:dyDescent="0.25">
      <c r="A2074" t="s">
        <v>1530</v>
      </c>
      <c r="B2074" t="s">
        <v>178</v>
      </c>
      <c r="C2074" s="10" t="str" cm="1">
        <f t="array" ref="C2074">IF(AND(A2074="2020-12", ISNA(MATCH(B2074, _xlfn._xlws.FILTER(B:B, A:A="2021-01"), 0))), "Left", "Ativo")</f>
        <v>Ativo</v>
      </c>
      <c r="D2074" s="10" t="str" cm="1">
        <f t="array" ref="D2074">IF(AND(A2074="2021-01", ISNA(MATCH(B2074, _xlfn._xlws.FILTER(B:B, A:A="2021-02"), 0))), "Left", "Ativo")</f>
        <v>Ativo</v>
      </c>
      <c r="E2074" s="10" t="str" cm="1">
        <f t="array" ref="E2074">IF(AND(A2074="2021-02", ISNA(MATCH(B2074, _xlfn._xlws.FILTER(B:B, A:A="2021-03"), 0))), "Left", "Ativo")</f>
        <v>Ativo</v>
      </c>
      <c r="F2074" s="12" t="str" cm="1">
        <f t="array" ref="F2074">IF(AND(A2074="2021-03", ISNA(MATCH(B2074, _xlfn._xlws.FILTER(B:B, A:A="2021-04"), 0))), "Left", "Ativo")</f>
        <v>Ativo</v>
      </c>
    </row>
    <row r="2075" spans="1:6" x14ac:dyDescent="0.25">
      <c r="A2075" t="s">
        <v>1530</v>
      </c>
      <c r="B2075" t="s">
        <v>179</v>
      </c>
      <c r="C2075" s="10" t="str" cm="1">
        <f t="array" ref="C2075">IF(AND(A2075="2020-12", ISNA(MATCH(B2075, _xlfn._xlws.FILTER(B:B, A:A="2021-01"), 0))), "Left", "Ativo")</f>
        <v>Ativo</v>
      </c>
      <c r="D2075" s="10" t="str" cm="1">
        <f t="array" ref="D2075">IF(AND(A2075="2021-01", ISNA(MATCH(B2075, _xlfn._xlws.FILTER(B:B, A:A="2021-02"), 0))), "Left", "Ativo")</f>
        <v>Ativo</v>
      </c>
      <c r="E2075" s="10" t="str" cm="1">
        <f t="array" ref="E2075">IF(AND(A2075="2021-02", ISNA(MATCH(B2075, _xlfn._xlws.FILTER(B:B, A:A="2021-03"), 0))), "Left", "Ativo")</f>
        <v>Ativo</v>
      </c>
      <c r="F2075" s="12" t="str" cm="1">
        <f t="array" ref="F2075">IF(AND(A2075="2021-03", ISNA(MATCH(B2075, _xlfn._xlws.FILTER(B:B, A:A="2021-04"), 0))), "Left", "Ativo")</f>
        <v>Ativo</v>
      </c>
    </row>
    <row r="2076" spans="1:6" x14ac:dyDescent="0.25">
      <c r="A2076" t="s">
        <v>1530</v>
      </c>
      <c r="B2076" t="s">
        <v>180</v>
      </c>
      <c r="C2076" s="10" t="str" cm="1">
        <f t="array" ref="C2076">IF(AND(A2076="2020-12", ISNA(MATCH(B2076, _xlfn._xlws.FILTER(B:B, A:A="2021-01"), 0))), "Left", "Ativo")</f>
        <v>Ativo</v>
      </c>
      <c r="D2076" s="10" t="str" cm="1">
        <f t="array" ref="D2076">IF(AND(A2076="2021-01", ISNA(MATCH(B2076, _xlfn._xlws.FILTER(B:B, A:A="2021-02"), 0))), "Left", "Ativo")</f>
        <v>Ativo</v>
      </c>
      <c r="E2076" s="10" t="str" cm="1">
        <f t="array" ref="E2076">IF(AND(A2076="2021-02", ISNA(MATCH(B2076, _xlfn._xlws.FILTER(B:B, A:A="2021-03"), 0))), "Left", "Ativo")</f>
        <v>Ativo</v>
      </c>
      <c r="F2076" s="12" t="str" cm="1">
        <f t="array" ref="F2076">IF(AND(A2076="2021-03", ISNA(MATCH(B2076, _xlfn._xlws.FILTER(B:B, A:A="2021-04"), 0))), "Left", "Ativo")</f>
        <v>Ativo</v>
      </c>
    </row>
    <row r="2077" spans="1:6" x14ac:dyDescent="0.25">
      <c r="A2077" t="s">
        <v>1530</v>
      </c>
      <c r="B2077" t="s">
        <v>181</v>
      </c>
      <c r="C2077" s="10" t="str" cm="1">
        <f t="array" ref="C2077">IF(AND(A2077="2020-12", ISNA(MATCH(B2077, _xlfn._xlws.FILTER(B:B, A:A="2021-01"), 0))), "Left", "Ativo")</f>
        <v>Ativo</v>
      </c>
      <c r="D2077" s="10" t="str" cm="1">
        <f t="array" ref="D2077">IF(AND(A2077="2021-01", ISNA(MATCH(B2077, _xlfn._xlws.FILTER(B:B, A:A="2021-02"), 0))), "Left", "Ativo")</f>
        <v>Ativo</v>
      </c>
      <c r="E2077" s="10" t="str" cm="1">
        <f t="array" ref="E2077">IF(AND(A2077="2021-02", ISNA(MATCH(B2077, _xlfn._xlws.FILTER(B:B, A:A="2021-03"), 0))), "Left", "Ativo")</f>
        <v>Ativo</v>
      </c>
      <c r="F2077" s="12" t="str" cm="1">
        <f t="array" ref="F2077">IF(AND(A2077="2021-03", ISNA(MATCH(B2077, _xlfn._xlws.FILTER(B:B, A:A="2021-04"), 0))), "Left", "Ativo")</f>
        <v>Ativo</v>
      </c>
    </row>
    <row r="2078" spans="1:6" x14ac:dyDescent="0.25">
      <c r="A2078" t="s">
        <v>1530</v>
      </c>
      <c r="B2078" t="s">
        <v>182</v>
      </c>
      <c r="C2078" s="10" t="str" cm="1">
        <f t="array" ref="C2078">IF(AND(A2078="2020-12", ISNA(MATCH(B2078, _xlfn._xlws.FILTER(B:B, A:A="2021-01"), 0))), "Left", "Ativo")</f>
        <v>Ativo</v>
      </c>
      <c r="D2078" s="10" t="str" cm="1">
        <f t="array" ref="D2078">IF(AND(A2078="2021-01", ISNA(MATCH(B2078, _xlfn._xlws.FILTER(B:B, A:A="2021-02"), 0))), "Left", "Ativo")</f>
        <v>Ativo</v>
      </c>
      <c r="E2078" s="10" t="str" cm="1">
        <f t="array" ref="E2078">IF(AND(A2078="2021-02", ISNA(MATCH(B2078, _xlfn._xlws.FILTER(B:B, A:A="2021-03"), 0))), "Left", "Ativo")</f>
        <v>Ativo</v>
      </c>
      <c r="F2078" s="12" t="str" cm="1">
        <f t="array" ref="F2078">IF(AND(A2078="2021-03", ISNA(MATCH(B2078, _xlfn._xlws.FILTER(B:B, A:A="2021-04"), 0))), "Left", "Ativo")</f>
        <v>Ativo</v>
      </c>
    </row>
    <row r="2079" spans="1:6" x14ac:dyDescent="0.25">
      <c r="A2079" t="s">
        <v>1530</v>
      </c>
      <c r="B2079" t="s">
        <v>183</v>
      </c>
      <c r="C2079" s="10" t="str" cm="1">
        <f t="array" ref="C2079">IF(AND(A2079="2020-12", ISNA(MATCH(B2079, _xlfn._xlws.FILTER(B:B, A:A="2021-01"), 0))), "Left", "Ativo")</f>
        <v>Ativo</v>
      </c>
      <c r="D2079" s="10" t="str" cm="1">
        <f t="array" ref="D2079">IF(AND(A2079="2021-01", ISNA(MATCH(B2079, _xlfn._xlws.FILTER(B:B, A:A="2021-02"), 0))), "Left", "Ativo")</f>
        <v>Ativo</v>
      </c>
      <c r="E2079" s="10" t="str" cm="1">
        <f t="array" ref="E2079">IF(AND(A2079="2021-02", ISNA(MATCH(B2079, _xlfn._xlws.FILTER(B:B, A:A="2021-03"), 0))), "Left", "Ativo")</f>
        <v>Ativo</v>
      </c>
      <c r="F2079" s="12" t="str" cm="1">
        <f t="array" ref="F2079">IF(AND(A2079="2021-03", ISNA(MATCH(B2079, _xlfn._xlws.FILTER(B:B, A:A="2021-04"), 0))), "Left", "Ativo")</f>
        <v>Ativo</v>
      </c>
    </row>
    <row r="2080" spans="1:6" x14ac:dyDescent="0.25">
      <c r="A2080" t="s">
        <v>1530</v>
      </c>
      <c r="B2080" t="s">
        <v>184</v>
      </c>
      <c r="C2080" s="10" t="str" cm="1">
        <f t="array" ref="C2080">IF(AND(A2080="2020-12", ISNA(MATCH(B2080, _xlfn._xlws.FILTER(B:B, A:A="2021-01"), 0))), "Left", "Ativo")</f>
        <v>Ativo</v>
      </c>
      <c r="D2080" s="10" t="str" cm="1">
        <f t="array" ref="D2080">IF(AND(A2080="2021-01", ISNA(MATCH(B2080, _xlfn._xlws.FILTER(B:B, A:A="2021-02"), 0))), "Left", "Ativo")</f>
        <v>Ativo</v>
      </c>
      <c r="E2080" s="10" t="str" cm="1">
        <f t="array" ref="E2080">IF(AND(A2080="2021-02", ISNA(MATCH(B2080, _xlfn._xlws.FILTER(B:B, A:A="2021-03"), 0))), "Left", "Ativo")</f>
        <v>Ativo</v>
      </c>
      <c r="F2080" s="12" t="str" cm="1">
        <f t="array" ref="F2080">IF(AND(A2080="2021-03", ISNA(MATCH(B2080, _xlfn._xlws.FILTER(B:B, A:A="2021-04"), 0))), "Left", "Ativo")</f>
        <v>Ativo</v>
      </c>
    </row>
    <row r="2081" spans="1:6" x14ac:dyDescent="0.25">
      <c r="A2081" t="s">
        <v>1530</v>
      </c>
      <c r="B2081" t="s">
        <v>185</v>
      </c>
      <c r="C2081" s="10" t="str" cm="1">
        <f t="array" ref="C2081">IF(AND(A2081="2020-12", ISNA(MATCH(B2081, _xlfn._xlws.FILTER(B:B, A:A="2021-01"), 0))), "Left", "Ativo")</f>
        <v>Ativo</v>
      </c>
      <c r="D2081" s="10" t="str" cm="1">
        <f t="array" ref="D2081">IF(AND(A2081="2021-01", ISNA(MATCH(B2081, _xlfn._xlws.FILTER(B:B, A:A="2021-02"), 0))), "Left", "Ativo")</f>
        <v>Ativo</v>
      </c>
      <c r="E2081" s="10" t="str" cm="1">
        <f t="array" ref="E2081">IF(AND(A2081="2021-02", ISNA(MATCH(B2081, _xlfn._xlws.FILTER(B:B, A:A="2021-03"), 0))), "Left", "Ativo")</f>
        <v>Ativo</v>
      </c>
      <c r="F2081" s="12" t="str" cm="1">
        <f t="array" ref="F2081">IF(AND(A2081="2021-03", ISNA(MATCH(B2081, _xlfn._xlws.FILTER(B:B, A:A="2021-04"), 0))), "Left", "Ativo")</f>
        <v>Ativo</v>
      </c>
    </row>
    <row r="2082" spans="1:6" x14ac:dyDescent="0.25">
      <c r="A2082" t="s">
        <v>1530</v>
      </c>
      <c r="B2082" t="s">
        <v>186</v>
      </c>
      <c r="C2082" s="10" t="str" cm="1">
        <f t="array" ref="C2082">IF(AND(A2082="2020-12", ISNA(MATCH(B2082, _xlfn._xlws.FILTER(B:B, A:A="2021-01"), 0))), "Left", "Ativo")</f>
        <v>Ativo</v>
      </c>
      <c r="D2082" s="10" t="str" cm="1">
        <f t="array" ref="D2082">IF(AND(A2082="2021-01", ISNA(MATCH(B2082, _xlfn._xlws.FILTER(B:B, A:A="2021-02"), 0))), "Left", "Ativo")</f>
        <v>Ativo</v>
      </c>
      <c r="E2082" s="10" t="str" cm="1">
        <f t="array" ref="E2082">IF(AND(A2082="2021-02", ISNA(MATCH(B2082, _xlfn._xlws.FILTER(B:B, A:A="2021-03"), 0))), "Left", "Ativo")</f>
        <v>Ativo</v>
      </c>
      <c r="F2082" s="12" t="str" cm="1">
        <f t="array" ref="F2082">IF(AND(A2082="2021-03", ISNA(MATCH(B2082, _xlfn._xlws.FILTER(B:B, A:A="2021-04"), 0))), "Left", "Ativo")</f>
        <v>Ativo</v>
      </c>
    </row>
    <row r="2083" spans="1:6" x14ac:dyDescent="0.25">
      <c r="A2083" t="s">
        <v>1530</v>
      </c>
      <c r="B2083" t="s">
        <v>187</v>
      </c>
      <c r="C2083" s="10" t="str" cm="1">
        <f t="array" ref="C2083">IF(AND(A2083="2020-12", ISNA(MATCH(B2083, _xlfn._xlws.FILTER(B:B, A:A="2021-01"), 0))), "Left", "Ativo")</f>
        <v>Ativo</v>
      </c>
      <c r="D2083" s="10" t="str" cm="1">
        <f t="array" ref="D2083">IF(AND(A2083="2021-01", ISNA(MATCH(B2083, _xlfn._xlws.FILTER(B:B, A:A="2021-02"), 0))), "Left", "Ativo")</f>
        <v>Ativo</v>
      </c>
      <c r="E2083" s="10" t="str" cm="1">
        <f t="array" ref="E2083">IF(AND(A2083="2021-02", ISNA(MATCH(B2083, _xlfn._xlws.FILTER(B:B, A:A="2021-03"), 0))), "Left", "Ativo")</f>
        <v>Ativo</v>
      </c>
      <c r="F2083" s="12" t="str" cm="1">
        <f t="array" ref="F2083">IF(AND(A2083="2021-03", ISNA(MATCH(B2083, _xlfn._xlws.FILTER(B:B, A:A="2021-04"), 0))), "Left", "Ativo")</f>
        <v>Ativo</v>
      </c>
    </row>
    <row r="2084" spans="1:6" x14ac:dyDescent="0.25">
      <c r="A2084" t="s">
        <v>1530</v>
      </c>
      <c r="B2084" t="s">
        <v>188</v>
      </c>
      <c r="C2084" s="10" t="str" cm="1">
        <f t="array" ref="C2084">IF(AND(A2084="2020-12", ISNA(MATCH(B2084, _xlfn._xlws.FILTER(B:B, A:A="2021-01"), 0))), "Left", "Ativo")</f>
        <v>Ativo</v>
      </c>
      <c r="D2084" s="10" t="str" cm="1">
        <f t="array" ref="D2084">IF(AND(A2084="2021-01", ISNA(MATCH(B2084, _xlfn._xlws.FILTER(B:B, A:A="2021-02"), 0))), "Left", "Ativo")</f>
        <v>Ativo</v>
      </c>
      <c r="E2084" s="10" t="str" cm="1">
        <f t="array" ref="E2084">IF(AND(A2084="2021-02", ISNA(MATCH(B2084, _xlfn._xlws.FILTER(B:B, A:A="2021-03"), 0))), "Left", "Ativo")</f>
        <v>Ativo</v>
      </c>
      <c r="F2084" s="12" t="str" cm="1">
        <f t="array" ref="F2084">IF(AND(A2084="2021-03", ISNA(MATCH(B2084, _xlfn._xlws.FILTER(B:B, A:A="2021-04"), 0))), "Left", "Ativo")</f>
        <v>Ativo</v>
      </c>
    </row>
    <row r="2085" spans="1:6" x14ac:dyDescent="0.25">
      <c r="A2085" t="s">
        <v>1530</v>
      </c>
      <c r="B2085" t="s">
        <v>986</v>
      </c>
      <c r="C2085" s="10" t="str" cm="1">
        <f t="array" ref="C2085">IF(AND(A2085="2020-12", ISNA(MATCH(B2085, _xlfn._xlws.FILTER(B:B, A:A="2021-01"), 0))), "Left", "Ativo")</f>
        <v>Ativo</v>
      </c>
      <c r="D2085" s="10" t="str" cm="1">
        <f t="array" ref="D2085">IF(AND(A2085="2021-01", ISNA(MATCH(B2085, _xlfn._xlws.FILTER(B:B, A:A="2021-02"), 0))), "Left", "Ativo")</f>
        <v>Ativo</v>
      </c>
      <c r="E2085" s="10" t="str" cm="1">
        <f t="array" ref="E2085">IF(AND(A2085="2021-02", ISNA(MATCH(B2085, _xlfn._xlws.FILTER(B:B, A:A="2021-03"), 0))), "Left", "Ativo")</f>
        <v>Ativo</v>
      </c>
      <c r="F2085" s="12" t="str" cm="1">
        <f t="array" ref="F2085">IF(AND(A2085="2021-03", ISNA(MATCH(B2085, _xlfn._xlws.FILTER(B:B, A:A="2021-04"), 0))), "Left", "Ativo")</f>
        <v>Ativo</v>
      </c>
    </row>
    <row r="2086" spans="1:6" x14ac:dyDescent="0.25">
      <c r="A2086" t="s">
        <v>1530</v>
      </c>
      <c r="B2086" t="s">
        <v>987</v>
      </c>
      <c r="C2086" s="10" t="str" cm="1">
        <f t="array" ref="C2086">IF(AND(A2086="2020-12", ISNA(MATCH(B2086, _xlfn._xlws.FILTER(B:B, A:A="2021-01"), 0))), "Left", "Ativo")</f>
        <v>Ativo</v>
      </c>
      <c r="D2086" s="10" t="str" cm="1">
        <f t="array" ref="D2086">IF(AND(A2086="2021-01", ISNA(MATCH(B2086, _xlfn._xlws.FILTER(B:B, A:A="2021-02"), 0))), "Left", "Ativo")</f>
        <v>Ativo</v>
      </c>
      <c r="E2086" s="10" t="str" cm="1">
        <f t="array" ref="E2086">IF(AND(A2086="2021-02", ISNA(MATCH(B2086, _xlfn._xlws.FILTER(B:B, A:A="2021-03"), 0))), "Left", "Ativo")</f>
        <v>Ativo</v>
      </c>
      <c r="F2086" s="12" t="str" cm="1">
        <f t="array" ref="F2086">IF(AND(A2086="2021-03", ISNA(MATCH(B2086, _xlfn._xlws.FILTER(B:B, A:A="2021-04"), 0))), "Left", "Ativo")</f>
        <v>Ativo</v>
      </c>
    </row>
    <row r="2087" spans="1:6" x14ac:dyDescent="0.25">
      <c r="A2087" t="s">
        <v>1530</v>
      </c>
      <c r="B2087" t="s">
        <v>988</v>
      </c>
      <c r="C2087" s="10" t="str" cm="1">
        <f t="array" ref="C2087">IF(AND(A2087="2020-12", ISNA(MATCH(B2087, _xlfn._xlws.FILTER(B:B, A:A="2021-01"), 0))), "Left", "Ativo")</f>
        <v>Ativo</v>
      </c>
      <c r="D2087" s="10" t="str" cm="1">
        <f t="array" ref="D2087">IF(AND(A2087="2021-01", ISNA(MATCH(B2087, _xlfn._xlws.FILTER(B:B, A:A="2021-02"), 0))), "Left", "Ativo")</f>
        <v>Ativo</v>
      </c>
      <c r="E2087" s="10" t="str" cm="1">
        <f t="array" ref="E2087">IF(AND(A2087="2021-02", ISNA(MATCH(B2087, _xlfn._xlws.FILTER(B:B, A:A="2021-03"), 0))), "Left", "Ativo")</f>
        <v>Ativo</v>
      </c>
      <c r="F2087" s="12" t="str" cm="1">
        <f t="array" ref="F2087">IF(AND(A2087="2021-03", ISNA(MATCH(B2087, _xlfn._xlws.FILTER(B:B, A:A="2021-04"), 0))), "Left", "Ativo")</f>
        <v>Ativo</v>
      </c>
    </row>
    <row r="2088" spans="1:6" x14ac:dyDescent="0.25">
      <c r="A2088" t="s">
        <v>1530</v>
      </c>
      <c r="B2088" t="s">
        <v>989</v>
      </c>
      <c r="C2088" s="10" t="str" cm="1">
        <f t="array" ref="C2088">IF(AND(A2088="2020-12", ISNA(MATCH(B2088, _xlfn._xlws.FILTER(B:B, A:A="2021-01"), 0))), "Left", "Ativo")</f>
        <v>Ativo</v>
      </c>
      <c r="D2088" s="10" t="str" cm="1">
        <f t="array" ref="D2088">IF(AND(A2088="2021-01", ISNA(MATCH(B2088, _xlfn._xlws.FILTER(B:B, A:A="2021-02"), 0))), "Left", "Ativo")</f>
        <v>Ativo</v>
      </c>
      <c r="E2088" s="10" t="str" cm="1">
        <f t="array" ref="E2088">IF(AND(A2088="2021-02", ISNA(MATCH(B2088, _xlfn._xlws.FILTER(B:B, A:A="2021-03"), 0))), "Left", "Ativo")</f>
        <v>Ativo</v>
      </c>
      <c r="F2088" s="12" t="str" cm="1">
        <f t="array" ref="F2088">IF(AND(A2088="2021-03", ISNA(MATCH(B2088, _xlfn._xlws.FILTER(B:B, A:A="2021-04"), 0))), "Left", "Ativo")</f>
        <v>Ativo</v>
      </c>
    </row>
    <row r="2089" spans="1:6" x14ac:dyDescent="0.25">
      <c r="A2089" t="s">
        <v>1530</v>
      </c>
      <c r="B2089" t="s">
        <v>990</v>
      </c>
      <c r="C2089" s="10" t="str" cm="1">
        <f t="array" ref="C2089">IF(AND(A2089="2020-12", ISNA(MATCH(B2089, _xlfn._xlws.FILTER(B:B, A:A="2021-01"), 0))), "Left", "Ativo")</f>
        <v>Ativo</v>
      </c>
      <c r="D2089" s="10" t="str" cm="1">
        <f t="array" ref="D2089">IF(AND(A2089="2021-01", ISNA(MATCH(B2089, _xlfn._xlws.FILTER(B:B, A:A="2021-02"), 0))), "Left", "Ativo")</f>
        <v>Ativo</v>
      </c>
      <c r="E2089" s="10" t="str" cm="1">
        <f t="array" ref="E2089">IF(AND(A2089="2021-02", ISNA(MATCH(B2089, _xlfn._xlws.FILTER(B:B, A:A="2021-03"), 0))), "Left", "Ativo")</f>
        <v>Ativo</v>
      </c>
      <c r="F2089" s="12" t="str" cm="1">
        <f t="array" ref="F2089">IF(AND(A2089="2021-03", ISNA(MATCH(B2089, _xlfn._xlws.FILTER(B:B, A:A="2021-04"), 0))), "Left", "Ativo")</f>
        <v>Ativo</v>
      </c>
    </row>
    <row r="2090" spans="1:6" x14ac:dyDescent="0.25">
      <c r="A2090" t="s">
        <v>1530</v>
      </c>
      <c r="B2090" t="s">
        <v>991</v>
      </c>
      <c r="C2090" s="10" t="str" cm="1">
        <f t="array" ref="C2090">IF(AND(A2090="2020-12", ISNA(MATCH(B2090, _xlfn._xlws.FILTER(B:B, A:A="2021-01"), 0))), "Left", "Ativo")</f>
        <v>Ativo</v>
      </c>
      <c r="D2090" s="10" t="str" cm="1">
        <f t="array" ref="D2090">IF(AND(A2090="2021-01", ISNA(MATCH(B2090, _xlfn._xlws.FILTER(B:B, A:A="2021-02"), 0))), "Left", "Ativo")</f>
        <v>Ativo</v>
      </c>
      <c r="E2090" s="10" t="str" cm="1">
        <f t="array" ref="E2090">IF(AND(A2090="2021-02", ISNA(MATCH(B2090, _xlfn._xlws.FILTER(B:B, A:A="2021-03"), 0))), "Left", "Ativo")</f>
        <v>Ativo</v>
      </c>
      <c r="F2090" s="12" t="str" cm="1">
        <f t="array" ref="F2090">IF(AND(A2090="2021-03", ISNA(MATCH(B2090, _xlfn._xlws.FILTER(B:B, A:A="2021-04"), 0))), "Left", "Ativo")</f>
        <v>Ativo</v>
      </c>
    </row>
    <row r="2091" spans="1:6" x14ac:dyDescent="0.25">
      <c r="A2091" t="s">
        <v>1530</v>
      </c>
      <c r="B2091" t="s">
        <v>992</v>
      </c>
      <c r="C2091" s="10" t="str" cm="1">
        <f t="array" ref="C2091">IF(AND(A2091="2020-12", ISNA(MATCH(B2091, _xlfn._xlws.FILTER(B:B, A:A="2021-01"), 0))), "Left", "Ativo")</f>
        <v>Ativo</v>
      </c>
      <c r="D2091" s="10" t="str" cm="1">
        <f t="array" ref="D2091">IF(AND(A2091="2021-01", ISNA(MATCH(B2091, _xlfn._xlws.FILTER(B:B, A:A="2021-02"), 0))), "Left", "Ativo")</f>
        <v>Ativo</v>
      </c>
      <c r="E2091" s="10" t="str" cm="1">
        <f t="array" ref="E2091">IF(AND(A2091="2021-02", ISNA(MATCH(B2091, _xlfn._xlws.FILTER(B:B, A:A="2021-03"), 0))), "Left", "Ativo")</f>
        <v>Ativo</v>
      </c>
      <c r="F2091" s="12" t="str" cm="1">
        <f t="array" ref="F2091">IF(AND(A2091="2021-03", ISNA(MATCH(B2091, _xlfn._xlws.FILTER(B:B, A:A="2021-04"), 0))), "Left", "Ativo")</f>
        <v>Ativo</v>
      </c>
    </row>
    <row r="2092" spans="1:6" x14ac:dyDescent="0.25">
      <c r="A2092" t="s">
        <v>1530</v>
      </c>
      <c r="B2092" t="s">
        <v>993</v>
      </c>
      <c r="C2092" s="10" t="str" cm="1">
        <f t="array" ref="C2092">IF(AND(A2092="2020-12", ISNA(MATCH(B2092, _xlfn._xlws.FILTER(B:B, A:A="2021-01"), 0))), "Left", "Ativo")</f>
        <v>Ativo</v>
      </c>
      <c r="D2092" s="10" t="str" cm="1">
        <f t="array" ref="D2092">IF(AND(A2092="2021-01", ISNA(MATCH(B2092, _xlfn._xlws.FILTER(B:B, A:A="2021-02"), 0))), "Left", "Ativo")</f>
        <v>Ativo</v>
      </c>
      <c r="E2092" s="10" t="str" cm="1">
        <f t="array" ref="E2092">IF(AND(A2092="2021-02", ISNA(MATCH(B2092, _xlfn._xlws.FILTER(B:B, A:A="2021-03"), 0))), "Left", "Ativo")</f>
        <v>Ativo</v>
      </c>
      <c r="F2092" s="12" t="str" cm="1">
        <f t="array" ref="F2092">IF(AND(A2092="2021-03", ISNA(MATCH(B2092, _xlfn._xlws.FILTER(B:B, A:A="2021-04"), 0))), "Left", "Ativo")</f>
        <v>Ativo</v>
      </c>
    </row>
    <row r="2093" spans="1:6" x14ac:dyDescent="0.25">
      <c r="A2093" t="s">
        <v>1530</v>
      </c>
      <c r="B2093" t="s">
        <v>994</v>
      </c>
      <c r="C2093" s="10" t="str" cm="1">
        <f t="array" ref="C2093">IF(AND(A2093="2020-12", ISNA(MATCH(B2093, _xlfn._xlws.FILTER(B:B, A:A="2021-01"), 0))), "Left", "Ativo")</f>
        <v>Ativo</v>
      </c>
      <c r="D2093" s="10" t="str" cm="1">
        <f t="array" ref="D2093">IF(AND(A2093="2021-01", ISNA(MATCH(B2093, _xlfn._xlws.FILTER(B:B, A:A="2021-02"), 0))), "Left", "Ativo")</f>
        <v>Ativo</v>
      </c>
      <c r="E2093" s="10" t="str" cm="1">
        <f t="array" ref="E2093">IF(AND(A2093="2021-02", ISNA(MATCH(B2093, _xlfn._xlws.FILTER(B:B, A:A="2021-03"), 0))), "Left", "Ativo")</f>
        <v>Ativo</v>
      </c>
      <c r="F2093" s="12" t="str" cm="1">
        <f t="array" ref="F2093">IF(AND(A2093="2021-03", ISNA(MATCH(B2093, _xlfn._xlws.FILTER(B:B, A:A="2021-04"), 0))), "Left", "Ativo")</f>
        <v>Ativo</v>
      </c>
    </row>
    <row r="2094" spans="1:6" x14ac:dyDescent="0.25">
      <c r="A2094" t="s">
        <v>1530</v>
      </c>
      <c r="B2094" t="s">
        <v>995</v>
      </c>
      <c r="C2094" s="10" t="str" cm="1">
        <f t="array" ref="C2094">IF(AND(A2094="2020-12", ISNA(MATCH(B2094, _xlfn._xlws.FILTER(B:B, A:A="2021-01"), 0))), "Left", "Ativo")</f>
        <v>Ativo</v>
      </c>
      <c r="D2094" s="10" t="str" cm="1">
        <f t="array" ref="D2094">IF(AND(A2094="2021-01", ISNA(MATCH(B2094, _xlfn._xlws.FILTER(B:B, A:A="2021-02"), 0))), "Left", "Ativo")</f>
        <v>Ativo</v>
      </c>
      <c r="E2094" s="10" t="str" cm="1">
        <f t="array" ref="E2094">IF(AND(A2094="2021-02", ISNA(MATCH(B2094, _xlfn._xlws.FILTER(B:B, A:A="2021-03"), 0))), "Left", "Ativo")</f>
        <v>Ativo</v>
      </c>
      <c r="F2094" s="12" t="str" cm="1">
        <f t="array" ref="F2094">IF(AND(A2094="2021-03", ISNA(MATCH(B2094, _xlfn._xlws.FILTER(B:B, A:A="2021-04"), 0))), "Left", "Ativo")</f>
        <v>Ativo</v>
      </c>
    </row>
    <row r="2095" spans="1:6" x14ac:dyDescent="0.25">
      <c r="A2095" t="s">
        <v>1530</v>
      </c>
      <c r="B2095" t="s">
        <v>996</v>
      </c>
      <c r="C2095" s="10" t="str" cm="1">
        <f t="array" ref="C2095">IF(AND(A2095="2020-12", ISNA(MATCH(B2095, _xlfn._xlws.FILTER(B:B, A:A="2021-01"), 0))), "Left", "Ativo")</f>
        <v>Ativo</v>
      </c>
      <c r="D2095" s="10" t="str" cm="1">
        <f t="array" ref="D2095">IF(AND(A2095="2021-01", ISNA(MATCH(B2095, _xlfn._xlws.FILTER(B:B, A:A="2021-02"), 0))), "Left", "Ativo")</f>
        <v>Ativo</v>
      </c>
      <c r="E2095" s="10" t="str" cm="1">
        <f t="array" ref="E2095">IF(AND(A2095="2021-02", ISNA(MATCH(B2095, _xlfn._xlws.FILTER(B:B, A:A="2021-03"), 0))), "Left", "Ativo")</f>
        <v>Ativo</v>
      </c>
      <c r="F2095" s="12" t="str" cm="1">
        <f t="array" ref="F2095">IF(AND(A2095="2021-03", ISNA(MATCH(B2095, _xlfn._xlws.FILTER(B:B, A:A="2021-04"), 0))), "Left", "Ativo")</f>
        <v>Ativo</v>
      </c>
    </row>
    <row r="2096" spans="1:6" x14ac:dyDescent="0.25">
      <c r="A2096" t="s">
        <v>1530</v>
      </c>
      <c r="B2096" t="s">
        <v>997</v>
      </c>
      <c r="C2096" s="10" t="str" cm="1">
        <f t="array" ref="C2096">IF(AND(A2096="2020-12", ISNA(MATCH(B2096, _xlfn._xlws.FILTER(B:B, A:A="2021-01"), 0))), "Left", "Ativo")</f>
        <v>Ativo</v>
      </c>
      <c r="D2096" s="10" t="str" cm="1">
        <f t="array" ref="D2096">IF(AND(A2096="2021-01", ISNA(MATCH(B2096, _xlfn._xlws.FILTER(B:B, A:A="2021-02"), 0))), "Left", "Ativo")</f>
        <v>Ativo</v>
      </c>
      <c r="E2096" s="10" t="str" cm="1">
        <f t="array" ref="E2096">IF(AND(A2096="2021-02", ISNA(MATCH(B2096, _xlfn._xlws.FILTER(B:B, A:A="2021-03"), 0))), "Left", "Ativo")</f>
        <v>Ativo</v>
      </c>
      <c r="F2096" s="12" t="str" cm="1">
        <f t="array" ref="F2096">IF(AND(A2096="2021-03", ISNA(MATCH(B2096, _xlfn._xlws.FILTER(B:B, A:A="2021-04"), 0))), "Left", "Ativo")</f>
        <v>Ativo</v>
      </c>
    </row>
    <row r="2097" spans="1:6" x14ac:dyDescent="0.25">
      <c r="A2097" t="s">
        <v>1530</v>
      </c>
      <c r="B2097" t="s">
        <v>998</v>
      </c>
      <c r="C2097" s="10" t="str" cm="1">
        <f t="array" ref="C2097">IF(AND(A2097="2020-12", ISNA(MATCH(B2097, _xlfn._xlws.FILTER(B:B, A:A="2021-01"), 0))), "Left", "Ativo")</f>
        <v>Ativo</v>
      </c>
      <c r="D2097" s="10" t="str" cm="1">
        <f t="array" ref="D2097">IF(AND(A2097="2021-01", ISNA(MATCH(B2097, _xlfn._xlws.FILTER(B:B, A:A="2021-02"), 0))), "Left", "Ativo")</f>
        <v>Ativo</v>
      </c>
      <c r="E2097" s="10" t="str" cm="1">
        <f t="array" ref="E2097">IF(AND(A2097="2021-02", ISNA(MATCH(B2097, _xlfn._xlws.FILTER(B:B, A:A="2021-03"), 0))), "Left", "Ativo")</f>
        <v>Ativo</v>
      </c>
      <c r="F2097" s="12" t="str" cm="1">
        <f t="array" ref="F2097">IF(AND(A2097="2021-03", ISNA(MATCH(B2097, _xlfn._xlws.FILTER(B:B, A:A="2021-04"), 0))), "Left", "Ativo")</f>
        <v>Ativo</v>
      </c>
    </row>
    <row r="2098" spans="1:6" x14ac:dyDescent="0.25">
      <c r="A2098" t="s">
        <v>1530</v>
      </c>
      <c r="B2098" t="s">
        <v>999</v>
      </c>
      <c r="C2098" s="10" t="str" cm="1">
        <f t="array" ref="C2098">IF(AND(A2098="2020-12", ISNA(MATCH(B2098, _xlfn._xlws.FILTER(B:B, A:A="2021-01"), 0))), "Left", "Ativo")</f>
        <v>Ativo</v>
      </c>
      <c r="D2098" s="10" t="str" cm="1">
        <f t="array" ref="D2098">IF(AND(A2098="2021-01", ISNA(MATCH(B2098, _xlfn._xlws.FILTER(B:B, A:A="2021-02"), 0))), "Left", "Ativo")</f>
        <v>Ativo</v>
      </c>
      <c r="E2098" s="10" t="str" cm="1">
        <f t="array" ref="E2098">IF(AND(A2098="2021-02", ISNA(MATCH(B2098, _xlfn._xlws.FILTER(B:B, A:A="2021-03"), 0))), "Left", "Ativo")</f>
        <v>Ativo</v>
      </c>
      <c r="F2098" s="12" t="str" cm="1">
        <f t="array" ref="F2098">IF(AND(A2098="2021-03", ISNA(MATCH(B2098, _xlfn._xlws.FILTER(B:B, A:A="2021-04"), 0))), "Left", "Ativo")</f>
        <v>Ativo</v>
      </c>
    </row>
    <row r="2099" spans="1:6" x14ac:dyDescent="0.25">
      <c r="A2099" t="s">
        <v>1530</v>
      </c>
      <c r="B2099" t="s">
        <v>1000</v>
      </c>
      <c r="C2099" s="10" t="str" cm="1">
        <f t="array" ref="C2099">IF(AND(A2099="2020-12", ISNA(MATCH(B2099, _xlfn._xlws.FILTER(B:B, A:A="2021-01"), 0))), "Left", "Ativo")</f>
        <v>Ativo</v>
      </c>
      <c r="D2099" s="10" t="str" cm="1">
        <f t="array" ref="D2099">IF(AND(A2099="2021-01", ISNA(MATCH(B2099, _xlfn._xlws.FILTER(B:B, A:A="2021-02"), 0))), "Left", "Ativo")</f>
        <v>Ativo</v>
      </c>
      <c r="E2099" s="10" t="str" cm="1">
        <f t="array" ref="E2099">IF(AND(A2099="2021-02", ISNA(MATCH(B2099, _xlfn._xlws.FILTER(B:B, A:A="2021-03"), 0))), "Left", "Ativo")</f>
        <v>Ativo</v>
      </c>
      <c r="F2099" s="12" t="str" cm="1">
        <f t="array" ref="F2099">IF(AND(A2099="2021-03", ISNA(MATCH(B2099, _xlfn._xlws.FILTER(B:B, A:A="2021-04"), 0))), "Left", "Ativo")</f>
        <v>Ativo</v>
      </c>
    </row>
    <row r="2100" spans="1:6" x14ac:dyDescent="0.25">
      <c r="A2100" t="s">
        <v>1530</v>
      </c>
      <c r="B2100" t="s">
        <v>1001</v>
      </c>
      <c r="C2100" s="10" t="str" cm="1">
        <f t="array" ref="C2100">IF(AND(A2100="2020-12", ISNA(MATCH(B2100, _xlfn._xlws.FILTER(B:B, A:A="2021-01"), 0))), "Left", "Ativo")</f>
        <v>Ativo</v>
      </c>
      <c r="D2100" s="10" t="str" cm="1">
        <f t="array" ref="D2100">IF(AND(A2100="2021-01", ISNA(MATCH(B2100, _xlfn._xlws.FILTER(B:B, A:A="2021-02"), 0))), "Left", "Ativo")</f>
        <v>Ativo</v>
      </c>
      <c r="E2100" s="10" t="str" cm="1">
        <f t="array" ref="E2100">IF(AND(A2100="2021-02", ISNA(MATCH(B2100, _xlfn._xlws.FILTER(B:B, A:A="2021-03"), 0))), "Left", "Ativo")</f>
        <v>Ativo</v>
      </c>
      <c r="F2100" s="12" t="str" cm="1">
        <f t="array" ref="F2100">IF(AND(A2100="2021-03", ISNA(MATCH(B2100, _xlfn._xlws.FILTER(B:B, A:A="2021-04"), 0))), "Left", "Ativo")</f>
        <v>Ativo</v>
      </c>
    </row>
    <row r="2101" spans="1:6" x14ac:dyDescent="0.25">
      <c r="A2101" t="s">
        <v>1530</v>
      </c>
      <c r="B2101" t="s">
        <v>1002</v>
      </c>
      <c r="C2101" s="10" t="str" cm="1">
        <f t="array" ref="C2101">IF(AND(A2101="2020-12", ISNA(MATCH(B2101, _xlfn._xlws.FILTER(B:B, A:A="2021-01"), 0))), "Left", "Ativo")</f>
        <v>Ativo</v>
      </c>
      <c r="D2101" s="10" t="str" cm="1">
        <f t="array" ref="D2101">IF(AND(A2101="2021-01", ISNA(MATCH(B2101, _xlfn._xlws.FILTER(B:B, A:A="2021-02"), 0))), "Left", "Ativo")</f>
        <v>Ativo</v>
      </c>
      <c r="E2101" s="10" t="str" cm="1">
        <f t="array" ref="E2101">IF(AND(A2101="2021-02", ISNA(MATCH(B2101, _xlfn._xlws.FILTER(B:B, A:A="2021-03"), 0))), "Left", "Ativo")</f>
        <v>Ativo</v>
      </c>
      <c r="F2101" s="12" t="str" cm="1">
        <f t="array" ref="F2101">IF(AND(A2101="2021-03", ISNA(MATCH(B2101, _xlfn._xlws.FILTER(B:B, A:A="2021-04"), 0))), "Left", "Ativo")</f>
        <v>Ativo</v>
      </c>
    </row>
    <row r="2102" spans="1:6" x14ac:dyDescent="0.25">
      <c r="A2102" t="s">
        <v>1530</v>
      </c>
      <c r="B2102" t="s">
        <v>1003</v>
      </c>
      <c r="C2102" s="10" t="str" cm="1">
        <f t="array" ref="C2102">IF(AND(A2102="2020-12", ISNA(MATCH(B2102, _xlfn._xlws.FILTER(B:B, A:A="2021-01"), 0))), "Left", "Ativo")</f>
        <v>Ativo</v>
      </c>
      <c r="D2102" s="10" t="str" cm="1">
        <f t="array" ref="D2102">IF(AND(A2102="2021-01", ISNA(MATCH(B2102, _xlfn._xlws.FILTER(B:B, A:A="2021-02"), 0))), "Left", "Ativo")</f>
        <v>Ativo</v>
      </c>
      <c r="E2102" s="10" t="str" cm="1">
        <f t="array" ref="E2102">IF(AND(A2102="2021-02", ISNA(MATCH(B2102, _xlfn._xlws.FILTER(B:B, A:A="2021-03"), 0))), "Left", "Ativo")</f>
        <v>Ativo</v>
      </c>
      <c r="F2102" s="12" t="str" cm="1">
        <f t="array" ref="F2102">IF(AND(A2102="2021-03", ISNA(MATCH(B2102, _xlfn._xlws.FILTER(B:B, A:A="2021-04"), 0))), "Left", "Ativo")</f>
        <v>Ativo</v>
      </c>
    </row>
    <row r="2103" spans="1:6" x14ac:dyDescent="0.25">
      <c r="A2103" t="s">
        <v>1530</v>
      </c>
      <c r="B2103" t="s">
        <v>1004</v>
      </c>
      <c r="C2103" s="10" t="str" cm="1">
        <f t="array" ref="C2103">IF(AND(A2103="2020-12", ISNA(MATCH(B2103, _xlfn._xlws.FILTER(B:B, A:A="2021-01"), 0))), "Left", "Ativo")</f>
        <v>Ativo</v>
      </c>
      <c r="D2103" s="10" t="str" cm="1">
        <f t="array" ref="D2103">IF(AND(A2103="2021-01", ISNA(MATCH(B2103, _xlfn._xlws.FILTER(B:B, A:A="2021-02"), 0))), "Left", "Ativo")</f>
        <v>Ativo</v>
      </c>
      <c r="E2103" s="10" t="str" cm="1">
        <f t="array" ref="E2103">IF(AND(A2103="2021-02", ISNA(MATCH(B2103, _xlfn._xlws.FILTER(B:B, A:A="2021-03"), 0))), "Left", "Ativo")</f>
        <v>Ativo</v>
      </c>
      <c r="F2103" s="12" t="str" cm="1">
        <f t="array" ref="F2103">IF(AND(A2103="2021-03", ISNA(MATCH(B2103, _xlfn._xlws.FILTER(B:B, A:A="2021-04"), 0))), "Left", "Ativo")</f>
        <v>Ativo</v>
      </c>
    </row>
    <row r="2104" spans="1:6" x14ac:dyDescent="0.25">
      <c r="A2104" t="s">
        <v>1530</v>
      </c>
      <c r="B2104" t="s">
        <v>1005</v>
      </c>
      <c r="C2104" s="10" t="str" cm="1">
        <f t="array" ref="C2104">IF(AND(A2104="2020-12", ISNA(MATCH(B2104, _xlfn._xlws.FILTER(B:B, A:A="2021-01"), 0))), "Left", "Ativo")</f>
        <v>Ativo</v>
      </c>
      <c r="D2104" s="10" t="str" cm="1">
        <f t="array" ref="D2104">IF(AND(A2104="2021-01", ISNA(MATCH(B2104, _xlfn._xlws.FILTER(B:B, A:A="2021-02"), 0))), "Left", "Ativo")</f>
        <v>Ativo</v>
      </c>
      <c r="E2104" s="10" t="str" cm="1">
        <f t="array" ref="E2104">IF(AND(A2104="2021-02", ISNA(MATCH(B2104, _xlfn._xlws.FILTER(B:B, A:A="2021-03"), 0))), "Left", "Ativo")</f>
        <v>Ativo</v>
      </c>
      <c r="F2104" s="12" t="str" cm="1">
        <f t="array" ref="F2104">IF(AND(A2104="2021-03", ISNA(MATCH(B2104, _xlfn._xlws.FILTER(B:B, A:A="2021-04"), 0))), "Left", "Ativo")</f>
        <v>Ativo</v>
      </c>
    </row>
    <row r="2105" spans="1:6" x14ac:dyDescent="0.25">
      <c r="A2105" t="s">
        <v>1530</v>
      </c>
      <c r="B2105" t="s">
        <v>1006</v>
      </c>
      <c r="C2105" s="10" t="str" cm="1">
        <f t="array" ref="C2105">IF(AND(A2105="2020-12", ISNA(MATCH(B2105, _xlfn._xlws.FILTER(B:B, A:A="2021-01"), 0))), "Left", "Ativo")</f>
        <v>Ativo</v>
      </c>
      <c r="D2105" s="10" t="str" cm="1">
        <f t="array" ref="D2105">IF(AND(A2105="2021-01", ISNA(MATCH(B2105, _xlfn._xlws.FILTER(B:B, A:A="2021-02"), 0))), "Left", "Ativo")</f>
        <v>Ativo</v>
      </c>
      <c r="E2105" s="10" t="str" cm="1">
        <f t="array" ref="E2105">IF(AND(A2105="2021-02", ISNA(MATCH(B2105, _xlfn._xlws.FILTER(B:B, A:A="2021-03"), 0))), "Left", "Ativo")</f>
        <v>Ativo</v>
      </c>
      <c r="F2105" s="12" t="str" cm="1">
        <f t="array" ref="F2105">IF(AND(A2105="2021-03", ISNA(MATCH(B2105, _xlfn._xlws.FILTER(B:B, A:A="2021-04"), 0))), "Left", "Ativo")</f>
        <v>Ativo</v>
      </c>
    </row>
    <row r="2106" spans="1:6" x14ac:dyDescent="0.25">
      <c r="A2106" t="s">
        <v>1530</v>
      </c>
      <c r="B2106" t="s">
        <v>199</v>
      </c>
      <c r="C2106" s="10" t="str" cm="1">
        <f t="array" ref="C2106">IF(AND(A2106="2020-12", ISNA(MATCH(B2106, _xlfn._xlws.FILTER(B:B, A:A="2021-01"), 0))), "Left", "Ativo")</f>
        <v>Ativo</v>
      </c>
      <c r="D2106" s="10" t="str" cm="1">
        <f t="array" ref="D2106">IF(AND(A2106="2021-01", ISNA(MATCH(B2106, _xlfn._xlws.FILTER(B:B, A:A="2021-02"), 0))), "Left", "Ativo")</f>
        <v>Ativo</v>
      </c>
      <c r="E2106" s="10" t="str" cm="1">
        <f t="array" ref="E2106">IF(AND(A2106="2021-02", ISNA(MATCH(B2106, _xlfn._xlws.FILTER(B:B, A:A="2021-03"), 0))), "Left", "Ativo")</f>
        <v>Ativo</v>
      </c>
      <c r="F2106" s="12" t="str" cm="1">
        <f t="array" ref="F2106">IF(AND(A2106="2021-03", ISNA(MATCH(B2106, _xlfn._xlws.FILTER(B:B, A:A="2021-04"), 0))), "Left", "Ativo")</f>
        <v>Ativo</v>
      </c>
    </row>
    <row r="2107" spans="1:6" x14ac:dyDescent="0.25">
      <c r="A2107" t="s">
        <v>1530</v>
      </c>
      <c r="B2107" t="s">
        <v>200</v>
      </c>
      <c r="C2107" s="10" t="str" cm="1">
        <f t="array" ref="C2107">IF(AND(A2107="2020-12", ISNA(MATCH(B2107, _xlfn._xlws.FILTER(B:B, A:A="2021-01"), 0))), "Left", "Ativo")</f>
        <v>Ativo</v>
      </c>
      <c r="D2107" s="10" t="str" cm="1">
        <f t="array" ref="D2107">IF(AND(A2107="2021-01", ISNA(MATCH(B2107, _xlfn._xlws.FILTER(B:B, A:A="2021-02"), 0))), "Left", "Ativo")</f>
        <v>Ativo</v>
      </c>
      <c r="E2107" s="10" t="str" cm="1">
        <f t="array" ref="E2107">IF(AND(A2107="2021-02", ISNA(MATCH(B2107, _xlfn._xlws.FILTER(B:B, A:A="2021-03"), 0))), "Left", "Ativo")</f>
        <v>Ativo</v>
      </c>
      <c r="F2107" s="12" t="str" cm="1">
        <f t="array" ref="F2107">IF(AND(A2107="2021-03", ISNA(MATCH(B2107, _xlfn._xlws.FILTER(B:B, A:A="2021-04"), 0))), "Left", "Ativo")</f>
        <v>Ativo</v>
      </c>
    </row>
    <row r="2108" spans="1:6" x14ac:dyDescent="0.25">
      <c r="A2108" t="s">
        <v>1530</v>
      </c>
      <c r="B2108" t="s">
        <v>201</v>
      </c>
      <c r="C2108" s="10" t="str" cm="1">
        <f t="array" ref="C2108">IF(AND(A2108="2020-12", ISNA(MATCH(B2108, _xlfn._xlws.FILTER(B:B, A:A="2021-01"), 0))), "Left", "Ativo")</f>
        <v>Ativo</v>
      </c>
      <c r="D2108" s="10" t="str" cm="1">
        <f t="array" ref="D2108">IF(AND(A2108="2021-01", ISNA(MATCH(B2108, _xlfn._xlws.FILTER(B:B, A:A="2021-02"), 0))), "Left", "Ativo")</f>
        <v>Ativo</v>
      </c>
      <c r="E2108" s="10" t="str" cm="1">
        <f t="array" ref="E2108">IF(AND(A2108="2021-02", ISNA(MATCH(B2108, _xlfn._xlws.FILTER(B:B, A:A="2021-03"), 0))), "Left", "Ativo")</f>
        <v>Ativo</v>
      </c>
      <c r="F2108" s="12" t="str" cm="1">
        <f t="array" ref="F2108">IF(AND(A2108="2021-03", ISNA(MATCH(B2108, _xlfn._xlws.FILTER(B:B, A:A="2021-04"), 0))), "Left", "Ativo")</f>
        <v>Ativo</v>
      </c>
    </row>
    <row r="2109" spans="1:6" x14ac:dyDescent="0.25">
      <c r="A2109" t="s">
        <v>1530</v>
      </c>
      <c r="B2109" t="s">
        <v>202</v>
      </c>
      <c r="C2109" s="10" t="str" cm="1">
        <f t="array" ref="C2109">IF(AND(A2109="2020-12", ISNA(MATCH(B2109, _xlfn._xlws.FILTER(B:B, A:A="2021-01"), 0))), "Left", "Ativo")</f>
        <v>Ativo</v>
      </c>
      <c r="D2109" s="10" t="str" cm="1">
        <f t="array" ref="D2109">IF(AND(A2109="2021-01", ISNA(MATCH(B2109, _xlfn._xlws.FILTER(B:B, A:A="2021-02"), 0))), "Left", "Ativo")</f>
        <v>Ativo</v>
      </c>
      <c r="E2109" s="10" t="str" cm="1">
        <f t="array" ref="E2109">IF(AND(A2109="2021-02", ISNA(MATCH(B2109, _xlfn._xlws.FILTER(B:B, A:A="2021-03"), 0))), "Left", "Ativo")</f>
        <v>Left</v>
      </c>
      <c r="F2109" s="12" t="str" cm="1">
        <f t="array" ref="F2109">IF(AND(A2109="2021-03", ISNA(MATCH(B2109, _xlfn._xlws.FILTER(B:B, A:A="2021-04"), 0))), "Left", "Ativo")</f>
        <v>Ativo</v>
      </c>
    </row>
    <row r="2110" spans="1:6" x14ac:dyDescent="0.25">
      <c r="A2110" t="s">
        <v>1530</v>
      </c>
      <c r="B2110" t="s">
        <v>203</v>
      </c>
      <c r="C2110" s="10" t="str" cm="1">
        <f t="array" ref="C2110">IF(AND(A2110="2020-12", ISNA(MATCH(B2110, _xlfn._xlws.FILTER(B:B, A:A="2021-01"), 0))), "Left", "Ativo")</f>
        <v>Ativo</v>
      </c>
      <c r="D2110" s="10" t="str" cm="1">
        <f t="array" ref="D2110">IF(AND(A2110="2021-01", ISNA(MATCH(B2110, _xlfn._xlws.FILTER(B:B, A:A="2021-02"), 0))), "Left", "Ativo")</f>
        <v>Ativo</v>
      </c>
      <c r="E2110" s="10" t="str" cm="1">
        <f t="array" ref="E2110">IF(AND(A2110="2021-02", ISNA(MATCH(B2110, _xlfn._xlws.FILTER(B:B, A:A="2021-03"), 0))), "Left", "Ativo")</f>
        <v>Left</v>
      </c>
      <c r="F2110" s="12" t="str" cm="1">
        <f t="array" ref="F2110">IF(AND(A2110="2021-03", ISNA(MATCH(B2110, _xlfn._xlws.FILTER(B:B, A:A="2021-04"), 0))), "Left", "Ativo")</f>
        <v>Ativo</v>
      </c>
    </row>
    <row r="2111" spans="1:6" x14ac:dyDescent="0.25">
      <c r="A2111" t="s">
        <v>1530</v>
      </c>
      <c r="B2111" t="s">
        <v>204</v>
      </c>
      <c r="C2111" s="10" t="str" cm="1">
        <f t="array" ref="C2111">IF(AND(A2111="2020-12", ISNA(MATCH(B2111, _xlfn._xlws.FILTER(B:B, A:A="2021-01"), 0))), "Left", "Ativo")</f>
        <v>Ativo</v>
      </c>
      <c r="D2111" s="10" t="str" cm="1">
        <f t="array" ref="D2111">IF(AND(A2111="2021-01", ISNA(MATCH(B2111, _xlfn._xlws.FILTER(B:B, A:A="2021-02"), 0))), "Left", "Ativo")</f>
        <v>Ativo</v>
      </c>
      <c r="E2111" s="10" t="str" cm="1">
        <f t="array" ref="E2111">IF(AND(A2111="2021-02", ISNA(MATCH(B2111, _xlfn._xlws.FILTER(B:B, A:A="2021-03"), 0))), "Left", "Ativo")</f>
        <v>Left</v>
      </c>
      <c r="F2111" s="12" t="str" cm="1">
        <f t="array" ref="F2111">IF(AND(A2111="2021-03", ISNA(MATCH(B2111, _xlfn._xlws.FILTER(B:B, A:A="2021-04"), 0))), "Left", "Ativo")</f>
        <v>Ativo</v>
      </c>
    </row>
    <row r="2112" spans="1:6" x14ac:dyDescent="0.25">
      <c r="A2112" t="s">
        <v>1530</v>
      </c>
      <c r="B2112" t="s">
        <v>205</v>
      </c>
      <c r="C2112" s="10" t="str" cm="1">
        <f t="array" ref="C2112">IF(AND(A2112="2020-12", ISNA(MATCH(B2112, _xlfn._xlws.FILTER(B:B, A:A="2021-01"), 0))), "Left", "Ativo")</f>
        <v>Ativo</v>
      </c>
      <c r="D2112" s="10" t="str" cm="1">
        <f t="array" ref="D2112">IF(AND(A2112="2021-01", ISNA(MATCH(B2112, _xlfn._xlws.FILTER(B:B, A:A="2021-02"), 0))), "Left", "Ativo")</f>
        <v>Ativo</v>
      </c>
      <c r="E2112" s="10" t="str" cm="1">
        <f t="array" ref="E2112">IF(AND(A2112="2021-02", ISNA(MATCH(B2112, _xlfn._xlws.FILTER(B:B, A:A="2021-03"), 0))), "Left", "Ativo")</f>
        <v>Left</v>
      </c>
      <c r="F2112" s="12" t="str" cm="1">
        <f t="array" ref="F2112">IF(AND(A2112="2021-03", ISNA(MATCH(B2112, _xlfn._xlws.FILTER(B:B, A:A="2021-04"), 0))), "Left", "Ativo")</f>
        <v>Ativo</v>
      </c>
    </row>
    <row r="2113" spans="1:6" x14ac:dyDescent="0.25">
      <c r="A2113" t="s">
        <v>1530</v>
      </c>
      <c r="B2113" t="s">
        <v>206</v>
      </c>
      <c r="C2113" s="10" t="str" cm="1">
        <f t="array" ref="C2113">IF(AND(A2113="2020-12", ISNA(MATCH(B2113, _xlfn._xlws.FILTER(B:B, A:A="2021-01"), 0))), "Left", "Ativo")</f>
        <v>Ativo</v>
      </c>
      <c r="D2113" s="10" t="str" cm="1">
        <f t="array" ref="D2113">IF(AND(A2113="2021-01", ISNA(MATCH(B2113, _xlfn._xlws.FILTER(B:B, A:A="2021-02"), 0))), "Left", "Ativo")</f>
        <v>Ativo</v>
      </c>
      <c r="E2113" s="10" t="str" cm="1">
        <f t="array" ref="E2113">IF(AND(A2113="2021-02", ISNA(MATCH(B2113, _xlfn._xlws.FILTER(B:B, A:A="2021-03"), 0))), "Left", "Ativo")</f>
        <v>Ativo</v>
      </c>
      <c r="F2113" s="12" t="str" cm="1">
        <f t="array" ref="F2113">IF(AND(A2113="2021-03", ISNA(MATCH(B2113, _xlfn._xlws.FILTER(B:B, A:A="2021-04"), 0))), "Left", "Ativo")</f>
        <v>Ativo</v>
      </c>
    </row>
    <row r="2114" spans="1:6" x14ac:dyDescent="0.25">
      <c r="A2114" t="s">
        <v>1530</v>
      </c>
      <c r="B2114" t="s">
        <v>207</v>
      </c>
      <c r="C2114" s="10" t="str" cm="1">
        <f t="array" ref="C2114">IF(AND(A2114="2020-12", ISNA(MATCH(B2114, _xlfn._xlws.FILTER(B:B, A:A="2021-01"), 0))), "Left", "Ativo")</f>
        <v>Ativo</v>
      </c>
      <c r="D2114" s="10" t="str" cm="1">
        <f t="array" ref="D2114">IF(AND(A2114="2021-01", ISNA(MATCH(B2114, _xlfn._xlws.FILTER(B:B, A:A="2021-02"), 0))), "Left", "Ativo")</f>
        <v>Ativo</v>
      </c>
      <c r="E2114" s="10" t="str" cm="1">
        <f t="array" ref="E2114">IF(AND(A2114="2021-02", ISNA(MATCH(B2114, _xlfn._xlws.FILTER(B:B, A:A="2021-03"), 0))), "Left", "Ativo")</f>
        <v>Ativo</v>
      </c>
      <c r="F2114" s="12" t="str" cm="1">
        <f t="array" ref="F2114">IF(AND(A2114="2021-03", ISNA(MATCH(B2114, _xlfn._xlws.FILTER(B:B, A:A="2021-04"), 0))), "Left", "Ativo")</f>
        <v>Ativo</v>
      </c>
    </row>
    <row r="2115" spans="1:6" x14ac:dyDescent="0.25">
      <c r="A2115" t="s">
        <v>1530</v>
      </c>
      <c r="B2115" t="s">
        <v>208</v>
      </c>
      <c r="C2115" s="10" t="str" cm="1">
        <f t="array" ref="C2115">IF(AND(A2115="2020-12", ISNA(MATCH(B2115, _xlfn._xlws.FILTER(B:B, A:A="2021-01"), 0))), "Left", "Ativo")</f>
        <v>Ativo</v>
      </c>
      <c r="D2115" s="10" t="str" cm="1">
        <f t="array" ref="D2115">IF(AND(A2115="2021-01", ISNA(MATCH(B2115, _xlfn._xlws.FILTER(B:B, A:A="2021-02"), 0))), "Left", "Ativo")</f>
        <v>Ativo</v>
      </c>
      <c r="E2115" s="10" t="str" cm="1">
        <f t="array" ref="E2115">IF(AND(A2115="2021-02", ISNA(MATCH(B2115, _xlfn._xlws.FILTER(B:B, A:A="2021-03"), 0))), "Left", "Ativo")</f>
        <v>Ativo</v>
      </c>
      <c r="F2115" s="12" t="str" cm="1">
        <f t="array" ref="F2115">IF(AND(A2115="2021-03", ISNA(MATCH(B2115, _xlfn._xlws.FILTER(B:B, A:A="2021-04"), 0))), "Left", "Ativo")</f>
        <v>Ativo</v>
      </c>
    </row>
    <row r="2116" spans="1:6" x14ac:dyDescent="0.25">
      <c r="A2116" t="s">
        <v>1530</v>
      </c>
      <c r="B2116" t="s">
        <v>209</v>
      </c>
      <c r="C2116" s="10" t="str" cm="1">
        <f t="array" ref="C2116">IF(AND(A2116="2020-12", ISNA(MATCH(B2116, _xlfn._xlws.FILTER(B:B, A:A="2021-01"), 0))), "Left", "Ativo")</f>
        <v>Ativo</v>
      </c>
      <c r="D2116" s="10" t="str" cm="1">
        <f t="array" ref="D2116">IF(AND(A2116="2021-01", ISNA(MATCH(B2116, _xlfn._xlws.FILTER(B:B, A:A="2021-02"), 0))), "Left", "Ativo")</f>
        <v>Ativo</v>
      </c>
      <c r="E2116" s="10" t="str" cm="1">
        <f t="array" ref="E2116">IF(AND(A2116="2021-02", ISNA(MATCH(B2116, _xlfn._xlws.FILTER(B:B, A:A="2021-03"), 0))), "Left", "Ativo")</f>
        <v>Ativo</v>
      </c>
      <c r="F2116" s="12" t="str" cm="1">
        <f t="array" ref="F2116">IF(AND(A2116="2021-03", ISNA(MATCH(B2116, _xlfn._xlws.FILTER(B:B, A:A="2021-04"), 0))), "Left", "Ativo")</f>
        <v>Ativo</v>
      </c>
    </row>
    <row r="2117" spans="1:6" x14ac:dyDescent="0.25">
      <c r="A2117" t="s">
        <v>1530</v>
      </c>
      <c r="B2117" t="s">
        <v>210</v>
      </c>
      <c r="C2117" s="10" t="str" cm="1">
        <f t="array" ref="C2117">IF(AND(A2117="2020-12", ISNA(MATCH(B2117, _xlfn._xlws.FILTER(B:B, A:A="2021-01"), 0))), "Left", "Ativo")</f>
        <v>Ativo</v>
      </c>
      <c r="D2117" s="10" t="str" cm="1">
        <f t="array" ref="D2117">IF(AND(A2117="2021-01", ISNA(MATCH(B2117, _xlfn._xlws.FILTER(B:B, A:A="2021-02"), 0))), "Left", "Ativo")</f>
        <v>Ativo</v>
      </c>
      <c r="E2117" s="10" t="str" cm="1">
        <f t="array" ref="E2117">IF(AND(A2117="2021-02", ISNA(MATCH(B2117, _xlfn._xlws.FILTER(B:B, A:A="2021-03"), 0))), "Left", "Ativo")</f>
        <v>Ativo</v>
      </c>
      <c r="F2117" s="12" t="str" cm="1">
        <f t="array" ref="F2117">IF(AND(A2117="2021-03", ISNA(MATCH(B2117, _xlfn._xlws.FILTER(B:B, A:A="2021-04"), 0))), "Left", "Ativo")</f>
        <v>Ativo</v>
      </c>
    </row>
    <row r="2118" spans="1:6" x14ac:dyDescent="0.25">
      <c r="A2118" t="s">
        <v>1530</v>
      </c>
      <c r="B2118" t="s">
        <v>211</v>
      </c>
      <c r="C2118" s="10" t="str" cm="1">
        <f t="array" ref="C2118">IF(AND(A2118="2020-12", ISNA(MATCH(B2118, _xlfn._xlws.FILTER(B:B, A:A="2021-01"), 0))), "Left", "Ativo")</f>
        <v>Ativo</v>
      </c>
      <c r="D2118" s="10" t="str" cm="1">
        <f t="array" ref="D2118">IF(AND(A2118="2021-01", ISNA(MATCH(B2118, _xlfn._xlws.FILTER(B:B, A:A="2021-02"), 0))), "Left", "Ativo")</f>
        <v>Ativo</v>
      </c>
      <c r="E2118" s="10" t="str" cm="1">
        <f t="array" ref="E2118">IF(AND(A2118="2021-02", ISNA(MATCH(B2118, _xlfn._xlws.FILTER(B:B, A:A="2021-03"), 0))), "Left", "Ativo")</f>
        <v>Ativo</v>
      </c>
      <c r="F2118" s="12" t="str" cm="1">
        <f t="array" ref="F2118">IF(AND(A2118="2021-03", ISNA(MATCH(B2118, _xlfn._xlws.FILTER(B:B, A:A="2021-04"), 0))), "Left", "Ativo")</f>
        <v>Ativo</v>
      </c>
    </row>
    <row r="2119" spans="1:6" x14ac:dyDescent="0.25">
      <c r="A2119" t="s">
        <v>1530</v>
      </c>
      <c r="B2119" t="s">
        <v>212</v>
      </c>
      <c r="C2119" s="10" t="str" cm="1">
        <f t="array" ref="C2119">IF(AND(A2119="2020-12", ISNA(MATCH(B2119, _xlfn._xlws.FILTER(B:B, A:A="2021-01"), 0))), "Left", "Ativo")</f>
        <v>Ativo</v>
      </c>
      <c r="D2119" s="10" t="str" cm="1">
        <f t="array" ref="D2119">IF(AND(A2119="2021-01", ISNA(MATCH(B2119, _xlfn._xlws.FILTER(B:B, A:A="2021-02"), 0))), "Left", "Ativo")</f>
        <v>Ativo</v>
      </c>
      <c r="E2119" s="10" t="str" cm="1">
        <f t="array" ref="E2119">IF(AND(A2119="2021-02", ISNA(MATCH(B2119, _xlfn._xlws.FILTER(B:B, A:A="2021-03"), 0))), "Left", "Ativo")</f>
        <v>Ativo</v>
      </c>
      <c r="F2119" s="12" t="str" cm="1">
        <f t="array" ref="F2119">IF(AND(A2119="2021-03", ISNA(MATCH(B2119, _xlfn._xlws.FILTER(B:B, A:A="2021-04"), 0))), "Left", "Ativo")</f>
        <v>Ativo</v>
      </c>
    </row>
    <row r="2120" spans="1:6" x14ac:dyDescent="0.25">
      <c r="A2120" t="s">
        <v>1530</v>
      </c>
      <c r="B2120" t="s">
        <v>213</v>
      </c>
      <c r="C2120" s="10" t="str" cm="1">
        <f t="array" ref="C2120">IF(AND(A2120="2020-12", ISNA(MATCH(B2120, _xlfn._xlws.FILTER(B:B, A:A="2021-01"), 0))), "Left", "Ativo")</f>
        <v>Ativo</v>
      </c>
      <c r="D2120" s="10" t="str" cm="1">
        <f t="array" ref="D2120">IF(AND(A2120="2021-01", ISNA(MATCH(B2120, _xlfn._xlws.FILTER(B:B, A:A="2021-02"), 0))), "Left", "Ativo")</f>
        <v>Ativo</v>
      </c>
      <c r="E2120" s="10" t="str" cm="1">
        <f t="array" ref="E2120">IF(AND(A2120="2021-02", ISNA(MATCH(B2120, _xlfn._xlws.FILTER(B:B, A:A="2021-03"), 0))), "Left", "Ativo")</f>
        <v>Ativo</v>
      </c>
      <c r="F2120" s="12" t="str" cm="1">
        <f t="array" ref="F2120">IF(AND(A2120="2021-03", ISNA(MATCH(B2120, _xlfn._xlws.FILTER(B:B, A:A="2021-04"), 0))), "Left", "Ativo")</f>
        <v>Ativo</v>
      </c>
    </row>
    <row r="2121" spans="1:6" x14ac:dyDescent="0.25">
      <c r="A2121" t="s">
        <v>1530</v>
      </c>
      <c r="B2121" t="s">
        <v>214</v>
      </c>
      <c r="C2121" s="10" t="str" cm="1">
        <f t="array" ref="C2121">IF(AND(A2121="2020-12", ISNA(MATCH(B2121, _xlfn._xlws.FILTER(B:B, A:A="2021-01"), 0))), "Left", "Ativo")</f>
        <v>Ativo</v>
      </c>
      <c r="D2121" s="10" t="str" cm="1">
        <f t="array" ref="D2121">IF(AND(A2121="2021-01", ISNA(MATCH(B2121, _xlfn._xlws.FILTER(B:B, A:A="2021-02"), 0))), "Left", "Ativo")</f>
        <v>Ativo</v>
      </c>
      <c r="E2121" s="10" t="str" cm="1">
        <f t="array" ref="E2121">IF(AND(A2121="2021-02", ISNA(MATCH(B2121, _xlfn._xlws.FILTER(B:B, A:A="2021-03"), 0))), "Left", "Ativo")</f>
        <v>Ativo</v>
      </c>
      <c r="F2121" s="12" t="str" cm="1">
        <f t="array" ref="F2121">IF(AND(A2121="2021-03", ISNA(MATCH(B2121, _xlfn._xlws.FILTER(B:B, A:A="2021-04"), 0))), "Left", "Ativo")</f>
        <v>Ativo</v>
      </c>
    </row>
    <row r="2122" spans="1:6" x14ac:dyDescent="0.25">
      <c r="A2122" t="s">
        <v>1530</v>
      </c>
      <c r="B2122" t="s">
        <v>215</v>
      </c>
      <c r="C2122" s="10" t="str" cm="1">
        <f t="array" ref="C2122">IF(AND(A2122="2020-12", ISNA(MATCH(B2122, _xlfn._xlws.FILTER(B:B, A:A="2021-01"), 0))), "Left", "Ativo")</f>
        <v>Ativo</v>
      </c>
      <c r="D2122" s="10" t="str" cm="1">
        <f t="array" ref="D2122">IF(AND(A2122="2021-01", ISNA(MATCH(B2122, _xlfn._xlws.FILTER(B:B, A:A="2021-02"), 0))), "Left", "Ativo")</f>
        <v>Ativo</v>
      </c>
      <c r="E2122" s="10" t="str" cm="1">
        <f t="array" ref="E2122">IF(AND(A2122="2021-02", ISNA(MATCH(B2122, _xlfn._xlws.FILTER(B:B, A:A="2021-03"), 0))), "Left", "Ativo")</f>
        <v>Ativo</v>
      </c>
      <c r="F2122" s="12" t="str" cm="1">
        <f t="array" ref="F2122">IF(AND(A2122="2021-03", ISNA(MATCH(B2122, _xlfn._xlws.FILTER(B:B, A:A="2021-04"), 0))), "Left", "Ativo")</f>
        <v>Ativo</v>
      </c>
    </row>
    <row r="2123" spans="1:6" x14ac:dyDescent="0.25">
      <c r="A2123" t="s">
        <v>1530</v>
      </c>
      <c r="B2123" t="s">
        <v>216</v>
      </c>
      <c r="C2123" s="10" t="str" cm="1">
        <f t="array" ref="C2123">IF(AND(A2123="2020-12", ISNA(MATCH(B2123, _xlfn._xlws.FILTER(B:B, A:A="2021-01"), 0))), "Left", "Ativo")</f>
        <v>Ativo</v>
      </c>
      <c r="D2123" s="10" t="str" cm="1">
        <f t="array" ref="D2123">IF(AND(A2123="2021-01", ISNA(MATCH(B2123, _xlfn._xlws.FILTER(B:B, A:A="2021-02"), 0))), "Left", "Ativo")</f>
        <v>Ativo</v>
      </c>
      <c r="E2123" s="10" t="str" cm="1">
        <f t="array" ref="E2123">IF(AND(A2123="2021-02", ISNA(MATCH(B2123, _xlfn._xlws.FILTER(B:B, A:A="2021-03"), 0))), "Left", "Ativo")</f>
        <v>Ativo</v>
      </c>
      <c r="F2123" s="12" t="str" cm="1">
        <f t="array" ref="F2123">IF(AND(A2123="2021-03", ISNA(MATCH(B2123, _xlfn._xlws.FILTER(B:B, A:A="2021-04"), 0))), "Left", "Ativo")</f>
        <v>Ativo</v>
      </c>
    </row>
    <row r="2124" spans="1:6" x14ac:dyDescent="0.25">
      <c r="A2124" t="s">
        <v>1530</v>
      </c>
      <c r="B2124" t="s">
        <v>217</v>
      </c>
      <c r="C2124" s="10" t="str" cm="1">
        <f t="array" ref="C2124">IF(AND(A2124="2020-12", ISNA(MATCH(B2124, _xlfn._xlws.FILTER(B:B, A:A="2021-01"), 0))), "Left", "Ativo")</f>
        <v>Ativo</v>
      </c>
      <c r="D2124" s="10" t="str" cm="1">
        <f t="array" ref="D2124">IF(AND(A2124="2021-01", ISNA(MATCH(B2124, _xlfn._xlws.FILTER(B:B, A:A="2021-02"), 0))), "Left", "Ativo")</f>
        <v>Ativo</v>
      </c>
      <c r="E2124" s="10" t="str" cm="1">
        <f t="array" ref="E2124">IF(AND(A2124="2021-02", ISNA(MATCH(B2124, _xlfn._xlws.FILTER(B:B, A:A="2021-03"), 0))), "Left", "Ativo")</f>
        <v>Ativo</v>
      </c>
      <c r="F2124" s="12" t="str" cm="1">
        <f t="array" ref="F2124">IF(AND(A2124="2021-03", ISNA(MATCH(B2124, _xlfn._xlws.FILTER(B:B, A:A="2021-04"), 0))), "Left", "Ativo")</f>
        <v>Ativo</v>
      </c>
    </row>
    <row r="2125" spans="1:6" x14ac:dyDescent="0.25">
      <c r="A2125" t="s">
        <v>1530</v>
      </c>
      <c r="B2125" t="s">
        <v>218</v>
      </c>
      <c r="C2125" s="10" t="str" cm="1">
        <f t="array" ref="C2125">IF(AND(A2125="2020-12", ISNA(MATCH(B2125, _xlfn._xlws.FILTER(B:B, A:A="2021-01"), 0))), "Left", "Ativo")</f>
        <v>Ativo</v>
      </c>
      <c r="D2125" s="10" t="str" cm="1">
        <f t="array" ref="D2125">IF(AND(A2125="2021-01", ISNA(MATCH(B2125, _xlfn._xlws.FILTER(B:B, A:A="2021-02"), 0))), "Left", "Ativo")</f>
        <v>Ativo</v>
      </c>
      <c r="E2125" s="10" t="str" cm="1">
        <f t="array" ref="E2125">IF(AND(A2125="2021-02", ISNA(MATCH(B2125, _xlfn._xlws.FILTER(B:B, A:A="2021-03"), 0))), "Left", "Ativo")</f>
        <v>Ativo</v>
      </c>
      <c r="F2125" s="12" t="str" cm="1">
        <f t="array" ref="F2125">IF(AND(A2125="2021-03", ISNA(MATCH(B2125, _xlfn._xlws.FILTER(B:B, A:A="2021-04"), 0))), "Left", "Ativo")</f>
        <v>Ativo</v>
      </c>
    </row>
    <row r="2126" spans="1:6" x14ac:dyDescent="0.25">
      <c r="A2126" t="s">
        <v>1530</v>
      </c>
      <c r="B2126" t="s">
        <v>219</v>
      </c>
      <c r="C2126" s="10" t="str" cm="1">
        <f t="array" ref="C2126">IF(AND(A2126="2020-12", ISNA(MATCH(B2126, _xlfn._xlws.FILTER(B:B, A:A="2021-01"), 0))), "Left", "Ativo")</f>
        <v>Ativo</v>
      </c>
      <c r="D2126" s="10" t="str" cm="1">
        <f t="array" ref="D2126">IF(AND(A2126="2021-01", ISNA(MATCH(B2126, _xlfn._xlws.FILTER(B:B, A:A="2021-02"), 0))), "Left", "Ativo")</f>
        <v>Ativo</v>
      </c>
      <c r="E2126" s="10" t="str" cm="1">
        <f t="array" ref="E2126">IF(AND(A2126="2021-02", ISNA(MATCH(B2126, _xlfn._xlws.FILTER(B:B, A:A="2021-03"), 0))), "Left", "Ativo")</f>
        <v>Ativo</v>
      </c>
      <c r="F2126" s="12" t="str" cm="1">
        <f t="array" ref="F2126">IF(AND(A2126="2021-03", ISNA(MATCH(B2126, _xlfn._xlws.FILTER(B:B, A:A="2021-04"), 0))), "Left", "Ativo")</f>
        <v>Ativo</v>
      </c>
    </row>
    <row r="2127" spans="1:6" x14ac:dyDescent="0.25">
      <c r="A2127" t="s">
        <v>1530</v>
      </c>
      <c r="B2127" t="s">
        <v>220</v>
      </c>
      <c r="C2127" s="10" t="str" cm="1">
        <f t="array" ref="C2127">IF(AND(A2127="2020-12", ISNA(MATCH(B2127, _xlfn._xlws.FILTER(B:B, A:A="2021-01"), 0))), "Left", "Ativo")</f>
        <v>Ativo</v>
      </c>
      <c r="D2127" s="10" t="str" cm="1">
        <f t="array" ref="D2127">IF(AND(A2127="2021-01", ISNA(MATCH(B2127, _xlfn._xlws.FILTER(B:B, A:A="2021-02"), 0))), "Left", "Ativo")</f>
        <v>Ativo</v>
      </c>
      <c r="E2127" s="10" t="str" cm="1">
        <f t="array" ref="E2127">IF(AND(A2127="2021-02", ISNA(MATCH(B2127, _xlfn._xlws.FILTER(B:B, A:A="2021-03"), 0))), "Left", "Ativo")</f>
        <v>Ativo</v>
      </c>
      <c r="F2127" s="12" t="str" cm="1">
        <f t="array" ref="F2127">IF(AND(A2127="2021-03", ISNA(MATCH(B2127, _xlfn._xlws.FILTER(B:B, A:A="2021-04"), 0))), "Left", "Ativo")</f>
        <v>Ativo</v>
      </c>
    </row>
    <row r="2128" spans="1:6" x14ac:dyDescent="0.25">
      <c r="A2128" t="s">
        <v>1530</v>
      </c>
      <c r="B2128" t="s">
        <v>221</v>
      </c>
      <c r="C2128" s="10" t="str" cm="1">
        <f t="array" ref="C2128">IF(AND(A2128="2020-12", ISNA(MATCH(B2128, _xlfn._xlws.FILTER(B:B, A:A="2021-01"), 0))), "Left", "Ativo")</f>
        <v>Ativo</v>
      </c>
      <c r="D2128" s="10" t="str" cm="1">
        <f t="array" ref="D2128">IF(AND(A2128="2021-01", ISNA(MATCH(B2128, _xlfn._xlws.FILTER(B:B, A:A="2021-02"), 0))), "Left", "Ativo")</f>
        <v>Ativo</v>
      </c>
      <c r="E2128" s="10" t="str" cm="1">
        <f t="array" ref="E2128">IF(AND(A2128="2021-02", ISNA(MATCH(B2128, _xlfn._xlws.FILTER(B:B, A:A="2021-03"), 0))), "Left", "Ativo")</f>
        <v>Ativo</v>
      </c>
      <c r="F2128" s="12" t="str" cm="1">
        <f t="array" ref="F2128">IF(AND(A2128="2021-03", ISNA(MATCH(B2128, _xlfn._xlws.FILTER(B:B, A:A="2021-04"), 0))), "Left", "Ativo")</f>
        <v>Ativo</v>
      </c>
    </row>
    <row r="2129" spans="1:6" x14ac:dyDescent="0.25">
      <c r="A2129" t="s">
        <v>1530</v>
      </c>
      <c r="B2129" t="s">
        <v>222</v>
      </c>
      <c r="C2129" s="10" t="str" cm="1">
        <f t="array" ref="C2129">IF(AND(A2129="2020-12", ISNA(MATCH(B2129, _xlfn._xlws.FILTER(B:B, A:A="2021-01"), 0))), "Left", "Ativo")</f>
        <v>Ativo</v>
      </c>
      <c r="D2129" s="10" t="str" cm="1">
        <f t="array" ref="D2129">IF(AND(A2129="2021-01", ISNA(MATCH(B2129, _xlfn._xlws.FILTER(B:B, A:A="2021-02"), 0))), "Left", "Ativo")</f>
        <v>Ativo</v>
      </c>
      <c r="E2129" s="10" t="str" cm="1">
        <f t="array" ref="E2129">IF(AND(A2129="2021-02", ISNA(MATCH(B2129, _xlfn._xlws.FILTER(B:B, A:A="2021-03"), 0))), "Left", "Ativo")</f>
        <v>Ativo</v>
      </c>
      <c r="F2129" s="12" t="str" cm="1">
        <f t="array" ref="F2129">IF(AND(A2129="2021-03", ISNA(MATCH(B2129, _xlfn._xlws.FILTER(B:B, A:A="2021-04"), 0))), "Left", "Ativo")</f>
        <v>Ativo</v>
      </c>
    </row>
    <row r="2130" spans="1:6" x14ac:dyDescent="0.25">
      <c r="A2130" t="s">
        <v>1530</v>
      </c>
      <c r="B2130" t="s">
        <v>223</v>
      </c>
      <c r="C2130" s="10" t="str" cm="1">
        <f t="array" ref="C2130">IF(AND(A2130="2020-12", ISNA(MATCH(B2130, _xlfn._xlws.FILTER(B:B, A:A="2021-01"), 0))), "Left", "Ativo")</f>
        <v>Ativo</v>
      </c>
      <c r="D2130" s="10" t="str" cm="1">
        <f t="array" ref="D2130">IF(AND(A2130="2021-01", ISNA(MATCH(B2130, _xlfn._xlws.FILTER(B:B, A:A="2021-02"), 0))), "Left", "Ativo")</f>
        <v>Ativo</v>
      </c>
      <c r="E2130" s="10" t="str" cm="1">
        <f t="array" ref="E2130">IF(AND(A2130="2021-02", ISNA(MATCH(B2130, _xlfn._xlws.FILTER(B:B, A:A="2021-03"), 0))), "Left", "Ativo")</f>
        <v>Ativo</v>
      </c>
      <c r="F2130" s="12" t="str" cm="1">
        <f t="array" ref="F2130">IF(AND(A2130="2021-03", ISNA(MATCH(B2130, _xlfn._xlws.FILTER(B:B, A:A="2021-04"), 0))), "Left", "Ativo")</f>
        <v>Ativo</v>
      </c>
    </row>
    <row r="2131" spans="1:6" x14ac:dyDescent="0.25">
      <c r="A2131" t="s">
        <v>1530</v>
      </c>
      <c r="B2131" t="s">
        <v>224</v>
      </c>
      <c r="C2131" s="10" t="str" cm="1">
        <f t="array" ref="C2131">IF(AND(A2131="2020-12", ISNA(MATCH(B2131, _xlfn._xlws.FILTER(B:B, A:A="2021-01"), 0))), "Left", "Ativo")</f>
        <v>Ativo</v>
      </c>
      <c r="D2131" s="10" t="str" cm="1">
        <f t="array" ref="D2131">IF(AND(A2131="2021-01", ISNA(MATCH(B2131, _xlfn._xlws.FILTER(B:B, A:A="2021-02"), 0))), "Left", "Ativo")</f>
        <v>Ativo</v>
      </c>
      <c r="E2131" s="10" t="str" cm="1">
        <f t="array" ref="E2131">IF(AND(A2131="2021-02", ISNA(MATCH(B2131, _xlfn._xlws.FILTER(B:B, A:A="2021-03"), 0))), "Left", "Ativo")</f>
        <v>Ativo</v>
      </c>
      <c r="F2131" s="12" t="str" cm="1">
        <f t="array" ref="F2131">IF(AND(A2131="2021-03", ISNA(MATCH(B2131, _xlfn._xlws.FILTER(B:B, A:A="2021-04"), 0))), "Left", "Ativo")</f>
        <v>Ativo</v>
      </c>
    </row>
    <row r="2132" spans="1:6" x14ac:dyDescent="0.25">
      <c r="A2132" t="s">
        <v>1530</v>
      </c>
      <c r="B2132" t="s">
        <v>225</v>
      </c>
      <c r="C2132" s="10" t="str" cm="1">
        <f t="array" ref="C2132">IF(AND(A2132="2020-12", ISNA(MATCH(B2132, _xlfn._xlws.FILTER(B:B, A:A="2021-01"), 0))), "Left", "Ativo")</f>
        <v>Ativo</v>
      </c>
      <c r="D2132" s="10" t="str" cm="1">
        <f t="array" ref="D2132">IF(AND(A2132="2021-01", ISNA(MATCH(B2132, _xlfn._xlws.FILTER(B:B, A:A="2021-02"), 0))), "Left", "Ativo")</f>
        <v>Ativo</v>
      </c>
      <c r="E2132" s="10" t="str" cm="1">
        <f t="array" ref="E2132">IF(AND(A2132="2021-02", ISNA(MATCH(B2132, _xlfn._xlws.FILTER(B:B, A:A="2021-03"), 0))), "Left", "Ativo")</f>
        <v>Ativo</v>
      </c>
      <c r="F2132" s="12" t="str" cm="1">
        <f t="array" ref="F2132">IF(AND(A2132="2021-03", ISNA(MATCH(B2132, _xlfn._xlws.FILTER(B:B, A:A="2021-04"), 0))), "Left", "Ativo")</f>
        <v>Ativo</v>
      </c>
    </row>
    <row r="2133" spans="1:6" x14ac:dyDescent="0.25">
      <c r="A2133" t="s">
        <v>1530</v>
      </c>
      <c r="B2133" t="s">
        <v>226</v>
      </c>
      <c r="C2133" s="10" t="str" cm="1">
        <f t="array" ref="C2133">IF(AND(A2133="2020-12", ISNA(MATCH(B2133, _xlfn._xlws.FILTER(B:B, A:A="2021-01"), 0))), "Left", "Ativo")</f>
        <v>Ativo</v>
      </c>
      <c r="D2133" s="10" t="str" cm="1">
        <f t="array" ref="D2133">IF(AND(A2133="2021-01", ISNA(MATCH(B2133, _xlfn._xlws.FILTER(B:B, A:A="2021-02"), 0))), "Left", "Ativo")</f>
        <v>Ativo</v>
      </c>
      <c r="E2133" s="10" t="str" cm="1">
        <f t="array" ref="E2133">IF(AND(A2133="2021-02", ISNA(MATCH(B2133, _xlfn._xlws.FILTER(B:B, A:A="2021-03"), 0))), "Left", "Ativo")</f>
        <v>Ativo</v>
      </c>
      <c r="F2133" s="12" t="str" cm="1">
        <f t="array" ref="F2133">IF(AND(A2133="2021-03", ISNA(MATCH(B2133, _xlfn._xlws.FILTER(B:B, A:A="2021-04"), 0))), "Left", "Ativo")</f>
        <v>Ativo</v>
      </c>
    </row>
    <row r="2134" spans="1:6" x14ac:dyDescent="0.25">
      <c r="A2134" t="s">
        <v>1530</v>
      </c>
      <c r="B2134" t="s">
        <v>227</v>
      </c>
      <c r="C2134" s="10" t="str" cm="1">
        <f t="array" ref="C2134">IF(AND(A2134="2020-12", ISNA(MATCH(B2134, _xlfn._xlws.FILTER(B:B, A:A="2021-01"), 0))), "Left", "Ativo")</f>
        <v>Ativo</v>
      </c>
      <c r="D2134" s="10" t="str" cm="1">
        <f t="array" ref="D2134">IF(AND(A2134="2021-01", ISNA(MATCH(B2134, _xlfn._xlws.FILTER(B:B, A:A="2021-02"), 0))), "Left", "Ativo")</f>
        <v>Ativo</v>
      </c>
      <c r="E2134" s="10" t="str" cm="1">
        <f t="array" ref="E2134">IF(AND(A2134="2021-02", ISNA(MATCH(B2134, _xlfn._xlws.FILTER(B:B, A:A="2021-03"), 0))), "Left", "Ativo")</f>
        <v>Ativo</v>
      </c>
      <c r="F2134" s="12" t="str" cm="1">
        <f t="array" ref="F2134">IF(AND(A2134="2021-03", ISNA(MATCH(B2134, _xlfn._xlws.FILTER(B:B, A:A="2021-04"), 0))), "Left", "Ativo")</f>
        <v>Ativo</v>
      </c>
    </row>
    <row r="2135" spans="1:6" x14ac:dyDescent="0.25">
      <c r="A2135" t="s">
        <v>1530</v>
      </c>
      <c r="B2135" t="s">
        <v>228</v>
      </c>
      <c r="C2135" s="10" t="str" cm="1">
        <f t="array" ref="C2135">IF(AND(A2135="2020-12", ISNA(MATCH(B2135, _xlfn._xlws.FILTER(B:B, A:A="2021-01"), 0))), "Left", "Ativo")</f>
        <v>Ativo</v>
      </c>
      <c r="D2135" s="10" t="str" cm="1">
        <f t="array" ref="D2135">IF(AND(A2135="2021-01", ISNA(MATCH(B2135, _xlfn._xlws.FILTER(B:B, A:A="2021-02"), 0))), "Left", "Ativo")</f>
        <v>Ativo</v>
      </c>
      <c r="E2135" s="10" t="str" cm="1">
        <f t="array" ref="E2135">IF(AND(A2135="2021-02", ISNA(MATCH(B2135, _xlfn._xlws.FILTER(B:B, A:A="2021-03"), 0))), "Left", "Ativo")</f>
        <v>Ativo</v>
      </c>
      <c r="F2135" s="12" t="str" cm="1">
        <f t="array" ref="F2135">IF(AND(A2135="2021-03", ISNA(MATCH(B2135, _xlfn._xlws.FILTER(B:B, A:A="2021-04"), 0))), "Left", "Ativo")</f>
        <v>Ativo</v>
      </c>
    </row>
    <row r="2136" spans="1:6" x14ac:dyDescent="0.25">
      <c r="A2136" t="s">
        <v>1530</v>
      </c>
      <c r="B2136" t="s">
        <v>229</v>
      </c>
      <c r="C2136" s="10" t="str" cm="1">
        <f t="array" ref="C2136">IF(AND(A2136="2020-12", ISNA(MATCH(B2136, _xlfn._xlws.FILTER(B:B, A:A="2021-01"), 0))), "Left", "Ativo")</f>
        <v>Ativo</v>
      </c>
      <c r="D2136" s="10" t="str" cm="1">
        <f t="array" ref="D2136">IF(AND(A2136="2021-01", ISNA(MATCH(B2136, _xlfn._xlws.FILTER(B:B, A:A="2021-02"), 0))), "Left", "Ativo")</f>
        <v>Ativo</v>
      </c>
      <c r="E2136" s="10" t="str" cm="1">
        <f t="array" ref="E2136">IF(AND(A2136="2021-02", ISNA(MATCH(B2136, _xlfn._xlws.FILTER(B:B, A:A="2021-03"), 0))), "Left", "Ativo")</f>
        <v>Ativo</v>
      </c>
      <c r="F2136" s="12" t="str" cm="1">
        <f t="array" ref="F2136">IF(AND(A2136="2021-03", ISNA(MATCH(B2136, _xlfn._xlws.FILTER(B:B, A:A="2021-04"), 0))), "Left", "Ativo")</f>
        <v>Ativo</v>
      </c>
    </row>
    <row r="2137" spans="1:6" x14ac:dyDescent="0.25">
      <c r="A2137" t="s">
        <v>1530</v>
      </c>
      <c r="B2137" t="s">
        <v>230</v>
      </c>
      <c r="C2137" s="10" t="str" cm="1">
        <f t="array" ref="C2137">IF(AND(A2137="2020-12", ISNA(MATCH(B2137, _xlfn._xlws.FILTER(B:B, A:A="2021-01"), 0))), "Left", "Ativo")</f>
        <v>Ativo</v>
      </c>
      <c r="D2137" s="10" t="str" cm="1">
        <f t="array" ref="D2137">IF(AND(A2137="2021-01", ISNA(MATCH(B2137, _xlfn._xlws.FILTER(B:B, A:A="2021-02"), 0))), "Left", "Ativo")</f>
        <v>Ativo</v>
      </c>
      <c r="E2137" s="10" t="str" cm="1">
        <f t="array" ref="E2137">IF(AND(A2137="2021-02", ISNA(MATCH(B2137, _xlfn._xlws.FILTER(B:B, A:A="2021-03"), 0))), "Left", "Ativo")</f>
        <v>Ativo</v>
      </c>
      <c r="F2137" s="12" t="str" cm="1">
        <f t="array" ref="F2137">IF(AND(A2137="2021-03", ISNA(MATCH(B2137, _xlfn._xlws.FILTER(B:B, A:A="2021-04"), 0))), "Left", "Ativo")</f>
        <v>Ativo</v>
      </c>
    </row>
    <row r="2138" spans="1:6" x14ac:dyDescent="0.25">
      <c r="A2138" t="s">
        <v>1530</v>
      </c>
      <c r="B2138" t="s">
        <v>231</v>
      </c>
      <c r="C2138" s="10" t="str" cm="1">
        <f t="array" ref="C2138">IF(AND(A2138="2020-12", ISNA(MATCH(B2138, _xlfn._xlws.FILTER(B:B, A:A="2021-01"), 0))), "Left", "Ativo")</f>
        <v>Ativo</v>
      </c>
      <c r="D2138" s="10" t="str" cm="1">
        <f t="array" ref="D2138">IF(AND(A2138="2021-01", ISNA(MATCH(B2138, _xlfn._xlws.FILTER(B:B, A:A="2021-02"), 0))), "Left", "Ativo")</f>
        <v>Ativo</v>
      </c>
      <c r="E2138" s="10" t="str" cm="1">
        <f t="array" ref="E2138">IF(AND(A2138="2021-02", ISNA(MATCH(B2138, _xlfn._xlws.FILTER(B:B, A:A="2021-03"), 0))), "Left", "Ativo")</f>
        <v>Ativo</v>
      </c>
      <c r="F2138" s="12" t="str" cm="1">
        <f t="array" ref="F2138">IF(AND(A2138="2021-03", ISNA(MATCH(B2138, _xlfn._xlws.FILTER(B:B, A:A="2021-04"), 0))), "Left", "Ativo")</f>
        <v>Ativo</v>
      </c>
    </row>
    <row r="2139" spans="1:6" x14ac:dyDescent="0.25">
      <c r="A2139" t="s">
        <v>1530</v>
      </c>
      <c r="B2139" t="s">
        <v>232</v>
      </c>
      <c r="C2139" s="10" t="str" cm="1">
        <f t="array" ref="C2139">IF(AND(A2139="2020-12", ISNA(MATCH(B2139, _xlfn._xlws.FILTER(B:B, A:A="2021-01"), 0))), "Left", "Ativo")</f>
        <v>Ativo</v>
      </c>
      <c r="D2139" s="10" t="str" cm="1">
        <f t="array" ref="D2139">IF(AND(A2139="2021-01", ISNA(MATCH(B2139, _xlfn._xlws.FILTER(B:B, A:A="2021-02"), 0))), "Left", "Ativo")</f>
        <v>Ativo</v>
      </c>
      <c r="E2139" s="10" t="str" cm="1">
        <f t="array" ref="E2139">IF(AND(A2139="2021-02", ISNA(MATCH(B2139, _xlfn._xlws.FILTER(B:B, A:A="2021-03"), 0))), "Left", "Ativo")</f>
        <v>Ativo</v>
      </c>
      <c r="F2139" s="12" t="str" cm="1">
        <f t="array" ref="F2139">IF(AND(A2139="2021-03", ISNA(MATCH(B2139, _xlfn._xlws.FILTER(B:B, A:A="2021-04"), 0))), "Left", "Ativo")</f>
        <v>Ativo</v>
      </c>
    </row>
    <row r="2140" spans="1:6" x14ac:dyDescent="0.25">
      <c r="A2140" t="s">
        <v>1530</v>
      </c>
      <c r="B2140" t="s">
        <v>233</v>
      </c>
      <c r="C2140" s="10" t="str" cm="1">
        <f t="array" ref="C2140">IF(AND(A2140="2020-12", ISNA(MATCH(B2140, _xlfn._xlws.FILTER(B:B, A:A="2021-01"), 0))), "Left", "Ativo")</f>
        <v>Ativo</v>
      </c>
      <c r="D2140" s="10" t="str" cm="1">
        <f t="array" ref="D2140">IF(AND(A2140="2021-01", ISNA(MATCH(B2140, _xlfn._xlws.FILTER(B:B, A:A="2021-02"), 0))), "Left", "Ativo")</f>
        <v>Ativo</v>
      </c>
      <c r="E2140" s="10" t="str" cm="1">
        <f t="array" ref="E2140">IF(AND(A2140="2021-02", ISNA(MATCH(B2140, _xlfn._xlws.FILTER(B:B, A:A="2021-03"), 0))), "Left", "Ativo")</f>
        <v>Ativo</v>
      </c>
      <c r="F2140" s="12" t="str" cm="1">
        <f t="array" ref="F2140">IF(AND(A2140="2021-03", ISNA(MATCH(B2140, _xlfn._xlws.FILTER(B:B, A:A="2021-04"), 0))), "Left", "Ativo")</f>
        <v>Ativo</v>
      </c>
    </row>
    <row r="2141" spans="1:6" x14ac:dyDescent="0.25">
      <c r="A2141" t="s">
        <v>1530</v>
      </c>
      <c r="B2141" t="s">
        <v>234</v>
      </c>
      <c r="C2141" s="10" t="str" cm="1">
        <f t="array" ref="C2141">IF(AND(A2141="2020-12", ISNA(MATCH(B2141, _xlfn._xlws.FILTER(B:B, A:A="2021-01"), 0))), "Left", "Ativo")</f>
        <v>Ativo</v>
      </c>
      <c r="D2141" s="10" t="str" cm="1">
        <f t="array" ref="D2141">IF(AND(A2141="2021-01", ISNA(MATCH(B2141, _xlfn._xlws.FILTER(B:B, A:A="2021-02"), 0))), "Left", "Ativo")</f>
        <v>Ativo</v>
      </c>
      <c r="E2141" s="10" t="str" cm="1">
        <f t="array" ref="E2141">IF(AND(A2141="2021-02", ISNA(MATCH(B2141, _xlfn._xlws.FILTER(B:B, A:A="2021-03"), 0))), "Left", "Ativo")</f>
        <v>Left</v>
      </c>
      <c r="F2141" s="12" t="str" cm="1">
        <f t="array" ref="F2141">IF(AND(A2141="2021-03", ISNA(MATCH(B2141, _xlfn._xlws.FILTER(B:B, A:A="2021-04"), 0))), "Left", "Ativo")</f>
        <v>Ativo</v>
      </c>
    </row>
    <row r="2142" spans="1:6" x14ac:dyDescent="0.25">
      <c r="A2142" t="s">
        <v>1530</v>
      </c>
      <c r="B2142" t="s">
        <v>235</v>
      </c>
      <c r="C2142" s="10" t="str" cm="1">
        <f t="array" ref="C2142">IF(AND(A2142="2020-12", ISNA(MATCH(B2142, _xlfn._xlws.FILTER(B:B, A:A="2021-01"), 0))), "Left", "Ativo")</f>
        <v>Ativo</v>
      </c>
      <c r="D2142" s="10" t="str" cm="1">
        <f t="array" ref="D2142">IF(AND(A2142="2021-01", ISNA(MATCH(B2142, _xlfn._xlws.FILTER(B:B, A:A="2021-02"), 0))), "Left", "Ativo")</f>
        <v>Ativo</v>
      </c>
      <c r="E2142" s="10" t="str" cm="1">
        <f t="array" ref="E2142">IF(AND(A2142="2021-02", ISNA(MATCH(B2142, _xlfn._xlws.FILTER(B:B, A:A="2021-03"), 0))), "Left", "Ativo")</f>
        <v>Ativo</v>
      </c>
      <c r="F2142" s="12" t="str" cm="1">
        <f t="array" ref="F2142">IF(AND(A2142="2021-03", ISNA(MATCH(B2142, _xlfn._xlws.FILTER(B:B, A:A="2021-04"), 0))), "Left", "Ativo")</f>
        <v>Ativo</v>
      </c>
    </row>
    <row r="2143" spans="1:6" x14ac:dyDescent="0.25">
      <c r="A2143" t="s">
        <v>1530</v>
      </c>
      <c r="B2143" t="s">
        <v>236</v>
      </c>
      <c r="C2143" s="10" t="str" cm="1">
        <f t="array" ref="C2143">IF(AND(A2143="2020-12", ISNA(MATCH(B2143, _xlfn._xlws.FILTER(B:B, A:A="2021-01"), 0))), "Left", "Ativo")</f>
        <v>Ativo</v>
      </c>
      <c r="D2143" s="10" t="str" cm="1">
        <f t="array" ref="D2143">IF(AND(A2143="2021-01", ISNA(MATCH(B2143, _xlfn._xlws.FILTER(B:B, A:A="2021-02"), 0))), "Left", "Ativo")</f>
        <v>Ativo</v>
      </c>
      <c r="E2143" s="10" t="str" cm="1">
        <f t="array" ref="E2143">IF(AND(A2143="2021-02", ISNA(MATCH(B2143, _xlfn._xlws.FILTER(B:B, A:A="2021-03"), 0))), "Left", "Ativo")</f>
        <v>Ativo</v>
      </c>
      <c r="F2143" s="12" t="str" cm="1">
        <f t="array" ref="F2143">IF(AND(A2143="2021-03", ISNA(MATCH(B2143, _xlfn._xlws.FILTER(B:B, A:A="2021-04"), 0))), "Left", "Ativo")</f>
        <v>Ativo</v>
      </c>
    </row>
    <row r="2144" spans="1:6" x14ac:dyDescent="0.25">
      <c r="A2144" t="s">
        <v>1530</v>
      </c>
      <c r="B2144" t="s">
        <v>237</v>
      </c>
      <c r="C2144" s="10" t="str" cm="1">
        <f t="array" ref="C2144">IF(AND(A2144="2020-12", ISNA(MATCH(B2144, _xlfn._xlws.FILTER(B:B, A:A="2021-01"), 0))), "Left", "Ativo")</f>
        <v>Ativo</v>
      </c>
      <c r="D2144" s="10" t="str" cm="1">
        <f t="array" ref="D2144">IF(AND(A2144="2021-01", ISNA(MATCH(B2144, _xlfn._xlws.FILTER(B:B, A:A="2021-02"), 0))), "Left", "Ativo")</f>
        <v>Ativo</v>
      </c>
      <c r="E2144" s="10" t="str" cm="1">
        <f t="array" ref="E2144">IF(AND(A2144="2021-02", ISNA(MATCH(B2144, _xlfn._xlws.FILTER(B:B, A:A="2021-03"), 0))), "Left", "Ativo")</f>
        <v>Left</v>
      </c>
      <c r="F2144" s="12" t="str" cm="1">
        <f t="array" ref="F2144">IF(AND(A2144="2021-03", ISNA(MATCH(B2144, _xlfn._xlws.FILTER(B:B, A:A="2021-04"), 0))), "Left", "Ativo")</f>
        <v>Ativo</v>
      </c>
    </row>
    <row r="2145" spans="1:6" x14ac:dyDescent="0.25">
      <c r="A2145" t="s">
        <v>1530</v>
      </c>
      <c r="B2145" t="s">
        <v>238</v>
      </c>
      <c r="C2145" s="10" t="str" cm="1">
        <f t="array" ref="C2145">IF(AND(A2145="2020-12", ISNA(MATCH(B2145, _xlfn._xlws.FILTER(B:B, A:A="2021-01"), 0))), "Left", "Ativo")</f>
        <v>Ativo</v>
      </c>
      <c r="D2145" s="10" t="str" cm="1">
        <f t="array" ref="D2145">IF(AND(A2145="2021-01", ISNA(MATCH(B2145, _xlfn._xlws.FILTER(B:B, A:A="2021-02"), 0))), "Left", "Ativo")</f>
        <v>Ativo</v>
      </c>
      <c r="E2145" s="10" t="str" cm="1">
        <f t="array" ref="E2145">IF(AND(A2145="2021-02", ISNA(MATCH(B2145, _xlfn._xlws.FILTER(B:B, A:A="2021-03"), 0))), "Left", "Ativo")</f>
        <v>Left</v>
      </c>
      <c r="F2145" s="12" t="str" cm="1">
        <f t="array" ref="F2145">IF(AND(A2145="2021-03", ISNA(MATCH(B2145, _xlfn._xlws.FILTER(B:B, A:A="2021-04"), 0))), "Left", "Ativo")</f>
        <v>Ativo</v>
      </c>
    </row>
    <row r="2146" spans="1:6" x14ac:dyDescent="0.25">
      <c r="A2146" t="s">
        <v>1530</v>
      </c>
      <c r="B2146" t="s">
        <v>239</v>
      </c>
      <c r="C2146" s="10" t="str" cm="1">
        <f t="array" ref="C2146">IF(AND(A2146="2020-12", ISNA(MATCH(B2146, _xlfn._xlws.FILTER(B:B, A:A="2021-01"), 0))), "Left", "Ativo")</f>
        <v>Ativo</v>
      </c>
      <c r="D2146" s="10" t="str" cm="1">
        <f t="array" ref="D2146">IF(AND(A2146="2021-01", ISNA(MATCH(B2146, _xlfn._xlws.FILTER(B:B, A:A="2021-02"), 0))), "Left", "Ativo")</f>
        <v>Ativo</v>
      </c>
      <c r="E2146" s="10" t="str" cm="1">
        <f t="array" ref="E2146">IF(AND(A2146="2021-02", ISNA(MATCH(B2146, _xlfn._xlws.FILTER(B:B, A:A="2021-03"), 0))), "Left", "Ativo")</f>
        <v>Ativo</v>
      </c>
      <c r="F2146" s="12" t="str" cm="1">
        <f t="array" ref="F2146">IF(AND(A2146="2021-03", ISNA(MATCH(B2146, _xlfn._xlws.FILTER(B:B, A:A="2021-04"), 0))), "Left", "Ativo")</f>
        <v>Ativo</v>
      </c>
    </row>
    <row r="2147" spans="1:6" x14ac:dyDescent="0.25">
      <c r="A2147" t="s">
        <v>1530</v>
      </c>
      <c r="B2147" t="s">
        <v>240</v>
      </c>
      <c r="C2147" s="10" t="str" cm="1">
        <f t="array" ref="C2147">IF(AND(A2147="2020-12", ISNA(MATCH(B2147, _xlfn._xlws.FILTER(B:B, A:A="2021-01"), 0))), "Left", "Ativo")</f>
        <v>Ativo</v>
      </c>
      <c r="D2147" s="10" t="str" cm="1">
        <f t="array" ref="D2147">IF(AND(A2147="2021-01", ISNA(MATCH(B2147, _xlfn._xlws.FILTER(B:B, A:A="2021-02"), 0))), "Left", "Ativo")</f>
        <v>Ativo</v>
      </c>
      <c r="E2147" s="10" t="str" cm="1">
        <f t="array" ref="E2147">IF(AND(A2147="2021-02", ISNA(MATCH(B2147, _xlfn._xlws.FILTER(B:B, A:A="2021-03"), 0))), "Left", "Ativo")</f>
        <v>Ativo</v>
      </c>
      <c r="F2147" s="12" t="str" cm="1">
        <f t="array" ref="F2147">IF(AND(A2147="2021-03", ISNA(MATCH(B2147, _xlfn._xlws.FILTER(B:B, A:A="2021-04"), 0))), "Left", "Ativo")</f>
        <v>Ativo</v>
      </c>
    </row>
    <row r="2148" spans="1:6" x14ac:dyDescent="0.25">
      <c r="A2148" t="s">
        <v>1530</v>
      </c>
      <c r="B2148" t="s">
        <v>241</v>
      </c>
      <c r="C2148" s="10" t="str" cm="1">
        <f t="array" ref="C2148">IF(AND(A2148="2020-12", ISNA(MATCH(B2148, _xlfn._xlws.FILTER(B:B, A:A="2021-01"), 0))), "Left", "Ativo")</f>
        <v>Ativo</v>
      </c>
      <c r="D2148" s="10" t="str" cm="1">
        <f t="array" ref="D2148">IF(AND(A2148="2021-01", ISNA(MATCH(B2148, _xlfn._xlws.FILTER(B:B, A:A="2021-02"), 0))), "Left", "Ativo")</f>
        <v>Ativo</v>
      </c>
      <c r="E2148" s="10" t="str" cm="1">
        <f t="array" ref="E2148">IF(AND(A2148="2021-02", ISNA(MATCH(B2148, _xlfn._xlws.FILTER(B:B, A:A="2021-03"), 0))), "Left", "Ativo")</f>
        <v>Ativo</v>
      </c>
      <c r="F2148" s="12" t="str" cm="1">
        <f t="array" ref="F2148">IF(AND(A2148="2021-03", ISNA(MATCH(B2148, _xlfn._xlws.FILTER(B:B, A:A="2021-04"), 0))), "Left", "Ativo")</f>
        <v>Ativo</v>
      </c>
    </row>
    <row r="2149" spans="1:6" x14ac:dyDescent="0.25">
      <c r="A2149" t="s">
        <v>1530</v>
      </c>
      <c r="B2149" t="s">
        <v>242</v>
      </c>
      <c r="C2149" s="10" t="str" cm="1">
        <f t="array" ref="C2149">IF(AND(A2149="2020-12", ISNA(MATCH(B2149, _xlfn._xlws.FILTER(B:B, A:A="2021-01"), 0))), "Left", "Ativo")</f>
        <v>Ativo</v>
      </c>
      <c r="D2149" s="10" t="str" cm="1">
        <f t="array" ref="D2149">IF(AND(A2149="2021-01", ISNA(MATCH(B2149, _xlfn._xlws.FILTER(B:B, A:A="2021-02"), 0))), "Left", "Ativo")</f>
        <v>Ativo</v>
      </c>
      <c r="E2149" s="10" t="str" cm="1">
        <f t="array" ref="E2149">IF(AND(A2149="2021-02", ISNA(MATCH(B2149, _xlfn._xlws.FILTER(B:B, A:A="2021-03"), 0))), "Left", "Ativo")</f>
        <v>Ativo</v>
      </c>
      <c r="F2149" s="12" t="str" cm="1">
        <f t="array" ref="F2149">IF(AND(A2149="2021-03", ISNA(MATCH(B2149, _xlfn._xlws.FILTER(B:B, A:A="2021-04"), 0))), "Left", "Ativo")</f>
        <v>Ativo</v>
      </c>
    </row>
    <row r="2150" spans="1:6" x14ac:dyDescent="0.25">
      <c r="A2150" t="s">
        <v>1530</v>
      </c>
      <c r="B2150" t="s">
        <v>243</v>
      </c>
      <c r="C2150" s="10" t="str" cm="1">
        <f t="array" ref="C2150">IF(AND(A2150="2020-12", ISNA(MATCH(B2150, _xlfn._xlws.FILTER(B:B, A:A="2021-01"), 0))), "Left", "Ativo")</f>
        <v>Ativo</v>
      </c>
      <c r="D2150" s="10" t="str" cm="1">
        <f t="array" ref="D2150">IF(AND(A2150="2021-01", ISNA(MATCH(B2150, _xlfn._xlws.FILTER(B:B, A:A="2021-02"), 0))), "Left", "Ativo")</f>
        <v>Ativo</v>
      </c>
      <c r="E2150" s="10" t="str" cm="1">
        <f t="array" ref="E2150">IF(AND(A2150="2021-02", ISNA(MATCH(B2150, _xlfn._xlws.FILTER(B:B, A:A="2021-03"), 0))), "Left", "Ativo")</f>
        <v>Ativo</v>
      </c>
      <c r="F2150" s="12" t="str" cm="1">
        <f t="array" ref="F2150">IF(AND(A2150="2021-03", ISNA(MATCH(B2150, _xlfn._xlws.FILTER(B:B, A:A="2021-04"), 0))), "Left", "Ativo")</f>
        <v>Ativo</v>
      </c>
    </row>
    <row r="2151" spans="1:6" x14ac:dyDescent="0.25">
      <c r="A2151" t="s">
        <v>1530</v>
      </c>
      <c r="B2151" t="s">
        <v>244</v>
      </c>
      <c r="C2151" s="10" t="str" cm="1">
        <f t="array" ref="C2151">IF(AND(A2151="2020-12", ISNA(MATCH(B2151, _xlfn._xlws.FILTER(B:B, A:A="2021-01"), 0))), "Left", "Ativo")</f>
        <v>Ativo</v>
      </c>
      <c r="D2151" s="10" t="str" cm="1">
        <f t="array" ref="D2151">IF(AND(A2151="2021-01", ISNA(MATCH(B2151, _xlfn._xlws.FILTER(B:B, A:A="2021-02"), 0))), "Left", "Ativo")</f>
        <v>Ativo</v>
      </c>
      <c r="E2151" s="10" t="str" cm="1">
        <f t="array" ref="E2151">IF(AND(A2151="2021-02", ISNA(MATCH(B2151, _xlfn._xlws.FILTER(B:B, A:A="2021-03"), 0))), "Left", "Ativo")</f>
        <v>Ativo</v>
      </c>
      <c r="F2151" s="12" t="str" cm="1">
        <f t="array" ref="F2151">IF(AND(A2151="2021-03", ISNA(MATCH(B2151, _xlfn._xlws.FILTER(B:B, A:A="2021-04"), 0))), "Left", "Ativo")</f>
        <v>Ativo</v>
      </c>
    </row>
    <row r="2152" spans="1:6" x14ac:dyDescent="0.25">
      <c r="A2152" t="s">
        <v>1530</v>
      </c>
      <c r="B2152" t="s">
        <v>245</v>
      </c>
      <c r="C2152" s="10" t="str" cm="1">
        <f t="array" ref="C2152">IF(AND(A2152="2020-12", ISNA(MATCH(B2152, _xlfn._xlws.FILTER(B:B, A:A="2021-01"), 0))), "Left", "Ativo")</f>
        <v>Ativo</v>
      </c>
      <c r="D2152" s="10" t="str" cm="1">
        <f t="array" ref="D2152">IF(AND(A2152="2021-01", ISNA(MATCH(B2152, _xlfn._xlws.FILTER(B:B, A:A="2021-02"), 0))), "Left", "Ativo")</f>
        <v>Ativo</v>
      </c>
      <c r="E2152" s="10" t="str" cm="1">
        <f t="array" ref="E2152">IF(AND(A2152="2021-02", ISNA(MATCH(B2152, _xlfn._xlws.FILTER(B:B, A:A="2021-03"), 0))), "Left", "Ativo")</f>
        <v>Ativo</v>
      </c>
      <c r="F2152" s="12" t="str" cm="1">
        <f t="array" ref="F2152">IF(AND(A2152="2021-03", ISNA(MATCH(B2152, _xlfn._xlws.FILTER(B:B, A:A="2021-04"), 0))), "Left", "Ativo")</f>
        <v>Ativo</v>
      </c>
    </row>
    <row r="2153" spans="1:6" x14ac:dyDescent="0.25">
      <c r="A2153" t="s">
        <v>1530</v>
      </c>
      <c r="B2153" t="s">
        <v>246</v>
      </c>
      <c r="C2153" s="10" t="str" cm="1">
        <f t="array" ref="C2153">IF(AND(A2153="2020-12", ISNA(MATCH(B2153, _xlfn._xlws.FILTER(B:B, A:A="2021-01"), 0))), "Left", "Ativo")</f>
        <v>Ativo</v>
      </c>
      <c r="D2153" s="10" t="str" cm="1">
        <f t="array" ref="D2153">IF(AND(A2153="2021-01", ISNA(MATCH(B2153, _xlfn._xlws.FILTER(B:B, A:A="2021-02"), 0))), "Left", "Ativo")</f>
        <v>Ativo</v>
      </c>
      <c r="E2153" s="10" t="str" cm="1">
        <f t="array" ref="E2153">IF(AND(A2153="2021-02", ISNA(MATCH(B2153, _xlfn._xlws.FILTER(B:B, A:A="2021-03"), 0))), "Left", "Ativo")</f>
        <v>Ativo</v>
      </c>
      <c r="F2153" s="12" t="str" cm="1">
        <f t="array" ref="F2153">IF(AND(A2153="2021-03", ISNA(MATCH(B2153, _xlfn._xlws.FILTER(B:B, A:A="2021-04"), 0))), "Left", "Ativo")</f>
        <v>Ativo</v>
      </c>
    </row>
    <row r="2154" spans="1:6" x14ac:dyDescent="0.25">
      <c r="A2154" t="s">
        <v>1530</v>
      </c>
      <c r="B2154" t="s">
        <v>247</v>
      </c>
      <c r="C2154" s="10" t="str" cm="1">
        <f t="array" ref="C2154">IF(AND(A2154="2020-12", ISNA(MATCH(B2154, _xlfn._xlws.FILTER(B:B, A:A="2021-01"), 0))), "Left", "Ativo")</f>
        <v>Ativo</v>
      </c>
      <c r="D2154" s="10" t="str" cm="1">
        <f t="array" ref="D2154">IF(AND(A2154="2021-01", ISNA(MATCH(B2154, _xlfn._xlws.FILTER(B:B, A:A="2021-02"), 0))), "Left", "Ativo")</f>
        <v>Ativo</v>
      </c>
      <c r="E2154" s="10" t="str" cm="1">
        <f t="array" ref="E2154">IF(AND(A2154="2021-02", ISNA(MATCH(B2154, _xlfn._xlws.FILTER(B:B, A:A="2021-03"), 0))), "Left", "Ativo")</f>
        <v>Ativo</v>
      </c>
      <c r="F2154" s="12" t="str" cm="1">
        <f t="array" ref="F2154">IF(AND(A2154="2021-03", ISNA(MATCH(B2154, _xlfn._xlws.FILTER(B:B, A:A="2021-04"), 0))), "Left", "Ativo")</f>
        <v>Ativo</v>
      </c>
    </row>
    <row r="2155" spans="1:6" x14ac:dyDescent="0.25">
      <c r="A2155" t="s">
        <v>1530</v>
      </c>
      <c r="B2155" t="s">
        <v>248</v>
      </c>
      <c r="C2155" s="10" t="str" cm="1">
        <f t="array" ref="C2155">IF(AND(A2155="2020-12", ISNA(MATCH(B2155, _xlfn._xlws.FILTER(B:B, A:A="2021-01"), 0))), "Left", "Ativo")</f>
        <v>Ativo</v>
      </c>
      <c r="D2155" s="10" t="str" cm="1">
        <f t="array" ref="D2155">IF(AND(A2155="2021-01", ISNA(MATCH(B2155, _xlfn._xlws.FILTER(B:B, A:A="2021-02"), 0))), "Left", "Ativo")</f>
        <v>Ativo</v>
      </c>
      <c r="E2155" s="10" t="str" cm="1">
        <f t="array" ref="E2155">IF(AND(A2155="2021-02", ISNA(MATCH(B2155, _xlfn._xlws.FILTER(B:B, A:A="2021-03"), 0))), "Left", "Ativo")</f>
        <v>Ativo</v>
      </c>
      <c r="F2155" s="12" t="str" cm="1">
        <f t="array" ref="F2155">IF(AND(A2155="2021-03", ISNA(MATCH(B2155, _xlfn._xlws.FILTER(B:B, A:A="2021-04"), 0))), "Left", "Ativo")</f>
        <v>Ativo</v>
      </c>
    </row>
    <row r="2156" spans="1:6" x14ac:dyDescent="0.25">
      <c r="A2156" t="s">
        <v>1530</v>
      </c>
      <c r="B2156" t="s">
        <v>249</v>
      </c>
      <c r="C2156" s="10" t="str" cm="1">
        <f t="array" ref="C2156">IF(AND(A2156="2020-12", ISNA(MATCH(B2156, _xlfn._xlws.FILTER(B:B, A:A="2021-01"), 0))), "Left", "Ativo")</f>
        <v>Ativo</v>
      </c>
      <c r="D2156" s="10" t="str" cm="1">
        <f t="array" ref="D2156">IF(AND(A2156="2021-01", ISNA(MATCH(B2156, _xlfn._xlws.FILTER(B:B, A:A="2021-02"), 0))), "Left", "Ativo")</f>
        <v>Ativo</v>
      </c>
      <c r="E2156" s="10" t="str" cm="1">
        <f t="array" ref="E2156">IF(AND(A2156="2021-02", ISNA(MATCH(B2156, _xlfn._xlws.FILTER(B:B, A:A="2021-03"), 0))), "Left", "Ativo")</f>
        <v>Ativo</v>
      </c>
      <c r="F2156" s="12" t="str" cm="1">
        <f t="array" ref="F2156">IF(AND(A2156="2021-03", ISNA(MATCH(B2156, _xlfn._xlws.FILTER(B:B, A:A="2021-04"), 0))), "Left", "Ativo")</f>
        <v>Ativo</v>
      </c>
    </row>
    <row r="2157" spans="1:6" x14ac:dyDescent="0.25">
      <c r="A2157" t="s">
        <v>1530</v>
      </c>
      <c r="B2157" t="s">
        <v>250</v>
      </c>
      <c r="C2157" s="10" t="str" cm="1">
        <f t="array" ref="C2157">IF(AND(A2157="2020-12", ISNA(MATCH(B2157, _xlfn._xlws.FILTER(B:B, A:A="2021-01"), 0))), "Left", "Ativo")</f>
        <v>Ativo</v>
      </c>
      <c r="D2157" s="10" t="str" cm="1">
        <f t="array" ref="D2157">IF(AND(A2157="2021-01", ISNA(MATCH(B2157, _xlfn._xlws.FILTER(B:B, A:A="2021-02"), 0))), "Left", "Ativo")</f>
        <v>Ativo</v>
      </c>
      <c r="E2157" s="10" t="str" cm="1">
        <f t="array" ref="E2157">IF(AND(A2157="2021-02", ISNA(MATCH(B2157, _xlfn._xlws.FILTER(B:B, A:A="2021-03"), 0))), "Left", "Ativo")</f>
        <v>Ativo</v>
      </c>
      <c r="F2157" s="12" t="str" cm="1">
        <f t="array" ref="F2157">IF(AND(A2157="2021-03", ISNA(MATCH(B2157, _xlfn._xlws.FILTER(B:B, A:A="2021-04"), 0))), "Left", "Ativo")</f>
        <v>Ativo</v>
      </c>
    </row>
    <row r="2158" spans="1:6" x14ac:dyDescent="0.25">
      <c r="A2158" t="s">
        <v>1530</v>
      </c>
      <c r="B2158" t="s">
        <v>251</v>
      </c>
      <c r="C2158" s="10" t="str" cm="1">
        <f t="array" ref="C2158">IF(AND(A2158="2020-12", ISNA(MATCH(B2158, _xlfn._xlws.FILTER(B:B, A:A="2021-01"), 0))), "Left", "Ativo")</f>
        <v>Ativo</v>
      </c>
      <c r="D2158" s="10" t="str" cm="1">
        <f t="array" ref="D2158">IF(AND(A2158="2021-01", ISNA(MATCH(B2158, _xlfn._xlws.FILTER(B:B, A:A="2021-02"), 0))), "Left", "Ativo")</f>
        <v>Ativo</v>
      </c>
      <c r="E2158" s="10" t="str" cm="1">
        <f t="array" ref="E2158">IF(AND(A2158="2021-02", ISNA(MATCH(B2158, _xlfn._xlws.FILTER(B:B, A:A="2021-03"), 0))), "Left", "Ativo")</f>
        <v>Ativo</v>
      </c>
      <c r="F2158" s="12" t="str" cm="1">
        <f t="array" ref="F2158">IF(AND(A2158="2021-03", ISNA(MATCH(B2158, _xlfn._xlws.FILTER(B:B, A:A="2021-04"), 0))), "Left", "Ativo")</f>
        <v>Ativo</v>
      </c>
    </row>
    <row r="2159" spans="1:6" x14ac:dyDescent="0.25">
      <c r="A2159" t="s">
        <v>1530</v>
      </c>
      <c r="B2159" t="s">
        <v>252</v>
      </c>
      <c r="C2159" s="10" t="str" cm="1">
        <f t="array" ref="C2159">IF(AND(A2159="2020-12", ISNA(MATCH(B2159, _xlfn._xlws.FILTER(B:B, A:A="2021-01"), 0))), "Left", "Ativo")</f>
        <v>Ativo</v>
      </c>
      <c r="D2159" s="10" t="str" cm="1">
        <f t="array" ref="D2159">IF(AND(A2159="2021-01", ISNA(MATCH(B2159, _xlfn._xlws.FILTER(B:B, A:A="2021-02"), 0))), "Left", "Ativo")</f>
        <v>Ativo</v>
      </c>
      <c r="E2159" s="10" t="str" cm="1">
        <f t="array" ref="E2159">IF(AND(A2159="2021-02", ISNA(MATCH(B2159, _xlfn._xlws.FILTER(B:B, A:A="2021-03"), 0))), "Left", "Ativo")</f>
        <v>Left</v>
      </c>
      <c r="F2159" s="12" t="str" cm="1">
        <f t="array" ref="F2159">IF(AND(A2159="2021-03", ISNA(MATCH(B2159, _xlfn._xlws.FILTER(B:B, A:A="2021-04"), 0))), "Left", "Ativo")</f>
        <v>Ativo</v>
      </c>
    </row>
    <row r="2160" spans="1:6" x14ac:dyDescent="0.25">
      <c r="A2160" t="s">
        <v>1530</v>
      </c>
      <c r="B2160" t="s">
        <v>253</v>
      </c>
      <c r="C2160" s="10" t="str" cm="1">
        <f t="array" ref="C2160">IF(AND(A2160="2020-12", ISNA(MATCH(B2160, _xlfn._xlws.FILTER(B:B, A:A="2021-01"), 0))), "Left", "Ativo")</f>
        <v>Ativo</v>
      </c>
      <c r="D2160" s="10" t="str" cm="1">
        <f t="array" ref="D2160">IF(AND(A2160="2021-01", ISNA(MATCH(B2160, _xlfn._xlws.FILTER(B:B, A:A="2021-02"), 0))), "Left", "Ativo")</f>
        <v>Ativo</v>
      </c>
      <c r="E2160" s="10" t="str" cm="1">
        <f t="array" ref="E2160">IF(AND(A2160="2021-02", ISNA(MATCH(B2160, _xlfn._xlws.FILTER(B:B, A:A="2021-03"), 0))), "Left", "Ativo")</f>
        <v>Ativo</v>
      </c>
      <c r="F2160" s="12" t="str" cm="1">
        <f t="array" ref="F2160">IF(AND(A2160="2021-03", ISNA(MATCH(B2160, _xlfn._xlws.FILTER(B:B, A:A="2021-04"), 0))), "Left", "Ativo")</f>
        <v>Ativo</v>
      </c>
    </row>
    <row r="2161" spans="1:6" x14ac:dyDescent="0.25">
      <c r="A2161" t="s">
        <v>1530</v>
      </c>
      <c r="B2161" t="s">
        <v>254</v>
      </c>
      <c r="C2161" s="10" t="str" cm="1">
        <f t="array" ref="C2161">IF(AND(A2161="2020-12", ISNA(MATCH(B2161, _xlfn._xlws.FILTER(B:B, A:A="2021-01"), 0))), "Left", "Ativo")</f>
        <v>Ativo</v>
      </c>
      <c r="D2161" s="10" t="str" cm="1">
        <f t="array" ref="D2161">IF(AND(A2161="2021-01", ISNA(MATCH(B2161, _xlfn._xlws.FILTER(B:B, A:A="2021-02"), 0))), "Left", "Ativo")</f>
        <v>Ativo</v>
      </c>
      <c r="E2161" s="10" t="str" cm="1">
        <f t="array" ref="E2161">IF(AND(A2161="2021-02", ISNA(MATCH(B2161, _xlfn._xlws.FILTER(B:B, A:A="2021-03"), 0))), "Left", "Ativo")</f>
        <v>Ativo</v>
      </c>
      <c r="F2161" s="12" t="str" cm="1">
        <f t="array" ref="F2161">IF(AND(A2161="2021-03", ISNA(MATCH(B2161, _xlfn._xlws.FILTER(B:B, A:A="2021-04"), 0))), "Left", "Ativo")</f>
        <v>Ativo</v>
      </c>
    </row>
    <row r="2162" spans="1:6" x14ac:dyDescent="0.25">
      <c r="A2162" t="s">
        <v>1530</v>
      </c>
      <c r="B2162" t="s">
        <v>255</v>
      </c>
      <c r="C2162" s="10" t="str" cm="1">
        <f t="array" ref="C2162">IF(AND(A2162="2020-12", ISNA(MATCH(B2162, _xlfn._xlws.FILTER(B:B, A:A="2021-01"), 0))), "Left", "Ativo")</f>
        <v>Ativo</v>
      </c>
      <c r="D2162" s="10" t="str" cm="1">
        <f t="array" ref="D2162">IF(AND(A2162="2021-01", ISNA(MATCH(B2162, _xlfn._xlws.FILTER(B:B, A:A="2021-02"), 0))), "Left", "Ativo")</f>
        <v>Ativo</v>
      </c>
      <c r="E2162" s="10" t="str" cm="1">
        <f t="array" ref="E2162">IF(AND(A2162="2021-02", ISNA(MATCH(B2162, _xlfn._xlws.FILTER(B:B, A:A="2021-03"), 0))), "Left", "Ativo")</f>
        <v>Ativo</v>
      </c>
      <c r="F2162" s="12" t="str" cm="1">
        <f t="array" ref="F2162">IF(AND(A2162="2021-03", ISNA(MATCH(B2162, _xlfn._xlws.FILTER(B:B, A:A="2021-04"), 0))), "Left", "Ativo")</f>
        <v>Ativo</v>
      </c>
    </row>
    <row r="2163" spans="1:6" x14ac:dyDescent="0.25">
      <c r="A2163" t="s">
        <v>1530</v>
      </c>
      <c r="B2163" t="s">
        <v>256</v>
      </c>
      <c r="C2163" s="10" t="str" cm="1">
        <f t="array" ref="C2163">IF(AND(A2163="2020-12", ISNA(MATCH(B2163, _xlfn._xlws.FILTER(B:B, A:A="2021-01"), 0))), "Left", "Ativo")</f>
        <v>Ativo</v>
      </c>
      <c r="D2163" s="10" t="str" cm="1">
        <f t="array" ref="D2163">IF(AND(A2163="2021-01", ISNA(MATCH(B2163, _xlfn._xlws.FILTER(B:B, A:A="2021-02"), 0))), "Left", "Ativo")</f>
        <v>Ativo</v>
      </c>
      <c r="E2163" s="10" t="str" cm="1">
        <f t="array" ref="E2163">IF(AND(A2163="2021-02", ISNA(MATCH(B2163, _xlfn._xlws.FILTER(B:B, A:A="2021-03"), 0))), "Left", "Ativo")</f>
        <v>Ativo</v>
      </c>
      <c r="F2163" s="12" t="str" cm="1">
        <f t="array" ref="F2163">IF(AND(A2163="2021-03", ISNA(MATCH(B2163, _xlfn._xlws.FILTER(B:B, A:A="2021-04"), 0))), "Left", "Ativo")</f>
        <v>Ativo</v>
      </c>
    </row>
    <row r="2164" spans="1:6" x14ac:dyDescent="0.25">
      <c r="A2164" t="s">
        <v>1530</v>
      </c>
      <c r="B2164" t="s">
        <v>257</v>
      </c>
      <c r="C2164" s="10" t="str" cm="1">
        <f t="array" ref="C2164">IF(AND(A2164="2020-12", ISNA(MATCH(B2164, _xlfn._xlws.FILTER(B:B, A:A="2021-01"), 0))), "Left", "Ativo")</f>
        <v>Ativo</v>
      </c>
      <c r="D2164" s="10" t="str" cm="1">
        <f t="array" ref="D2164">IF(AND(A2164="2021-01", ISNA(MATCH(B2164, _xlfn._xlws.FILTER(B:B, A:A="2021-02"), 0))), "Left", "Ativo")</f>
        <v>Ativo</v>
      </c>
      <c r="E2164" s="10" t="str" cm="1">
        <f t="array" ref="E2164">IF(AND(A2164="2021-02", ISNA(MATCH(B2164, _xlfn._xlws.FILTER(B:B, A:A="2021-03"), 0))), "Left", "Ativo")</f>
        <v>Ativo</v>
      </c>
      <c r="F2164" s="12" t="str" cm="1">
        <f t="array" ref="F2164">IF(AND(A2164="2021-03", ISNA(MATCH(B2164, _xlfn._xlws.FILTER(B:B, A:A="2021-04"), 0))), "Left", "Ativo")</f>
        <v>Ativo</v>
      </c>
    </row>
    <row r="2165" spans="1:6" x14ac:dyDescent="0.25">
      <c r="A2165" t="s">
        <v>1530</v>
      </c>
      <c r="B2165" t="s">
        <v>258</v>
      </c>
      <c r="C2165" s="10" t="str" cm="1">
        <f t="array" ref="C2165">IF(AND(A2165="2020-12", ISNA(MATCH(B2165, _xlfn._xlws.FILTER(B:B, A:A="2021-01"), 0))), "Left", "Ativo")</f>
        <v>Ativo</v>
      </c>
      <c r="D2165" s="10" t="str" cm="1">
        <f t="array" ref="D2165">IF(AND(A2165="2021-01", ISNA(MATCH(B2165, _xlfn._xlws.FILTER(B:B, A:A="2021-02"), 0))), "Left", "Ativo")</f>
        <v>Ativo</v>
      </c>
      <c r="E2165" s="10" t="str" cm="1">
        <f t="array" ref="E2165">IF(AND(A2165="2021-02", ISNA(MATCH(B2165, _xlfn._xlws.FILTER(B:B, A:A="2021-03"), 0))), "Left", "Ativo")</f>
        <v>Ativo</v>
      </c>
      <c r="F2165" s="12" t="str" cm="1">
        <f t="array" ref="F2165">IF(AND(A2165="2021-03", ISNA(MATCH(B2165, _xlfn._xlws.FILTER(B:B, A:A="2021-04"), 0))), "Left", "Ativo")</f>
        <v>Ativo</v>
      </c>
    </row>
    <row r="2166" spans="1:6" x14ac:dyDescent="0.25">
      <c r="A2166" t="s">
        <v>1530</v>
      </c>
      <c r="B2166" t="s">
        <v>259</v>
      </c>
      <c r="C2166" s="10" t="str" cm="1">
        <f t="array" ref="C2166">IF(AND(A2166="2020-12", ISNA(MATCH(B2166, _xlfn._xlws.FILTER(B:B, A:A="2021-01"), 0))), "Left", "Ativo")</f>
        <v>Ativo</v>
      </c>
      <c r="D2166" s="10" t="str" cm="1">
        <f t="array" ref="D2166">IF(AND(A2166="2021-01", ISNA(MATCH(B2166, _xlfn._xlws.FILTER(B:B, A:A="2021-02"), 0))), "Left", "Ativo")</f>
        <v>Ativo</v>
      </c>
      <c r="E2166" s="10" t="str" cm="1">
        <f t="array" ref="E2166">IF(AND(A2166="2021-02", ISNA(MATCH(B2166, _xlfn._xlws.FILTER(B:B, A:A="2021-03"), 0))), "Left", "Ativo")</f>
        <v>Ativo</v>
      </c>
      <c r="F2166" s="12" t="str" cm="1">
        <f t="array" ref="F2166">IF(AND(A2166="2021-03", ISNA(MATCH(B2166, _xlfn._xlws.FILTER(B:B, A:A="2021-04"), 0))), "Left", "Ativo")</f>
        <v>Ativo</v>
      </c>
    </row>
    <row r="2167" spans="1:6" x14ac:dyDescent="0.25">
      <c r="A2167" t="s">
        <v>1530</v>
      </c>
      <c r="B2167" t="s">
        <v>260</v>
      </c>
      <c r="C2167" s="10" t="str" cm="1">
        <f t="array" ref="C2167">IF(AND(A2167="2020-12", ISNA(MATCH(B2167, _xlfn._xlws.FILTER(B:B, A:A="2021-01"), 0))), "Left", "Ativo")</f>
        <v>Ativo</v>
      </c>
      <c r="D2167" s="10" t="str" cm="1">
        <f t="array" ref="D2167">IF(AND(A2167="2021-01", ISNA(MATCH(B2167, _xlfn._xlws.FILTER(B:B, A:A="2021-02"), 0))), "Left", "Ativo")</f>
        <v>Ativo</v>
      </c>
      <c r="E2167" s="10" t="str" cm="1">
        <f t="array" ref="E2167">IF(AND(A2167="2021-02", ISNA(MATCH(B2167, _xlfn._xlws.FILTER(B:B, A:A="2021-03"), 0))), "Left", "Ativo")</f>
        <v>Ativo</v>
      </c>
      <c r="F2167" s="12" t="str" cm="1">
        <f t="array" ref="F2167">IF(AND(A2167="2021-03", ISNA(MATCH(B2167, _xlfn._xlws.FILTER(B:B, A:A="2021-04"), 0))), "Left", "Ativo")</f>
        <v>Ativo</v>
      </c>
    </row>
    <row r="2168" spans="1:6" x14ac:dyDescent="0.25">
      <c r="A2168" t="s">
        <v>1530</v>
      </c>
      <c r="B2168" t="s">
        <v>261</v>
      </c>
      <c r="C2168" s="10" t="str" cm="1">
        <f t="array" ref="C2168">IF(AND(A2168="2020-12", ISNA(MATCH(B2168, _xlfn._xlws.FILTER(B:B, A:A="2021-01"), 0))), "Left", "Ativo")</f>
        <v>Ativo</v>
      </c>
      <c r="D2168" s="10" t="str" cm="1">
        <f t="array" ref="D2168">IF(AND(A2168="2021-01", ISNA(MATCH(B2168, _xlfn._xlws.FILTER(B:B, A:A="2021-02"), 0))), "Left", "Ativo")</f>
        <v>Ativo</v>
      </c>
      <c r="E2168" s="10" t="str" cm="1">
        <f t="array" ref="E2168">IF(AND(A2168="2021-02", ISNA(MATCH(B2168, _xlfn._xlws.FILTER(B:B, A:A="2021-03"), 0))), "Left", "Ativo")</f>
        <v>Ativo</v>
      </c>
      <c r="F2168" s="12" t="str" cm="1">
        <f t="array" ref="F2168">IF(AND(A2168="2021-03", ISNA(MATCH(B2168, _xlfn._xlws.FILTER(B:B, A:A="2021-04"), 0))), "Left", "Ativo")</f>
        <v>Ativo</v>
      </c>
    </row>
    <row r="2169" spans="1:6" x14ac:dyDescent="0.25">
      <c r="A2169" t="s">
        <v>1530</v>
      </c>
      <c r="B2169" t="s">
        <v>262</v>
      </c>
      <c r="C2169" s="10" t="str" cm="1">
        <f t="array" ref="C2169">IF(AND(A2169="2020-12", ISNA(MATCH(B2169, _xlfn._xlws.FILTER(B:B, A:A="2021-01"), 0))), "Left", "Ativo")</f>
        <v>Ativo</v>
      </c>
      <c r="D2169" s="10" t="str" cm="1">
        <f t="array" ref="D2169">IF(AND(A2169="2021-01", ISNA(MATCH(B2169, _xlfn._xlws.FILTER(B:B, A:A="2021-02"), 0))), "Left", "Ativo")</f>
        <v>Ativo</v>
      </c>
      <c r="E2169" s="10" t="str" cm="1">
        <f t="array" ref="E2169">IF(AND(A2169="2021-02", ISNA(MATCH(B2169, _xlfn._xlws.FILTER(B:B, A:A="2021-03"), 0))), "Left", "Ativo")</f>
        <v>Ativo</v>
      </c>
      <c r="F2169" s="12" t="str" cm="1">
        <f t="array" ref="F2169">IF(AND(A2169="2021-03", ISNA(MATCH(B2169, _xlfn._xlws.FILTER(B:B, A:A="2021-04"), 0))), "Left", "Ativo")</f>
        <v>Ativo</v>
      </c>
    </row>
    <row r="2170" spans="1:6" x14ac:dyDescent="0.25">
      <c r="A2170" t="s">
        <v>1530</v>
      </c>
      <c r="B2170" t="s">
        <v>263</v>
      </c>
      <c r="C2170" s="10" t="str" cm="1">
        <f t="array" ref="C2170">IF(AND(A2170="2020-12", ISNA(MATCH(B2170, _xlfn._xlws.FILTER(B:B, A:A="2021-01"), 0))), "Left", "Ativo")</f>
        <v>Ativo</v>
      </c>
      <c r="D2170" s="10" t="str" cm="1">
        <f t="array" ref="D2170">IF(AND(A2170="2021-01", ISNA(MATCH(B2170, _xlfn._xlws.FILTER(B:B, A:A="2021-02"), 0))), "Left", "Ativo")</f>
        <v>Ativo</v>
      </c>
      <c r="E2170" s="10" t="str" cm="1">
        <f t="array" ref="E2170">IF(AND(A2170="2021-02", ISNA(MATCH(B2170, _xlfn._xlws.FILTER(B:B, A:A="2021-03"), 0))), "Left", "Ativo")</f>
        <v>Ativo</v>
      </c>
      <c r="F2170" s="12" t="str" cm="1">
        <f t="array" ref="F2170">IF(AND(A2170="2021-03", ISNA(MATCH(B2170, _xlfn._xlws.FILTER(B:B, A:A="2021-04"), 0))), "Left", "Ativo")</f>
        <v>Ativo</v>
      </c>
    </row>
    <row r="2171" spans="1:6" x14ac:dyDescent="0.25">
      <c r="A2171" t="s">
        <v>1530</v>
      </c>
      <c r="B2171" t="s">
        <v>264</v>
      </c>
      <c r="C2171" s="10" t="str" cm="1">
        <f t="array" ref="C2171">IF(AND(A2171="2020-12", ISNA(MATCH(B2171, _xlfn._xlws.FILTER(B:B, A:A="2021-01"), 0))), "Left", "Ativo")</f>
        <v>Ativo</v>
      </c>
      <c r="D2171" s="10" t="str" cm="1">
        <f t="array" ref="D2171">IF(AND(A2171="2021-01", ISNA(MATCH(B2171, _xlfn._xlws.FILTER(B:B, A:A="2021-02"), 0))), "Left", "Ativo")</f>
        <v>Ativo</v>
      </c>
      <c r="E2171" s="10" t="str" cm="1">
        <f t="array" ref="E2171">IF(AND(A2171="2021-02", ISNA(MATCH(B2171, _xlfn._xlws.FILTER(B:B, A:A="2021-03"), 0))), "Left", "Ativo")</f>
        <v>Ativo</v>
      </c>
      <c r="F2171" s="12" t="str" cm="1">
        <f t="array" ref="F2171">IF(AND(A2171="2021-03", ISNA(MATCH(B2171, _xlfn._xlws.FILTER(B:B, A:A="2021-04"), 0))), "Left", "Ativo")</f>
        <v>Ativo</v>
      </c>
    </row>
    <row r="2172" spans="1:6" x14ac:dyDescent="0.25">
      <c r="A2172" t="s">
        <v>1530</v>
      </c>
      <c r="B2172" t="s">
        <v>265</v>
      </c>
      <c r="C2172" s="10" t="str" cm="1">
        <f t="array" ref="C2172">IF(AND(A2172="2020-12", ISNA(MATCH(B2172, _xlfn._xlws.FILTER(B:B, A:A="2021-01"), 0))), "Left", "Ativo")</f>
        <v>Ativo</v>
      </c>
      <c r="D2172" s="10" t="str" cm="1">
        <f t="array" ref="D2172">IF(AND(A2172="2021-01", ISNA(MATCH(B2172, _xlfn._xlws.FILTER(B:B, A:A="2021-02"), 0))), "Left", "Ativo")</f>
        <v>Ativo</v>
      </c>
      <c r="E2172" s="10" t="str" cm="1">
        <f t="array" ref="E2172">IF(AND(A2172="2021-02", ISNA(MATCH(B2172, _xlfn._xlws.FILTER(B:B, A:A="2021-03"), 0))), "Left", "Ativo")</f>
        <v>Ativo</v>
      </c>
      <c r="F2172" s="12" t="str" cm="1">
        <f t="array" ref="F2172">IF(AND(A2172="2021-03", ISNA(MATCH(B2172, _xlfn._xlws.FILTER(B:B, A:A="2021-04"), 0))), "Left", "Ativo")</f>
        <v>Ativo</v>
      </c>
    </row>
    <row r="2173" spans="1:6" x14ac:dyDescent="0.25">
      <c r="A2173" t="s">
        <v>1530</v>
      </c>
      <c r="B2173" t="s">
        <v>266</v>
      </c>
      <c r="C2173" s="10" t="str" cm="1">
        <f t="array" ref="C2173">IF(AND(A2173="2020-12", ISNA(MATCH(B2173, _xlfn._xlws.FILTER(B:B, A:A="2021-01"), 0))), "Left", "Ativo")</f>
        <v>Ativo</v>
      </c>
      <c r="D2173" s="10" t="str" cm="1">
        <f t="array" ref="D2173">IF(AND(A2173="2021-01", ISNA(MATCH(B2173, _xlfn._xlws.FILTER(B:B, A:A="2021-02"), 0))), "Left", "Ativo")</f>
        <v>Ativo</v>
      </c>
      <c r="E2173" s="10" t="str" cm="1">
        <f t="array" ref="E2173">IF(AND(A2173="2021-02", ISNA(MATCH(B2173, _xlfn._xlws.FILTER(B:B, A:A="2021-03"), 0))), "Left", "Ativo")</f>
        <v>Ativo</v>
      </c>
      <c r="F2173" s="12" t="str" cm="1">
        <f t="array" ref="F2173">IF(AND(A2173="2021-03", ISNA(MATCH(B2173, _xlfn._xlws.FILTER(B:B, A:A="2021-04"), 0))), "Left", "Ativo")</f>
        <v>Ativo</v>
      </c>
    </row>
    <row r="2174" spans="1:6" x14ac:dyDescent="0.25">
      <c r="A2174" t="s">
        <v>1530</v>
      </c>
      <c r="B2174" t="s">
        <v>267</v>
      </c>
      <c r="C2174" s="10" t="str" cm="1">
        <f t="array" ref="C2174">IF(AND(A2174="2020-12", ISNA(MATCH(B2174, _xlfn._xlws.FILTER(B:B, A:A="2021-01"), 0))), "Left", "Ativo")</f>
        <v>Ativo</v>
      </c>
      <c r="D2174" s="10" t="str" cm="1">
        <f t="array" ref="D2174">IF(AND(A2174="2021-01", ISNA(MATCH(B2174, _xlfn._xlws.FILTER(B:B, A:A="2021-02"), 0))), "Left", "Ativo")</f>
        <v>Ativo</v>
      </c>
      <c r="E2174" s="10" t="str" cm="1">
        <f t="array" ref="E2174">IF(AND(A2174="2021-02", ISNA(MATCH(B2174, _xlfn._xlws.FILTER(B:B, A:A="2021-03"), 0))), "Left", "Ativo")</f>
        <v>Ativo</v>
      </c>
      <c r="F2174" s="12" t="str" cm="1">
        <f t="array" ref="F2174">IF(AND(A2174="2021-03", ISNA(MATCH(B2174, _xlfn._xlws.FILTER(B:B, A:A="2021-04"), 0))), "Left", "Ativo")</f>
        <v>Ativo</v>
      </c>
    </row>
    <row r="2175" spans="1:6" x14ac:dyDescent="0.25">
      <c r="A2175" t="s">
        <v>1530</v>
      </c>
      <c r="B2175" t="s">
        <v>268</v>
      </c>
      <c r="C2175" s="10" t="str" cm="1">
        <f t="array" ref="C2175">IF(AND(A2175="2020-12", ISNA(MATCH(B2175, _xlfn._xlws.FILTER(B:B, A:A="2021-01"), 0))), "Left", "Ativo")</f>
        <v>Ativo</v>
      </c>
      <c r="D2175" s="10" t="str" cm="1">
        <f t="array" ref="D2175">IF(AND(A2175="2021-01", ISNA(MATCH(B2175, _xlfn._xlws.FILTER(B:B, A:A="2021-02"), 0))), "Left", "Ativo")</f>
        <v>Ativo</v>
      </c>
      <c r="E2175" s="10" t="str" cm="1">
        <f t="array" ref="E2175">IF(AND(A2175="2021-02", ISNA(MATCH(B2175, _xlfn._xlws.FILTER(B:B, A:A="2021-03"), 0))), "Left", "Ativo")</f>
        <v>Ativo</v>
      </c>
      <c r="F2175" s="12" t="str" cm="1">
        <f t="array" ref="F2175">IF(AND(A2175="2021-03", ISNA(MATCH(B2175, _xlfn._xlws.FILTER(B:B, A:A="2021-04"), 0))), "Left", "Ativo")</f>
        <v>Ativo</v>
      </c>
    </row>
    <row r="2176" spans="1:6" x14ac:dyDescent="0.25">
      <c r="A2176" t="s">
        <v>1530</v>
      </c>
      <c r="B2176" t="s">
        <v>269</v>
      </c>
      <c r="C2176" s="10" t="str" cm="1">
        <f t="array" ref="C2176">IF(AND(A2176="2020-12", ISNA(MATCH(B2176, _xlfn._xlws.FILTER(B:B, A:A="2021-01"), 0))), "Left", "Ativo")</f>
        <v>Ativo</v>
      </c>
      <c r="D2176" s="10" t="str" cm="1">
        <f t="array" ref="D2176">IF(AND(A2176="2021-01", ISNA(MATCH(B2176, _xlfn._xlws.FILTER(B:B, A:A="2021-02"), 0))), "Left", "Ativo")</f>
        <v>Ativo</v>
      </c>
      <c r="E2176" s="10" t="str" cm="1">
        <f t="array" ref="E2176">IF(AND(A2176="2021-02", ISNA(MATCH(B2176, _xlfn._xlws.FILTER(B:B, A:A="2021-03"), 0))), "Left", "Ativo")</f>
        <v>Ativo</v>
      </c>
      <c r="F2176" s="12" t="str" cm="1">
        <f t="array" ref="F2176">IF(AND(A2176="2021-03", ISNA(MATCH(B2176, _xlfn._xlws.FILTER(B:B, A:A="2021-04"), 0))), "Left", "Ativo")</f>
        <v>Ativo</v>
      </c>
    </row>
    <row r="2177" spans="1:6" x14ac:dyDescent="0.25">
      <c r="A2177" t="s">
        <v>1530</v>
      </c>
      <c r="B2177" t="s">
        <v>270</v>
      </c>
      <c r="C2177" s="10" t="str" cm="1">
        <f t="array" ref="C2177">IF(AND(A2177="2020-12", ISNA(MATCH(B2177, _xlfn._xlws.FILTER(B:B, A:A="2021-01"), 0))), "Left", "Ativo")</f>
        <v>Ativo</v>
      </c>
      <c r="D2177" s="10" t="str" cm="1">
        <f t="array" ref="D2177">IF(AND(A2177="2021-01", ISNA(MATCH(B2177, _xlfn._xlws.FILTER(B:B, A:A="2021-02"), 0))), "Left", "Ativo")</f>
        <v>Ativo</v>
      </c>
      <c r="E2177" s="10" t="str" cm="1">
        <f t="array" ref="E2177">IF(AND(A2177="2021-02", ISNA(MATCH(B2177, _xlfn._xlws.FILTER(B:B, A:A="2021-03"), 0))), "Left", "Ativo")</f>
        <v>Ativo</v>
      </c>
      <c r="F2177" s="12" t="str" cm="1">
        <f t="array" ref="F2177">IF(AND(A2177="2021-03", ISNA(MATCH(B2177, _xlfn._xlws.FILTER(B:B, A:A="2021-04"), 0))), "Left", "Ativo")</f>
        <v>Ativo</v>
      </c>
    </row>
    <row r="2178" spans="1:6" x14ac:dyDescent="0.25">
      <c r="A2178" t="s">
        <v>1530</v>
      </c>
      <c r="B2178" t="s">
        <v>271</v>
      </c>
      <c r="C2178" s="10" t="str" cm="1">
        <f t="array" ref="C2178">IF(AND(A2178="2020-12", ISNA(MATCH(B2178, _xlfn._xlws.FILTER(B:B, A:A="2021-01"), 0))), "Left", "Ativo")</f>
        <v>Ativo</v>
      </c>
      <c r="D2178" s="10" t="str" cm="1">
        <f t="array" ref="D2178">IF(AND(A2178="2021-01", ISNA(MATCH(B2178, _xlfn._xlws.FILTER(B:B, A:A="2021-02"), 0))), "Left", "Ativo")</f>
        <v>Ativo</v>
      </c>
      <c r="E2178" s="10" t="str" cm="1">
        <f t="array" ref="E2178">IF(AND(A2178="2021-02", ISNA(MATCH(B2178, _xlfn._xlws.FILTER(B:B, A:A="2021-03"), 0))), "Left", "Ativo")</f>
        <v>Ativo</v>
      </c>
      <c r="F2178" s="12" t="str" cm="1">
        <f t="array" ref="F2178">IF(AND(A2178="2021-03", ISNA(MATCH(B2178, _xlfn._xlws.FILTER(B:B, A:A="2021-04"), 0))), "Left", "Ativo")</f>
        <v>Ativo</v>
      </c>
    </row>
    <row r="2179" spans="1:6" x14ac:dyDescent="0.25">
      <c r="A2179" t="s">
        <v>1530</v>
      </c>
      <c r="B2179" t="s">
        <v>272</v>
      </c>
      <c r="C2179" s="10" t="str" cm="1">
        <f t="array" ref="C2179">IF(AND(A2179="2020-12", ISNA(MATCH(B2179, _xlfn._xlws.FILTER(B:B, A:A="2021-01"), 0))), "Left", "Ativo")</f>
        <v>Ativo</v>
      </c>
      <c r="D2179" s="10" t="str" cm="1">
        <f t="array" ref="D2179">IF(AND(A2179="2021-01", ISNA(MATCH(B2179, _xlfn._xlws.FILTER(B:B, A:A="2021-02"), 0))), "Left", "Ativo")</f>
        <v>Ativo</v>
      </c>
      <c r="E2179" s="10" t="str" cm="1">
        <f t="array" ref="E2179">IF(AND(A2179="2021-02", ISNA(MATCH(B2179, _xlfn._xlws.FILTER(B:B, A:A="2021-03"), 0))), "Left", "Ativo")</f>
        <v>Left</v>
      </c>
      <c r="F2179" s="12" t="str" cm="1">
        <f t="array" ref="F2179">IF(AND(A2179="2021-03", ISNA(MATCH(B2179, _xlfn._xlws.FILTER(B:B, A:A="2021-04"), 0))), "Left", "Ativo")</f>
        <v>Ativo</v>
      </c>
    </row>
    <row r="2180" spans="1:6" x14ac:dyDescent="0.25">
      <c r="A2180" t="s">
        <v>1530</v>
      </c>
      <c r="B2180" t="s">
        <v>273</v>
      </c>
      <c r="C2180" s="10" t="str" cm="1">
        <f t="array" ref="C2180">IF(AND(A2180="2020-12", ISNA(MATCH(B2180, _xlfn._xlws.FILTER(B:B, A:A="2021-01"), 0))), "Left", "Ativo")</f>
        <v>Ativo</v>
      </c>
      <c r="D2180" s="10" t="str" cm="1">
        <f t="array" ref="D2180">IF(AND(A2180="2021-01", ISNA(MATCH(B2180, _xlfn._xlws.FILTER(B:B, A:A="2021-02"), 0))), "Left", "Ativo")</f>
        <v>Ativo</v>
      </c>
      <c r="E2180" s="10" t="str" cm="1">
        <f t="array" ref="E2180">IF(AND(A2180="2021-02", ISNA(MATCH(B2180, _xlfn._xlws.FILTER(B:B, A:A="2021-03"), 0))), "Left", "Ativo")</f>
        <v>Ativo</v>
      </c>
      <c r="F2180" s="12" t="str" cm="1">
        <f t="array" ref="F2180">IF(AND(A2180="2021-03", ISNA(MATCH(B2180, _xlfn._xlws.FILTER(B:B, A:A="2021-04"), 0))), "Left", "Ativo")</f>
        <v>Ativo</v>
      </c>
    </row>
    <row r="2181" spans="1:6" x14ac:dyDescent="0.25">
      <c r="A2181" t="s">
        <v>1530</v>
      </c>
      <c r="B2181" t="s">
        <v>274</v>
      </c>
      <c r="C2181" s="10" t="str" cm="1">
        <f t="array" ref="C2181">IF(AND(A2181="2020-12", ISNA(MATCH(B2181, _xlfn._xlws.FILTER(B:B, A:A="2021-01"), 0))), "Left", "Ativo")</f>
        <v>Ativo</v>
      </c>
      <c r="D2181" s="10" t="str" cm="1">
        <f t="array" ref="D2181">IF(AND(A2181="2021-01", ISNA(MATCH(B2181, _xlfn._xlws.FILTER(B:B, A:A="2021-02"), 0))), "Left", "Ativo")</f>
        <v>Ativo</v>
      </c>
      <c r="E2181" s="10" t="str" cm="1">
        <f t="array" ref="E2181">IF(AND(A2181="2021-02", ISNA(MATCH(B2181, _xlfn._xlws.FILTER(B:B, A:A="2021-03"), 0))), "Left", "Ativo")</f>
        <v>Ativo</v>
      </c>
      <c r="F2181" s="12" t="str" cm="1">
        <f t="array" ref="F2181">IF(AND(A2181="2021-03", ISNA(MATCH(B2181, _xlfn._xlws.FILTER(B:B, A:A="2021-04"), 0))), "Left", "Ativo")</f>
        <v>Ativo</v>
      </c>
    </row>
    <row r="2182" spans="1:6" x14ac:dyDescent="0.25">
      <c r="A2182" t="s">
        <v>1530</v>
      </c>
      <c r="B2182" t="s">
        <v>275</v>
      </c>
      <c r="C2182" s="10" t="str" cm="1">
        <f t="array" ref="C2182">IF(AND(A2182="2020-12", ISNA(MATCH(B2182, _xlfn._xlws.FILTER(B:B, A:A="2021-01"), 0))), "Left", "Ativo")</f>
        <v>Ativo</v>
      </c>
      <c r="D2182" s="10" t="str" cm="1">
        <f t="array" ref="D2182">IF(AND(A2182="2021-01", ISNA(MATCH(B2182, _xlfn._xlws.FILTER(B:B, A:A="2021-02"), 0))), "Left", "Ativo")</f>
        <v>Ativo</v>
      </c>
      <c r="E2182" s="10" t="str" cm="1">
        <f t="array" ref="E2182">IF(AND(A2182="2021-02", ISNA(MATCH(B2182, _xlfn._xlws.FILTER(B:B, A:A="2021-03"), 0))), "Left", "Ativo")</f>
        <v>Ativo</v>
      </c>
      <c r="F2182" s="12" t="str" cm="1">
        <f t="array" ref="F2182">IF(AND(A2182="2021-03", ISNA(MATCH(B2182, _xlfn._xlws.FILTER(B:B, A:A="2021-04"), 0))), "Left", "Ativo")</f>
        <v>Ativo</v>
      </c>
    </row>
    <row r="2183" spans="1:6" x14ac:dyDescent="0.25">
      <c r="A2183" t="s">
        <v>1530</v>
      </c>
      <c r="B2183" t="s">
        <v>276</v>
      </c>
      <c r="C2183" s="10" t="str" cm="1">
        <f t="array" ref="C2183">IF(AND(A2183="2020-12", ISNA(MATCH(B2183, _xlfn._xlws.FILTER(B:B, A:A="2021-01"), 0))), "Left", "Ativo")</f>
        <v>Ativo</v>
      </c>
      <c r="D2183" s="10" t="str" cm="1">
        <f t="array" ref="D2183">IF(AND(A2183="2021-01", ISNA(MATCH(B2183, _xlfn._xlws.FILTER(B:B, A:A="2021-02"), 0))), "Left", "Ativo")</f>
        <v>Ativo</v>
      </c>
      <c r="E2183" s="10" t="str" cm="1">
        <f t="array" ref="E2183">IF(AND(A2183="2021-02", ISNA(MATCH(B2183, _xlfn._xlws.FILTER(B:B, A:A="2021-03"), 0))), "Left", "Ativo")</f>
        <v>Ativo</v>
      </c>
      <c r="F2183" s="12" t="str" cm="1">
        <f t="array" ref="F2183">IF(AND(A2183="2021-03", ISNA(MATCH(B2183, _xlfn._xlws.FILTER(B:B, A:A="2021-04"), 0))), "Left", "Ativo")</f>
        <v>Ativo</v>
      </c>
    </row>
    <row r="2184" spans="1:6" x14ac:dyDescent="0.25">
      <c r="A2184" t="s">
        <v>1530</v>
      </c>
      <c r="B2184" t="s">
        <v>277</v>
      </c>
      <c r="C2184" s="10" t="str" cm="1">
        <f t="array" ref="C2184">IF(AND(A2184="2020-12", ISNA(MATCH(B2184, _xlfn._xlws.FILTER(B:B, A:A="2021-01"), 0))), "Left", "Ativo")</f>
        <v>Ativo</v>
      </c>
      <c r="D2184" s="10" t="str" cm="1">
        <f t="array" ref="D2184">IF(AND(A2184="2021-01", ISNA(MATCH(B2184, _xlfn._xlws.FILTER(B:B, A:A="2021-02"), 0))), "Left", "Ativo")</f>
        <v>Ativo</v>
      </c>
      <c r="E2184" s="10" t="str" cm="1">
        <f t="array" ref="E2184">IF(AND(A2184="2021-02", ISNA(MATCH(B2184, _xlfn._xlws.FILTER(B:B, A:A="2021-03"), 0))), "Left", "Ativo")</f>
        <v>Ativo</v>
      </c>
      <c r="F2184" s="12" t="str" cm="1">
        <f t="array" ref="F2184">IF(AND(A2184="2021-03", ISNA(MATCH(B2184, _xlfn._xlws.FILTER(B:B, A:A="2021-04"), 0))), "Left", "Ativo")</f>
        <v>Ativo</v>
      </c>
    </row>
    <row r="2185" spans="1:6" x14ac:dyDescent="0.25">
      <c r="A2185" t="s">
        <v>1530</v>
      </c>
      <c r="B2185" t="s">
        <v>278</v>
      </c>
      <c r="C2185" s="10" t="str" cm="1">
        <f t="array" ref="C2185">IF(AND(A2185="2020-12", ISNA(MATCH(B2185, _xlfn._xlws.FILTER(B:B, A:A="2021-01"), 0))), "Left", "Ativo")</f>
        <v>Ativo</v>
      </c>
      <c r="D2185" s="10" t="str" cm="1">
        <f t="array" ref="D2185">IF(AND(A2185="2021-01", ISNA(MATCH(B2185, _xlfn._xlws.FILTER(B:B, A:A="2021-02"), 0))), "Left", "Ativo")</f>
        <v>Ativo</v>
      </c>
      <c r="E2185" s="10" t="str" cm="1">
        <f t="array" ref="E2185">IF(AND(A2185="2021-02", ISNA(MATCH(B2185, _xlfn._xlws.FILTER(B:B, A:A="2021-03"), 0))), "Left", "Ativo")</f>
        <v>Ativo</v>
      </c>
      <c r="F2185" s="12" t="str" cm="1">
        <f t="array" ref="F2185">IF(AND(A2185="2021-03", ISNA(MATCH(B2185, _xlfn._xlws.FILTER(B:B, A:A="2021-04"), 0))), "Left", "Ativo")</f>
        <v>Ativo</v>
      </c>
    </row>
    <row r="2186" spans="1:6" x14ac:dyDescent="0.25">
      <c r="A2186" t="s">
        <v>1530</v>
      </c>
      <c r="B2186" t="s">
        <v>279</v>
      </c>
      <c r="C2186" s="10" t="str" cm="1">
        <f t="array" ref="C2186">IF(AND(A2186="2020-12", ISNA(MATCH(B2186, _xlfn._xlws.FILTER(B:B, A:A="2021-01"), 0))), "Left", "Ativo")</f>
        <v>Ativo</v>
      </c>
      <c r="D2186" s="10" t="str" cm="1">
        <f t="array" ref="D2186">IF(AND(A2186="2021-01", ISNA(MATCH(B2186, _xlfn._xlws.FILTER(B:B, A:A="2021-02"), 0))), "Left", "Ativo")</f>
        <v>Ativo</v>
      </c>
      <c r="E2186" s="10" t="str" cm="1">
        <f t="array" ref="E2186">IF(AND(A2186="2021-02", ISNA(MATCH(B2186, _xlfn._xlws.FILTER(B:B, A:A="2021-03"), 0))), "Left", "Ativo")</f>
        <v>Ativo</v>
      </c>
      <c r="F2186" s="12" t="str" cm="1">
        <f t="array" ref="F2186">IF(AND(A2186="2021-03", ISNA(MATCH(B2186, _xlfn._xlws.FILTER(B:B, A:A="2021-04"), 0))), "Left", "Ativo")</f>
        <v>Ativo</v>
      </c>
    </row>
    <row r="2187" spans="1:6" x14ac:dyDescent="0.25">
      <c r="A2187" t="s">
        <v>1530</v>
      </c>
      <c r="B2187" t="s">
        <v>280</v>
      </c>
      <c r="C2187" s="10" t="str" cm="1">
        <f t="array" ref="C2187">IF(AND(A2187="2020-12", ISNA(MATCH(B2187, _xlfn._xlws.FILTER(B:B, A:A="2021-01"), 0))), "Left", "Ativo")</f>
        <v>Ativo</v>
      </c>
      <c r="D2187" s="10" t="str" cm="1">
        <f t="array" ref="D2187">IF(AND(A2187="2021-01", ISNA(MATCH(B2187, _xlfn._xlws.FILTER(B:B, A:A="2021-02"), 0))), "Left", "Ativo")</f>
        <v>Ativo</v>
      </c>
      <c r="E2187" s="10" t="str" cm="1">
        <f t="array" ref="E2187">IF(AND(A2187="2021-02", ISNA(MATCH(B2187, _xlfn._xlws.FILTER(B:B, A:A="2021-03"), 0))), "Left", "Ativo")</f>
        <v>Ativo</v>
      </c>
      <c r="F2187" s="12" t="str" cm="1">
        <f t="array" ref="F2187">IF(AND(A2187="2021-03", ISNA(MATCH(B2187, _xlfn._xlws.FILTER(B:B, A:A="2021-04"), 0))), "Left", "Ativo")</f>
        <v>Ativo</v>
      </c>
    </row>
    <row r="2188" spans="1:6" x14ac:dyDescent="0.25">
      <c r="A2188" t="s">
        <v>1530</v>
      </c>
      <c r="B2188" t="s">
        <v>281</v>
      </c>
      <c r="C2188" s="10" t="str" cm="1">
        <f t="array" ref="C2188">IF(AND(A2188="2020-12", ISNA(MATCH(B2188, _xlfn._xlws.FILTER(B:B, A:A="2021-01"), 0))), "Left", "Ativo")</f>
        <v>Ativo</v>
      </c>
      <c r="D2188" s="10" t="str" cm="1">
        <f t="array" ref="D2188">IF(AND(A2188="2021-01", ISNA(MATCH(B2188, _xlfn._xlws.FILTER(B:B, A:A="2021-02"), 0))), "Left", "Ativo")</f>
        <v>Ativo</v>
      </c>
      <c r="E2188" s="10" t="str" cm="1">
        <f t="array" ref="E2188">IF(AND(A2188="2021-02", ISNA(MATCH(B2188, _xlfn._xlws.FILTER(B:B, A:A="2021-03"), 0))), "Left", "Ativo")</f>
        <v>Ativo</v>
      </c>
      <c r="F2188" s="12" t="str" cm="1">
        <f t="array" ref="F2188">IF(AND(A2188="2021-03", ISNA(MATCH(B2188, _xlfn._xlws.FILTER(B:B, A:A="2021-04"), 0))), "Left", "Ativo")</f>
        <v>Ativo</v>
      </c>
    </row>
    <row r="2189" spans="1:6" x14ac:dyDescent="0.25">
      <c r="A2189" t="s">
        <v>1530</v>
      </c>
      <c r="B2189" t="s">
        <v>282</v>
      </c>
      <c r="C2189" s="10" t="str" cm="1">
        <f t="array" ref="C2189">IF(AND(A2189="2020-12", ISNA(MATCH(B2189, _xlfn._xlws.FILTER(B:B, A:A="2021-01"), 0))), "Left", "Ativo")</f>
        <v>Ativo</v>
      </c>
      <c r="D2189" s="10" t="str" cm="1">
        <f t="array" ref="D2189">IF(AND(A2189="2021-01", ISNA(MATCH(B2189, _xlfn._xlws.FILTER(B:B, A:A="2021-02"), 0))), "Left", "Ativo")</f>
        <v>Ativo</v>
      </c>
      <c r="E2189" s="10" t="str" cm="1">
        <f t="array" ref="E2189">IF(AND(A2189="2021-02", ISNA(MATCH(B2189, _xlfn._xlws.FILTER(B:B, A:A="2021-03"), 0))), "Left", "Ativo")</f>
        <v>Ativo</v>
      </c>
      <c r="F2189" s="12" t="str" cm="1">
        <f t="array" ref="F2189">IF(AND(A2189="2021-03", ISNA(MATCH(B2189, _xlfn._xlws.FILTER(B:B, A:A="2021-04"), 0))), "Left", "Ativo")</f>
        <v>Ativo</v>
      </c>
    </row>
    <row r="2190" spans="1:6" x14ac:dyDescent="0.25">
      <c r="A2190" t="s">
        <v>1530</v>
      </c>
      <c r="B2190" t="s">
        <v>283</v>
      </c>
      <c r="C2190" s="10" t="str" cm="1">
        <f t="array" ref="C2190">IF(AND(A2190="2020-12", ISNA(MATCH(B2190, _xlfn._xlws.FILTER(B:B, A:A="2021-01"), 0))), "Left", "Ativo")</f>
        <v>Ativo</v>
      </c>
      <c r="D2190" s="10" t="str" cm="1">
        <f t="array" ref="D2190">IF(AND(A2190="2021-01", ISNA(MATCH(B2190, _xlfn._xlws.FILTER(B:B, A:A="2021-02"), 0))), "Left", "Ativo")</f>
        <v>Ativo</v>
      </c>
      <c r="E2190" s="10" t="str" cm="1">
        <f t="array" ref="E2190">IF(AND(A2190="2021-02", ISNA(MATCH(B2190, _xlfn._xlws.FILTER(B:B, A:A="2021-03"), 0))), "Left", "Ativo")</f>
        <v>Ativo</v>
      </c>
      <c r="F2190" s="12" t="str" cm="1">
        <f t="array" ref="F2190">IF(AND(A2190="2021-03", ISNA(MATCH(B2190, _xlfn._xlws.FILTER(B:B, A:A="2021-04"), 0))), "Left", "Ativo")</f>
        <v>Ativo</v>
      </c>
    </row>
    <row r="2191" spans="1:6" x14ac:dyDescent="0.25">
      <c r="A2191" t="s">
        <v>1530</v>
      </c>
      <c r="B2191" t="s">
        <v>284</v>
      </c>
      <c r="C2191" s="10" t="str" cm="1">
        <f t="array" ref="C2191">IF(AND(A2191="2020-12", ISNA(MATCH(B2191, _xlfn._xlws.FILTER(B:B, A:A="2021-01"), 0))), "Left", "Ativo")</f>
        <v>Ativo</v>
      </c>
      <c r="D2191" s="10" t="str" cm="1">
        <f t="array" ref="D2191">IF(AND(A2191="2021-01", ISNA(MATCH(B2191, _xlfn._xlws.FILTER(B:B, A:A="2021-02"), 0))), "Left", "Ativo")</f>
        <v>Ativo</v>
      </c>
      <c r="E2191" s="10" t="str" cm="1">
        <f t="array" ref="E2191">IF(AND(A2191="2021-02", ISNA(MATCH(B2191, _xlfn._xlws.FILTER(B:B, A:A="2021-03"), 0))), "Left", "Ativo")</f>
        <v>Ativo</v>
      </c>
      <c r="F2191" s="12" t="str" cm="1">
        <f t="array" ref="F2191">IF(AND(A2191="2021-03", ISNA(MATCH(B2191, _xlfn._xlws.FILTER(B:B, A:A="2021-04"), 0))), "Left", "Ativo")</f>
        <v>Ativo</v>
      </c>
    </row>
    <row r="2192" spans="1:6" x14ac:dyDescent="0.25">
      <c r="A2192" t="s">
        <v>1530</v>
      </c>
      <c r="B2192" t="s">
        <v>285</v>
      </c>
      <c r="C2192" s="10" t="str" cm="1">
        <f t="array" ref="C2192">IF(AND(A2192="2020-12", ISNA(MATCH(B2192, _xlfn._xlws.FILTER(B:B, A:A="2021-01"), 0))), "Left", "Ativo")</f>
        <v>Ativo</v>
      </c>
      <c r="D2192" s="10" t="str" cm="1">
        <f t="array" ref="D2192">IF(AND(A2192="2021-01", ISNA(MATCH(B2192, _xlfn._xlws.FILTER(B:B, A:A="2021-02"), 0))), "Left", "Ativo")</f>
        <v>Ativo</v>
      </c>
      <c r="E2192" s="10" t="str" cm="1">
        <f t="array" ref="E2192">IF(AND(A2192="2021-02", ISNA(MATCH(B2192, _xlfn._xlws.FILTER(B:B, A:A="2021-03"), 0))), "Left", "Ativo")</f>
        <v>Ativo</v>
      </c>
      <c r="F2192" s="12" t="str" cm="1">
        <f t="array" ref="F2192">IF(AND(A2192="2021-03", ISNA(MATCH(B2192, _xlfn._xlws.FILTER(B:B, A:A="2021-04"), 0))), "Left", "Ativo")</f>
        <v>Ativo</v>
      </c>
    </row>
    <row r="2193" spans="1:6" x14ac:dyDescent="0.25">
      <c r="A2193" t="s">
        <v>1530</v>
      </c>
      <c r="B2193" t="s">
        <v>286</v>
      </c>
      <c r="C2193" s="10" t="str" cm="1">
        <f t="array" ref="C2193">IF(AND(A2193="2020-12", ISNA(MATCH(B2193, _xlfn._xlws.FILTER(B:B, A:A="2021-01"), 0))), "Left", "Ativo")</f>
        <v>Ativo</v>
      </c>
      <c r="D2193" s="10" t="str" cm="1">
        <f t="array" ref="D2193">IF(AND(A2193="2021-01", ISNA(MATCH(B2193, _xlfn._xlws.FILTER(B:B, A:A="2021-02"), 0))), "Left", "Ativo")</f>
        <v>Ativo</v>
      </c>
      <c r="E2193" s="10" t="str" cm="1">
        <f t="array" ref="E2193">IF(AND(A2193="2021-02", ISNA(MATCH(B2193, _xlfn._xlws.FILTER(B:B, A:A="2021-03"), 0))), "Left", "Ativo")</f>
        <v>Ativo</v>
      </c>
      <c r="F2193" s="12" t="str" cm="1">
        <f t="array" ref="F2193">IF(AND(A2193="2021-03", ISNA(MATCH(B2193, _xlfn._xlws.FILTER(B:B, A:A="2021-04"), 0))), "Left", "Ativo")</f>
        <v>Ativo</v>
      </c>
    </row>
    <row r="2194" spans="1:6" x14ac:dyDescent="0.25">
      <c r="A2194" t="s">
        <v>1530</v>
      </c>
      <c r="B2194" t="s">
        <v>287</v>
      </c>
      <c r="C2194" s="10" t="str" cm="1">
        <f t="array" ref="C2194">IF(AND(A2194="2020-12", ISNA(MATCH(B2194, _xlfn._xlws.FILTER(B:B, A:A="2021-01"), 0))), "Left", "Ativo")</f>
        <v>Ativo</v>
      </c>
      <c r="D2194" s="10" t="str" cm="1">
        <f t="array" ref="D2194">IF(AND(A2194="2021-01", ISNA(MATCH(B2194, _xlfn._xlws.FILTER(B:B, A:A="2021-02"), 0))), "Left", "Ativo")</f>
        <v>Ativo</v>
      </c>
      <c r="E2194" s="10" t="str" cm="1">
        <f t="array" ref="E2194">IF(AND(A2194="2021-02", ISNA(MATCH(B2194, _xlfn._xlws.FILTER(B:B, A:A="2021-03"), 0))), "Left", "Ativo")</f>
        <v>Ativo</v>
      </c>
      <c r="F2194" s="12" t="str" cm="1">
        <f t="array" ref="F2194">IF(AND(A2194="2021-03", ISNA(MATCH(B2194, _xlfn._xlws.FILTER(B:B, A:A="2021-04"), 0))), "Left", "Ativo")</f>
        <v>Ativo</v>
      </c>
    </row>
    <row r="2195" spans="1:6" x14ac:dyDescent="0.25">
      <c r="A2195" t="s">
        <v>1530</v>
      </c>
      <c r="B2195" t="s">
        <v>288</v>
      </c>
      <c r="C2195" s="10" t="str" cm="1">
        <f t="array" ref="C2195">IF(AND(A2195="2020-12", ISNA(MATCH(B2195, _xlfn._xlws.FILTER(B:B, A:A="2021-01"), 0))), "Left", "Ativo")</f>
        <v>Ativo</v>
      </c>
      <c r="D2195" s="10" t="str" cm="1">
        <f t="array" ref="D2195">IF(AND(A2195="2021-01", ISNA(MATCH(B2195, _xlfn._xlws.FILTER(B:B, A:A="2021-02"), 0))), "Left", "Ativo")</f>
        <v>Ativo</v>
      </c>
      <c r="E2195" s="10" t="str" cm="1">
        <f t="array" ref="E2195">IF(AND(A2195="2021-02", ISNA(MATCH(B2195, _xlfn._xlws.FILTER(B:B, A:A="2021-03"), 0))), "Left", "Ativo")</f>
        <v>Ativo</v>
      </c>
      <c r="F2195" s="12" t="str" cm="1">
        <f t="array" ref="F2195">IF(AND(A2195="2021-03", ISNA(MATCH(B2195, _xlfn._xlws.FILTER(B:B, A:A="2021-04"), 0))), "Left", "Ativo")</f>
        <v>Ativo</v>
      </c>
    </row>
    <row r="2196" spans="1:6" x14ac:dyDescent="0.25">
      <c r="A2196" t="s">
        <v>1530</v>
      </c>
      <c r="B2196" t="s">
        <v>289</v>
      </c>
      <c r="C2196" s="10" t="str" cm="1">
        <f t="array" ref="C2196">IF(AND(A2196="2020-12", ISNA(MATCH(B2196, _xlfn._xlws.FILTER(B:B, A:A="2021-01"), 0))), "Left", "Ativo")</f>
        <v>Ativo</v>
      </c>
      <c r="D2196" s="10" t="str" cm="1">
        <f t="array" ref="D2196">IF(AND(A2196="2021-01", ISNA(MATCH(B2196, _xlfn._xlws.FILTER(B:B, A:A="2021-02"), 0))), "Left", "Ativo")</f>
        <v>Ativo</v>
      </c>
      <c r="E2196" s="10" t="str" cm="1">
        <f t="array" ref="E2196">IF(AND(A2196="2021-02", ISNA(MATCH(B2196, _xlfn._xlws.FILTER(B:B, A:A="2021-03"), 0))), "Left", "Ativo")</f>
        <v>Ativo</v>
      </c>
      <c r="F2196" s="12" t="str" cm="1">
        <f t="array" ref="F2196">IF(AND(A2196="2021-03", ISNA(MATCH(B2196, _xlfn._xlws.FILTER(B:B, A:A="2021-04"), 0))), "Left", "Ativo")</f>
        <v>Ativo</v>
      </c>
    </row>
    <row r="2197" spans="1:6" x14ac:dyDescent="0.25">
      <c r="A2197" t="s">
        <v>1530</v>
      </c>
      <c r="B2197" t="s">
        <v>290</v>
      </c>
      <c r="C2197" s="10" t="str" cm="1">
        <f t="array" ref="C2197">IF(AND(A2197="2020-12", ISNA(MATCH(B2197, _xlfn._xlws.FILTER(B:B, A:A="2021-01"), 0))), "Left", "Ativo")</f>
        <v>Ativo</v>
      </c>
      <c r="D2197" s="10" t="str" cm="1">
        <f t="array" ref="D2197">IF(AND(A2197="2021-01", ISNA(MATCH(B2197, _xlfn._xlws.FILTER(B:B, A:A="2021-02"), 0))), "Left", "Ativo")</f>
        <v>Ativo</v>
      </c>
      <c r="E2197" s="10" t="str" cm="1">
        <f t="array" ref="E2197">IF(AND(A2197="2021-02", ISNA(MATCH(B2197, _xlfn._xlws.FILTER(B:B, A:A="2021-03"), 0))), "Left", "Ativo")</f>
        <v>Ativo</v>
      </c>
      <c r="F2197" s="12" t="str" cm="1">
        <f t="array" ref="F2197">IF(AND(A2197="2021-03", ISNA(MATCH(B2197, _xlfn._xlws.FILTER(B:B, A:A="2021-04"), 0))), "Left", "Ativo")</f>
        <v>Ativo</v>
      </c>
    </row>
    <row r="2198" spans="1:6" x14ac:dyDescent="0.25">
      <c r="A2198" t="s">
        <v>1530</v>
      </c>
      <c r="B2198" t="s">
        <v>291</v>
      </c>
      <c r="C2198" s="10" t="str" cm="1">
        <f t="array" ref="C2198">IF(AND(A2198="2020-12", ISNA(MATCH(B2198, _xlfn._xlws.FILTER(B:B, A:A="2021-01"), 0))), "Left", "Ativo")</f>
        <v>Ativo</v>
      </c>
      <c r="D2198" s="10" t="str" cm="1">
        <f t="array" ref="D2198">IF(AND(A2198="2021-01", ISNA(MATCH(B2198, _xlfn._xlws.FILTER(B:B, A:A="2021-02"), 0))), "Left", "Ativo")</f>
        <v>Ativo</v>
      </c>
      <c r="E2198" s="10" t="str" cm="1">
        <f t="array" ref="E2198">IF(AND(A2198="2021-02", ISNA(MATCH(B2198, _xlfn._xlws.FILTER(B:B, A:A="2021-03"), 0))), "Left", "Ativo")</f>
        <v>Ativo</v>
      </c>
      <c r="F2198" s="12" t="str" cm="1">
        <f t="array" ref="F2198">IF(AND(A2198="2021-03", ISNA(MATCH(B2198, _xlfn._xlws.FILTER(B:B, A:A="2021-04"), 0))), "Left", "Ativo")</f>
        <v>Ativo</v>
      </c>
    </row>
    <row r="2199" spans="1:6" x14ac:dyDescent="0.25">
      <c r="A2199" t="s">
        <v>1530</v>
      </c>
      <c r="B2199" t="s">
        <v>292</v>
      </c>
      <c r="C2199" s="10" t="str" cm="1">
        <f t="array" ref="C2199">IF(AND(A2199="2020-12", ISNA(MATCH(B2199, _xlfn._xlws.FILTER(B:B, A:A="2021-01"), 0))), "Left", "Ativo")</f>
        <v>Ativo</v>
      </c>
      <c r="D2199" s="10" t="str" cm="1">
        <f t="array" ref="D2199">IF(AND(A2199="2021-01", ISNA(MATCH(B2199, _xlfn._xlws.FILTER(B:B, A:A="2021-02"), 0))), "Left", "Ativo")</f>
        <v>Ativo</v>
      </c>
      <c r="E2199" s="10" t="str" cm="1">
        <f t="array" ref="E2199">IF(AND(A2199="2021-02", ISNA(MATCH(B2199, _xlfn._xlws.FILTER(B:B, A:A="2021-03"), 0))), "Left", "Ativo")</f>
        <v>Ativo</v>
      </c>
      <c r="F2199" s="12" t="str" cm="1">
        <f t="array" ref="F2199">IF(AND(A2199="2021-03", ISNA(MATCH(B2199, _xlfn._xlws.FILTER(B:B, A:A="2021-04"), 0))), "Left", "Ativo")</f>
        <v>Ativo</v>
      </c>
    </row>
    <row r="2200" spans="1:6" x14ac:dyDescent="0.25">
      <c r="A2200" t="s">
        <v>1530</v>
      </c>
      <c r="B2200" t="s">
        <v>293</v>
      </c>
      <c r="C2200" s="10" t="str" cm="1">
        <f t="array" ref="C2200">IF(AND(A2200="2020-12", ISNA(MATCH(B2200, _xlfn._xlws.FILTER(B:B, A:A="2021-01"), 0))), "Left", "Ativo")</f>
        <v>Ativo</v>
      </c>
      <c r="D2200" s="10" t="str" cm="1">
        <f t="array" ref="D2200">IF(AND(A2200="2021-01", ISNA(MATCH(B2200, _xlfn._xlws.FILTER(B:B, A:A="2021-02"), 0))), "Left", "Ativo")</f>
        <v>Ativo</v>
      </c>
      <c r="E2200" s="10" t="str" cm="1">
        <f t="array" ref="E2200">IF(AND(A2200="2021-02", ISNA(MATCH(B2200, _xlfn._xlws.FILTER(B:B, A:A="2021-03"), 0))), "Left", "Ativo")</f>
        <v>Ativo</v>
      </c>
      <c r="F2200" s="12" t="str" cm="1">
        <f t="array" ref="F2200">IF(AND(A2200="2021-03", ISNA(MATCH(B2200, _xlfn._xlws.FILTER(B:B, A:A="2021-04"), 0))), "Left", "Ativo")</f>
        <v>Ativo</v>
      </c>
    </row>
    <row r="2201" spans="1:6" x14ac:dyDescent="0.25">
      <c r="A2201" t="s">
        <v>1530</v>
      </c>
      <c r="B2201" t="s">
        <v>294</v>
      </c>
      <c r="C2201" s="10" t="str" cm="1">
        <f t="array" ref="C2201">IF(AND(A2201="2020-12", ISNA(MATCH(B2201, _xlfn._xlws.FILTER(B:B, A:A="2021-01"), 0))), "Left", "Ativo")</f>
        <v>Ativo</v>
      </c>
      <c r="D2201" s="10" t="str" cm="1">
        <f t="array" ref="D2201">IF(AND(A2201="2021-01", ISNA(MATCH(B2201, _xlfn._xlws.FILTER(B:B, A:A="2021-02"), 0))), "Left", "Ativo")</f>
        <v>Ativo</v>
      </c>
      <c r="E2201" s="10" t="str" cm="1">
        <f t="array" ref="E2201">IF(AND(A2201="2021-02", ISNA(MATCH(B2201, _xlfn._xlws.FILTER(B:B, A:A="2021-03"), 0))), "Left", "Ativo")</f>
        <v>Ativo</v>
      </c>
      <c r="F2201" s="12" t="str" cm="1">
        <f t="array" ref="F2201">IF(AND(A2201="2021-03", ISNA(MATCH(B2201, _xlfn._xlws.FILTER(B:B, A:A="2021-04"), 0))), "Left", "Ativo")</f>
        <v>Ativo</v>
      </c>
    </row>
    <row r="2202" spans="1:6" x14ac:dyDescent="0.25">
      <c r="A2202" t="s">
        <v>1530</v>
      </c>
      <c r="B2202" t="s">
        <v>295</v>
      </c>
      <c r="C2202" s="10" t="str" cm="1">
        <f t="array" ref="C2202">IF(AND(A2202="2020-12", ISNA(MATCH(B2202, _xlfn._xlws.FILTER(B:B, A:A="2021-01"), 0))), "Left", "Ativo")</f>
        <v>Ativo</v>
      </c>
      <c r="D2202" s="10" t="str" cm="1">
        <f t="array" ref="D2202">IF(AND(A2202="2021-01", ISNA(MATCH(B2202, _xlfn._xlws.FILTER(B:B, A:A="2021-02"), 0))), "Left", "Ativo")</f>
        <v>Ativo</v>
      </c>
      <c r="E2202" s="10" t="str" cm="1">
        <f t="array" ref="E2202">IF(AND(A2202="2021-02", ISNA(MATCH(B2202, _xlfn._xlws.FILTER(B:B, A:A="2021-03"), 0))), "Left", "Ativo")</f>
        <v>Ativo</v>
      </c>
      <c r="F2202" s="12" t="str" cm="1">
        <f t="array" ref="F2202">IF(AND(A2202="2021-03", ISNA(MATCH(B2202, _xlfn._xlws.FILTER(B:B, A:A="2021-04"), 0))), "Left", "Ativo")</f>
        <v>Ativo</v>
      </c>
    </row>
    <row r="2203" spans="1:6" x14ac:dyDescent="0.25">
      <c r="A2203" t="s">
        <v>1530</v>
      </c>
      <c r="B2203" t="s">
        <v>296</v>
      </c>
      <c r="C2203" s="10" t="str" cm="1">
        <f t="array" ref="C2203">IF(AND(A2203="2020-12", ISNA(MATCH(B2203, _xlfn._xlws.FILTER(B:B, A:A="2021-01"), 0))), "Left", "Ativo")</f>
        <v>Ativo</v>
      </c>
      <c r="D2203" s="10" t="str" cm="1">
        <f t="array" ref="D2203">IF(AND(A2203="2021-01", ISNA(MATCH(B2203, _xlfn._xlws.FILTER(B:B, A:A="2021-02"), 0))), "Left", "Ativo")</f>
        <v>Ativo</v>
      </c>
      <c r="E2203" s="10" t="str" cm="1">
        <f t="array" ref="E2203">IF(AND(A2203="2021-02", ISNA(MATCH(B2203, _xlfn._xlws.FILTER(B:B, A:A="2021-03"), 0))), "Left", "Ativo")</f>
        <v>Ativo</v>
      </c>
      <c r="F2203" s="12" t="str" cm="1">
        <f t="array" ref="F2203">IF(AND(A2203="2021-03", ISNA(MATCH(B2203, _xlfn._xlws.FILTER(B:B, A:A="2021-04"), 0))), "Left", "Ativo")</f>
        <v>Ativo</v>
      </c>
    </row>
    <row r="2204" spans="1:6" x14ac:dyDescent="0.25">
      <c r="A2204" t="s">
        <v>1530</v>
      </c>
      <c r="B2204" t="s">
        <v>297</v>
      </c>
      <c r="C2204" s="10" t="str" cm="1">
        <f t="array" ref="C2204">IF(AND(A2204="2020-12", ISNA(MATCH(B2204, _xlfn._xlws.FILTER(B:B, A:A="2021-01"), 0))), "Left", "Ativo")</f>
        <v>Ativo</v>
      </c>
      <c r="D2204" s="10" t="str" cm="1">
        <f t="array" ref="D2204">IF(AND(A2204="2021-01", ISNA(MATCH(B2204, _xlfn._xlws.FILTER(B:B, A:A="2021-02"), 0))), "Left", "Ativo")</f>
        <v>Ativo</v>
      </c>
      <c r="E2204" s="10" t="str" cm="1">
        <f t="array" ref="E2204">IF(AND(A2204="2021-02", ISNA(MATCH(B2204, _xlfn._xlws.FILTER(B:B, A:A="2021-03"), 0))), "Left", "Ativo")</f>
        <v>Ativo</v>
      </c>
      <c r="F2204" s="12" t="str" cm="1">
        <f t="array" ref="F2204">IF(AND(A2204="2021-03", ISNA(MATCH(B2204, _xlfn._xlws.FILTER(B:B, A:A="2021-04"), 0))), "Left", "Ativo")</f>
        <v>Ativo</v>
      </c>
    </row>
    <row r="2205" spans="1:6" x14ac:dyDescent="0.25">
      <c r="A2205" t="s">
        <v>1530</v>
      </c>
      <c r="B2205" t="s">
        <v>298</v>
      </c>
      <c r="C2205" s="10" t="str" cm="1">
        <f t="array" ref="C2205">IF(AND(A2205="2020-12", ISNA(MATCH(B2205, _xlfn._xlws.FILTER(B:B, A:A="2021-01"), 0))), "Left", "Ativo")</f>
        <v>Ativo</v>
      </c>
      <c r="D2205" s="10" t="str" cm="1">
        <f t="array" ref="D2205">IF(AND(A2205="2021-01", ISNA(MATCH(B2205, _xlfn._xlws.FILTER(B:B, A:A="2021-02"), 0))), "Left", "Ativo")</f>
        <v>Ativo</v>
      </c>
      <c r="E2205" s="10" t="str" cm="1">
        <f t="array" ref="E2205">IF(AND(A2205="2021-02", ISNA(MATCH(B2205, _xlfn._xlws.FILTER(B:B, A:A="2021-03"), 0))), "Left", "Ativo")</f>
        <v>Ativo</v>
      </c>
      <c r="F2205" s="12" t="str" cm="1">
        <f t="array" ref="F2205">IF(AND(A2205="2021-03", ISNA(MATCH(B2205, _xlfn._xlws.FILTER(B:B, A:A="2021-04"), 0))), "Left", "Ativo")</f>
        <v>Ativo</v>
      </c>
    </row>
    <row r="2206" spans="1:6" x14ac:dyDescent="0.25">
      <c r="A2206" t="s">
        <v>1530</v>
      </c>
      <c r="B2206" t="s">
        <v>299</v>
      </c>
      <c r="C2206" s="10" t="str" cm="1">
        <f t="array" ref="C2206">IF(AND(A2206="2020-12", ISNA(MATCH(B2206, _xlfn._xlws.FILTER(B:B, A:A="2021-01"), 0))), "Left", "Ativo")</f>
        <v>Ativo</v>
      </c>
      <c r="D2206" s="10" t="str" cm="1">
        <f t="array" ref="D2206">IF(AND(A2206="2021-01", ISNA(MATCH(B2206, _xlfn._xlws.FILTER(B:B, A:A="2021-02"), 0))), "Left", "Ativo")</f>
        <v>Ativo</v>
      </c>
      <c r="E2206" s="10" t="str" cm="1">
        <f t="array" ref="E2206">IF(AND(A2206="2021-02", ISNA(MATCH(B2206, _xlfn._xlws.FILTER(B:B, A:A="2021-03"), 0))), "Left", "Ativo")</f>
        <v>Ativo</v>
      </c>
      <c r="F2206" s="12" t="str" cm="1">
        <f t="array" ref="F2206">IF(AND(A2206="2021-03", ISNA(MATCH(B2206, _xlfn._xlws.FILTER(B:B, A:A="2021-04"), 0))), "Left", "Ativo")</f>
        <v>Ativo</v>
      </c>
    </row>
    <row r="2207" spans="1:6" x14ac:dyDescent="0.25">
      <c r="A2207" t="s">
        <v>1530</v>
      </c>
      <c r="B2207" t="s">
        <v>300</v>
      </c>
      <c r="C2207" s="10" t="str" cm="1">
        <f t="array" ref="C2207">IF(AND(A2207="2020-12", ISNA(MATCH(B2207, _xlfn._xlws.FILTER(B:B, A:A="2021-01"), 0))), "Left", "Ativo")</f>
        <v>Ativo</v>
      </c>
      <c r="D2207" s="10" t="str" cm="1">
        <f t="array" ref="D2207">IF(AND(A2207="2021-01", ISNA(MATCH(B2207, _xlfn._xlws.FILTER(B:B, A:A="2021-02"), 0))), "Left", "Ativo")</f>
        <v>Ativo</v>
      </c>
      <c r="E2207" s="10" t="str" cm="1">
        <f t="array" ref="E2207">IF(AND(A2207="2021-02", ISNA(MATCH(B2207, _xlfn._xlws.FILTER(B:B, A:A="2021-03"), 0))), "Left", "Ativo")</f>
        <v>Ativo</v>
      </c>
      <c r="F2207" s="12" t="str" cm="1">
        <f t="array" ref="F2207">IF(AND(A2207="2021-03", ISNA(MATCH(B2207, _xlfn._xlws.FILTER(B:B, A:A="2021-04"), 0))), "Left", "Ativo")</f>
        <v>Ativo</v>
      </c>
    </row>
    <row r="2208" spans="1:6" x14ac:dyDescent="0.25">
      <c r="A2208" t="s">
        <v>1530</v>
      </c>
      <c r="B2208" t="s">
        <v>301</v>
      </c>
      <c r="C2208" s="10" t="str" cm="1">
        <f t="array" ref="C2208">IF(AND(A2208="2020-12", ISNA(MATCH(B2208, _xlfn._xlws.FILTER(B:B, A:A="2021-01"), 0))), "Left", "Ativo")</f>
        <v>Ativo</v>
      </c>
      <c r="D2208" s="10" t="str" cm="1">
        <f t="array" ref="D2208">IF(AND(A2208="2021-01", ISNA(MATCH(B2208, _xlfn._xlws.FILTER(B:B, A:A="2021-02"), 0))), "Left", "Ativo")</f>
        <v>Ativo</v>
      </c>
      <c r="E2208" s="10" t="str" cm="1">
        <f t="array" ref="E2208">IF(AND(A2208="2021-02", ISNA(MATCH(B2208, _xlfn._xlws.FILTER(B:B, A:A="2021-03"), 0))), "Left", "Ativo")</f>
        <v>Ativo</v>
      </c>
      <c r="F2208" s="12" t="str" cm="1">
        <f t="array" ref="F2208">IF(AND(A2208="2021-03", ISNA(MATCH(B2208, _xlfn._xlws.FILTER(B:B, A:A="2021-04"), 0))), "Left", "Ativo")</f>
        <v>Ativo</v>
      </c>
    </row>
    <row r="2209" spans="1:6" x14ac:dyDescent="0.25">
      <c r="A2209" t="s">
        <v>1530</v>
      </c>
      <c r="B2209" t="s">
        <v>302</v>
      </c>
      <c r="C2209" s="10" t="str" cm="1">
        <f t="array" ref="C2209">IF(AND(A2209="2020-12", ISNA(MATCH(B2209, _xlfn._xlws.FILTER(B:B, A:A="2021-01"), 0))), "Left", "Ativo")</f>
        <v>Ativo</v>
      </c>
      <c r="D2209" s="10" t="str" cm="1">
        <f t="array" ref="D2209">IF(AND(A2209="2021-01", ISNA(MATCH(B2209, _xlfn._xlws.FILTER(B:B, A:A="2021-02"), 0))), "Left", "Ativo")</f>
        <v>Ativo</v>
      </c>
      <c r="E2209" s="10" t="str" cm="1">
        <f t="array" ref="E2209">IF(AND(A2209="2021-02", ISNA(MATCH(B2209, _xlfn._xlws.FILTER(B:B, A:A="2021-03"), 0))), "Left", "Ativo")</f>
        <v>Ativo</v>
      </c>
      <c r="F2209" s="12" t="str" cm="1">
        <f t="array" ref="F2209">IF(AND(A2209="2021-03", ISNA(MATCH(B2209, _xlfn._xlws.FILTER(B:B, A:A="2021-04"), 0))), "Left", "Ativo")</f>
        <v>Ativo</v>
      </c>
    </row>
    <row r="2210" spans="1:6" x14ac:dyDescent="0.25">
      <c r="A2210" t="s">
        <v>1530</v>
      </c>
      <c r="B2210" t="s">
        <v>303</v>
      </c>
      <c r="C2210" s="10" t="str" cm="1">
        <f t="array" ref="C2210">IF(AND(A2210="2020-12", ISNA(MATCH(B2210, _xlfn._xlws.FILTER(B:B, A:A="2021-01"), 0))), "Left", "Ativo")</f>
        <v>Ativo</v>
      </c>
      <c r="D2210" s="10" t="str" cm="1">
        <f t="array" ref="D2210">IF(AND(A2210="2021-01", ISNA(MATCH(B2210, _xlfn._xlws.FILTER(B:B, A:A="2021-02"), 0))), "Left", "Ativo")</f>
        <v>Ativo</v>
      </c>
      <c r="E2210" s="10" t="str" cm="1">
        <f t="array" ref="E2210">IF(AND(A2210="2021-02", ISNA(MATCH(B2210, _xlfn._xlws.FILTER(B:B, A:A="2021-03"), 0))), "Left", "Ativo")</f>
        <v>Ativo</v>
      </c>
      <c r="F2210" s="12" t="str" cm="1">
        <f t="array" ref="F2210">IF(AND(A2210="2021-03", ISNA(MATCH(B2210, _xlfn._xlws.FILTER(B:B, A:A="2021-04"), 0))), "Left", "Ativo")</f>
        <v>Ativo</v>
      </c>
    </row>
    <row r="2211" spans="1:6" x14ac:dyDescent="0.25">
      <c r="A2211" t="s">
        <v>1530</v>
      </c>
      <c r="B2211" t="s">
        <v>304</v>
      </c>
      <c r="C2211" s="10" t="str" cm="1">
        <f t="array" ref="C2211">IF(AND(A2211="2020-12", ISNA(MATCH(B2211, _xlfn._xlws.FILTER(B:B, A:A="2021-01"), 0))), "Left", "Ativo")</f>
        <v>Ativo</v>
      </c>
      <c r="D2211" s="10" t="str" cm="1">
        <f t="array" ref="D2211">IF(AND(A2211="2021-01", ISNA(MATCH(B2211, _xlfn._xlws.FILTER(B:B, A:A="2021-02"), 0))), "Left", "Ativo")</f>
        <v>Ativo</v>
      </c>
      <c r="E2211" s="10" t="str" cm="1">
        <f t="array" ref="E2211">IF(AND(A2211="2021-02", ISNA(MATCH(B2211, _xlfn._xlws.FILTER(B:B, A:A="2021-03"), 0))), "Left", "Ativo")</f>
        <v>Left</v>
      </c>
      <c r="F2211" s="12" t="str" cm="1">
        <f t="array" ref="F2211">IF(AND(A2211="2021-03", ISNA(MATCH(B2211, _xlfn._xlws.FILTER(B:B, A:A="2021-04"), 0))), "Left", "Ativo")</f>
        <v>Ativo</v>
      </c>
    </row>
    <row r="2212" spans="1:6" x14ac:dyDescent="0.25">
      <c r="A2212" t="s">
        <v>1530</v>
      </c>
      <c r="B2212" t="s">
        <v>305</v>
      </c>
      <c r="C2212" s="10" t="str" cm="1">
        <f t="array" ref="C2212">IF(AND(A2212="2020-12", ISNA(MATCH(B2212, _xlfn._xlws.FILTER(B:B, A:A="2021-01"), 0))), "Left", "Ativo")</f>
        <v>Ativo</v>
      </c>
      <c r="D2212" s="10" t="str" cm="1">
        <f t="array" ref="D2212">IF(AND(A2212="2021-01", ISNA(MATCH(B2212, _xlfn._xlws.FILTER(B:B, A:A="2021-02"), 0))), "Left", "Ativo")</f>
        <v>Ativo</v>
      </c>
      <c r="E2212" s="10" t="str" cm="1">
        <f t="array" ref="E2212">IF(AND(A2212="2021-02", ISNA(MATCH(B2212, _xlfn._xlws.FILTER(B:B, A:A="2021-03"), 0))), "Left", "Ativo")</f>
        <v>Ativo</v>
      </c>
      <c r="F2212" s="12" t="str" cm="1">
        <f t="array" ref="F2212">IF(AND(A2212="2021-03", ISNA(MATCH(B2212, _xlfn._xlws.FILTER(B:B, A:A="2021-04"), 0))), "Left", "Ativo")</f>
        <v>Ativo</v>
      </c>
    </row>
    <row r="2213" spans="1:6" x14ac:dyDescent="0.25">
      <c r="A2213" t="s">
        <v>1530</v>
      </c>
      <c r="B2213" t="s">
        <v>306</v>
      </c>
      <c r="C2213" s="10" t="str" cm="1">
        <f t="array" ref="C2213">IF(AND(A2213="2020-12", ISNA(MATCH(B2213, _xlfn._xlws.FILTER(B:B, A:A="2021-01"), 0))), "Left", "Ativo")</f>
        <v>Ativo</v>
      </c>
      <c r="D2213" s="10" t="str" cm="1">
        <f t="array" ref="D2213">IF(AND(A2213="2021-01", ISNA(MATCH(B2213, _xlfn._xlws.FILTER(B:B, A:A="2021-02"), 0))), "Left", "Ativo")</f>
        <v>Ativo</v>
      </c>
      <c r="E2213" s="10" t="str" cm="1">
        <f t="array" ref="E2213">IF(AND(A2213="2021-02", ISNA(MATCH(B2213, _xlfn._xlws.FILTER(B:B, A:A="2021-03"), 0))), "Left", "Ativo")</f>
        <v>Ativo</v>
      </c>
      <c r="F2213" s="12" t="str" cm="1">
        <f t="array" ref="F2213">IF(AND(A2213="2021-03", ISNA(MATCH(B2213, _xlfn._xlws.FILTER(B:B, A:A="2021-04"), 0))), "Left", "Ativo")</f>
        <v>Ativo</v>
      </c>
    </row>
    <row r="2214" spans="1:6" x14ac:dyDescent="0.25">
      <c r="A2214" t="s">
        <v>1530</v>
      </c>
      <c r="B2214" t="s">
        <v>307</v>
      </c>
      <c r="C2214" s="10" t="str" cm="1">
        <f t="array" ref="C2214">IF(AND(A2214="2020-12", ISNA(MATCH(B2214, _xlfn._xlws.FILTER(B:B, A:A="2021-01"), 0))), "Left", "Ativo")</f>
        <v>Ativo</v>
      </c>
      <c r="D2214" s="10" t="str" cm="1">
        <f t="array" ref="D2214">IF(AND(A2214="2021-01", ISNA(MATCH(B2214, _xlfn._xlws.FILTER(B:B, A:A="2021-02"), 0))), "Left", "Ativo")</f>
        <v>Ativo</v>
      </c>
      <c r="E2214" s="10" t="str" cm="1">
        <f t="array" ref="E2214">IF(AND(A2214="2021-02", ISNA(MATCH(B2214, _xlfn._xlws.FILTER(B:B, A:A="2021-03"), 0))), "Left", "Ativo")</f>
        <v>Ativo</v>
      </c>
      <c r="F2214" s="12" t="str" cm="1">
        <f t="array" ref="F2214">IF(AND(A2214="2021-03", ISNA(MATCH(B2214, _xlfn._xlws.FILTER(B:B, A:A="2021-04"), 0))), "Left", "Ativo")</f>
        <v>Ativo</v>
      </c>
    </row>
    <row r="2215" spans="1:6" x14ac:dyDescent="0.25">
      <c r="A2215" t="s">
        <v>1530</v>
      </c>
      <c r="B2215" t="s">
        <v>308</v>
      </c>
      <c r="C2215" s="10" t="str" cm="1">
        <f t="array" ref="C2215">IF(AND(A2215="2020-12", ISNA(MATCH(B2215, _xlfn._xlws.FILTER(B:B, A:A="2021-01"), 0))), "Left", "Ativo")</f>
        <v>Ativo</v>
      </c>
      <c r="D2215" s="10" t="str" cm="1">
        <f t="array" ref="D2215">IF(AND(A2215="2021-01", ISNA(MATCH(B2215, _xlfn._xlws.FILTER(B:B, A:A="2021-02"), 0))), "Left", "Ativo")</f>
        <v>Ativo</v>
      </c>
      <c r="E2215" s="10" t="str" cm="1">
        <f t="array" ref="E2215">IF(AND(A2215="2021-02", ISNA(MATCH(B2215, _xlfn._xlws.FILTER(B:B, A:A="2021-03"), 0))), "Left", "Ativo")</f>
        <v>Ativo</v>
      </c>
      <c r="F2215" s="12" t="str" cm="1">
        <f t="array" ref="F2215">IF(AND(A2215="2021-03", ISNA(MATCH(B2215, _xlfn._xlws.FILTER(B:B, A:A="2021-04"), 0))), "Left", "Ativo")</f>
        <v>Ativo</v>
      </c>
    </row>
    <row r="2216" spans="1:6" x14ac:dyDescent="0.25">
      <c r="A2216" t="s">
        <v>1530</v>
      </c>
      <c r="B2216" t="s">
        <v>309</v>
      </c>
      <c r="C2216" s="10" t="str" cm="1">
        <f t="array" ref="C2216">IF(AND(A2216="2020-12", ISNA(MATCH(B2216, _xlfn._xlws.FILTER(B:B, A:A="2021-01"), 0))), "Left", "Ativo")</f>
        <v>Ativo</v>
      </c>
      <c r="D2216" s="10" t="str" cm="1">
        <f t="array" ref="D2216">IF(AND(A2216="2021-01", ISNA(MATCH(B2216, _xlfn._xlws.FILTER(B:B, A:A="2021-02"), 0))), "Left", "Ativo")</f>
        <v>Ativo</v>
      </c>
      <c r="E2216" s="10" t="str" cm="1">
        <f t="array" ref="E2216">IF(AND(A2216="2021-02", ISNA(MATCH(B2216, _xlfn._xlws.FILTER(B:B, A:A="2021-03"), 0))), "Left", "Ativo")</f>
        <v>Ativo</v>
      </c>
      <c r="F2216" s="12" t="str" cm="1">
        <f t="array" ref="F2216">IF(AND(A2216="2021-03", ISNA(MATCH(B2216, _xlfn._xlws.FILTER(B:B, A:A="2021-04"), 0))), "Left", "Ativo")</f>
        <v>Ativo</v>
      </c>
    </row>
    <row r="2217" spans="1:6" x14ac:dyDescent="0.25">
      <c r="A2217" t="s">
        <v>1530</v>
      </c>
      <c r="B2217" t="s">
        <v>310</v>
      </c>
      <c r="C2217" s="10" t="str" cm="1">
        <f t="array" ref="C2217">IF(AND(A2217="2020-12", ISNA(MATCH(B2217, _xlfn._xlws.FILTER(B:B, A:A="2021-01"), 0))), "Left", "Ativo")</f>
        <v>Ativo</v>
      </c>
      <c r="D2217" s="10" t="str" cm="1">
        <f t="array" ref="D2217">IF(AND(A2217="2021-01", ISNA(MATCH(B2217, _xlfn._xlws.FILTER(B:B, A:A="2021-02"), 0))), "Left", "Ativo")</f>
        <v>Ativo</v>
      </c>
      <c r="E2217" s="10" t="str" cm="1">
        <f t="array" ref="E2217">IF(AND(A2217="2021-02", ISNA(MATCH(B2217, _xlfn._xlws.FILTER(B:B, A:A="2021-03"), 0))), "Left", "Ativo")</f>
        <v>Ativo</v>
      </c>
      <c r="F2217" s="12" t="str" cm="1">
        <f t="array" ref="F2217">IF(AND(A2217="2021-03", ISNA(MATCH(B2217, _xlfn._xlws.FILTER(B:B, A:A="2021-04"), 0))), "Left", "Ativo")</f>
        <v>Ativo</v>
      </c>
    </row>
    <row r="2218" spans="1:6" x14ac:dyDescent="0.25">
      <c r="A2218" t="s">
        <v>1530</v>
      </c>
      <c r="B2218" t="s">
        <v>311</v>
      </c>
      <c r="C2218" s="10" t="str" cm="1">
        <f t="array" ref="C2218">IF(AND(A2218="2020-12", ISNA(MATCH(B2218, _xlfn._xlws.FILTER(B:B, A:A="2021-01"), 0))), "Left", "Ativo")</f>
        <v>Ativo</v>
      </c>
      <c r="D2218" s="10" t="str" cm="1">
        <f t="array" ref="D2218">IF(AND(A2218="2021-01", ISNA(MATCH(B2218, _xlfn._xlws.FILTER(B:B, A:A="2021-02"), 0))), "Left", "Ativo")</f>
        <v>Ativo</v>
      </c>
      <c r="E2218" s="10" t="str" cm="1">
        <f t="array" ref="E2218">IF(AND(A2218="2021-02", ISNA(MATCH(B2218, _xlfn._xlws.FILTER(B:B, A:A="2021-03"), 0))), "Left", "Ativo")</f>
        <v>Ativo</v>
      </c>
      <c r="F2218" s="12" t="str" cm="1">
        <f t="array" ref="F2218">IF(AND(A2218="2021-03", ISNA(MATCH(B2218, _xlfn._xlws.FILTER(B:B, A:A="2021-04"), 0))), "Left", "Ativo")</f>
        <v>Ativo</v>
      </c>
    </row>
    <row r="2219" spans="1:6" x14ac:dyDescent="0.25">
      <c r="A2219" t="s">
        <v>1530</v>
      </c>
      <c r="B2219" t="s">
        <v>312</v>
      </c>
      <c r="C2219" s="10" t="str" cm="1">
        <f t="array" ref="C2219">IF(AND(A2219="2020-12", ISNA(MATCH(B2219, _xlfn._xlws.FILTER(B:B, A:A="2021-01"), 0))), "Left", "Ativo")</f>
        <v>Ativo</v>
      </c>
      <c r="D2219" s="10" t="str" cm="1">
        <f t="array" ref="D2219">IF(AND(A2219="2021-01", ISNA(MATCH(B2219, _xlfn._xlws.FILTER(B:B, A:A="2021-02"), 0))), "Left", "Ativo")</f>
        <v>Ativo</v>
      </c>
      <c r="E2219" s="10" t="str" cm="1">
        <f t="array" ref="E2219">IF(AND(A2219="2021-02", ISNA(MATCH(B2219, _xlfn._xlws.FILTER(B:B, A:A="2021-03"), 0))), "Left", "Ativo")</f>
        <v>Ativo</v>
      </c>
      <c r="F2219" s="12" t="str" cm="1">
        <f t="array" ref="F2219">IF(AND(A2219="2021-03", ISNA(MATCH(B2219, _xlfn._xlws.FILTER(B:B, A:A="2021-04"), 0))), "Left", "Ativo")</f>
        <v>Ativo</v>
      </c>
    </row>
    <row r="2220" spans="1:6" x14ac:dyDescent="0.25">
      <c r="A2220" t="s">
        <v>1530</v>
      </c>
      <c r="B2220" t="s">
        <v>313</v>
      </c>
      <c r="C2220" s="10" t="str" cm="1">
        <f t="array" ref="C2220">IF(AND(A2220="2020-12", ISNA(MATCH(B2220, _xlfn._xlws.FILTER(B:B, A:A="2021-01"), 0))), "Left", "Ativo")</f>
        <v>Ativo</v>
      </c>
      <c r="D2220" s="10" t="str" cm="1">
        <f t="array" ref="D2220">IF(AND(A2220="2021-01", ISNA(MATCH(B2220, _xlfn._xlws.FILTER(B:B, A:A="2021-02"), 0))), "Left", "Ativo")</f>
        <v>Ativo</v>
      </c>
      <c r="E2220" s="10" t="str" cm="1">
        <f t="array" ref="E2220">IF(AND(A2220="2021-02", ISNA(MATCH(B2220, _xlfn._xlws.FILTER(B:B, A:A="2021-03"), 0))), "Left", "Ativo")</f>
        <v>Ativo</v>
      </c>
      <c r="F2220" s="12" t="str" cm="1">
        <f t="array" ref="F2220">IF(AND(A2220="2021-03", ISNA(MATCH(B2220, _xlfn._xlws.FILTER(B:B, A:A="2021-04"), 0))), "Left", "Ativo")</f>
        <v>Ativo</v>
      </c>
    </row>
    <row r="2221" spans="1:6" x14ac:dyDescent="0.25">
      <c r="A2221" t="s">
        <v>1530</v>
      </c>
      <c r="B2221" t="s">
        <v>314</v>
      </c>
      <c r="C2221" s="10" t="str" cm="1">
        <f t="array" ref="C2221">IF(AND(A2221="2020-12", ISNA(MATCH(B2221, _xlfn._xlws.FILTER(B:B, A:A="2021-01"), 0))), "Left", "Ativo")</f>
        <v>Ativo</v>
      </c>
      <c r="D2221" s="10" t="str" cm="1">
        <f t="array" ref="D2221">IF(AND(A2221="2021-01", ISNA(MATCH(B2221, _xlfn._xlws.FILTER(B:B, A:A="2021-02"), 0))), "Left", "Ativo")</f>
        <v>Ativo</v>
      </c>
      <c r="E2221" s="10" t="str" cm="1">
        <f t="array" ref="E2221">IF(AND(A2221="2021-02", ISNA(MATCH(B2221, _xlfn._xlws.FILTER(B:B, A:A="2021-03"), 0))), "Left", "Ativo")</f>
        <v>Ativo</v>
      </c>
      <c r="F2221" s="12" t="str" cm="1">
        <f t="array" ref="F2221">IF(AND(A2221="2021-03", ISNA(MATCH(B2221, _xlfn._xlws.FILTER(B:B, A:A="2021-04"), 0))), "Left", "Ativo")</f>
        <v>Ativo</v>
      </c>
    </row>
    <row r="2222" spans="1:6" x14ac:dyDescent="0.25">
      <c r="A2222" t="s">
        <v>1530</v>
      </c>
      <c r="B2222" t="s">
        <v>315</v>
      </c>
      <c r="C2222" s="10" t="str" cm="1">
        <f t="array" ref="C2222">IF(AND(A2222="2020-12", ISNA(MATCH(B2222, _xlfn._xlws.FILTER(B:B, A:A="2021-01"), 0))), "Left", "Ativo")</f>
        <v>Ativo</v>
      </c>
      <c r="D2222" s="10" t="str" cm="1">
        <f t="array" ref="D2222">IF(AND(A2222="2021-01", ISNA(MATCH(B2222, _xlfn._xlws.FILTER(B:B, A:A="2021-02"), 0))), "Left", "Ativo")</f>
        <v>Ativo</v>
      </c>
      <c r="E2222" s="10" t="str" cm="1">
        <f t="array" ref="E2222">IF(AND(A2222="2021-02", ISNA(MATCH(B2222, _xlfn._xlws.FILTER(B:B, A:A="2021-03"), 0))), "Left", "Ativo")</f>
        <v>Ativo</v>
      </c>
      <c r="F2222" s="12" t="str" cm="1">
        <f t="array" ref="F2222">IF(AND(A2222="2021-03", ISNA(MATCH(B2222, _xlfn._xlws.FILTER(B:B, A:A="2021-04"), 0))), "Left", "Ativo")</f>
        <v>Ativo</v>
      </c>
    </row>
    <row r="2223" spans="1:6" x14ac:dyDescent="0.25">
      <c r="A2223" t="s">
        <v>1530</v>
      </c>
      <c r="B2223" t="s">
        <v>316</v>
      </c>
      <c r="C2223" s="10" t="str" cm="1">
        <f t="array" ref="C2223">IF(AND(A2223="2020-12", ISNA(MATCH(B2223, _xlfn._xlws.FILTER(B:B, A:A="2021-01"), 0))), "Left", "Ativo")</f>
        <v>Ativo</v>
      </c>
      <c r="D2223" s="10" t="str" cm="1">
        <f t="array" ref="D2223">IF(AND(A2223="2021-01", ISNA(MATCH(B2223, _xlfn._xlws.FILTER(B:B, A:A="2021-02"), 0))), "Left", "Ativo")</f>
        <v>Ativo</v>
      </c>
      <c r="E2223" s="10" t="str" cm="1">
        <f t="array" ref="E2223">IF(AND(A2223="2021-02", ISNA(MATCH(B2223, _xlfn._xlws.FILTER(B:B, A:A="2021-03"), 0))), "Left", "Ativo")</f>
        <v>Ativo</v>
      </c>
      <c r="F2223" s="12" t="str" cm="1">
        <f t="array" ref="F2223">IF(AND(A2223="2021-03", ISNA(MATCH(B2223, _xlfn._xlws.FILTER(B:B, A:A="2021-04"), 0))), "Left", "Ativo")</f>
        <v>Ativo</v>
      </c>
    </row>
    <row r="2224" spans="1:6" x14ac:dyDescent="0.25">
      <c r="A2224" t="s">
        <v>1530</v>
      </c>
      <c r="B2224" t="s">
        <v>317</v>
      </c>
      <c r="C2224" s="10" t="str" cm="1">
        <f t="array" ref="C2224">IF(AND(A2224="2020-12", ISNA(MATCH(B2224, _xlfn._xlws.FILTER(B:B, A:A="2021-01"), 0))), "Left", "Ativo")</f>
        <v>Ativo</v>
      </c>
      <c r="D2224" s="10" t="str" cm="1">
        <f t="array" ref="D2224">IF(AND(A2224="2021-01", ISNA(MATCH(B2224, _xlfn._xlws.FILTER(B:B, A:A="2021-02"), 0))), "Left", "Ativo")</f>
        <v>Ativo</v>
      </c>
      <c r="E2224" s="10" t="str" cm="1">
        <f t="array" ref="E2224">IF(AND(A2224="2021-02", ISNA(MATCH(B2224, _xlfn._xlws.FILTER(B:B, A:A="2021-03"), 0))), "Left", "Ativo")</f>
        <v>Ativo</v>
      </c>
      <c r="F2224" s="12" t="str" cm="1">
        <f t="array" ref="F2224">IF(AND(A2224="2021-03", ISNA(MATCH(B2224, _xlfn._xlws.FILTER(B:B, A:A="2021-04"), 0))), "Left", "Ativo")</f>
        <v>Ativo</v>
      </c>
    </row>
    <row r="2225" spans="1:6" x14ac:dyDescent="0.25">
      <c r="A2225" t="s">
        <v>1530</v>
      </c>
      <c r="B2225" t="s">
        <v>318</v>
      </c>
      <c r="C2225" s="10" t="str" cm="1">
        <f t="array" ref="C2225">IF(AND(A2225="2020-12", ISNA(MATCH(B2225, _xlfn._xlws.FILTER(B:B, A:A="2021-01"), 0))), "Left", "Ativo")</f>
        <v>Ativo</v>
      </c>
      <c r="D2225" s="10" t="str" cm="1">
        <f t="array" ref="D2225">IF(AND(A2225="2021-01", ISNA(MATCH(B2225, _xlfn._xlws.FILTER(B:B, A:A="2021-02"), 0))), "Left", "Ativo")</f>
        <v>Ativo</v>
      </c>
      <c r="E2225" s="10" t="str" cm="1">
        <f t="array" ref="E2225">IF(AND(A2225="2021-02", ISNA(MATCH(B2225, _xlfn._xlws.FILTER(B:B, A:A="2021-03"), 0))), "Left", "Ativo")</f>
        <v>Ativo</v>
      </c>
      <c r="F2225" s="12" t="str" cm="1">
        <f t="array" ref="F2225">IF(AND(A2225="2021-03", ISNA(MATCH(B2225, _xlfn._xlws.FILTER(B:B, A:A="2021-04"), 0))), "Left", "Ativo")</f>
        <v>Ativo</v>
      </c>
    </row>
    <row r="2226" spans="1:6" x14ac:dyDescent="0.25">
      <c r="A2226" t="s">
        <v>1530</v>
      </c>
      <c r="B2226" t="s">
        <v>319</v>
      </c>
      <c r="C2226" s="10" t="str" cm="1">
        <f t="array" ref="C2226">IF(AND(A2226="2020-12", ISNA(MATCH(B2226, _xlfn._xlws.FILTER(B:B, A:A="2021-01"), 0))), "Left", "Ativo")</f>
        <v>Ativo</v>
      </c>
      <c r="D2226" s="10" t="str" cm="1">
        <f t="array" ref="D2226">IF(AND(A2226="2021-01", ISNA(MATCH(B2226, _xlfn._xlws.FILTER(B:B, A:A="2021-02"), 0))), "Left", "Ativo")</f>
        <v>Ativo</v>
      </c>
      <c r="E2226" s="10" t="str" cm="1">
        <f t="array" ref="E2226">IF(AND(A2226="2021-02", ISNA(MATCH(B2226, _xlfn._xlws.FILTER(B:B, A:A="2021-03"), 0))), "Left", "Ativo")</f>
        <v>Ativo</v>
      </c>
      <c r="F2226" s="12" t="str" cm="1">
        <f t="array" ref="F2226">IF(AND(A2226="2021-03", ISNA(MATCH(B2226, _xlfn._xlws.FILTER(B:B, A:A="2021-04"), 0))), "Left", "Ativo")</f>
        <v>Ativo</v>
      </c>
    </row>
    <row r="2227" spans="1:6" x14ac:dyDescent="0.25">
      <c r="A2227" t="s">
        <v>1530</v>
      </c>
      <c r="B2227" t="s">
        <v>320</v>
      </c>
      <c r="C2227" s="10" t="str" cm="1">
        <f t="array" ref="C2227">IF(AND(A2227="2020-12", ISNA(MATCH(B2227, _xlfn._xlws.FILTER(B:B, A:A="2021-01"), 0))), "Left", "Ativo")</f>
        <v>Ativo</v>
      </c>
      <c r="D2227" s="10" t="str" cm="1">
        <f t="array" ref="D2227">IF(AND(A2227="2021-01", ISNA(MATCH(B2227, _xlfn._xlws.FILTER(B:B, A:A="2021-02"), 0))), "Left", "Ativo")</f>
        <v>Ativo</v>
      </c>
      <c r="E2227" s="10" t="str" cm="1">
        <f t="array" ref="E2227">IF(AND(A2227="2021-02", ISNA(MATCH(B2227, _xlfn._xlws.FILTER(B:B, A:A="2021-03"), 0))), "Left", "Ativo")</f>
        <v>Ativo</v>
      </c>
      <c r="F2227" s="12" t="str" cm="1">
        <f t="array" ref="F2227">IF(AND(A2227="2021-03", ISNA(MATCH(B2227, _xlfn._xlws.FILTER(B:B, A:A="2021-04"), 0))), "Left", "Ativo")</f>
        <v>Ativo</v>
      </c>
    </row>
    <row r="2228" spans="1:6" x14ac:dyDescent="0.25">
      <c r="A2228" t="s">
        <v>1530</v>
      </c>
      <c r="B2228" t="s">
        <v>321</v>
      </c>
      <c r="C2228" s="10" t="str" cm="1">
        <f t="array" ref="C2228">IF(AND(A2228="2020-12", ISNA(MATCH(B2228, _xlfn._xlws.FILTER(B:B, A:A="2021-01"), 0))), "Left", "Ativo")</f>
        <v>Ativo</v>
      </c>
      <c r="D2228" s="10" t="str" cm="1">
        <f t="array" ref="D2228">IF(AND(A2228="2021-01", ISNA(MATCH(B2228, _xlfn._xlws.FILTER(B:B, A:A="2021-02"), 0))), "Left", "Ativo")</f>
        <v>Ativo</v>
      </c>
      <c r="E2228" s="10" t="str" cm="1">
        <f t="array" ref="E2228">IF(AND(A2228="2021-02", ISNA(MATCH(B2228, _xlfn._xlws.FILTER(B:B, A:A="2021-03"), 0))), "Left", "Ativo")</f>
        <v>Ativo</v>
      </c>
      <c r="F2228" s="12" t="str" cm="1">
        <f t="array" ref="F2228">IF(AND(A2228="2021-03", ISNA(MATCH(B2228, _xlfn._xlws.FILTER(B:B, A:A="2021-04"), 0))), "Left", "Ativo")</f>
        <v>Ativo</v>
      </c>
    </row>
    <row r="2229" spans="1:6" x14ac:dyDescent="0.25">
      <c r="A2229" t="s">
        <v>1530</v>
      </c>
      <c r="B2229" t="s">
        <v>322</v>
      </c>
      <c r="C2229" s="10" t="str" cm="1">
        <f t="array" ref="C2229">IF(AND(A2229="2020-12", ISNA(MATCH(B2229, _xlfn._xlws.FILTER(B:B, A:A="2021-01"), 0))), "Left", "Ativo")</f>
        <v>Ativo</v>
      </c>
      <c r="D2229" s="10" t="str" cm="1">
        <f t="array" ref="D2229">IF(AND(A2229="2021-01", ISNA(MATCH(B2229, _xlfn._xlws.FILTER(B:B, A:A="2021-02"), 0))), "Left", "Ativo")</f>
        <v>Ativo</v>
      </c>
      <c r="E2229" s="10" t="str" cm="1">
        <f t="array" ref="E2229">IF(AND(A2229="2021-02", ISNA(MATCH(B2229, _xlfn._xlws.FILTER(B:B, A:A="2021-03"), 0))), "Left", "Ativo")</f>
        <v>Ativo</v>
      </c>
      <c r="F2229" s="12" t="str" cm="1">
        <f t="array" ref="F2229">IF(AND(A2229="2021-03", ISNA(MATCH(B2229, _xlfn._xlws.FILTER(B:B, A:A="2021-04"), 0))), "Left", "Ativo")</f>
        <v>Ativo</v>
      </c>
    </row>
    <row r="2230" spans="1:6" x14ac:dyDescent="0.25">
      <c r="A2230" t="s">
        <v>1530</v>
      </c>
      <c r="B2230" t="s">
        <v>323</v>
      </c>
      <c r="C2230" s="10" t="str" cm="1">
        <f t="array" ref="C2230">IF(AND(A2230="2020-12", ISNA(MATCH(B2230, _xlfn._xlws.FILTER(B:B, A:A="2021-01"), 0))), "Left", "Ativo")</f>
        <v>Ativo</v>
      </c>
      <c r="D2230" s="10" t="str" cm="1">
        <f t="array" ref="D2230">IF(AND(A2230="2021-01", ISNA(MATCH(B2230, _xlfn._xlws.FILTER(B:B, A:A="2021-02"), 0))), "Left", "Ativo")</f>
        <v>Ativo</v>
      </c>
      <c r="E2230" s="10" t="str" cm="1">
        <f t="array" ref="E2230">IF(AND(A2230="2021-02", ISNA(MATCH(B2230, _xlfn._xlws.FILTER(B:B, A:A="2021-03"), 0))), "Left", "Ativo")</f>
        <v>Ativo</v>
      </c>
      <c r="F2230" s="12" t="str" cm="1">
        <f t="array" ref="F2230">IF(AND(A2230="2021-03", ISNA(MATCH(B2230, _xlfn._xlws.FILTER(B:B, A:A="2021-04"), 0))), "Left", "Ativo")</f>
        <v>Ativo</v>
      </c>
    </row>
    <row r="2231" spans="1:6" x14ac:dyDescent="0.25">
      <c r="A2231" t="s">
        <v>1530</v>
      </c>
      <c r="B2231" t="s">
        <v>324</v>
      </c>
      <c r="C2231" s="10" t="str" cm="1">
        <f t="array" ref="C2231">IF(AND(A2231="2020-12", ISNA(MATCH(B2231, _xlfn._xlws.FILTER(B:B, A:A="2021-01"), 0))), "Left", "Ativo")</f>
        <v>Ativo</v>
      </c>
      <c r="D2231" s="10" t="str" cm="1">
        <f t="array" ref="D2231">IF(AND(A2231="2021-01", ISNA(MATCH(B2231, _xlfn._xlws.FILTER(B:B, A:A="2021-02"), 0))), "Left", "Ativo")</f>
        <v>Ativo</v>
      </c>
      <c r="E2231" s="10" t="str" cm="1">
        <f t="array" ref="E2231">IF(AND(A2231="2021-02", ISNA(MATCH(B2231, _xlfn._xlws.FILTER(B:B, A:A="2021-03"), 0))), "Left", "Ativo")</f>
        <v>Ativo</v>
      </c>
      <c r="F2231" s="12" t="str" cm="1">
        <f t="array" ref="F2231">IF(AND(A2231="2021-03", ISNA(MATCH(B2231, _xlfn._xlws.FILTER(B:B, A:A="2021-04"), 0))), "Left", "Ativo")</f>
        <v>Ativo</v>
      </c>
    </row>
    <row r="2232" spans="1:6" x14ac:dyDescent="0.25">
      <c r="A2232" t="s">
        <v>1530</v>
      </c>
      <c r="B2232" t="s">
        <v>325</v>
      </c>
      <c r="C2232" s="10" t="str" cm="1">
        <f t="array" ref="C2232">IF(AND(A2232="2020-12", ISNA(MATCH(B2232, _xlfn._xlws.FILTER(B:B, A:A="2021-01"), 0))), "Left", "Ativo")</f>
        <v>Ativo</v>
      </c>
      <c r="D2232" s="10" t="str" cm="1">
        <f t="array" ref="D2232">IF(AND(A2232="2021-01", ISNA(MATCH(B2232, _xlfn._xlws.FILTER(B:B, A:A="2021-02"), 0))), "Left", "Ativo")</f>
        <v>Ativo</v>
      </c>
      <c r="E2232" s="10" t="str" cm="1">
        <f t="array" ref="E2232">IF(AND(A2232="2021-02", ISNA(MATCH(B2232, _xlfn._xlws.FILTER(B:B, A:A="2021-03"), 0))), "Left", "Ativo")</f>
        <v>Ativo</v>
      </c>
      <c r="F2232" s="12" t="str" cm="1">
        <f t="array" ref="F2232">IF(AND(A2232="2021-03", ISNA(MATCH(B2232, _xlfn._xlws.FILTER(B:B, A:A="2021-04"), 0))), "Left", "Ativo")</f>
        <v>Ativo</v>
      </c>
    </row>
    <row r="2233" spans="1:6" x14ac:dyDescent="0.25">
      <c r="A2233" t="s">
        <v>1530</v>
      </c>
      <c r="B2233" t="s">
        <v>326</v>
      </c>
      <c r="C2233" s="10" t="str" cm="1">
        <f t="array" ref="C2233">IF(AND(A2233="2020-12", ISNA(MATCH(B2233, _xlfn._xlws.FILTER(B:B, A:A="2021-01"), 0))), "Left", "Ativo")</f>
        <v>Ativo</v>
      </c>
      <c r="D2233" s="10" t="str" cm="1">
        <f t="array" ref="D2233">IF(AND(A2233="2021-01", ISNA(MATCH(B2233, _xlfn._xlws.FILTER(B:B, A:A="2021-02"), 0))), "Left", "Ativo")</f>
        <v>Ativo</v>
      </c>
      <c r="E2233" s="10" t="str" cm="1">
        <f t="array" ref="E2233">IF(AND(A2233="2021-02", ISNA(MATCH(B2233, _xlfn._xlws.FILTER(B:B, A:A="2021-03"), 0))), "Left", "Ativo")</f>
        <v>Ativo</v>
      </c>
      <c r="F2233" s="12" t="str" cm="1">
        <f t="array" ref="F2233">IF(AND(A2233="2021-03", ISNA(MATCH(B2233, _xlfn._xlws.FILTER(B:B, A:A="2021-04"), 0))), "Left", "Ativo")</f>
        <v>Ativo</v>
      </c>
    </row>
    <row r="2234" spans="1:6" x14ac:dyDescent="0.25">
      <c r="A2234" t="s">
        <v>1530</v>
      </c>
      <c r="B2234" t="s">
        <v>327</v>
      </c>
      <c r="C2234" s="10" t="str" cm="1">
        <f t="array" ref="C2234">IF(AND(A2234="2020-12", ISNA(MATCH(B2234, _xlfn._xlws.FILTER(B:B, A:A="2021-01"), 0))), "Left", "Ativo")</f>
        <v>Ativo</v>
      </c>
      <c r="D2234" s="10" t="str" cm="1">
        <f t="array" ref="D2234">IF(AND(A2234="2021-01", ISNA(MATCH(B2234, _xlfn._xlws.FILTER(B:B, A:A="2021-02"), 0))), "Left", "Ativo")</f>
        <v>Ativo</v>
      </c>
      <c r="E2234" s="10" t="str" cm="1">
        <f t="array" ref="E2234">IF(AND(A2234="2021-02", ISNA(MATCH(B2234, _xlfn._xlws.FILTER(B:B, A:A="2021-03"), 0))), "Left", "Ativo")</f>
        <v>Ativo</v>
      </c>
      <c r="F2234" s="12" t="str" cm="1">
        <f t="array" ref="F2234">IF(AND(A2234="2021-03", ISNA(MATCH(B2234, _xlfn._xlws.FILTER(B:B, A:A="2021-04"), 0))), "Left", "Ativo")</f>
        <v>Ativo</v>
      </c>
    </row>
    <row r="2235" spans="1:6" x14ac:dyDescent="0.25">
      <c r="A2235" t="s">
        <v>1530</v>
      </c>
      <c r="B2235" t="s">
        <v>328</v>
      </c>
      <c r="C2235" s="10" t="str" cm="1">
        <f t="array" ref="C2235">IF(AND(A2235="2020-12", ISNA(MATCH(B2235, _xlfn._xlws.FILTER(B:B, A:A="2021-01"), 0))), "Left", "Ativo")</f>
        <v>Ativo</v>
      </c>
      <c r="D2235" s="10" t="str" cm="1">
        <f t="array" ref="D2235">IF(AND(A2235="2021-01", ISNA(MATCH(B2235, _xlfn._xlws.FILTER(B:B, A:A="2021-02"), 0))), "Left", "Ativo")</f>
        <v>Ativo</v>
      </c>
      <c r="E2235" s="10" t="str" cm="1">
        <f t="array" ref="E2235">IF(AND(A2235="2021-02", ISNA(MATCH(B2235, _xlfn._xlws.FILTER(B:B, A:A="2021-03"), 0))), "Left", "Ativo")</f>
        <v>Ativo</v>
      </c>
      <c r="F2235" s="12" t="str" cm="1">
        <f t="array" ref="F2235">IF(AND(A2235="2021-03", ISNA(MATCH(B2235, _xlfn._xlws.FILTER(B:B, A:A="2021-04"), 0))), "Left", "Ativo")</f>
        <v>Ativo</v>
      </c>
    </row>
    <row r="2236" spans="1:6" x14ac:dyDescent="0.25">
      <c r="A2236" t="s">
        <v>1530</v>
      </c>
      <c r="B2236" t="s">
        <v>329</v>
      </c>
      <c r="C2236" s="10" t="str" cm="1">
        <f t="array" ref="C2236">IF(AND(A2236="2020-12", ISNA(MATCH(B2236, _xlfn._xlws.FILTER(B:B, A:A="2021-01"), 0))), "Left", "Ativo")</f>
        <v>Ativo</v>
      </c>
      <c r="D2236" s="10" t="str" cm="1">
        <f t="array" ref="D2236">IF(AND(A2236="2021-01", ISNA(MATCH(B2236, _xlfn._xlws.FILTER(B:B, A:A="2021-02"), 0))), "Left", "Ativo")</f>
        <v>Ativo</v>
      </c>
      <c r="E2236" s="10" t="str" cm="1">
        <f t="array" ref="E2236">IF(AND(A2236="2021-02", ISNA(MATCH(B2236, _xlfn._xlws.FILTER(B:B, A:A="2021-03"), 0))), "Left", "Ativo")</f>
        <v>Ativo</v>
      </c>
      <c r="F2236" s="12" t="str" cm="1">
        <f t="array" ref="F2236">IF(AND(A2236="2021-03", ISNA(MATCH(B2236, _xlfn._xlws.FILTER(B:B, A:A="2021-04"), 0))), "Left", "Ativo")</f>
        <v>Ativo</v>
      </c>
    </row>
    <row r="2237" spans="1:6" x14ac:dyDescent="0.25">
      <c r="A2237" t="s">
        <v>1530</v>
      </c>
      <c r="B2237" t="s">
        <v>330</v>
      </c>
      <c r="C2237" s="10" t="str" cm="1">
        <f t="array" ref="C2237">IF(AND(A2237="2020-12", ISNA(MATCH(B2237, _xlfn._xlws.FILTER(B:B, A:A="2021-01"), 0))), "Left", "Ativo")</f>
        <v>Ativo</v>
      </c>
      <c r="D2237" s="10" t="str" cm="1">
        <f t="array" ref="D2237">IF(AND(A2237="2021-01", ISNA(MATCH(B2237, _xlfn._xlws.FILTER(B:B, A:A="2021-02"), 0))), "Left", "Ativo")</f>
        <v>Ativo</v>
      </c>
      <c r="E2237" s="10" t="str" cm="1">
        <f t="array" ref="E2237">IF(AND(A2237="2021-02", ISNA(MATCH(B2237, _xlfn._xlws.FILTER(B:B, A:A="2021-03"), 0))), "Left", "Ativo")</f>
        <v>Ativo</v>
      </c>
      <c r="F2237" s="12" t="str" cm="1">
        <f t="array" ref="F2237">IF(AND(A2237="2021-03", ISNA(MATCH(B2237, _xlfn._xlws.FILTER(B:B, A:A="2021-04"), 0))), "Left", "Ativo")</f>
        <v>Ativo</v>
      </c>
    </row>
    <row r="2238" spans="1:6" x14ac:dyDescent="0.25">
      <c r="A2238" t="s">
        <v>1530</v>
      </c>
      <c r="B2238" t="s">
        <v>331</v>
      </c>
      <c r="C2238" s="10" t="str" cm="1">
        <f t="array" ref="C2238">IF(AND(A2238="2020-12", ISNA(MATCH(B2238, _xlfn._xlws.FILTER(B:B, A:A="2021-01"), 0))), "Left", "Ativo")</f>
        <v>Ativo</v>
      </c>
      <c r="D2238" s="10" t="str" cm="1">
        <f t="array" ref="D2238">IF(AND(A2238="2021-01", ISNA(MATCH(B2238, _xlfn._xlws.FILTER(B:B, A:A="2021-02"), 0))), "Left", "Ativo")</f>
        <v>Ativo</v>
      </c>
      <c r="E2238" s="10" t="str" cm="1">
        <f t="array" ref="E2238">IF(AND(A2238="2021-02", ISNA(MATCH(B2238, _xlfn._xlws.FILTER(B:B, A:A="2021-03"), 0))), "Left", "Ativo")</f>
        <v>Ativo</v>
      </c>
      <c r="F2238" s="12" t="str" cm="1">
        <f t="array" ref="F2238">IF(AND(A2238="2021-03", ISNA(MATCH(B2238, _xlfn._xlws.FILTER(B:B, A:A="2021-04"), 0))), "Left", "Ativo")</f>
        <v>Ativo</v>
      </c>
    </row>
    <row r="2239" spans="1:6" x14ac:dyDescent="0.25">
      <c r="A2239" t="s">
        <v>1530</v>
      </c>
      <c r="B2239" t="s">
        <v>332</v>
      </c>
      <c r="C2239" s="10" t="str" cm="1">
        <f t="array" ref="C2239">IF(AND(A2239="2020-12", ISNA(MATCH(B2239, _xlfn._xlws.FILTER(B:B, A:A="2021-01"), 0))), "Left", "Ativo")</f>
        <v>Ativo</v>
      </c>
      <c r="D2239" s="10" t="str" cm="1">
        <f t="array" ref="D2239">IF(AND(A2239="2021-01", ISNA(MATCH(B2239, _xlfn._xlws.FILTER(B:B, A:A="2021-02"), 0))), "Left", "Ativo")</f>
        <v>Ativo</v>
      </c>
      <c r="E2239" s="10" t="str" cm="1">
        <f t="array" ref="E2239">IF(AND(A2239="2021-02", ISNA(MATCH(B2239, _xlfn._xlws.FILTER(B:B, A:A="2021-03"), 0))), "Left", "Ativo")</f>
        <v>Ativo</v>
      </c>
      <c r="F2239" s="12" t="str" cm="1">
        <f t="array" ref="F2239">IF(AND(A2239="2021-03", ISNA(MATCH(B2239, _xlfn._xlws.FILTER(B:B, A:A="2021-04"), 0))), "Left", "Ativo")</f>
        <v>Ativo</v>
      </c>
    </row>
    <row r="2240" spans="1:6" x14ac:dyDescent="0.25">
      <c r="A2240" t="s">
        <v>1530</v>
      </c>
      <c r="B2240" t="s">
        <v>333</v>
      </c>
      <c r="C2240" s="10" t="str" cm="1">
        <f t="array" ref="C2240">IF(AND(A2240="2020-12", ISNA(MATCH(B2240, _xlfn._xlws.FILTER(B:B, A:A="2021-01"), 0))), "Left", "Ativo")</f>
        <v>Ativo</v>
      </c>
      <c r="D2240" s="10" t="str" cm="1">
        <f t="array" ref="D2240">IF(AND(A2240="2021-01", ISNA(MATCH(B2240, _xlfn._xlws.FILTER(B:B, A:A="2021-02"), 0))), "Left", "Ativo")</f>
        <v>Ativo</v>
      </c>
      <c r="E2240" s="10" t="str" cm="1">
        <f t="array" ref="E2240">IF(AND(A2240="2021-02", ISNA(MATCH(B2240, _xlfn._xlws.FILTER(B:B, A:A="2021-03"), 0))), "Left", "Ativo")</f>
        <v>Ativo</v>
      </c>
      <c r="F2240" s="12" t="str" cm="1">
        <f t="array" ref="F2240">IF(AND(A2240="2021-03", ISNA(MATCH(B2240, _xlfn._xlws.FILTER(B:B, A:A="2021-04"), 0))), "Left", "Ativo")</f>
        <v>Ativo</v>
      </c>
    </row>
    <row r="2241" spans="1:6" x14ac:dyDescent="0.25">
      <c r="A2241" t="s">
        <v>1530</v>
      </c>
      <c r="B2241" t="s">
        <v>334</v>
      </c>
      <c r="C2241" s="10" t="str" cm="1">
        <f t="array" ref="C2241">IF(AND(A2241="2020-12", ISNA(MATCH(B2241, _xlfn._xlws.FILTER(B:B, A:A="2021-01"), 0))), "Left", "Ativo")</f>
        <v>Ativo</v>
      </c>
      <c r="D2241" s="10" t="str" cm="1">
        <f t="array" ref="D2241">IF(AND(A2241="2021-01", ISNA(MATCH(B2241, _xlfn._xlws.FILTER(B:B, A:A="2021-02"), 0))), "Left", "Ativo")</f>
        <v>Ativo</v>
      </c>
      <c r="E2241" s="10" t="str" cm="1">
        <f t="array" ref="E2241">IF(AND(A2241="2021-02", ISNA(MATCH(B2241, _xlfn._xlws.FILTER(B:B, A:A="2021-03"), 0))), "Left", "Ativo")</f>
        <v>Ativo</v>
      </c>
      <c r="F2241" s="12" t="str" cm="1">
        <f t="array" ref="F2241">IF(AND(A2241="2021-03", ISNA(MATCH(B2241, _xlfn._xlws.FILTER(B:B, A:A="2021-04"), 0))), "Left", "Ativo")</f>
        <v>Ativo</v>
      </c>
    </row>
    <row r="2242" spans="1:6" x14ac:dyDescent="0.25">
      <c r="A2242" t="s">
        <v>1530</v>
      </c>
      <c r="B2242" t="s">
        <v>335</v>
      </c>
      <c r="C2242" s="10" t="str" cm="1">
        <f t="array" ref="C2242">IF(AND(A2242="2020-12", ISNA(MATCH(B2242, _xlfn._xlws.FILTER(B:B, A:A="2021-01"), 0))), "Left", "Ativo")</f>
        <v>Ativo</v>
      </c>
      <c r="D2242" s="10" t="str" cm="1">
        <f t="array" ref="D2242">IF(AND(A2242="2021-01", ISNA(MATCH(B2242, _xlfn._xlws.FILTER(B:B, A:A="2021-02"), 0))), "Left", "Ativo")</f>
        <v>Ativo</v>
      </c>
      <c r="E2242" s="10" t="str" cm="1">
        <f t="array" ref="E2242">IF(AND(A2242="2021-02", ISNA(MATCH(B2242, _xlfn._xlws.FILTER(B:B, A:A="2021-03"), 0))), "Left", "Ativo")</f>
        <v>Ativo</v>
      </c>
      <c r="F2242" s="12" t="str" cm="1">
        <f t="array" ref="F2242">IF(AND(A2242="2021-03", ISNA(MATCH(B2242, _xlfn._xlws.FILTER(B:B, A:A="2021-04"), 0))), "Left", "Ativo")</f>
        <v>Ativo</v>
      </c>
    </row>
    <row r="2243" spans="1:6" x14ac:dyDescent="0.25">
      <c r="A2243" t="s">
        <v>1530</v>
      </c>
      <c r="B2243" t="s">
        <v>336</v>
      </c>
      <c r="C2243" s="10" t="str" cm="1">
        <f t="array" ref="C2243">IF(AND(A2243="2020-12", ISNA(MATCH(B2243, _xlfn._xlws.FILTER(B:B, A:A="2021-01"), 0))), "Left", "Ativo")</f>
        <v>Ativo</v>
      </c>
      <c r="D2243" s="10" t="str" cm="1">
        <f t="array" ref="D2243">IF(AND(A2243="2021-01", ISNA(MATCH(B2243, _xlfn._xlws.FILTER(B:B, A:A="2021-02"), 0))), "Left", "Ativo")</f>
        <v>Ativo</v>
      </c>
      <c r="E2243" s="10" t="str" cm="1">
        <f t="array" ref="E2243">IF(AND(A2243="2021-02", ISNA(MATCH(B2243, _xlfn._xlws.FILTER(B:B, A:A="2021-03"), 0))), "Left", "Ativo")</f>
        <v>Ativo</v>
      </c>
      <c r="F2243" s="12" t="str" cm="1">
        <f t="array" ref="F2243">IF(AND(A2243="2021-03", ISNA(MATCH(B2243, _xlfn._xlws.FILTER(B:B, A:A="2021-04"), 0))), "Left", "Ativo")</f>
        <v>Ativo</v>
      </c>
    </row>
    <row r="2244" spans="1:6" x14ac:dyDescent="0.25">
      <c r="A2244" t="s">
        <v>1530</v>
      </c>
      <c r="B2244" t="s">
        <v>337</v>
      </c>
      <c r="C2244" s="10" t="str" cm="1">
        <f t="array" ref="C2244">IF(AND(A2244="2020-12", ISNA(MATCH(B2244, _xlfn._xlws.FILTER(B:B, A:A="2021-01"), 0))), "Left", "Ativo")</f>
        <v>Ativo</v>
      </c>
      <c r="D2244" s="10" t="str" cm="1">
        <f t="array" ref="D2244">IF(AND(A2244="2021-01", ISNA(MATCH(B2244, _xlfn._xlws.FILTER(B:B, A:A="2021-02"), 0))), "Left", "Ativo")</f>
        <v>Ativo</v>
      </c>
      <c r="E2244" s="10" t="str" cm="1">
        <f t="array" ref="E2244">IF(AND(A2244="2021-02", ISNA(MATCH(B2244, _xlfn._xlws.FILTER(B:B, A:A="2021-03"), 0))), "Left", "Ativo")</f>
        <v>Ativo</v>
      </c>
      <c r="F2244" s="12" t="str" cm="1">
        <f t="array" ref="F2244">IF(AND(A2244="2021-03", ISNA(MATCH(B2244, _xlfn._xlws.FILTER(B:B, A:A="2021-04"), 0))), "Left", "Ativo")</f>
        <v>Ativo</v>
      </c>
    </row>
    <row r="2245" spans="1:6" x14ac:dyDescent="0.25">
      <c r="A2245" t="s">
        <v>1530</v>
      </c>
      <c r="B2245" t="s">
        <v>338</v>
      </c>
      <c r="C2245" s="10" t="str" cm="1">
        <f t="array" ref="C2245">IF(AND(A2245="2020-12", ISNA(MATCH(B2245, _xlfn._xlws.FILTER(B:B, A:A="2021-01"), 0))), "Left", "Ativo")</f>
        <v>Ativo</v>
      </c>
      <c r="D2245" s="10" t="str" cm="1">
        <f t="array" ref="D2245">IF(AND(A2245="2021-01", ISNA(MATCH(B2245, _xlfn._xlws.FILTER(B:B, A:A="2021-02"), 0))), "Left", "Ativo")</f>
        <v>Ativo</v>
      </c>
      <c r="E2245" s="10" t="str" cm="1">
        <f t="array" ref="E2245">IF(AND(A2245="2021-02", ISNA(MATCH(B2245, _xlfn._xlws.FILTER(B:B, A:A="2021-03"), 0))), "Left", "Ativo")</f>
        <v>Ativo</v>
      </c>
      <c r="F2245" s="12" t="str" cm="1">
        <f t="array" ref="F2245">IF(AND(A2245="2021-03", ISNA(MATCH(B2245, _xlfn._xlws.FILTER(B:B, A:A="2021-04"), 0))), "Left", "Ativo")</f>
        <v>Ativo</v>
      </c>
    </row>
    <row r="2246" spans="1:6" x14ac:dyDescent="0.25">
      <c r="A2246" t="s">
        <v>1530</v>
      </c>
      <c r="B2246" t="s">
        <v>339</v>
      </c>
      <c r="C2246" s="10" t="str" cm="1">
        <f t="array" ref="C2246">IF(AND(A2246="2020-12", ISNA(MATCH(B2246, _xlfn._xlws.FILTER(B:B, A:A="2021-01"), 0))), "Left", "Ativo")</f>
        <v>Ativo</v>
      </c>
      <c r="D2246" s="10" t="str" cm="1">
        <f t="array" ref="D2246">IF(AND(A2246="2021-01", ISNA(MATCH(B2246, _xlfn._xlws.FILTER(B:B, A:A="2021-02"), 0))), "Left", "Ativo")</f>
        <v>Ativo</v>
      </c>
      <c r="E2246" s="10" t="str" cm="1">
        <f t="array" ref="E2246">IF(AND(A2246="2021-02", ISNA(MATCH(B2246, _xlfn._xlws.FILTER(B:B, A:A="2021-03"), 0))), "Left", "Ativo")</f>
        <v>Ativo</v>
      </c>
      <c r="F2246" s="12" t="str" cm="1">
        <f t="array" ref="F2246">IF(AND(A2246="2021-03", ISNA(MATCH(B2246, _xlfn._xlws.FILTER(B:B, A:A="2021-04"), 0))), "Left", "Ativo")</f>
        <v>Ativo</v>
      </c>
    </row>
    <row r="2247" spans="1:6" x14ac:dyDescent="0.25">
      <c r="A2247" t="s">
        <v>1530</v>
      </c>
      <c r="B2247" t="s">
        <v>340</v>
      </c>
      <c r="C2247" s="10" t="str" cm="1">
        <f t="array" ref="C2247">IF(AND(A2247="2020-12", ISNA(MATCH(B2247, _xlfn._xlws.FILTER(B:B, A:A="2021-01"), 0))), "Left", "Ativo")</f>
        <v>Ativo</v>
      </c>
      <c r="D2247" s="10" t="str" cm="1">
        <f t="array" ref="D2247">IF(AND(A2247="2021-01", ISNA(MATCH(B2247, _xlfn._xlws.FILTER(B:B, A:A="2021-02"), 0))), "Left", "Ativo")</f>
        <v>Ativo</v>
      </c>
      <c r="E2247" s="10" t="str" cm="1">
        <f t="array" ref="E2247">IF(AND(A2247="2021-02", ISNA(MATCH(B2247, _xlfn._xlws.FILTER(B:B, A:A="2021-03"), 0))), "Left", "Ativo")</f>
        <v>Ativo</v>
      </c>
      <c r="F2247" s="12" t="str" cm="1">
        <f t="array" ref="F2247">IF(AND(A2247="2021-03", ISNA(MATCH(B2247, _xlfn._xlws.FILTER(B:B, A:A="2021-04"), 0))), "Left", "Ativo")</f>
        <v>Ativo</v>
      </c>
    </row>
    <row r="2248" spans="1:6" x14ac:dyDescent="0.25">
      <c r="A2248" t="s">
        <v>1530</v>
      </c>
      <c r="B2248" t="s">
        <v>341</v>
      </c>
      <c r="C2248" s="10" t="str" cm="1">
        <f t="array" ref="C2248">IF(AND(A2248="2020-12", ISNA(MATCH(B2248, _xlfn._xlws.FILTER(B:B, A:A="2021-01"), 0))), "Left", "Ativo")</f>
        <v>Ativo</v>
      </c>
      <c r="D2248" s="10" t="str" cm="1">
        <f t="array" ref="D2248">IF(AND(A2248="2021-01", ISNA(MATCH(B2248, _xlfn._xlws.FILTER(B:B, A:A="2021-02"), 0))), "Left", "Ativo")</f>
        <v>Ativo</v>
      </c>
      <c r="E2248" s="10" t="str" cm="1">
        <f t="array" ref="E2248">IF(AND(A2248="2021-02", ISNA(MATCH(B2248, _xlfn._xlws.FILTER(B:B, A:A="2021-03"), 0))), "Left", "Ativo")</f>
        <v>Ativo</v>
      </c>
      <c r="F2248" s="12" t="str" cm="1">
        <f t="array" ref="F2248">IF(AND(A2248="2021-03", ISNA(MATCH(B2248, _xlfn._xlws.FILTER(B:B, A:A="2021-04"), 0))), "Left", "Ativo")</f>
        <v>Ativo</v>
      </c>
    </row>
    <row r="2249" spans="1:6" x14ac:dyDescent="0.25">
      <c r="A2249" t="s">
        <v>1530</v>
      </c>
      <c r="B2249" t="s">
        <v>342</v>
      </c>
      <c r="C2249" s="10" t="str" cm="1">
        <f t="array" ref="C2249">IF(AND(A2249="2020-12", ISNA(MATCH(B2249, _xlfn._xlws.FILTER(B:B, A:A="2021-01"), 0))), "Left", "Ativo")</f>
        <v>Ativo</v>
      </c>
      <c r="D2249" s="10" t="str" cm="1">
        <f t="array" ref="D2249">IF(AND(A2249="2021-01", ISNA(MATCH(B2249, _xlfn._xlws.FILTER(B:B, A:A="2021-02"), 0))), "Left", "Ativo")</f>
        <v>Ativo</v>
      </c>
      <c r="E2249" s="10" t="str" cm="1">
        <f t="array" ref="E2249">IF(AND(A2249="2021-02", ISNA(MATCH(B2249, _xlfn._xlws.FILTER(B:B, A:A="2021-03"), 0))), "Left", "Ativo")</f>
        <v>Ativo</v>
      </c>
      <c r="F2249" s="12" t="str" cm="1">
        <f t="array" ref="F2249">IF(AND(A2249="2021-03", ISNA(MATCH(B2249, _xlfn._xlws.FILTER(B:B, A:A="2021-04"), 0))), "Left", "Ativo")</f>
        <v>Ativo</v>
      </c>
    </row>
    <row r="2250" spans="1:6" x14ac:dyDescent="0.25">
      <c r="A2250" t="s">
        <v>1530</v>
      </c>
      <c r="B2250" t="s">
        <v>343</v>
      </c>
      <c r="C2250" s="10" t="str" cm="1">
        <f t="array" ref="C2250">IF(AND(A2250="2020-12", ISNA(MATCH(B2250, _xlfn._xlws.FILTER(B:B, A:A="2021-01"), 0))), "Left", "Ativo")</f>
        <v>Ativo</v>
      </c>
      <c r="D2250" s="10" t="str" cm="1">
        <f t="array" ref="D2250">IF(AND(A2250="2021-01", ISNA(MATCH(B2250, _xlfn._xlws.FILTER(B:B, A:A="2021-02"), 0))), "Left", "Ativo")</f>
        <v>Ativo</v>
      </c>
      <c r="E2250" s="10" t="str" cm="1">
        <f t="array" ref="E2250">IF(AND(A2250="2021-02", ISNA(MATCH(B2250, _xlfn._xlws.FILTER(B:B, A:A="2021-03"), 0))), "Left", "Ativo")</f>
        <v>Ativo</v>
      </c>
      <c r="F2250" s="12" t="str" cm="1">
        <f t="array" ref="F2250">IF(AND(A2250="2021-03", ISNA(MATCH(B2250, _xlfn._xlws.FILTER(B:B, A:A="2021-04"), 0))), "Left", "Ativo")</f>
        <v>Ativo</v>
      </c>
    </row>
    <row r="2251" spans="1:6" x14ac:dyDescent="0.25">
      <c r="A2251" t="s">
        <v>1530</v>
      </c>
      <c r="B2251" t="s">
        <v>344</v>
      </c>
      <c r="C2251" s="10" t="str" cm="1">
        <f t="array" ref="C2251">IF(AND(A2251="2020-12", ISNA(MATCH(B2251, _xlfn._xlws.FILTER(B:B, A:A="2021-01"), 0))), "Left", "Ativo")</f>
        <v>Ativo</v>
      </c>
      <c r="D2251" s="10" t="str" cm="1">
        <f t="array" ref="D2251">IF(AND(A2251="2021-01", ISNA(MATCH(B2251, _xlfn._xlws.FILTER(B:B, A:A="2021-02"), 0))), "Left", "Ativo")</f>
        <v>Ativo</v>
      </c>
      <c r="E2251" s="10" t="str" cm="1">
        <f t="array" ref="E2251">IF(AND(A2251="2021-02", ISNA(MATCH(B2251, _xlfn._xlws.FILTER(B:B, A:A="2021-03"), 0))), "Left", "Ativo")</f>
        <v>Ativo</v>
      </c>
      <c r="F2251" s="12" t="str" cm="1">
        <f t="array" ref="F2251">IF(AND(A2251="2021-03", ISNA(MATCH(B2251, _xlfn._xlws.FILTER(B:B, A:A="2021-04"), 0))), "Left", "Ativo")</f>
        <v>Ativo</v>
      </c>
    </row>
    <row r="2252" spans="1:6" x14ac:dyDescent="0.25">
      <c r="A2252" t="s">
        <v>1530</v>
      </c>
      <c r="B2252" t="s">
        <v>345</v>
      </c>
      <c r="C2252" s="10" t="str" cm="1">
        <f t="array" ref="C2252">IF(AND(A2252="2020-12", ISNA(MATCH(B2252, _xlfn._xlws.FILTER(B:B, A:A="2021-01"), 0))), "Left", "Ativo")</f>
        <v>Ativo</v>
      </c>
      <c r="D2252" s="10" t="str" cm="1">
        <f t="array" ref="D2252">IF(AND(A2252="2021-01", ISNA(MATCH(B2252, _xlfn._xlws.FILTER(B:B, A:A="2021-02"), 0))), "Left", "Ativo")</f>
        <v>Ativo</v>
      </c>
      <c r="E2252" s="10" t="str" cm="1">
        <f t="array" ref="E2252">IF(AND(A2252="2021-02", ISNA(MATCH(B2252, _xlfn._xlws.FILTER(B:B, A:A="2021-03"), 0))), "Left", "Ativo")</f>
        <v>Ativo</v>
      </c>
      <c r="F2252" s="12" t="str" cm="1">
        <f t="array" ref="F2252">IF(AND(A2252="2021-03", ISNA(MATCH(B2252, _xlfn._xlws.FILTER(B:B, A:A="2021-04"), 0))), "Left", "Ativo")</f>
        <v>Ativo</v>
      </c>
    </row>
    <row r="2253" spans="1:6" x14ac:dyDescent="0.25">
      <c r="A2253" t="s">
        <v>1530</v>
      </c>
      <c r="B2253" t="s">
        <v>346</v>
      </c>
      <c r="C2253" s="10" t="str" cm="1">
        <f t="array" ref="C2253">IF(AND(A2253="2020-12", ISNA(MATCH(B2253, _xlfn._xlws.FILTER(B:B, A:A="2021-01"), 0))), "Left", "Ativo")</f>
        <v>Ativo</v>
      </c>
      <c r="D2253" s="10" t="str" cm="1">
        <f t="array" ref="D2253">IF(AND(A2253="2021-01", ISNA(MATCH(B2253, _xlfn._xlws.FILTER(B:B, A:A="2021-02"), 0))), "Left", "Ativo")</f>
        <v>Ativo</v>
      </c>
      <c r="E2253" s="10" t="str" cm="1">
        <f t="array" ref="E2253">IF(AND(A2253="2021-02", ISNA(MATCH(B2253, _xlfn._xlws.FILTER(B:B, A:A="2021-03"), 0))), "Left", "Ativo")</f>
        <v>Ativo</v>
      </c>
      <c r="F2253" s="12" t="str" cm="1">
        <f t="array" ref="F2253">IF(AND(A2253="2021-03", ISNA(MATCH(B2253, _xlfn._xlws.FILTER(B:B, A:A="2021-04"), 0))), "Left", "Ativo")</f>
        <v>Ativo</v>
      </c>
    </row>
    <row r="2254" spans="1:6" x14ac:dyDescent="0.25">
      <c r="A2254" t="s">
        <v>1530</v>
      </c>
      <c r="B2254" t="s">
        <v>347</v>
      </c>
      <c r="C2254" s="10" t="str" cm="1">
        <f t="array" ref="C2254">IF(AND(A2254="2020-12", ISNA(MATCH(B2254, _xlfn._xlws.FILTER(B:B, A:A="2021-01"), 0))), "Left", "Ativo")</f>
        <v>Ativo</v>
      </c>
      <c r="D2254" s="10" t="str" cm="1">
        <f t="array" ref="D2254">IF(AND(A2254="2021-01", ISNA(MATCH(B2254, _xlfn._xlws.FILTER(B:B, A:A="2021-02"), 0))), "Left", "Ativo")</f>
        <v>Ativo</v>
      </c>
      <c r="E2254" s="10" t="str" cm="1">
        <f t="array" ref="E2254">IF(AND(A2254="2021-02", ISNA(MATCH(B2254, _xlfn._xlws.FILTER(B:B, A:A="2021-03"), 0))), "Left", "Ativo")</f>
        <v>Ativo</v>
      </c>
      <c r="F2254" s="12" t="str" cm="1">
        <f t="array" ref="F2254">IF(AND(A2254="2021-03", ISNA(MATCH(B2254, _xlfn._xlws.FILTER(B:B, A:A="2021-04"), 0))), "Left", "Ativo")</f>
        <v>Ativo</v>
      </c>
    </row>
    <row r="2255" spans="1:6" x14ac:dyDescent="0.25">
      <c r="A2255" t="s">
        <v>1530</v>
      </c>
      <c r="B2255" t="s">
        <v>348</v>
      </c>
      <c r="C2255" s="10" t="str" cm="1">
        <f t="array" ref="C2255">IF(AND(A2255="2020-12", ISNA(MATCH(B2255, _xlfn._xlws.FILTER(B:B, A:A="2021-01"), 0))), "Left", "Ativo")</f>
        <v>Ativo</v>
      </c>
      <c r="D2255" s="10" t="str" cm="1">
        <f t="array" ref="D2255">IF(AND(A2255="2021-01", ISNA(MATCH(B2255, _xlfn._xlws.FILTER(B:B, A:A="2021-02"), 0))), "Left", "Ativo")</f>
        <v>Ativo</v>
      </c>
      <c r="E2255" s="10" t="str" cm="1">
        <f t="array" ref="E2255">IF(AND(A2255="2021-02", ISNA(MATCH(B2255, _xlfn._xlws.FILTER(B:B, A:A="2021-03"), 0))), "Left", "Ativo")</f>
        <v>Ativo</v>
      </c>
      <c r="F2255" s="12" t="str" cm="1">
        <f t="array" ref="F2255">IF(AND(A2255="2021-03", ISNA(MATCH(B2255, _xlfn._xlws.FILTER(B:B, A:A="2021-04"), 0))), "Left", "Ativo")</f>
        <v>Ativo</v>
      </c>
    </row>
    <row r="2256" spans="1:6" x14ac:dyDescent="0.25">
      <c r="A2256" t="s">
        <v>1530</v>
      </c>
      <c r="B2256" t="s">
        <v>349</v>
      </c>
      <c r="C2256" s="10" t="str" cm="1">
        <f t="array" ref="C2256">IF(AND(A2256="2020-12", ISNA(MATCH(B2256, _xlfn._xlws.FILTER(B:B, A:A="2021-01"), 0))), "Left", "Ativo")</f>
        <v>Ativo</v>
      </c>
      <c r="D2256" s="10" t="str" cm="1">
        <f t="array" ref="D2256">IF(AND(A2256="2021-01", ISNA(MATCH(B2256, _xlfn._xlws.FILTER(B:B, A:A="2021-02"), 0))), "Left", "Ativo")</f>
        <v>Ativo</v>
      </c>
      <c r="E2256" s="10" t="str" cm="1">
        <f t="array" ref="E2256">IF(AND(A2256="2021-02", ISNA(MATCH(B2256, _xlfn._xlws.FILTER(B:B, A:A="2021-03"), 0))), "Left", "Ativo")</f>
        <v>Ativo</v>
      </c>
      <c r="F2256" s="12" t="str" cm="1">
        <f t="array" ref="F2256">IF(AND(A2256="2021-03", ISNA(MATCH(B2256, _xlfn._xlws.FILTER(B:B, A:A="2021-04"), 0))), "Left", "Ativo")</f>
        <v>Ativo</v>
      </c>
    </row>
    <row r="2257" spans="1:6" x14ac:dyDescent="0.25">
      <c r="A2257" t="s">
        <v>1530</v>
      </c>
      <c r="B2257" t="s">
        <v>350</v>
      </c>
      <c r="C2257" s="10" t="str" cm="1">
        <f t="array" ref="C2257">IF(AND(A2257="2020-12", ISNA(MATCH(B2257, _xlfn._xlws.FILTER(B:B, A:A="2021-01"), 0))), "Left", "Ativo")</f>
        <v>Ativo</v>
      </c>
      <c r="D2257" s="10" t="str" cm="1">
        <f t="array" ref="D2257">IF(AND(A2257="2021-01", ISNA(MATCH(B2257, _xlfn._xlws.FILTER(B:B, A:A="2021-02"), 0))), "Left", "Ativo")</f>
        <v>Ativo</v>
      </c>
      <c r="E2257" s="10" t="str" cm="1">
        <f t="array" ref="E2257">IF(AND(A2257="2021-02", ISNA(MATCH(B2257, _xlfn._xlws.FILTER(B:B, A:A="2021-03"), 0))), "Left", "Ativo")</f>
        <v>Ativo</v>
      </c>
      <c r="F2257" s="12" t="str" cm="1">
        <f t="array" ref="F2257">IF(AND(A2257="2021-03", ISNA(MATCH(B2257, _xlfn._xlws.FILTER(B:B, A:A="2021-04"), 0))), "Left", "Ativo")</f>
        <v>Ativo</v>
      </c>
    </row>
    <row r="2258" spans="1:6" x14ac:dyDescent="0.25">
      <c r="A2258" t="s">
        <v>1530</v>
      </c>
      <c r="B2258" t="s">
        <v>351</v>
      </c>
      <c r="C2258" s="10" t="str" cm="1">
        <f t="array" ref="C2258">IF(AND(A2258="2020-12", ISNA(MATCH(B2258, _xlfn._xlws.FILTER(B:B, A:A="2021-01"), 0))), "Left", "Ativo")</f>
        <v>Ativo</v>
      </c>
      <c r="D2258" s="10" t="str" cm="1">
        <f t="array" ref="D2258">IF(AND(A2258="2021-01", ISNA(MATCH(B2258, _xlfn._xlws.FILTER(B:B, A:A="2021-02"), 0))), "Left", "Ativo")</f>
        <v>Ativo</v>
      </c>
      <c r="E2258" s="10" t="str" cm="1">
        <f t="array" ref="E2258">IF(AND(A2258="2021-02", ISNA(MATCH(B2258, _xlfn._xlws.FILTER(B:B, A:A="2021-03"), 0))), "Left", "Ativo")</f>
        <v>Ativo</v>
      </c>
      <c r="F2258" s="12" t="str" cm="1">
        <f t="array" ref="F2258">IF(AND(A2258="2021-03", ISNA(MATCH(B2258, _xlfn._xlws.FILTER(B:B, A:A="2021-04"), 0))), "Left", "Ativo")</f>
        <v>Ativo</v>
      </c>
    </row>
    <row r="2259" spans="1:6" x14ac:dyDescent="0.25">
      <c r="A2259" t="s">
        <v>1530</v>
      </c>
      <c r="B2259" t="s">
        <v>352</v>
      </c>
      <c r="C2259" s="10" t="str" cm="1">
        <f t="array" ref="C2259">IF(AND(A2259="2020-12", ISNA(MATCH(B2259, _xlfn._xlws.FILTER(B:B, A:A="2021-01"), 0))), "Left", "Ativo")</f>
        <v>Ativo</v>
      </c>
      <c r="D2259" s="10" t="str" cm="1">
        <f t="array" ref="D2259">IF(AND(A2259="2021-01", ISNA(MATCH(B2259, _xlfn._xlws.FILTER(B:B, A:A="2021-02"), 0))), "Left", "Ativo")</f>
        <v>Ativo</v>
      </c>
      <c r="E2259" s="10" t="str" cm="1">
        <f t="array" ref="E2259">IF(AND(A2259="2021-02", ISNA(MATCH(B2259, _xlfn._xlws.FILTER(B:B, A:A="2021-03"), 0))), "Left", "Ativo")</f>
        <v>Ativo</v>
      </c>
      <c r="F2259" s="12" t="str" cm="1">
        <f t="array" ref="F2259">IF(AND(A2259="2021-03", ISNA(MATCH(B2259, _xlfn._xlws.FILTER(B:B, A:A="2021-04"), 0))), "Left", "Ativo")</f>
        <v>Ativo</v>
      </c>
    </row>
    <row r="2260" spans="1:6" x14ac:dyDescent="0.25">
      <c r="A2260" t="s">
        <v>1530</v>
      </c>
      <c r="B2260" t="s">
        <v>353</v>
      </c>
      <c r="C2260" s="10" t="str" cm="1">
        <f t="array" ref="C2260">IF(AND(A2260="2020-12", ISNA(MATCH(B2260, _xlfn._xlws.FILTER(B:B, A:A="2021-01"), 0))), "Left", "Ativo")</f>
        <v>Ativo</v>
      </c>
      <c r="D2260" s="10" t="str" cm="1">
        <f t="array" ref="D2260">IF(AND(A2260="2021-01", ISNA(MATCH(B2260, _xlfn._xlws.FILTER(B:B, A:A="2021-02"), 0))), "Left", "Ativo")</f>
        <v>Ativo</v>
      </c>
      <c r="E2260" s="10" t="str" cm="1">
        <f t="array" ref="E2260">IF(AND(A2260="2021-02", ISNA(MATCH(B2260, _xlfn._xlws.FILTER(B:B, A:A="2021-03"), 0))), "Left", "Ativo")</f>
        <v>Ativo</v>
      </c>
      <c r="F2260" s="12" t="str" cm="1">
        <f t="array" ref="F2260">IF(AND(A2260="2021-03", ISNA(MATCH(B2260, _xlfn._xlws.FILTER(B:B, A:A="2021-04"), 0))), "Left", "Ativo")</f>
        <v>Ativo</v>
      </c>
    </row>
    <row r="2261" spans="1:6" x14ac:dyDescent="0.25">
      <c r="A2261" t="s">
        <v>1530</v>
      </c>
      <c r="B2261" t="s">
        <v>354</v>
      </c>
      <c r="C2261" s="10" t="str" cm="1">
        <f t="array" ref="C2261">IF(AND(A2261="2020-12", ISNA(MATCH(B2261, _xlfn._xlws.FILTER(B:B, A:A="2021-01"), 0))), "Left", "Ativo")</f>
        <v>Ativo</v>
      </c>
      <c r="D2261" s="10" t="str" cm="1">
        <f t="array" ref="D2261">IF(AND(A2261="2021-01", ISNA(MATCH(B2261, _xlfn._xlws.FILTER(B:B, A:A="2021-02"), 0))), "Left", "Ativo")</f>
        <v>Ativo</v>
      </c>
      <c r="E2261" s="10" t="str" cm="1">
        <f t="array" ref="E2261">IF(AND(A2261="2021-02", ISNA(MATCH(B2261, _xlfn._xlws.FILTER(B:B, A:A="2021-03"), 0))), "Left", "Ativo")</f>
        <v>Ativo</v>
      </c>
      <c r="F2261" s="12" t="str" cm="1">
        <f t="array" ref="F2261">IF(AND(A2261="2021-03", ISNA(MATCH(B2261, _xlfn._xlws.FILTER(B:B, A:A="2021-04"), 0))), "Left", "Ativo")</f>
        <v>Ativo</v>
      </c>
    </row>
    <row r="2262" spans="1:6" x14ac:dyDescent="0.25">
      <c r="A2262" t="s">
        <v>1530</v>
      </c>
      <c r="B2262" t="s">
        <v>355</v>
      </c>
      <c r="C2262" s="10" t="str" cm="1">
        <f t="array" ref="C2262">IF(AND(A2262="2020-12", ISNA(MATCH(B2262, _xlfn._xlws.FILTER(B:B, A:A="2021-01"), 0))), "Left", "Ativo")</f>
        <v>Ativo</v>
      </c>
      <c r="D2262" s="10" t="str" cm="1">
        <f t="array" ref="D2262">IF(AND(A2262="2021-01", ISNA(MATCH(B2262, _xlfn._xlws.FILTER(B:B, A:A="2021-02"), 0))), "Left", "Ativo")</f>
        <v>Ativo</v>
      </c>
      <c r="E2262" s="10" t="str" cm="1">
        <f t="array" ref="E2262">IF(AND(A2262="2021-02", ISNA(MATCH(B2262, _xlfn._xlws.FILTER(B:B, A:A="2021-03"), 0))), "Left", "Ativo")</f>
        <v>Ativo</v>
      </c>
      <c r="F2262" s="12" t="str" cm="1">
        <f t="array" ref="F2262">IF(AND(A2262="2021-03", ISNA(MATCH(B2262, _xlfn._xlws.FILTER(B:B, A:A="2021-04"), 0))), "Left", "Ativo")</f>
        <v>Ativo</v>
      </c>
    </row>
    <row r="2263" spans="1:6" x14ac:dyDescent="0.25">
      <c r="A2263" t="s">
        <v>1530</v>
      </c>
      <c r="B2263" t="s">
        <v>356</v>
      </c>
      <c r="C2263" s="10" t="str" cm="1">
        <f t="array" ref="C2263">IF(AND(A2263="2020-12", ISNA(MATCH(B2263, _xlfn._xlws.FILTER(B:B, A:A="2021-01"), 0))), "Left", "Ativo")</f>
        <v>Ativo</v>
      </c>
      <c r="D2263" s="10" t="str" cm="1">
        <f t="array" ref="D2263">IF(AND(A2263="2021-01", ISNA(MATCH(B2263, _xlfn._xlws.FILTER(B:B, A:A="2021-02"), 0))), "Left", "Ativo")</f>
        <v>Ativo</v>
      </c>
      <c r="E2263" s="10" t="str" cm="1">
        <f t="array" ref="E2263">IF(AND(A2263="2021-02", ISNA(MATCH(B2263, _xlfn._xlws.FILTER(B:B, A:A="2021-03"), 0))), "Left", "Ativo")</f>
        <v>Ativo</v>
      </c>
      <c r="F2263" s="12" t="str" cm="1">
        <f t="array" ref="F2263">IF(AND(A2263="2021-03", ISNA(MATCH(B2263, _xlfn._xlws.FILTER(B:B, A:A="2021-04"), 0))), "Left", "Ativo")</f>
        <v>Ativo</v>
      </c>
    </row>
    <row r="2264" spans="1:6" x14ac:dyDescent="0.25">
      <c r="A2264" t="s">
        <v>1530</v>
      </c>
      <c r="B2264" t="s">
        <v>357</v>
      </c>
      <c r="C2264" s="10" t="str" cm="1">
        <f t="array" ref="C2264">IF(AND(A2264="2020-12", ISNA(MATCH(B2264, _xlfn._xlws.FILTER(B:B, A:A="2021-01"), 0))), "Left", "Ativo")</f>
        <v>Ativo</v>
      </c>
      <c r="D2264" s="10" t="str" cm="1">
        <f t="array" ref="D2264">IF(AND(A2264="2021-01", ISNA(MATCH(B2264, _xlfn._xlws.FILTER(B:B, A:A="2021-02"), 0))), "Left", "Ativo")</f>
        <v>Ativo</v>
      </c>
      <c r="E2264" s="10" t="str" cm="1">
        <f t="array" ref="E2264">IF(AND(A2264="2021-02", ISNA(MATCH(B2264, _xlfn._xlws.FILTER(B:B, A:A="2021-03"), 0))), "Left", "Ativo")</f>
        <v>Ativo</v>
      </c>
      <c r="F2264" s="12" t="str" cm="1">
        <f t="array" ref="F2264">IF(AND(A2264="2021-03", ISNA(MATCH(B2264, _xlfn._xlws.FILTER(B:B, A:A="2021-04"), 0))), "Left", "Ativo")</f>
        <v>Ativo</v>
      </c>
    </row>
    <row r="2265" spans="1:6" x14ac:dyDescent="0.25">
      <c r="A2265" t="s">
        <v>1530</v>
      </c>
      <c r="B2265" t="s">
        <v>358</v>
      </c>
      <c r="C2265" s="10" t="str" cm="1">
        <f t="array" ref="C2265">IF(AND(A2265="2020-12", ISNA(MATCH(B2265, _xlfn._xlws.FILTER(B:B, A:A="2021-01"), 0))), "Left", "Ativo")</f>
        <v>Ativo</v>
      </c>
      <c r="D2265" s="10" t="str" cm="1">
        <f t="array" ref="D2265">IF(AND(A2265="2021-01", ISNA(MATCH(B2265, _xlfn._xlws.FILTER(B:B, A:A="2021-02"), 0))), "Left", "Ativo")</f>
        <v>Ativo</v>
      </c>
      <c r="E2265" s="10" t="str" cm="1">
        <f t="array" ref="E2265">IF(AND(A2265="2021-02", ISNA(MATCH(B2265, _xlfn._xlws.FILTER(B:B, A:A="2021-03"), 0))), "Left", "Ativo")</f>
        <v>Ativo</v>
      </c>
      <c r="F2265" s="12" t="str" cm="1">
        <f t="array" ref="F2265">IF(AND(A2265="2021-03", ISNA(MATCH(B2265, _xlfn._xlws.FILTER(B:B, A:A="2021-04"), 0))), "Left", "Ativo")</f>
        <v>Ativo</v>
      </c>
    </row>
    <row r="2266" spans="1:6" x14ac:dyDescent="0.25">
      <c r="A2266" t="s">
        <v>1530</v>
      </c>
      <c r="B2266" t="s">
        <v>359</v>
      </c>
      <c r="C2266" s="10" t="str" cm="1">
        <f t="array" ref="C2266">IF(AND(A2266="2020-12", ISNA(MATCH(B2266, _xlfn._xlws.FILTER(B:B, A:A="2021-01"), 0))), "Left", "Ativo")</f>
        <v>Ativo</v>
      </c>
      <c r="D2266" s="10" t="str" cm="1">
        <f t="array" ref="D2266">IF(AND(A2266="2021-01", ISNA(MATCH(B2266, _xlfn._xlws.FILTER(B:B, A:A="2021-02"), 0))), "Left", "Ativo")</f>
        <v>Ativo</v>
      </c>
      <c r="E2266" s="10" t="str" cm="1">
        <f t="array" ref="E2266">IF(AND(A2266="2021-02", ISNA(MATCH(B2266, _xlfn._xlws.FILTER(B:B, A:A="2021-03"), 0))), "Left", "Ativo")</f>
        <v>Ativo</v>
      </c>
      <c r="F2266" s="12" t="str" cm="1">
        <f t="array" ref="F2266">IF(AND(A2266="2021-03", ISNA(MATCH(B2266, _xlfn._xlws.FILTER(B:B, A:A="2021-04"), 0))), "Left", "Ativo")</f>
        <v>Ativo</v>
      </c>
    </row>
    <row r="2267" spans="1:6" x14ac:dyDescent="0.25">
      <c r="A2267" t="s">
        <v>1530</v>
      </c>
      <c r="B2267" t="s">
        <v>360</v>
      </c>
      <c r="C2267" s="10" t="str" cm="1">
        <f t="array" ref="C2267">IF(AND(A2267="2020-12", ISNA(MATCH(B2267, _xlfn._xlws.FILTER(B:B, A:A="2021-01"), 0))), "Left", "Ativo")</f>
        <v>Ativo</v>
      </c>
      <c r="D2267" s="10" t="str" cm="1">
        <f t="array" ref="D2267">IF(AND(A2267="2021-01", ISNA(MATCH(B2267, _xlfn._xlws.FILTER(B:B, A:A="2021-02"), 0))), "Left", "Ativo")</f>
        <v>Ativo</v>
      </c>
      <c r="E2267" s="10" t="str" cm="1">
        <f t="array" ref="E2267">IF(AND(A2267="2021-02", ISNA(MATCH(B2267, _xlfn._xlws.FILTER(B:B, A:A="2021-03"), 0))), "Left", "Ativo")</f>
        <v>Ativo</v>
      </c>
      <c r="F2267" s="12" t="str" cm="1">
        <f t="array" ref="F2267">IF(AND(A2267="2021-03", ISNA(MATCH(B2267, _xlfn._xlws.FILTER(B:B, A:A="2021-04"), 0))), "Left", "Ativo")</f>
        <v>Ativo</v>
      </c>
    </row>
    <row r="2268" spans="1:6" x14ac:dyDescent="0.25">
      <c r="A2268" t="s">
        <v>1530</v>
      </c>
      <c r="B2268" t="s">
        <v>361</v>
      </c>
      <c r="C2268" s="10" t="str" cm="1">
        <f t="array" ref="C2268">IF(AND(A2268="2020-12", ISNA(MATCH(B2268, _xlfn._xlws.FILTER(B:B, A:A="2021-01"), 0))), "Left", "Ativo")</f>
        <v>Ativo</v>
      </c>
      <c r="D2268" s="10" t="str" cm="1">
        <f t="array" ref="D2268">IF(AND(A2268="2021-01", ISNA(MATCH(B2268, _xlfn._xlws.FILTER(B:B, A:A="2021-02"), 0))), "Left", "Ativo")</f>
        <v>Ativo</v>
      </c>
      <c r="E2268" s="10" t="str" cm="1">
        <f t="array" ref="E2268">IF(AND(A2268="2021-02", ISNA(MATCH(B2268, _xlfn._xlws.FILTER(B:B, A:A="2021-03"), 0))), "Left", "Ativo")</f>
        <v>Ativo</v>
      </c>
      <c r="F2268" s="12" t="str" cm="1">
        <f t="array" ref="F2268">IF(AND(A2268="2021-03", ISNA(MATCH(B2268, _xlfn._xlws.FILTER(B:B, A:A="2021-04"), 0))), "Left", "Ativo")</f>
        <v>Ativo</v>
      </c>
    </row>
    <row r="2269" spans="1:6" x14ac:dyDescent="0.25">
      <c r="A2269" t="s">
        <v>1530</v>
      </c>
      <c r="B2269" t="s">
        <v>362</v>
      </c>
      <c r="C2269" s="10" t="str" cm="1">
        <f t="array" ref="C2269">IF(AND(A2269="2020-12", ISNA(MATCH(B2269, _xlfn._xlws.FILTER(B:B, A:A="2021-01"), 0))), "Left", "Ativo")</f>
        <v>Ativo</v>
      </c>
      <c r="D2269" s="10" t="str" cm="1">
        <f t="array" ref="D2269">IF(AND(A2269="2021-01", ISNA(MATCH(B2269, _xlfn._xlws.FILTER(B:B, A:A="2021-02"), 0))), "Left", "Ativo")</f>
        <v>Ativo</v>
      </c>
      <c r="E2269" s="10" t="str" cm="1">
        <f t="array" ref="E2269">IF(AND(A2269="2021-02", ISNA(MATCH(B2269, _xlfn._xlws.FILTER(B:B, A:A="2021-03"), 0))), "Left", "Ativo")</f>
        <v>Ativo</v>
      </c>
      <c r="F2269" s="12" t="str" cm="1">
        <f t="array" ref="F2269">IF(AND(A2269="2021-03", ISNA(MATCH(B2269, _xlfn._xlws.FILTER(B:B, A:A="2021-04"), 0))), "Left", "Ativo")</f>
        <v>Ativo</v>
      </c>
    </row>
    <row r="2270" spans="1:6" x14ac:dyDescent="0.25">
      <c r="A2270" t="s">
        <v>1530</v>
      </c>
      <c r="B2270" t="s">
        <v>363</v>
      </c>
      <c r="C2270" s="10" t="str" cm="1">
        <f t="array" ref="C2270">IF(AND(A2270="2020-12", ISNA(MATCH(B2270, _xlfn._xlws.FILTER(B:B, A:A="2021-01"), 0))), "Left", "Ativo")</f>
        <v>Ativo</v>
      </c>
      <c r="D2270" s="10" t="str" cm="1">
        <f t="array" ref="D2270">IF(AND(A2270="2021-01", ISNA(MATCH(B2270, _xlfn._xlws.FILTER(B:B, A:A="2021-02"), 0))), "Left", "Ativo")</f>
        <v>Ativo</v>
      </c>
      <c r="E2270" s="10" t="str" cm="1">
        <f t="array" ref="E2270">IF(AND(A2270="2021-02", ISNA(MATCH(B2270, _xlfn._xlws.FILTER(B:B, A:A="2021-03"), 0))), "Left", "Ativo")</f>
        <v>Ativo</v>
      </c>
      <c r="F2270" s="12" t="str" cm="1">
        <f t="array" ref="F2270">IF(AND(A2270="2021-03", ISNA(MATCH(B2270, _xlfn._xlws.FILTER(B:B, A:A="2021-04"), 0))), "Left", "Ativo")</f>
        <v>Ativo</v>
      </c>
    </row>
    <row r="2271" spans="1:6" x14ac:dyDescent="0.25">
      <c r="A2271" t="s">
        <v>1530</v>
      </c>
      <c r="B2271" t="s">
        <v>364</v>
      </c>
      <c r="C2271" s="10" t="str" cm="1">
        <f t="array" ref="C2271">IF(AND(A2271="2020-12", ISNA(MATCH(B2271, _xlfn._xlws.FILTER(B:B, A:A="2021-01"), 0))), "Left", "Ativo")</f>
        <v>Ativo</v>
      </c>
      <c r="D2271" s="10" t="str" cm="1">
        <f t="array" ref="D2271">IF(AND(A2271="2021-01", ISNA(MATCH(B2271, _xlfn._xlws.FILTER(B:B, A:A="2021-02"), 0))), "Left", "Ativo")</f>
        <v>Ativo</v>
      </c>
      <c r="E2271" s="10" t="str" cm="1">
        <f t="array" ref="E2271">IF(AND(A2271="2021-02", ISNA(MATCH(B2271, _xlfn._xlws.FILTER(B:B, A:A="2021-03"), 0))), "Left", "Ativo")</f>
        <v>Ativo</v>
      </c>
      <c r="F2271" s="12" t="str" cm="1">
        <f t="array" ref="F2271">IF(AND(A2271="2021-03", ISNA(MATCH(B2271, _xlfn._xlws.FILTER(B:B, A:A="2021-04"), 0))), "Left", "Ativo")</f>
        <v>Ativo</v>
      </c>
    </row>
    <row r="2272" spans="1:6" x14ac:dyDescent="0.25">
      <c r="A2272" t="s">
        <v>1530</v>
      </c>
      <c r="B2272" t="s">
        <v>365</v>
      </c>
      <c r="C2272" s="10" t="str" cm="1">
        <f t="array" ref="C2272">IF(AND(A2272="2020-12", ISNA(MATCH(B2272, _xlfn._xlws.FILTER(B:B, A:A="2021-01"), 0))), "Left", "Ativo")</f>
        <v>Ativo</v>
      </c>
      <c r="D2272" s="10" t="str" cm="1">
        <f t="array" ref="D2272">IF(AND(A2272="2021-01", ISNA(MATCH(B2272, _xlfn._xlws.FILTER(B:B, A:A="2021-02"), 0))), "Left", "Ativo")</f>
        <v>Ativo</v>
      </c>
      <c r="E2272" s="10" t="str" cm="1">
        <f t="array" ref="E2272">IF(AND(A2272="2021-02", ISNA(MATCH(B2272, _xlfn._xlws.FILTER(B:B, A:A="2021-03"), 0))), "Left", "Ativo")</f>
        <v>Ativo</v>
      </c>
      <c r="F2272" s="12" t="str" cm="1">
        <f t="array" ref="F2272">IF(AND(A2272="2021-03", ISNA(MATCH(B2272, _xlfn._xlws.FILTER(B:B, A:A="2021-04"), 0))), "Left", "Ativo")</f>
        <v>Ativo</v>
      </c>
    </row>
    <row r="2273" spans="1:6" x14ac:dyDescent="0.25">
      <c r="A2273" t="s">
        <v>1530</v>
      </c>
      <c r="B2273" t="s">
        <v>366</v>
      </c>
      <c r="C2273" s="10" t="str" cm="1">
        <f t="array" ref="C2273">IF(AND(A2273="2020-12", ISNA(MATCH(B2273, _xlfn._xlws.FILTER(B:B, A:A="2021-01"), 0))), "Left", "Ativo")</f>
        <v>Ativo</v>
      </c>
      <c r="D2273" s="10" t="str" cm="1">
        <f t="array" ref="D2273">IF(AND(A2273="2021-01", ISNA(MATCH(B2273, _xlfn._xlws.FILTER(B:B, A:A="2021-02"), 0))), "Left", "Ativo")</f>
        <v>Ativo</v>
      </c>
      <c r="E2273" s="10" t="str" cm="1">
        <f t="array" ref="E2273">IF(AND(A2273="2021-02", ISNA(MATCH(B2273, _xlfn._xlws.FILTER(B:B, A:A="2021-03"), 0))), "Left", "Ativo")</f>
        <v>Ativo</v>
      </c>
      <c r="F2273" s="12" t="str" cm="1">
        <f t="array" ref="F2273">IF(AND(A2273="2021-03", ISNA(MATCH(B2273, _xlfn._xlws.FILTER(B:B, A:A="2021-04"), 0))), "Left", "Ativo")</f>
        <v>Ativo</v>
      </c>
    </row>
    <row r="2274" spans="1:6" x14ac:dyDescent="0.25">
      <c r="A2274" t="s">
        <v>1530</v>
      </c>
      <c r="B2274" t="s">
        <v>367</v>
      </c>
      <c r="C2274" s="10" t="str" cm="1">
        <f t="array" ref="C2274">IF(AND(A2274="2020-12", ISNA(MATCH(B2274, _xlfn._xlws.FILTER(B:B, A:A="2021-01"), 0))), "Left", "Ativo")</f>
        <v>Ativo</v>
      </c>
      <c r="D2274" s="10" t="str" cm="1">
        <f t="array" ref="D2274">IF(AND(A2274="2021-01", ISNA(MATCH(B2274, _xlfn._xlws.FILTER(B:B, A:A="2021-02"), 0))), "Left", "Ativo")</f>
        <v>Ativo</v>
      </c>
      <c r="E2274" s="10" t="str" cm="1">
        <f t="array" ref="E2274">IF(AND(A2274="2021-02", ISNA(MATCH(B2274, _xlfn._xlws.FILTER(B:B, A:A="2021-03"), 0))), "Left", "Ativo")</f>
        <v>Ativo</v>
      </c>
      <c r="F2274" s="12" t="str" cm="1">
        <f t="array" ref="F2274">IF(AND(A2274="2021-03", ISNA(MATCH(B2274, _xlfn._xlws.FILTER(B:B, A:A="2021-04"), 0))), "Left", "Ativo")</f>
        <v>Ativo</v>
      </c>
    </row>
    <row r="2275" spans="1:6" x14ac:dyDescent="0.25">
      <c r="A2275" t="s">
        <v>1530</v>
      </c>
      <c r="B2275" t="s">
        <v>368</v>
      </c>
      <c r="C2275" s="10" t="str" cm="1">
        <f t="array" ref="C2275">IF(AND(A2275="2020-12", ISNA(MATCH(B2275, _xlfn._xlws.FILTER(B:B, A:A="2021-01"), 0))), "Left", "Ativo")</f>
        <v>Ativo</v>
      </c>
      <c r="D2275" s="10" t="str" cm="1">
        <f t="array" ref="D2275">IF(AND(A2275="2021-01", ISNA(MATCH(B2275, _xlfn._xlws.FILTER(B:B, A:A="2021-02"), 0))), "Left", "Ativo")</f>
        <v>Ativo</v>
      </c>
      <c r="E2275" s="10" t="str" cm="1">
        <f t="array" ref="E2275">IF(AND(A2275="2021-02", ISNA(MATCH(B2275, _xlfn._xlws.FILTER(B:B, A:A="2021-03"), 0))), "Left", "Ativo")</f>
        <v>Ativo</v>
      </c>
      <c r="F2275" s="12" t="str" cm="1">
        <f t="array" ref="F2275">IF(AND(A2275="2021-03", ISNA(MATCH(B2275, _xlfn._xlws.FILTER(B:B, A:A="2021-04"), 0))), "Left", "Ativo")</f>
        <v>Ativo</v>
      </c>
    </row>
    <row r="2276" spans="1:6" x14ac:dyDescent="0.25">
      <c r="A2276" t="s">
        <v>1530</v>
      </c>
      <c r="B2276" t="s">
        <v>369</v>
      </c>
      <c r="C2276" s="10" t="str" cm="1">
        <f t="array" ref="C2276">IF(AND(A2276="2020-12", ISNA(MATCH(B2276, _xlfn._xlws.FILTER(B:B, A:A="2021-01"), 0))), "Left", "Ativo")</f>
        <v>Ativo</v>
      </c>
      <c r="D2276" s="10" t="str" cm="1">
        <f t="array" ref="D2276">IF(AND(A2276="2021-01", ISNA(MATCH(B2276, _xlfn._xlws.FILTER(B:B, A:A="2021-02"), 0))), "Left", "Ativo")</f>
        <v>Ativo</v>
      </c>
      <c r="E2276" s="10" t="str" cm="1">
        <f t="array" ref="E2276">IF(AND(A2276="2021-02", ISNA(MATCH(B2276, _xlfn._xlws.FILTER(B:B, A:A="2021-03"), 0))), "Left", "Ativo")</f>
        <v>Ativo</v>
      </c>
      <c r="F2276" s="12" t="str" cm="1">
        <f t="array" ref="F2276">IF(AND(A2276="2021-03", ISNA(MATCH(B2276, _xlfn._xlws.FILTER(B:B, A:A="2021-04"), 0))), "Left", "Ativo")</f>
        <v>Ativo</v>
      </c>
    </row>
    <row r="2277" spans="1:6" x14ac:dyDescent="0.25">
      <c r="A2277" t="s">
        <v>1530</v>
      </c>
      <c r="B2277" t="s">
        <v>370</v>
      </c>
      <c r="C2277" s="10" t="str" cm="1">
        <f t="array" ref="C2277">IF(AND(A2277="2020-12", ISNA(MATCH(B2277, _xlfn._xlws.FILTER(B:B, A:A="2021-01"), 0))), "Left", "Ativo")</f>
        <v>Ativo</v>
      </c>
      <c r="D2277" s="10" t="str" cm="1">
        <f t="array" ref="D2277">IF(AND(A2277="2021-01", ISNA(MATCH(B2277, _xlfn._xlws.FILTER(B:B, A:A="2021-02"), 0))), "Left", "Ativo")</f>
        <v>Ativo</v>
      </c>
      <c r="E2277" s="10" t="str" cm="1">
        <f t="array" ref="E2277">IF(AND(A2277="2021-02", ISNA(MATCH(B2277, _xlfn._xlws.FILTER(B:B, A:A="2021-03"), 0))), "Left", "Ativo")</f>
        <v>Ativo</v>
      </c>
      <c r="F2277" s="12" t="str" cm="1">
        <f t="array" ref="F2277">IF(AND(A2277="2021-03", ISNA(MATCH(B2277, _xlfn._xlws.FILTER(B:B, A:A="2021-04"), 0))), "Left", "Ativo")</f>
        <v>Ativo</v>
      </c>
    </row>
    <row r="2278" spans="1:6" x14ac:dyDescent="0.25">
      <c r="A2278" t="s">
        <v>1530</v>
      </c>
      <c r="B2278" t="s">
        <v>371</v>
      </c>
      <c r="C2278" s="10" t="str" cm="1">
        <f t="array" ref="C2278">IF(AND(A2278="2020-12", ISNA(MATCH(B2278, _xlfn._xlws.FILTER(B:B, A:A="2021-01"), 0))), "Left", "Ativo")</f>
        <v>Ativo</v>
      </c>
      <c r="D2278" s="10" t="str" cm="1">
        <f t="array" ref="D2278">IF(AND(A2278="2021-01", ISNA(MATCH(B2278, _xlfn._xlws.FILTER(B:B, A:A="2021-02"), 0))), "Left", "Ativo")</f>
        <v>Ativo</v>
      </c>
      <c r="E2278" s="10" t="str" cm="1">
        <f t="array" ref="E2278">IF(AND(A2278="2021-02", ISNA(MATCH(B2278, _xlfn._xlws.FILTER(B:B, A:A="2021-03"), 0))), "Left", "Ativo")</f>
        <v>Ativo</v>
      </c>
      <c r="F2278" s="12" t="str" cm="1">
        <f t="array" ref="F2278">IF(AND(A2278="2021-03", ISNA(MATCH(B2278, _xlfn._xlws.FILTER(B:B, A:A="2021-04"), 0))), "Left", "Ativo")</f>
        <v>Ativo</v>
      </c>
    </row>
    <row r="2279" spans="1:6" x14ac:dyDescent="0.25">
      <c r="A2279" t="s">
        <v>1530</v>
      </c>
      <c r="B2279" t="s">
        <v>372</v>
      </c>
      <c r="C2279" s="10" t="str" cm="1">
        <f t="array" ref="C2279">IF(AND(A2279="2020-12", ISNA(MATCH(B2279, _xlfn._xlws.FILTER(B:B, A:A="2021-01"), 0))), "Left", "Ativo")</f>
        <v>Ativo</v>
      </c>
      <c r="D2279" s="10" t="str" cm="1">
        <f t="array" ref="D2279">IF(AND(A2279="2021-01", ISNA(MATCH(B2279, _xlfn._xlws.FILTER(B:B, A:A="2021-02"), 0))), "Left", "Ativo")</f>
        <v>Ativo</v>
      </c>
      <c r="E2279" s="10" t="str" cm="1">
        <f t="array" ref="E2279">IF(AND(A2279="2021-02", ISNA(MATCH(B2279, _xlfn._xlws.FILTER(B:B, A:A="2021-03"), 0))), "Left", "Ativo")</f>
        <v>Ativo</v>
      </c>
      <c r="F2279" s="12" t="str" cm="1">
        <f t="array" ref="F2279">IF(AND(A2279="2021-03", ISNA(MATCH(B2279, _xlfn._xlws.FILTER(B:B, A:A="2021-04"), 0))), "Left", "Ativo")</f>
        <v>Ativo</v>
      </c>
    </row>
    <row r="2280" spans="1:6" x14ac:dyDescent="0.25">
      <c r="A2280" t="s">
        <v>1530</v>
      </c>
      <c r="B2280" t="s">
        <v>373</v>
      </c>
      <c r="C2280" s="10" t="str" cm="1">
        <f t="array" ref="C2280">IF(AND(A2280="2020-12", ISNA(MATCH(B2280, _xlfn._xlws.FILTER(B:B, A:A="2021-01"), 0))), "Left", "Ativo")</f>
        <v>Ativo</v>
      </c>
      <c r="D2280" s="10" t="str" cm="1">
        <f t="array" ref="D2280">IF(AND(A2280="2021-01", ISNA(MATCH(B2280, _xlfn._xlws.FILTER(B:B, A:A="2021-02"), 0))), "Left", "Ativo")</f>
        <v>Ativo</v>
      </c>
      <c r="E2280" s="10" t="str" cm="1">
        <f t="array" ref="E2280">IF(AND(A2280="2021-02", ISNA(MATCH(B2280, _xlfn._xlws.FILTER(B:B, A:A="2021-03"), 0))), "Left", "Ativo")</f>
        <v>Ativo</v>
      </c>
      <c r="F2280" s="12" t="str" cm="1">
        <f t="array" ref="F2280">IF(AND(A2280="2021-03", ISNA(MATCH(B2280, _xlfn._xlws.FILTER(B:B, A:A="2021-04"), 0))), "Left", "Ativo")</f>
        <v>Ativo</v>
      </c>
    </row>
    <row r="2281" spans="1:6" x14ac:dyDescent="0.25">
      <c r="A2281" t="s">
        <v>1530</v>
      </c>
      <c r="B2281" t="s">
        <v>374</v>
      </c>
      <c r="C2281" s="10" t="str" cm="1">
        <f t="array" ref="C2281">IF(AND(A2281="2020-12", ISNA(MATCH(B2281, _xlfn._xlws.FILTER(B:B, A:A="2021-01"), 0))), "Left", "Ativo")</f>
        <v>Ativo</v>
      </c>
      <c r="D2281" s="10" t="str" cm="1">
        <f t="array" ref="D2281">IF(AND(A2281="2021-01", ISNA(MATCH(B2281, _xlfn._xlws.FILTER(B:B, A:A="2021-02"), 0))), "Left", "Ativo")</f>
        <v>Ativo</v>
      </c>
      <c r="E2281" s="10" t="str" cm="1">
        <f t="array" ref="E2281">IF(AND(A2281="2021-02", ISNA(MATCH(B2281, _xlfn._xlws.FILTER(B:B, A:A="2021-03"), 0))), "Left", "Ativo")</f>
        <v>Ativo</v>
      </c>
      <c r="F2281" s="12" t="str" cm="1">
        <f t="array" ref="F2281">IF(AND(A2281="2021-03", ISNA(MATCH(B2281, _xlfn._xlws.FILTER(B:B, A:A="2021-04"), 0))), "Left", "Ativo")</f>
        <v>Ativo</v>
      </c>
    </row>
    <row r="2282" spans="1:6" x14ac:dyDescent="0.25">
      <c r="A2282" t="s">
        <v>1530</v>
      </c>
      <c r="B2282" t="s">
        <v>375</v>
      </c>
      <c r="C2282" s="10" t="str" cm="1">
        <f t="array" ref="C2282">IF(AND(A2282="2020-12", ISNA(MATCH(B2282, _xlfn._xlws.FILTER(B:B, A:A="2021-01"), 0))), "Left", "Ativo")</f>
        <v>Ativo</v>
      </c>
      <c r="D2282" s="10" t="str" cm="1">
        <f t="array" ref="D2282">IF(AND(A2282="2021-01", ISNA(MATCH(B2282, _xlfn._xlws.FILTER(B:B, A:A="2021-02"), 0))), "Left", "Ativo")</f>
        <v>Ativo</v>
      </c>
      <c r="E2282" s="10" t="str" cm="1">
        <f t="array" ref="E2282">IF(AND(A2282="2021-02", ISNA(MATCH(B2282, _xlfn._xlws.FILTER(B:B, A:A="2021-03"), 0))), "Left", "Ativo")</f>
        <v>Ativo</v>
      </c>
      <c r="F2282" s="12" t="str" cm="1">
        <f t="array" ref="F2282">IF(AND(A2282="2021-03", ISNA(MATCH(B2282, _xlfn._xlws.FILTER(B:B, A:A="2021-04"), 0))), "Left", "Ativo")</f>
        <v>Ativo</v>
      </c>
    </row>
    <row r="2283" spans="1:6" x14ac:dyDescent="0.25">
      <c r="A2283" t="s">
        <v>1530</v>
      </c>
      <c r="B2283" t="s">
        <v>376</v>
      </c>
      <c r="C2283" s="10" t="str" cm="1">
        <f t="array" ref="C2283">IF(AND(A2283="2020-12", ISNA(MATCH(B2283, _xlfn._xlws.FILTER(B:B, A:A="2021-01"), 0))), "Left", "Ativo")</f>
        <v>Ativo</v>
      </c>
      <c r="D2283" s="10" t="str" cm="1">
        <f t="array" ref="D2283">IF(AND(A2283="2021-01", ISNA(MATCH(B2283, _xlfn._xlws.FILTER(B:B, A:A="2021-02"), 0))), "Left", "Ativo")</f>
        <v>Ativo</v>
      </c>
      <c r="E2283" s="10" t="str" cm="1">
        <f t="array" ref="E2283">IF(AND(A2283="2021-02", ISNA(MATCH(B2283, _xlfn._xlws.FILTER(B:B, A:A="2021-03"), 0))), "Left", "Ativo")</f>
        <v>Ativo</v>
      </c>
      <c r="F2283" s="12" t="str" cm="1">
        <f t="array" ref="F2283">IF(AND(A2283="2021-03", ISNA(MATCH(B2283, _xlfn._xlws.FILTER(B:B, A:A="2021-04"), 0))), "Left", "Ativo")</f>
        <v>Ativo</v>
      </c>
    </row>
    <row r="2284" spans="1:6" x14ac:dyDescent="0.25">
      <c r="A2284" t="s">
        <v>1530</v>
      </c>
      <c r="B2284" t="s">
        <v>1007</v>
      </c>
      <c r="C2284" s="10" t="str" cm="1">
        <f t="array" ref="C2284">IF(AND(A2284="2020-12", ISNA(MATCH(B2284, _xlfn._xlws.FILTER(B:B, A:A="2021-01"), 0))), "Left", "Ativo")</f>
        <v>Ativo</v>
      </c>
      <c r="D2284" s="10" t="str" cm="1">
        <f t="array" ref="D2284">IF(AND(A2284="2021-01", ISNA(MATCH(B2284, _xlfn._xlws.FILTER(B:B, A:A="2021-02"), 0))), "Left", "Ativo")</f>
        <v>Ativo</v>
      </c>
      <c r="E2284" s="10" t="str" cm="1">
        <f t="array" ref="E2284">IF(AND(A2284="2021-02", ISNA(MATCH(B2284, _xlfn._xlws.FILTER(B:B, A:A="2021-03"), 0))), "Left", "Ativo")</f>
        <v>Ativo</v>
      </c>
      <c r="F2284" s="12" t="str" cm="1">
        <f t="array" ref="F2284">IF(AND(A2284="2021-03", ISNA(MATCH(B2284, _xlfn._xlws.FILTER(B:B, A:A="2021-04"), 0))), "Left", "Ativo")</f>
        <v>Ativo</v>
      </c>
    </row>
    <row r="2285" spans="1:6" x14ac:dyDescent="0.25">
      <c r="A2285" t="s">
        <v>1530</v>
      </c>
      <c r="B2285" t="s">
        <v>1008</v>
      </c>
      <c r="C2285" s="10" t="str" cm="1">
        <f t="array" ref="C2285">IF(AND(A2285="2020-12", ISNA(MATCH(B2285, _xlfn._xlws.FILTER(B:B, A:A="2021-01"), 0))), "Left", "Ativo")</f>
        <v>Ativo</v>
      </c>
      <c r="D2285" s="10" t="str" cm="1">
        <f t="array" ref="D2285">IF(AND(A2285="2021-01", ISNA(MATCH(B2285, _xlfn._xlws.FILTER(B:B, A:A="2021-02"), 0))), "Left", "Ativo")</f>
        <v>Ativo</v>
      </c>
      <c r="E2285" s="10" t="str" cm="1">
        <f t="array" ref="E2285">IF(AND(A2285="2021-02", ISNA(MATCH(B2285, _xlfn._xlws.FILTER(B:B, A:A="2021-03"), 0))), "Left", "Ativo")</f>
        <v>Ativo</v>
      </c>
      <c r="F2285" s="12" t="str" cm="1">
        <f t="array" ref="F2285">IF(AND(A2285="2021-03", ISNA(MATCH(B2285, _xlfn._xlws.FILTER(B:B, A:A="2021-04"), 0))), "Left", "Ativo")</f>
        <v>Ativo</v>
      </c>
    </row>
    <row r="2286" spans="1:6" x14ac:dyDescent="0.25">
      <c r="A2286" t="s">
        <v>1530</v>
      </c>
      <c r="B2286" t="s">
        <v>1009</v>
      </c>
      <c r="C2286" s="10" t="str" cm="1">
        <f t="array" ref="C2286">IF(AND(A2286="2020-12", ISNA(MATCH(B2286, _xlfn._xlws.FILTER(B:B, A:A="2021-01"), 0))), "Left", "Ativo")</f>
        <v>Ativo</v>
      </c>
      <c r="D2286" s="10" t="str" cm="1">
        <f t="array" ref="D2286">IF(AND(A2286="2021-01", ISNA(MATCH(B2286, _xlfn._xlws.FILTER(B:B, A:A="2021-02"), 0))), "Left", "Ativo")</f>
        <v>Ativo</v>
      </c>
      <c r="E2286" s="10" t="str" cm="1">
        <f t="array" ref="E2286">IF(AND(A2286="2021-02", ISNA(MATCH(B2286, _xlfn._xlws.FILTER(B:B, A:A="2021-03"), 0))), "Left", "Ativo")</f>
        <v>Ativo</v>
      </c>
      <c r="F2286" s="12" t="str" cm="1">
        <f t="array" ref="F2286">IF(AND(A2286="2021-03", ISNA(MATCH(B2286, _xlfn._xlws.FILTER(B:B, A:A="2021-04"), 0))), "Left", "Ativo")</f>
        <v>Ativo</v>
      </c>
    </row>
    <row r="2287" spans="1:6" x14ac:dyDescent="0.25">
      <c r="A2287" t="s">
        <v>1530</v>
      </c>
      <c r="B2287" t="s">
        <v>1010</v>
      </c>
      <c r="C2287" s="10" t="str" cm="1">
        <f t="array" ref="C2287">IF(AND(A2287="2020-12", ISNA(MATCH(B2287, _xlfn._xlws.FILTER(B:B, A:A="2021-01"), 0))), "Left", "Ativo")</f>
        <v>Ativo</v>
      </c>
      <c r="D2287" s="10" t="str" cm="1">
        <f t="array" ref="D2287">IF(AND(A2287="2021-01", ISNA(MATCH(B2287, _xlfn._xlws.FILTER(B:B, A:A="2021-02"), 0))), "Left", "Ativo")</f>
        <v>Ativo</v>
      </c>
      <c r="E2287" s="10" t="str" cm="1">
        <f t="array" ref="E2287">IF(AND(A2287="2021-02", ISNA(MATCH(B2287, _xlfn._xlws.FILTER(B:B, A:A="2021-03"), 0))), "Left", "Ativo")</f>
        <v>Ativo</v>
      </c>
      <c r="F2287" s="12" t="str" cm="1">
        <f t="array" ref="F2287">IF(AND(A2287="2021-03", ISNA(MATCH(B2287, _xlfn._xlws.FILTER(B:B, A:A="2021-04"), 0))), "Left", "Ativo")</f>
        <v>Ativo</v>
      </c>
    </row>
    <row r="2288" spans="1:6" x14ac:dyDescent="0.25">
      <c r="A2288" t="s">
        <v>1530</v>
      </c>
      <c r="B2288" t="s">
        <v>1011</v>
      </c>
      <c r="C2288" s="10" t="str" cm="1">
        <f t="array" ref="C2288">IF(AND(A2288="2020-12", ISNA(MATCH(B2288, _xlfn._xlws.FILTER(B:B, A:A="2021-01"), 0))), "Left", "Ativo")</f>
        <v>Ativo</v>
      </c>
      <c r="D2288" s="10" t="str" cm="1">
        <f t="array" ref="D2288">IF(AND(A2288="2021-01", ISNA(MATCH(B2288, _xlfn._xlws.FILTER(B:B, A:A="2021-02"), 0))), "Left", "Ativo")</f>
        <v>Ativo</v>
      </c>
      <c r="E2288" s="10" t="str" cm="1">
        <f t="array" ref="E2288">IF(AND(A2288="2021-02", ISNA(MATCH(B2288, _xlfn._xlws.FILTER(B:B, A:A="2021-03"), 0))), "Left", "Ativo")</f>
        <v>Ativo</v>
      </c>
      <c r="F2288" s="12" t="str" cm="1">
        <f t="array" ref="F2288">IF(AND(A2288="2021-03", ISNA(MATCH(B2288, _xlfn._xlws.FILTER(B:B, A:A="2021-04"), 0))), "Left", "Ativo")</f>
        <v>Ativo</v>
      </c>
    </row>
    <row r="2289" spans="1:6" x14ac:dyDescent="0.25">
      <c r="A2289" t="s">
        <v>1530</v>
      </c>
      <c r="B2289" t="s">
        <v>1012</v>
      </c>
      <c r="C2289" s="10" t="str" cm="1">
        <f t="array" ref="C2289">IF(AND(A2289="2020-12", ISNA(MATCH(B2289, _xlfn._xlws.FILTER(B:B, A:A="2021-01"), 0))), "Left", "Ativo")</f>
        <v>Ativo</v>
      </c>
      <c r="D2289" s="10" t="str" cm="1">
        <f t="array" ref="D2289">IF(AND(A2289="2021-01", ISNA(MATCH(B2289, _xlfn._xlws.FILTER(B:B, A:A="2021-02"), 0))), "Left", "Ativo")</f>
        <v>Ativo</v>
      </c>
      <c r="E2289" s="10" t="str" cm="1">
        <f t="array" ref="E2289">IF(AND(A2289="2021-02", ISNA(MATCH(B2289, _xlfn._xlws.FILTER(B:B, A:A="2021-03"), 0))), "Left", "Ativo")</f>
        <v>Ativo</v>
      </c>
      <c r="F2289" s="12" t="str" cm="1">
        <f t="array" ref="F2289">IF(AND(A2289="2021-03", ISNA(MATCH(B2289, _xlfn._xlws.FILTER(B:B, A:A="2021-04"), 0))), "Left", "Ativo")</f>
        <v>Ativo</v>
      </c>
    </row>
    <row r="2290" spans="1:6" x14ac:dyDescent="0.25">
      <c r="A2290" t="s">
        <v>1530</v>
      </c>
      <c r="B2290" t="s">
        <v>1013</v>
      </c>
      <c r="C2290" s="10" t="str" cm="1">
        <f t="array" ref="C2290">IF(AND(A2290="2020-12", ISNA(MATCH(B2290, _xlfn._xlws.FILTER(B:B, A:A="2021-01"), 0))), "Left", "Ativo")</f>
        <v>Ativo</v>
      </c>
      <c r="D2290" s="10" t="str" cm="1">
        <f t="array" ref="D2290">IF(AND(A2290="2021-01", ISNA(MATCH(B2290, _xlfn._xlws.FILTER(B:B, A:A="2021-02"), 0))), "Left", "Ativo")</f>
        <v>Ativo</v>
      </c>
      <c r="E2290" s="10" t="str" cm="1">
        <f t="array" ref="E2290">IF(AND(A2290="2021-02", ISNA(MATCH(B2290, _xlfn._xlws.FILTER(B:B, A:A="2021-03"), 0))), "Left", "Ativo")</f>
        <v>Ativo</v>
      </c>
      <c r="F2290" s="12" t="str" cm="1">
        <f t="array" ref="F2290">IF(AND(A2290="2021-03", ISNA(MATCH(B2290, _xlfn._xlws.FILTER(B:B, A:A="2021-04"), 0))), "Left", "Ativo")</f>
        <v>Ativo</v>
      </c>
    </row>
    <row r="2291" spans="1:6" x14ac:dyDescent="0.25">
      <c r="A2291" t="s">
        <v>1530</v>
      </c>
      <c r="B2291" t="s">
        <v>1014</v>
      </c>
      <c r="C2291" s="10" t="str" cm="1">
        <f t="array" ref="C2291">IF(AND(A2291="2020-12", ISNA(MATCH(B2291, _xlfn._xlws.FILTER(B:B, A:A="2021-01"), 0))), "Left", "Ativo")</f>
        <v>Ativo</v>
      </c>
      <c r="D2291" s="10" t="str" cm="1">
        <f t="array" ref="D2291">IF(AND(A2291="2021-01", ISNA(MATCH(B2291, _xlfn._xlws.FILTER(B:B, A:A="2021-02"), 0))), "Left", "Ativo")</f>
        <v>Ativo</v>
      </c>
      <c r="E2291" s="10" t="str" cm="1">
        <f t="array" ref="E2291">IF(AND(A2291="2021-02", ISNA(MATCH(B2291, _xlfn._xlws.FILTER(B:B, A:A="2021-03"), 0))), "Left", "Ativo")</f>
        <v>Ativo</v>
      </c>
      <c r="F2291" s="12" t="str" cm="1">
        <f t="array" ref="F2291">IF(AND(A2291="2021-03", ISNA(MATCH(B2291, _xlfn._xlws.FILTER(B:B, A:A="2021-04"), 0))), "Left", "Ativo")</f>
        <v>Ativo</v>
      </c>
    </row>
    <row r="2292" spans="1:6" x14ac:dyDescent="0.25">
      <c r="A2292" t="s">
        <v>1530</v>
      </c>
      <c r="B2292" t="s">
        <v>1015</v>
      </c>
      <c r="C2292" s="10" t="str" cm="1">
        <f t="array" ref="C2292">IF(AND(A2292="2020-12", ISNA(MATCH(B2292, _xlfn._xlws.FILTER(B:B, A:A="2021-01"), 0))), "Left", "Ativo")</f>
        <v>Ativo</v>
      </c>
      <c r="D2292" s="10" t="str" cm="1">
        <f t="array" ref="D2292">IF(AND(A2292="2021-01", ISNA(MATCH(B2292, _xlfn._xlws.FILTER(B:B, A:A="2021-02"), 0))), "Left", "Ativo")</f>
        <v>Ativo</v>
      </c>
      <c r="E2292" s="10" t="str" cm="1">
        <f t="array" ref="E2292">IF(AND(A2292="2021-02", ISNA(MATCH(B2292, _xlfn._xlws.FILTER(B:B, A:A="2021-03"), 0))), "Left", "Ativo")</f>
        <v>Ativo</v>
      </c>
      <c r="F2292" s="12" t="str" cm="1">
        <f t="array" ref="F2292">IF(AND(A2292="2021-03", ISNA(MATCH(B2292, _xlfn._xlws.FILTER(B:B, A:A="2021-04"), 0))), "Left", "Ativo")</f>
        <v>Ativo</v>
      </c>
    </row>
    <row r="2293" spans="1:6" x14ac:dyDescent="0.25">
      <c r="A2293" t="s">
        <v>1530</v>
      </c>
      <c r="B2293" t="s">
        <v>1016</v>
      </c>
      <c r="C2293" s="10" t="str" cm="1">
        <f t="array" ref="C2293">IF(AND(A2293="2020-12", ISNA(MATCH(B2293, _xlfn._xlws.FILTER(B:B, A:A="2021-01"), 0))), "Left", "Ativo")</f>
        <v>Ativo</v>
      </c>
      <c r="D2293" s="10" t="str" cm="1">
        <f t="array" ref="D2293">IF(AND(A2293="2021-01", ISNA(MATCH(B2293, _xlfn._xlws.FILTER(B:B, A:A="2021-02"), 0))), "Left", "Ativo")</f>
        <v>Ativo</v>
      </c>
      <c r="E2293" s="10" t="str" cm="1">
        <f t="array" ref="E2293">IF(AND(A2293="2021-02", ISNA(MATCH(B2293, _xlfn._xlws.FILTER(B:B, A:A="2021-03"), 0))), "Left", "Ativo")</f>
        <v>Ativo</v>
      </c>
      <c r="F2293" s="12" t="str" cm="1">
        <f t="array" ref="F2293">IF(AND(A2293="2021-03", ISNA(MATCH(B2293, _xlfn._xlws.FILTER(B:B, A:A="2021-04"), 0))), "Left", "Ativo")</f>
        <v>Ativo</v>
      </c>
    </row>
    <row r="2294" spans="1:6" x14ac:dyDescent="0.25">
      <c r="A2294" t="s">
        <v>1530</v>
      </c>
      <c r="B2294" t="s">
        <v>1017</v>
      </c>
      <c r="C2294" s="10" t="str" cm="1">
        <f t="array" ref="C2294">IF(AND(A2294="2020-12", ISNA(MATCH(B2294, _xlfn._xlws.FILTER(B:B, A:A="2021-01"), 0))), "Left", "Ativo")</f>
        <v>Ativo</v>
      </c>
      <c r="D2294" s="10" t="str" cm="1">
        <f t="array" ref="D2294">IF(AND(A2294="2021-01", ISNA(MATCH(B2294, _xlfn._xlws.FILTER(B:B, A:A="2021-02"), 0))), "Left", "Ativo")</f>
        <v>Ativo</v>
      </c>
      <c r="E2294" s="10" t="str" cm="1">
        <f t="array" ref="E2294">IF(AND(A2294="2021-02", ISNA(MATCH(B2294, _xlfn._xlws.FILTER(B:B, A:A="2021-03"), 0))), "Left", "Ativo")</f>
        <v>Ativo</v>
      </c>
      <c r="F2294" s="12" t="str" cm="1">
        <f t="array" ref="F2294">IF(AND(A2294="2021-03", ISNA(MATCH(B2294, _xlfn._xlws.FILTER(B:B, A:A="2021-04"), 0))), "Left", "Ativo")</f>
        <v>Ativo</v>
      </c>
    </row>
    <row r="2295" spans="1:6" x14ac:dyDescent="0.25">
      <c r="A2295" t="s">
        <v>1530</v>
      </c>
      <c r="B2295" t="s">
        <v>1018</v>
      </c>
      <c r="C2295" s="10" t="str" cm="1">
        <f t="array" ref="C2295">IF(AND(A2295="2020-12", ISNA(MATCH(B2295, _xlfn._xlws.FILTER(B:B, A:A="2021-01"), 0))), "Left", "Ativo")</f>
        <v>Ativo</v>
      </c>
      <c r="D2295" s="10" t="str" cm="1">
        <f t="array" ref="D2295">IF(AND(A2295="2021-01", ISNA(MATCH(B2295, _xlfn._xlws.FILTER(B:B, A:A="2021-02"), 0))), "Left", "Ativo")</f>
        <v>Ativo</v>
      </c>
      <c r="E2295" s="10" t="str" cm="1">
        <f t="array" ref="E2295">IF(AND(A2295="2021-02", ISNA(MATCH(B2295, _xlfn._xlws.FILTER(B:B, A:A="2021-03"), 0))), "Left", "Ativo")</f>
        <v>Ativo</v>
      </c>
      <c r="F2295" s="12" t="str" cm="1">
        <f t="array" ref="F2295">IF(AND(A2295="2021-03", ISNA(MATCH(B2295, _xlfn._xlws.FILTER(B:B, A:A="2021-04"), 0))), "Left", "Ativo")</f>
        <v>Ativo</v>
      </c>
    </row>
    <row r="2296" spans="1:6" x14ac:dyDescent="0.25">
      <c r="A2296" t="s">
        <v>1530</v>
      </c>
      <c r="B2296" t="s">
        <v>1019</v>
      </c>
      <c r="C2296" s="10" t="str" cm="1">
        <f t="array" ref="C2296">IF(AND(A2296="2020-12", ISNA(MATCH(B2296, _xlfn._xlws.FILTER(B:B, A:A="2021-01"), 0))), "Left", "Ativo")</f>
        <v>Ativo</v>
      </c>
      <c r="D2296" s="10" t="str" cm="1">
        <f t="array" ref="D2296">IF(AND(A2296="2021-01", ISNA(MATCH(B2296, _xlfn._xlws.FILTER(B:B, A:A="2021-02"), 0))), "Left", "Ativo")</f>
        <v>Ativo</v>
      </c>
      <c r="E2296" s="10" t="str" cm="1">
        <f t="array" ref="E2296">IF(AND(A2296="2021-02", ISNA(MATCH(B2296, _xlfn._xlws.FILTER(B:B, A:A="2021-03"), 0))), "Left", "Ativo")</f>
        <v>Ativo</v>
      </c>
      <c r="F2296" s="12" t="str" cm="1">
        <f t="array" ref="F2296">IF(AND(A2296="2021-03", ISNA(MATCH(B2296, _xlfn._xlws.FILTER(B:B, A:A="2021-04"), 0))), "Left", "Ativo")</f>
        <v>Ativo</v>
      </c>
    </row>
    <row r="2297" spans="1:6" x14ac:dyDescent="0.25">
      <c r="A2297" t="s">
        <v>1530</v>
      </c>
      <c r="B2297" t="s">
        <v>1020</v>
      </c>
      <c r="C2297" s="10" t="str" cm="1">
        <f t="array" ref="C2297">IF(AND(A2297="2020-12", ISNA(MATCH(B2297, _xlfn._xlws.FILTER(B:B, A:A="2021-01"), 0))), "Left", "Ativo")</f>
        <v>Ativo</v>
      </c>
      <c r="D2297" s="10" t="str" cm="1">
        <f t="array" ref="D2297">IF(AND(A2297="2021-01", ISNA(MATCH(B2297, _xlfn._xlws.FILTER(B:B, A:A="2021-02"), 0))), "Left", "Ativo")</f>
        <v>Ativo</v>
      </c>
      <c r="E2297" s="10" t="str" cm="1">
        <f t="array" ref="E2297">IF(AND(A2297="2021-02", ISNA(MATCH(B2297, _xlfn._xlws.FILTER(B:B, A:A="2021-03"), 0))), "Left", "Ativo")</f>
        <v>Ativo</v>
      </c>
      <c r="F2297" s="12" t="str" cm="1">
        <f t="array" ref="F2297">IF(AND(A2297="2021-03", ISNA(MATCH(B2297, _xlfn._xlws.FILTER(B:B, A:A="2021-04"), 0))), "Left", "Ativo")</f>
        <v>Ativo</v>
      </c>
    </row>
    <row r="2298" spans="1:6" x14ac:dyDescent="0.25">
      <c r="A2298" t="s">
        <v>1530</v>
      </c>
      <c r="B2298" t="s">
        <v>1021</v>
      </c>
      <c r="C2298" s="10" t="str" cm="1">
        <f t="array" ref="C2298">IF(AND(A2298="2020-12", ISNA(MATCH(B2298, _xlfn._xlws.FILTER(B:B, A:A="2021-01"), 0))), "Left", "Ativo")</f>
        <v>Ativo</v>
      </c>
      <c r="D2298" s="10" t="str" cm="1">
        <f t="array" ref="D2298">IF(AND(A2298="2021-01", ISNA(MATCH(B2298, _xlfn._xlws.FILTER(B:B, A:A="2021-02"), 0))), "Left", "Ativo")</f>
        <v>Ativo</v>
      </c>
      <c r="E2298" s="10" t="str" cm="1">
        <f t="array" ref="E2298">IF(AND(A2298="2021-02", ISNA(MATCH(B2298, _xlfn._xlws.FILTER(B:B, A:A="2021-03"), 0))), "Left", "Ativo")</f>
        <v>Ativo</v>
      </c>
      <c r="F2298" s="12" t="str" cm="1">
        <f t="array" ref="F2298">IF(AND(A2298="2021-03", ISNA(MATCH(B2298, _xlfn._xlws.FILTER(B:B, A:A="2021-04"), 0))), "Left", "Ativo")</f>
        <v>Ativo</v>
      </c>
    </row>
    <row r="2299" spans="1:6" x14ac:dyDescent="0.25">
      <c r="A2299" t="s">
        <v>1530</v>
      </c>
      <c r="B2299" t="s">
        <v>1022</v>
      </c>
      <c r="C2299" s="10" t="str" cm="1">
        <f t="array" ref="C2299">IF(AND(A2299="2020-12", ISNA(MATCH(B2299, _xlfn._xlws.FILTER(B:B, A:A="2021-01"), 0))), "Left", "Ativo")</f>
        <v>Ativo</v>
      </c>
      <c r="D2299" s="10" t="str" cm="1">
        <f t="array" ref="D2299">IF(AND(A2299="2021-01", ISNA(MATCH(B2299, _xlfn._xlws.FILTER(B:B, A:A="2021-02"), 0))), "Left", "Ativo")</f>
        <v>Ativo</v>
      </c>
      <c r="E2299" s="10" t="str" cm="1">
        <f t="array" ref="E2299">IF(AND(A2299="2021-02", ISNA(MATCH(B2299, _xlfn._xlws.FILTER(B:B, A:A="2021-03"), 0))), "Left", "Ativo")</f>
        <v>Ativo</v>
      </c>
      <c r="F2299" s="12" t="str" cm="1">
        <f t="array" ref="F2299">IF(AND(A2299="2021-03", ISNA(MATCH(B2299, _xlfn._xlws.FILTER(B:B, A:A="2021-04"), 0))), "Left", "Ativo")</f>
        <v>Ativo</v>
      </c>
    </row>
    <row r="2300" spans="1:6" x14ac:dyDescent="0.25">
      <c r="A2300" t="s">
        <v>1530</v>
      </c>
      <c r="B2300" t="s">
        <v>1023</v>
      </c>
      <c r="C2300" s="10" t="str" cm="1">
        <f t="array" ref="C2300">IF(AND(A2300="2020-12", ISNA(MATCH(B2300, _xlfn._xlws.FILTER(B:B, A:A="2021-01"), 0))), "Left", "Ativo")</f>
        <v>Ativo</v>
      </c>
      <c r="D2300" s="10" t="str" cm="1">
        <f t="array" ref="D2300">IF(AND(A2300="2021-01", ISNA(MATCH(B2300, _xlfn._xlws.FILTER(B:B, A:A="2021-02"), 0))), "Left", "Ativo")</f>
        <v>Ativo</v>
      </c>
      <c r="E2300" s="10" t="str" cm="1">
        <f t="array" ref="E2300">IF(AND(A2300="2021-02", ISNA(MATCH(B2300, _xlfn._xlws.FILTER(B:B, A:A="2021-03"), 0))), "Left", "Ativo")</f>
        <v>Ativo</v>
      </c>
      <c r="F2300" s="12" t="str" cm="1">
        <f t="array" ref="F2300">IF(AND(A2300="2021-03", ISNA(MATCH(B2300, _xlfn._xlws.FILTER(B:B, A:A="2021-04"), 0))), "Left", "Ativo")</f>
        <v>Ativo</v>
      </c>
    </row>
    <row r="2301" spans="1:6" x14ac:dyDescent="0.25">
      <c r="A2301" t="s">
        <v>1530</v>
      </c>
      <c r="B2301" t="s">
        <v>1024</v>
      </c>
      <c r="C2301" s="10" t="str" cm="1">
        <f t="array" ref="C2301">IF(AND(A2301="2020-12", ISNA(MATCH(B2301, _xlfn._xlws.FILTER(B:B, A:A="2021-01"), 0))), "Left", "Ativo")</f>
        <v>Ativo</v>
      </c>
      <c r="D2301" s="10" t="str" cm="1">
        <f t="array" ref="D2301">IF(AND(A2301="2021-01", ISNA(MATCH(B2301, _xlfn._xlws.FILTER(B:B, A:A="2021-02"), 0))), "Left", "Ativo")</f>
        <v>Ativo</v>
      </c>
      <c r="E2301" s="10" t="str" cm="1">
        <f t="array" ref="E2301">IF(AND(A2301="2021-02", ISNA(MATCH(B2301, _xlfn._xlws.FILTER(B:B, A:A="2021-03"), 0))), "Left", "Ativo")</f>
        <v>Ativo</v>
      </c>
      <c r="F2301" s="12" t="str" cm="1">
        <f t="array" ref="F2301">IF(AND(A2301="2021-03", ISNA(MATCH(B2301, _xlfn._xlws.FILTER(B:B, A:A="2021-04"), 0))), "Left", "Ativo")</f>
        <v>Ativo</v>
      </c>
    </row>
    <row r="2302" spans="1:6" x14ac:dyDescent="0.25">
      <c r="A2302" t="s">
        <v>1530</v>
      </c>
      <c r="B2302" t="s">
        <v>1025</v>
      </c>
      <c r="C2302" s="10" t="str" cm="1">
        <f t="array" ref="C2302">IF(AND(A2302="2020-12", ISNA(MATCH(B2302, _xlfn._xlws.FILTER(B:B, A:A="2021-01"), 0))), "Left", "Ativo")</f>
        <v>Ativo</v>
      </c>
      <c r="D2302" s="10" t="str" cm="1">
        <f t="array" ref="D2302">IF(AND(A2302="2021-01", ISNA(MATCH(B2302, _xlfn._xlws.FILTER(B:B, A:A="2021-02"), 0))), "Left", "Ativo")</f>
        <v>Ativo</v>
      </c>
      <c r="E2302" s="10" t="str" cm="1">
        <f t="array" ref="E2302">IF(AND(A2302="2021-02", ISNA(MATCH(B2302, _xlfn._xlws.FILTER(B:B, A:A="2021-03"), 0))), "Left", "Ativo")</f>
        <v>Ativo</v>
      </c>
      <c r="F2302" s="12" t="str" cm="1">
        <f t="array" ref="F2302">IF(AND(A2302="2021-03", ISNA(MATCH(B2302, _xlfn._xlws.FILTER(B:B, A:A="2021-04"), 0))), "Left", "Ativo")</f>
        <v>Ativo</v>
      </c>
    </row>
    <row r="2303" spans="1:6" x14ac:dyDescent="0.25">
      <c r="A2303" t="s">
        <v>1530</v>
      </c>
      <c r="B2303" t="s">
        <v>1026</v>
      </c>
      <c r="C2303" s="10" t="str" cm="1">
        <f t="array" ref="C2303">IF(AND(A2303="2020-12", ISNA(MATCH(B2303, _xlfn._xlws.FILTER(B:B, A:A="2021-01"), 0))), "Left", "Ativo")</f>
        <v>Ativo</v>
      </c>
      <c r="D2303" s="10" t="str" cm="1">
        <f t="array" ref="D2303">IF(AND(A2303="2021-01", ISNA(MATCH(B2303, _xlfn._xlws.FILTER(B:B, A:A="2021-02"), 0))), "Left", "Ativo")</f>
        <v>Ativo</v>
      </c>
      <c r="E2303" s="10" t="str" cm="1">
        <f t="array" ref="E2303">IF(AND(A2303="2021-02", ISNA(MATCH(B2303, _xlfn._xlws.FILTER(B:B, A:A="2021-03"), 0))), "Left", "Ativo")</f>
        <v>Ativo</v>
      </c>
      <c r="F2303" s="12" t="str" cm="1">
        <f t="array" ref="F2303">IF(AND(A2303="2021-03", ISNA(MATCH(B2303, _xlfn._xlws.FILTER(B:B, A:A="2021-04"), 0))), "Left", "Ativo")</f>
        <v>Ativo</v>
      </c>
    </row>
    <row r="2304" spans="1:6" x14ac:dyDescent="0.25">
      <c r="A2304" t="s">
        <v>1530</v>
      </c>
      <c r="B2304" t="s">
        <v>1027</v>
      </c>
      <c r="C2304" s="10" t="str" cm="1">
        <f t="array" ref="C2304">IF(AND(A2304="2020-12", ISNA(MATCH(B2304, _xlfn._xlws.FILTER(B:B, A:A="2021-01"), 0))), "Left", "Ativo")</f>
        <v>Ativo</v>
      </c>
      <c r="D2304" s="10" t="str" cm="1">
        <f t="array" ref="D2304">IF(AND(A2304="2021-01", ISNA(MATCH(B2304, _xlfn._xlws.FILTER(B:B, A:A="2021-02"), 0))), "Left", "Ativo")</f>
        <v>Ativo</v>
      </c>
      <c r="E2304" s="10" t="str" cm="1">
        <f t="array" ref="E2304">IF(AND(A2304="2021-02", ISNA(MATCH(B2304, _xlfn._xlws.FILTER(B:B, A:A="2021-03"), 0))), "Left", "Ativo")</f>
        <v>Ativo</v>
      </c>
      <c r="F2304" s="12" t="str" cm="1">
        <f t="array" ref="F2304">IF(AND(A2304="2021-03", ISNA(MATCH(B2304, _xlfn._xlws.FILTER(B:B, A:A="2021-04"), 0))), "Left", "Ativo")</f>
        <v>Ativo</v>
      </c>
    </row>
    <row r="2305" spans="1:6" x14ac:dyDescent="0.25">
      <c r="A2305" t="s">
        <v>1530</v>
      </c>
      <c r="B2305" t="s">
        <v>387</v>
      </c>
      <c r="C2305" s="10" t="str" cm="1">
        <f t="array" ref="C2305">IF(AND(A2305="2020-12", ISNA(MATCH(B2305, _xlfn._xlws.FILTER(B:B, A:A="2021-01"), 0))), "Left", "Ativo")</f>
        <v>Ativo</v>
      </c>
      <c r="D2305" s="10" t="str" cm="1">
        <f t="array" ref="D2305">IF(AND(A2305="2021-01", ISNA(MATCH(B2305, _xlfn._xlws.FILTER(B:B, A:A="2021-02"), 0))), "Left", "Ativo")</f>
        <v>Ativo</v>
      </c>
      <c r="E2305" s="10" t="str" cm="1">
        <f t="array" ref="E2305">IF(AND(A2305="2021-02", ISNA(MATCH(B2305, _xlfn._xlws.FILTER(B:B, A:A="2021-03"), 0))), "Left", "Ativo")</f>
        <v>Ativo</v>
      </c>
      <c r="F2305" s="12" t="str" cm="1">
        <f t="array" ref="F2305">IF(AND(A2305="2021-03", ISNA(MATCH(B2305, _xlfn._xlws.FILTER(B:B, A:A="2021-04"), 0))), "Left", "Ativo")</f>
        <v>Ativo</v>
      </c>
    </row>
    <row r="2306" spans="1:6" x14ac:dyDescent="0.25">
      <c r="A2306" t="s">
        <v>1530</v>
      </c>
      <c r="B2306" t="s">
        <v>388</v>
      </c>
      <c r="C2306" s="10" t="str" cm="1">
        <f t="array" ref="C2306">IF(AND(A2306="2020-12", ISNA(MATCH(B2306, _xlfn._xlws.FILTER(B:B, A:A="2021-01"), 0))), "Left", "Ativo")</f>
        <v>Ativo</v>
      </c>
      <c r="D2306" s="10" t="str" cm="1">
        <f t="array" ref="D2306">IF(AND(A2306="2021-01", ISNA(MATCH(B2306, _xlfn._xlws.FILTER(B:B, A:A="2021-02"), 0))), "Left", "Ativo")</f>
        <v>Ativo</v>
      </c>
      <c r="E2306" s="10" t="str" cm="1">
        <f t="array" ref="E2306">IF(AND(A2306="2021-02", ISNA(MATCH(B2306, _xlfn._xlws.FILTER(B:B, A:A="2021-03"), 0))), "Left", "Ativo")</f>
        <v>Ativo</v>
      </c>
      <c r="F2306" s="12" t="str" cm="1">
        <f t="array" ref="F2306">IF(AND(A2306="2021-03", ISNA(MATCH(B2306, _xlfn._xlws.FILTER(B:B, A:A="2021-04"), 0))), "Left", "Ativo")</f>
        <v>Ativo</v>
      </c>
    </row>
    <row r="2307" spans="1:6" x14ac:dyDescent="0.25">
      <c r="A2307" t="s">
        <v>1530</v>
      </c>
      <c r="B2307" t="s">
        <v>389</v>
      </c>
      <c r="C2307" s="10" t="str" cm="1">
        <f t="array" ref="C2307">IF(AND(A2307="2020-12", ISNA(MATCH(B2307, _xlfn._xlws.FILTER(B:B, A:A="2021-01"), 0))), "Left", "Ativo")</f>
        <v>Ativo</v>
      </c>
      <c r="D2307" s="10" t="str" cm="1">
        <f t="array" ref="D2307">IF(AND(A2307="2021-01", ISNA(MATCH(B2307, _xlfn._xlws.FILTER(B:B, A:A="2021-02"), 0))), "Left", "Ativo")</f>
        <v>Ativo</v>
      </c>
      <c r="E2307" s="10" t="str" cm="1">
        <f t="array" ref="E2307">IF(AND(A2307="2021-02", ISNA(MATCH(B2307, _xlfn._xlws.FILTER(B:B, A:A="2021-03"), 0))), "Left", "Ativo")</f>
        <v>Ativo</v>
      </c>
      <c r="F2307" s="12" t="str" cm="1">
        <f t="array" ref="F2307">IF(AND(A2307="2021-03", ISNA(MATCH(B2307, _xlfn._xlws.FILTER(B:B, A:A="2021-04"), 0))), "Left", "Ativo")</f>
        <v>Ativo</v>
      </c>
    </row>
    <row r="2308" spans="1:6" x14ac:dyDescent="0.25">
      <c r="A2308" t="s">
        <v>1530</v>
      </c>
      <c r="B2308" t="s">
        <v>390</v>
      </c>
      <c r="C2308" s="10" t="str" cm="1">
        <f t="array" ref="C2308">IF(AND(A2308="2020-12", ISNA(MATCH(B2308, _xlfn._xlws.FILTER(B:B, A:A="2021-01"), 0))), "Left", "Ativo")</f>
        <v>Ativo</v>
      </c>
      <c r="D2308" s="10" t="str" cm="1">
        <f t="array" ref="D2308">IF(AND(A2308="2021-01", ISNA(MATCH(B2308, _xlfn._xlws.FILTER(B:B, A:A="2021-02"), 0))), "Left", "Ativo")</f>
        <v>Ativo</v>
      </c>
      <c r="E2308" s="10" t="str" cm="1">
        <f t="array" ref="E2308">IF(AND(A2308="2021-02", ISNA(MATCH(B2308, _xlfn._xlws.FILTER(B:B, A:A="2021-03"), 0))), "Left", "Ativo")</f>
        <v>Left</v>
      </c>
      <c r="F2308" s="12" t="str" cm="1">
        <f t="array" ref="F2308">IF(AND(A2308="2021-03", ISNA(MATCH(B2308, _xlfn._xlws.FILTER(B:B, A:A="2021-04"), 0))), "Left", "Ativo")</f>
        <v>Ativo</v>
      </c>
    </row>
    <row r="2309" spans="1:6" x14ac:dyDescent="0.25">
      <c r="A2309" t="s">
        <v>1530</v>
      </c>
      <c r="B2309" t="s">
        <v>391</v>
      </c>
      <c r="C2309" s="10" t="str" cm="1">
        <f t="array" ref="C2309">IF(AND(A2309="2020-12", ISNA(MATCH(B2309, _xlfn._xlws.FILTER(B:B, A:A="2021-01"), 0))), "Left", "Ativo")</f>
        <v>Ativo</v>
      </c>
      <c r="D2309" s="10" t="str" cm="1">
        <f t="array" ref="D2309">IF(AND(A2309="2021-01", ISNA(MATCH(B2309, _xlfn._xlws.FILTER(B:B, A:A="2021-02"), 0))), "Left", "Ativo")</f>
        <v>Ativo</v>
      </c>
      <c r="E2309" s="10" t="str" cm="1">
        <f t="array" ref="E2309">IF(AND(A2309="2021-02", ISNA(MATCH(B2309, _xlfn._xlws.FILTER(B:B, A:A="2021-03"), 0))), "Left", "Ativo")</f>
        <v>Left</v>
      </c>
      <c r="F2309" s="12" t="str" cm="1">
        <f t="array" ref="F2309">IF(AND(A2309="2021-03", ISNA(MATCH(B2309, _xlfn._xlws.FILTER(B:B, A:A="2021-04"), 0))), "Left", "Ativo")</f>
        <v>Ativo</v>
      </c>
    </row>
    <row r="2310" spans="1:6" x14ac:dyDescent="0.25">
      <c r="A2310" t="s">
        <v>1530</v>
      </c>
      <c r="B2310" t="s">
        <v>392</v>
      </c>
      <c r="C2310" s="10" t="str" cm="1">
        <f t="array" ref="C2310">IF(AND(A2310="2020-12", ISNA(MATCH(B2310, _xlfn._xlws.FILTER(B:B, A:A="2021-01"), 0))), "Left", "Ativo")</f>
        <v>Ativo</v>
      </c>
      <c r="D2310" s="10" t="str" cm="1">
        <f t="array" ref="D2310">IF(AND(A2310="2021-01", ISNA(MATCH(B2310, _xlfn._xlws.FILTER(B:B, A:A="2021-02"), 0))), "Left", "Ativo")</f>
        <v>Ativo</v>
      </c>
      <c r="E2310" s="10" t="str" cm="1">
        <f t="array" ref="E2310">IF(AND(A2310="2021-02", ISNA(MATCH(B2310, _xlfn._xlws.FILTER(B:B, A:A="2021-03"), 0))), "Left", "Ativo")</f>
        <v>Left</v>
      </c>
      <c r="F2310" s="12" t="str" cm="1">
        <f t="array" ref="F2310">IF(AND(A2310="2021-03", ISNA(MATCH(B2310, _xlfn._xlws.FILTER(B:B, A:A="2021-04"), 0))), "Left", "Ativo")</f>
        <v>Ativo</v>
      </c>
    </row>
    <row r="2311" spans="1:6" x14ac:dyDescent="0.25">
      <c r="A2311" t="s">
        <v>1530</v>
      </c>
      <c r="B2311" t="s">
        <v>393</v>
      </c>
      <c r="C2311" s="10" t="str" cm="1">
        <f t="array" ref="C2311">IF(AND(A2311="2020-12", ISNA(MATCH(B2311, _xlfn._xlws.FILTER(B:B, A:A="2021-01"), 0))), "Left", "Ativo")</f>
        <v>Ativo</v>
      </c>
      <c r="D2311" s="10" t="str" cm="1">
        <f t="array" ref="D2311">IF(AND(A2311="2021-01", ISNA(MATCH(B2311, _xlfn._xlws.FILTER(B:B, A:A="2021-02"), 0))), "Left", "Ativo")</f>
        <v>Ativo</v>
      </c>
      <c r="E2311" s="10" t="str" cm="1">
        <f t="array" ref="E2311">IF(AND(A2311="2021-02", ISNA(MATCH(B2311, _xlfn._xlws.FILTER(B:B, A:A="2021-03"), 0))), "Left", "Ativo")</f>
        <v>Left</v>
      </c>
      <c r="F2311" s="12" t="str" cm="1">
        <f t="array" ref="F2311">IF(AND(A2311="2021-03", ISNA(MATCH(B2311, _xlfn._xlws.FILTER(B:B, A:A="2021-04"), 0))), "Left", "Ativo")</f>
        <v>Ativo</v>
      </c>
    </row>
    <row r="2312" spans="1:6" x14ac:dyDescent="0.25">
      <c r="A2312" t="s">
        <v>1530</v>
      </c>
      <c r="B2312" t="s">
        <v>394</v>
      </c>
      <c r="C2312" s="10" t="str" cm="1">
        <f t="array" ref="C2312">IF(AND(A2312="2020-12", ISNA(MATCH(B2312, _xlfn._xlws.FILTER(B:B, A:A="2021-01"), 0))), "Left", "Ativo")</f>
        <v>Ativo</v>
      </c>
      <c r="D2312" s="10" t="str" cm="1">
        <f t="array" ref="D2312">IF(AND(A2312="2021-01", ISNA(MATCH(B2312, _xlfn._xlws.FILTER(B:B, A:A="2021-02"), 0))), "Left", "Ativo")</f>
        <v>Ativo</v>
      </c>
      <c r="E2312" s="10" t="str" cm="1">
        <f t="array" ref="E2312">IF(AND(A2312="2021-02", ISNA(MATCH(B2312, _xlfn._xlws.FILTER(B:B, A:A="2021-03"), 0))), "Left", "Ativo")</f>
        <v>Ativo</v>
      </c>
      <c r="F2312" s="12" t="str" cm="1">
        <f t="array" ref="F2312">IF(AND(A2312="2021-03", ISNA(MATCH(B2312, _xlfn._xlws.FILTER(B:B, A:A="2021-04"), 0))), "Left", "Ativo")</f>
        <v>Ativo</v>
      </c>
    </row>
    <row r="2313" spans="1:6" x14ac:dyDescent="0.25">
      <c r="A2313" t="s">
        <v>1530</v>
      </c>
      <c r="B2313" t="s">
        <v>395</v>
      </c>
      <c r="C2313" s="10" t="str" cm="1">
        <f t="array" ref="C2313">IF(AND(A2313="2020-12", ISNA(MATCH(B2313, _xlfn._xlws.FILTER(B:B, A:A="2021-01"), 0))), "Left", "Ativo")</f>
        <v>Ativo</v>
      </c>
      <c r="D2313" s="10" t="str" cm="1">
        <f t="array" ref="D2313">IF(AND(A2313="2021-01", ISNA(MATCH(B2313, _xlfn._xlws.FILTER(B:B, A:A="2021-02"), 0))), "Left", "Ativo")</f>
        <v>Ativo</v>
      </c>
      <c r="E2313" s="10" t="str" cm="1">
        <f t="array" ref="E2313">IF(AND(A2313="2021-02", ISNA(MATCH(B2313, _xlfn._xlws.FILTER(B:B, A:A="2021-03"), 0))), "Left", "Ativo")</f>
        <v>Ativo</v>
      </c>
      <c r="F2313" s="12" t="str" cm="1">
        <f t="array" ref="F2313">IF(AND(A2313="2021-03", ISNA(MATCH(B2313, _xlfn._xlws.FILTER(B:B, A:A="2021-04"), 0))), "Left", "Ativo")</f>
        <v>Ativo</v>
      </c>
    </row>
    <row r="2314" spans="1:6" x14ac:dyDescent="0.25">
      <c r="A2314" t="s">
        <v>1530</v>
      </c>
      <c r="B2314" t="s">
        <v>396</v>
      </c>
      <c r="C2314" s="10" t="str" cm="1">
        <f t="array" ref="C2314">IF(AND(A2314="2020-12", ISNA(MATCH(B2314, _xlfn._xlws.FILTER(B:B, A:A="2021-01"), 0))), "Left", "Ativo")</f>
        <v>Ativo</v>
      </c>
      <c r="D2314" s="10" t="str" cm="1">
        <f t="array" ref="D2314">IF(AND(A2314="2021-01", ISNA(MATCH(B2314, _xlfn._xlws.FILTER(B:B, A:A="2021-02"), 0))), "Left", "Ativo")</f>
        <v>Ativo</v>
      </c>
      <c r="E2314" s="10" t="str" cm="1">
        <f t="array" ref="E2314">IF(AND(A2314="2021-02", ISNA(MATCH(B2314, _xlfn._xlws.FILTER(B:B, A:A="2021-03"), 0))), "Left", "Ativo")</f>
        <v>Ativo</v>
      </c>
      <c r="F2314" s="12" t="str" cm="1">
        <f t="array" ref="F2314">IF(AND(A2314="2021-03", ISNA(MATCH(B2314, _xlfn._xlws.FILTER(B:B, A:A="2021-04"), 0))), "Left", "Ativo")</f>
        <v>Ativo</v>
      </c>
    </row>
    <row r="2315" spans="1:6" x14ac:dyDescent="0.25">
      <c r="A2315" t="s">
        <v>1530</v>
      </c>
      <c r="B2315" t="s">
        <v>397</v>
      </c>
      <c r="C2315" s="10" t="str" cm="1">
        <f t="array" ref="C2315">IF(AND(A2315="2020-12", ISNA(MATCH(B2315, _xlfn._xlws.FILTER(B:B, A:A="2021-01"), 0))), "Left", "Ativo")</f>
        <v>Ativo</v>
      </c>
      <c r="D2315" s="10" t="str" cm="1">
        <f t="array" ref="D2315">IF(AND(A2315="2021-01", ISNA(MATCH(B2315, _xlfn._xlws.FILTER(B:B, A:A="2021-02"), 0))), "Left", "Ativo")</f>
        <v>Ativo</v>
      </c>
      <c r="E2315" s="10" t="str" cm="1">
        <f t="array" ref="E2315">IF(AND(A2315="2021-02", ISNA(MATCH(B2315, _xlfn._xlws.FILTER(B:B, A:A="2021-03"), 0))), "Left", "Ativo")</f>
        <v>Ativo</v>
      </c>
      <c r="F2315" s="12" t="str" cm="1">
        <f t="array" ref="F2315">IF(AND(A2315="2021-03", ISNA(MATCH(B2315, _xlfn._xlws.FILTER(B:B, A:A="2021-04"), 0))), "Left", "Ativo")</f>
        <v>Ativo</v>
      </c>
    </row>
    <row r="2316" spans="1:6" x14ac:dyDescent="0.25">
      <c r="A2316" t="s">
        <v>1530</v>
      </c>
      <c r="B2316" t="s">
        <v>398</v>
      </c>
      <c r="C2316" s="10" t="str" cm="1">
        <f t="array" ref="C2316">IF(AND(A2316="2020-12", ISNA(MATCH(B2316, _xlfn._xlws.FILTER(B:B, A:A="2021-01"), 0))), "Left", "Ativo")</f>
        <v>Ativo</v>
      </c>
      <c r="D2316" s="10" t="str" cm="1">
        <f t="array" ref="D2316">IF(AND(A2316="2021-01", ISNA(MATCH(B2316, _xlfn._xlws.FILTER(B:B, A:A="2021-02"), 0))), "Left", "Ativo")</f>
        <v>Ativo</v>
      </c>
      <c r="E2316" s="10" t="str" cm="1">
        <f t="array" ref="E2316">IF(AND(A2316="2021-02", ISNA(MATCH(B2316, _xlfn._xlws.FILTER(B:B, A:A="2021-03"), 0))), "Left", "Ativo")</f>
        <v>Ativo</v>
      </c>
      <c r="F2316" s="12" t="str" cm="1">
        <f t="array" ref="F2316">IF(AND(A2316="2021-03", ISNA(MATCH(B2316, _xlfn._xlws.FILTER(B:B, A:A="2021-04"), 0))), "Left", "Ativo")</f>
        <v>Ativo</v>
      </c>
    </row>
    <row r="2317" spans="1:6" x14ac:dyDescent="0.25">
      <c r="A2317" t="s">
        <v>1530</v>
      </c>
      <c r="B2317" t="s">
        <v>399</v>
      </c>
      <c r="C2317" s="10" t="str" cm="1">
        <f t="array" ref="C2317">IF(AND(A2317="2020-12", ISNA(MATCH(B2317, _xlfn._xlws.FILTER(B:B, A:A="2021-01"), 0))), "Left", "Ativo")</f>
        <v>Ativo</v>
      </c>
      <c r="D2317" s="10" t="str" cm="1">
        <f t="array" ref="D2317">IF(AND(A2317="2021-01", ISNA(MATCH(B2317, _xlfn._xlws.FILTER(B:B, A:A="2021-02"), 0))), "Left", "Ativo")</f>
        <v>Ativo</v>
      </c>
      <c r="E2317" s="10" t="str" cm="1">
        <f t="array" ref="E2317">IF(AND(A2317="2021-02", ISNA(MATCH(B2317, _xlfn._xlws.FILTER(B:B, A:A="2021-03"), 0))), "Left", "Ativo")</f>
        <v>Ativo</v>
      </c>
      <c r="F2317" s="12" t="str" cm="1">
        <f t="array" ref="F2317">IF(AND(A2317="2021-03", ISNA(MATCH(B2317, _xlfn._xlws.FILTER(B:B, A:A="2021-04"), 0))), "Left", "Ativo")</f>
        <v>Ativo</v>
      </c>
    </row>
    <row r="2318" spans="1:6" x14ac:dyDescent="0.25">
      <c r="A2318" t="s">
        <v>1530</v>
      </c>
      <c r="B2318" t="s">
        <v>400</v>
      </c>
      <c r="C2318" s="10" t="str" cm="1">
        <f t="array" ref="C2318">IF(AND(A2318="2020-12", ISNA(MATCH(B2318, _xlfn._xlws.FILTER(B:B, A:A="2021-01"), 0))), "Left", "Ativo")</f>
        <v>Ativo</v>
      </c>
      <c r="D2318" s="10" t="str" cm="1">
        <f t="array" ref="D2318">IF(AND(A2318="2021-01", ISNA(MATCH(B2318, _xlfn._xlws.FILTER(B:B, A:A="2021-02"), 0))), "Left", "Ativo")</f>
        <v>Ativo</v>
      </c>
      <c r="E2318" s="10" t="str" cm="1">
        <f t="array" ref="E2318">IF(AND(A2318="2021-02", ISNA(MATCH(B2318, _xlfn._xlws.FILTER(B:B, A:A="2021-03"), 0))), "Left", "Ativo")</f>
        <v>Ativo</v>
      </c>
      <c r="F2318" s="12" t="str" cm="1">
        <f t="array" ref="F2318">IF(AND(A2318="2021-03", ISNA(MATCH(B2318, _xlfn._xlws.FILTER(B:B, A:A="2021-04"), 0))), "Left", "Ativo")</f>
        <v>Ativo</v>
      </c>
    </row>
    <row r="2319" spans="1:6" x14ac:dyDescent="0.25">
      <c r="A2319" t="s">
        <v>1530</v>
      </c>
      <c r="B2319" t="s">
        <v>401</v>
      </c>
      <c r="C2319" s="10" t="str" cm="1">
        <f t="array" ref="C2319">IF(AND(A2319="2020-12", ISNA(MATCH(B2319, _xlfn._xlws.FILTER(B:B, A:A="2021-01"), 0))), "Left", "Ativo")</f>
        <v>Ativo</v>
      </c>
      <c r="D2319" s="10" t="str" cm="1">
        <f t="array" ref="D2319">IF(AND(A2319="2021-01", ISNA(MATCH(B2319, _xlfn._xlws.FILTER(B:B, A:A="2021-02"), 0))), "Left", "Ativo")</f>
        <v>Ativo</v>
      </c>
      <c r="E2319" s="10" t="str" cm="1">
        <f t="array" ref="E2319">IF(AND(A2319="2021-02", ISNA(MATCH(B2319, _xlfn._xlws.FILTER(B:B, A:A="2021-03"), 0))), "Left", "Ativo")</f>
        <v>Ativo</v>
      </c>
      <c r="F2319" s="12" t="str" cm="1">
        <f t="array" ref="F2319">IF(AND(A2319="2021-03", ISNA(MATCH(B2319, _xlfn._xlws.FILTER(B:B, A:A="2021-04"), 0))), "Left", "Ativo")</f>
        <v>Ativo</v>
      </c>
    </row>
    <row r="2320" spans="1:6" x14ac:dyDescent="0.25">
      <c r="A2320" t="s">
        <v>1530</v>
      </c>
      <c r="B2320" t="s">
        <v>402</v>
      </c>
      <c r="C2320" s="10" t="str" cm="1">
        <f t="array" ref="C2320">IF(AND(A2320="2020-12", ISNA(MATCH(B2320, _xlfn._xlws.FILTER(B:B, A:A="2021-01"), 0))), "Left", "Ativo")</f>
        <v>Ativo</v>
      </c>
      <c r="D2320" s="10" t="str" cm="1">
        <f t="array" ref="D2320">IF(AND(A2320="2021-01", ISNA(MATCH(B2320, _xlfn._xlws.FILTER(B:B, A:A="2021-02"), 0))), "Left", "Ativo")</f>
        <v>Ativo</v>
      </c>
      <c r="E2320" s="10" t="str" cm="1">
        <f t="array" ref="E2320">IF(AND(A2320="2021-02", ISNA(MATCH(B2320, _xlfn._xlws.FILTER(B:B, A:A="2021-03"), 0))), "Left", "Ativo")</f>
        <v>Ativo</v>
      </c>
      <c r="F2320" s="12" t="str" cm="1">
        <f t="array" ref="F2320">IF(AND(A2320="2021-03", ISNA(MATCH(B2320, _xlfn._xlws.FILTER(B:B, A:A="2021-04"), 0))), "Left", "Ativo")</f>
        <v>Ativo</v>
      </c>
    </row>
    <row r="2321" spans="1:6" x14ac:dyDescent="0.25">
      <c r="A2321" t="s">
        <v>1530</v>
      </c>
      <c r="B2321" t="s">
        <v>403</v>
      </c>
      <c r="C2321" s="10" t="str" cm="1">
        <f t="array" ref="C2321">IF(AND(A2321="2020-12", ISNA(MATCH(B2321, _xlfn._xlws.FILTER(B:B, A:A="2021-01"), 0))), "Left", "Ativo")</f>
        <v>Ativo</v>
      </c>
      <c r="D2321" s="10" t="str" cm="1">
        <f t="array" ref="D2321">IF(AND(A2321="2021-01", ISNA(MATCH(B2321, _xlfn._xlws.FILTER(B:B, A:A="2021-02"), 0))), "Left", "Ativo")</f>
        <v>Ativo</v>
      </c>
      <c r="E2321" s="10" t="str" cm="1">
        <f t="array" ref="E2321">IF(AND(A2321="2021-02", ISNA(MATCH(B2321, _xlfn._xlws.FILTER(B:B, A:A="2021-03"), 0))), "Left", "Ativo")</f>
        <v>Ativo</v>
      </c>
      <c r="F2321" s="12" t="str" cm="1">
        <f t="array" ref="F2321">IF(AND(A2321="2021-03", ISNA(MATCH(B2321, _xlfn._xlws.FILTER(B:B, A:A="2021-04"), 0))), "Left", "Ativo")</f>
        <v>Ativo</v>
      </c>
    </row>
    <row r="2322" spans="1:6" x14ac:dyDescent="0.25">
      <c r="A2322" t="s">
        <v>1530</v>
      </c>
      <c r="B2322" t="s">
        <v>404</v>
      </c>
      <c r="C2322" s="10" t="str" cm="1">
        <f t="array" ref="C2322">IF(AND(A2322="2020-12", ISNA(MATCH(B2322, _xlfn._xlws.FILTER(B:B, A:A="2021-01"), 0))), "Left", "Ativo")</f>
        <v>Ativo</v>
      </c>
      <c r="D2322" s="10" t="str" cm="1">
        <f t="array" ref="D2322">IF(AND(A2322="2021-01", ISNA(MATCH(B2322, _xlfn._xlws.FILTER(B:B, A:A="2021-02"), 0))), "Left", "Ativo")</f>
        <v>Ativo</v>
      </c>
      <c r="E2322" s="10" t="str" cm="1">
        <f t="array" ref="E2322">IF(AND(A2322="2021-02", ISNA(MATCH(B2322, _xlfn._xlws.FILTER(B:B, A:A="2021-03"), 0))), "Left", "Ativo")</f>
        <v>Ativo</v>
      </c>
      <c r="F2322" s="12" t="str" cm="1">
        <f t="array" ref="F2322">IF(AND(A2322="2021-03", ISNA(MATCH(B2322, _xlfn._xlws.FILTER(B:B, A:A="2021-04"), 0))), "Left", "Ativo")</f>
        <v>Ativo</v>
      </c>
    </row>
    <row r="2323" spans="1:6" x14ac:dyDescent="0.25">
      <c r="A2323" t="s">
        <v>1530</v>
      </c>
      <c r="B2323" t="s">
        <v>405</v>
      </c>
      <c r="C2323" s="10" t="str" cm="1">
        <f t="array" ref="C2323">IF(AND(A2323="2020-12", ISNA(MATCH(B2323, _xlfn._xlws.FILTER(B:B, A:A="2021-01"), 0))), "Left", "Ativo")</f>
        <v>Ativo</v>
      </c>
      <c r="D2323" s="10" t="str" cm="1">
        <f t="array" ref="D2323">IF(AND(A2323="2021-01", ISNA(MATCH(B2323, _xlfn._xlws.FILTER(B:B, A:A="2021-02"), 0))), "Left", "Ativo")</f>
        <v>Ativo</v>
      </c>
      <c r="E2323" s="10" t="str" cm="1">
        <f t="array" ref="E2323">IF(AND(A2323="2021-02", ISNA(MATCH(B2323, _xlfn._xlws.FILTER(B:B, A:A="2021-03"), 0))), "Left", "Ativo")</f>
        <v>Ativo</v>
      </c>
      <c r="F2323" s="12" t="str" cm="1">
        <f t="array" ref="F2323">IF(AND(A2323="2021-03", ISNA(MATCH(B2323, _xlfn._xlws.FILTER(B:B, A:A="2021-04"), 0))), "Left", "Ativo")</f>
        <v>Ativo</v>
      </c>
    </row>
    <row r="2324" spans="1:6" x14ac:dyDescent="0.25">
      <c r="A2324" t="s">
        <v>1530</v>
      </c>
      <c r="B2324" t="s">
        <v>406</v>
      </c>
      <c r="C2324" s="10" t="str" cm="1">
        <f t="array" ref="C2324">IF(AND(A2324="2020-12", ISNA(MATCH(B2324, _xlfn._xlws.FILTER(B:B, A:A="2021-01"), 0))), "Left", "Ativo")</f>
        <v>Ativo</v>
      </c>
      <c r="D2324" s="10" t="str" cm="1">
        <f t="array" ref="D2324">IF(AND(A2324="2021-01", ISNA(MATCH(B2324, _xlfn._xlws.FILTER(B:B, A:A="2021-02"), 0))), "Left", "Ativo")</f>
        <v>Ativo</v>
      </c>
      <c r="E2324" s="10" t="str" cm="1">
        <f t="array" ref="E2324">IF(AND(A2324="2021-02", ISNA(MATCH(B2324, _xlfn._xlws.FILTER(B:B, A:A="2021-03"), 0))), "Left", "Ativo")</f>
        <v>Ativo</v>
      </c>
      <c r="F2324" s="12" t="str" cm="1">
        <f t="array" ref="F2324">IF(AND(A2324="2021-03", ISNA(MATCH(B2324, _xlfn._xlws.FILTER(B:B, A:A="2021-04"), 0))), "Left", "Ativo")</f>
        <v>Ativo</v>
      </c>
    </row>
    <row r="2325" spans="1:6" x14ac:dyDescent="0.25">
      <c r="A2325" t="s">
        <v>1530</v>
      </c>
      <c r="B2325" t="s">
        <v>407</v>
      </c>
      <c r="C2325" s="10" t="str" cm="1">
        <f t="array" ref="C2325">IF(AND(A2325="2020-12", ISNA(MATCH(B2325, _xlfn._xlws.FILTER(B:B, A:A="2021-01"), 0))), "Left", "Ativo")</f>
        <v>Ativo</v>
      </c>
      <c r="D2325" s="10" t="str" cm="1">
        <f t="array" ref="D2325">IF(AND(A2325="2021-01", ISNA(MATCH(B2325, _xlfn._xlws.FILTER(B:B, A:A="2021-02"), 0))), "Left", "Ativo")</f>
        <v>Ativo</v>
      </c>
      <c r="E2325" s="10" t="str" cm="1">
        <f t="array" ref="E2325">IF(AND(A2325="2021-02", ISNA(MATCH(B2325, _xlfn._xlws.FILTER(B:B, A:A="2021-03"), 0))), "Left", "Ativo")</f>
        <v>Ativo</v>
      </c>
      <c r="F2325" s="12" t="str" cm="1">
        <f t="array" ref="F2325">IF(AND(A2325="2021-03", ISNA(MATCH(B2325, _xlfn._xlws.FILTER(B:B, A:A="2021-04"), 0))), "Left", "Ativo")</f>
        <v>Ativo</v>
      </c>
    </row>
    <row r="2326" spans="1:6" x14ac:dyDescent="0.25">
      <c r="A2326" t="s">
        <v>1530</v>
      </c>
      <c r="B2326" t="s">
        <v>408</v>
      </c>
      <c r="C2326" s="10" t="str" cm="1">
        <f t="array" ref="C2326">IF(AND(A2326="2020-12", ISNA(MATCH(B2326, _xlfn._xlws.FILTER(B:B, A:A="2021-01"), 0))), "Left", "Ativo")</f>
        <v>Ativo</v>
      </c>
      <c r="D2326" s="10" t="str" cm="1">
        <f t="array" ref="D2326">IF(AND(A2326="2021-01", ISNA(MATCH(B2326, _xlfn._xlws.FILTER(B:B, A:A="2021-02"), 0))), "Left", "Ativo")</f>
        <v>Ativo</v>
      </c>
      <c r="E2326" s="10" t="str" cm="1">
        <f t="array" ref="E2326">IF(AND(A2326="2021-02", ISNA(MATCH(B2326, _xlfn._xlws.FILTER(B:B, A:A="2021-03"), 0))), "Left", "Ativo")</f>
        <v>Ativo</v>
      </c>
      <c r="F2326" s="12" t="str" cm="1">
        <f t="array" ref="F2326">IF(AND(A2326="2021-03", ISNA(MATCH(B2326, _xlfn._xlws.FILTER(B:B, A:A="2021-04"), 0))), "Left", "Ativo")</f>
        <v>Ativo</v>
      </c>
    </row>
    <row r="2327" spans="1:6" x14ac:dyDescent="0.25">
      <c r="A2327" t="s">
        <v>1530</v>
      </c>
      <c r="B2327" t="s">
        <v>409</v>
      </c>
      <c r="C2327" s="10" t="str" cm="1">
        <f t="array" ref="C2327">IF(AND(A2327="2020-12", ISNA(MATCH(B2327, _xlfn._xlws.FILTER(B:B, A:A="2021-01"), 0))), "Left", "Ativo")</f>
        <v>Ativo</v>
      </c>
      <c r="D2327" s="10" t="str" cm="1">
        <f t="array" ref="D2327">IF(AND(A2327="2021-01", ISNA(MATCH(B2327, _xlfn._xlws.FILTER(B:B, A:A="2021-02"), 0))), "Left", "Ativo")</f>
        <v>Ativo</v>
      </c>
      <c r="E2327" s="10" t="str" cm="1">
        <f t="array" ref="E2327">IF(AND(A2327="2021-02", ISNA(MATCH(B2327, _xlfn._xlws.FILTER(B:B, A:A="2021-03"), 0))), "Left", "Ativo")</f>
        <v>Ativo</v>
      </c>
      <c r="F2327" s="12" t="str" cm="1">
        <f t="array" ref="F2327">IF(AND(A2327="2021-03", ISNA(MATCH(B2327, _xlfn._xlws.FILTER(B:B, A:A="2021-04"), 0))), "Left", "Ativo")</f>
        <v>Ativo</v>
      </c>
    </row>
    <row r="2328" spans="1:6" x14ac:dyDescent="0.25">
      <c r="A2328" t="s">
        <v>1530</v>
      </c>
      <c r="B2328" t="s">
        <v>410</v>
      </c>
      <c r="C2328" s="10" t="str" cm="1">
        <f t="array" ref="C2328">IF(AND(A2328="2020-12", ISNA(MATCH(B2328, _xlfn._xlws.FILTER(B:B, A:A="2021-01"), 0))), "Left", "Ativo")</f>
        <v>Ativo</v>
      </c>
      <c r="D2328" s="10" t="str" cm="1">
        <f t="array" ref="D2328">IF(AND(A2328="2021-01", ISNA(MATCH(B2328, _xlfn._xlws.FILTER(B:B, A:A="2021-02"), 0))), "Left", "Ativo")</f>
        <v>Ativo</v>
      </c>
      <c r="E2328" s="10" t="str" cm="1">
        <f t="array" ref="E2328">IF(AND(A2328="2021-02", ISNA(MATCH(B2328, _xlfn._xlws.FILTER(B:B, A:A="2021-03"), 0))), "Left", "Ativo")</f>
        <v>Ativo</v>
      </c>
      <c r="F2328" s="12" t="str" cm="1">
        <f t="array" ref="F2328">IF(AND(A2328="2021-03", ISNA(MATCH(B2328, _xlfn._xlws.FILTER(B:B, A:A="2021-04"), 0))), "Left", "Ativo")</f>
        <v>Ativo</v>
      </c>
    </row>
    <row r="2329" spans="1:6" x14ac:dyDescent="0.25">
      <c r="A2329" t="s">
        <v>1530</v>
      </c>
      <c r="B2329" t="s">
        <v>411</v>
      </c>
      <c r="C2329" s="10" t="str" cm="1">
        <f t="array" ref="C2329">IF(AND(A2329="2020-12", ISNA(MATCH(B2329, _xlfn._xlws.FILTER(B:B, A:A="2021-01"), 0))), "Left", "Ativo")</f>
        <v>Ativo</v>
      </c>
      <c r="D2329" s="10" t="str" cm="1">
        <f t="array" ref="D2329">IF(AND(A2329="2021-01", ISNA(MATCH(B2329, _xlfn._xlws.FILTER(B:B, A:A="2021-02"), 0))), "Left", "Ativo")</f>
        <v>Ativo</v>
      </c>
      <c r="E2329" s="10" t="str" cm="1">
        <f t="array" ref="E2329">IF(AND(A2329="2021-02", ISNA(MATCH(B2329, _xlfn._xlws.FILTER(B:B, A:A="2021-03"), 0))), "Left", "Ativo")</f>
        <v>Ativo</v>
      </c>
      <c r="F2329" s="12" t="str" cm="1">
        <f t="array" ref="F2329">IF(AND(A2329="2021-03", ISNA(MATCH(B2329, _xlfn._xlws.FILTER(B:B, A:A="2021-04"), 0))), "Left", "Ativo")</f>
        <v>Ativo</v>
      </c>
    </row>
    <row r="2330" spans="1:6" x14ac:dyDescent="0.25">
      <c r="A2330" t="s">
        <v>1530</v>
      </c>
      <c r="B2330" t="s">
        <v>412</v>
      </c>
      <c r="C2330" s="10" t="str" cm="1">
        <f t="array" ref="C2330">IF(AND(A2330="2020-12", ISNA(MATCH(B2330, _xlfn._xlws.FILTER(B:B, A:A="2021-01"), 0))), "Left", "Ativo")</f>
        <v>Ativo</v>
      </c>
      <c r="D2330" s="10" t="str" cm="1">
        <f t="array" ref="D2330">IF(AND(A2330="2021-01", ISNA(MATCH(B2330, _xlfn._xlws.FILTER(B:B, A:A="2021-02"), 0))), "Left", "Ativo")</f>
        <v>Ativo</v>
      </c>
      <c r="E2330" s="10" t="str" cm="1">
        <f t="array" ref="E2330">IF(AND(A2330="2021-02", ISNA(MATCH(B2330, _xlfn._xlws.FILTER(B:B, A:A="2021-03"), 0))), "Left", "Ativo")</f>
        <v>Ativo</v>
      </c>
      <c r="F2330" s="12" t="str" cm="1">
        <f t="array" ref="F2330">IF(AND(A2330="2021-03", ISNA(MATCH(B2330, _xlfn._xlws.FILTER(B:B, A:A="2021-04"), 0))), "Left", "Ativo")</f>
        <v>Ativo</v>
      </c>
    </row>
    <row r="2331" spans="1:6" x14ac:dyDescent="0.25">
      <c r="A2331" t="s">
        <v>1530</v>
      </c>
      <c r="B2331" t="s">
        <v>413</v>
      </c>
      <c r="C2331" s="10" t="str" cm="1">
        <f t="array" ref="C2331">IF(AND(A2331="2020-12", ISNA(MATCH(B2331, _xlfn._xlws.FILTER(B:B, A:A="2021-01"), 0))), "Left", "Ativo")</f>
        <v>Ativo</v>
      </c>
      <c r="D2331" s="10" t="str" cm="1">
        <f t="array" ref="D2331">IF(AND(A2331="2021-01", ISNA(MATCH(B2331, _xlfn._xlws.FILTER(B:B, A:A="2021-02"), 0))), "Left", "Ativo")</f>
        <v>Ativo</v>
      </c>
      <c r="E2331" s="10" t="str" cm="1">
        <f t="array" ref="E2331">IF(AND(A2331="2021-02", ISNA(MATCH(B2331, _xlfn._xlws.FILTER(B:B, A:A="2021-03"), 0))), "Left", "Ativo")</f>
        <v>Ativo</v>
      </c>
      <c r="F2331" s="12" t="str" cm="1">
        <f t="array" ref="F2331">IF(AND(A2331="2021-03", ISNA(MATCH(B2331, _xlfn._xlws.FILTER(B:B, A:A="2021-04"), 0))), "Left", "Ativo")</f>
        <v>Ativo</v>
      </c>
    </row>
    <row r="2332" spans="1:6" x14ac:dyDescent="0.25">
      <c r="A2332" t="s">
        <v>1530</v>
      </c>
      <c r="B2332" t="s">
        <v>414</v>
      </c>
      <c r="C2332" s="10" t="str" cm="1">
        <f t="array" ref="C2332">IF(AND(A2332="2020-12", ISNA(MATCH(B2332, _xlfn._xlws.FILTER(B:B, A:A="2021-01"), 0))), "Left", "Ativo")</f>
        <v>Ativo</v>
      </c>
      <c r="D2332" s="10" t="str" cm="1">
        <f t="array" ref="D2332">IF(AND(A2332="2021-01", ISNA(MATCH(B2332, _xlfn._xlws.FILTER(B:B, A:A="2021-02"), 0))), "Left", "Ativo")</f>
        <v>Ativo</v>
      </c>
      <c r="E2332" s="10" t="str" cm="1">
        <f t="array" ref="E2332">IF(AND(A2332="2021-02", ISNA(MATCH(B2332, _xlfn._xlws.FILTER(B:B, A:A="2021-03"), 0))), "Left", "Ativo")</f>
        <v>Ativo</v>
      </c>
      <c r="F2332" s="12" t="str" cm="1">
        <f t="array" ref="F2332">IF(AND(A2332="2021-03", ISNA(MATCH(B2332, _xlfn._xlws.FILTER(B:B, A:A="2021-04"), 0))), "Left", "Ativo")</f>
        <v>Ativo</v>
      </c>
    </row>
    <row r="2333" spans="1:6" x14ac:dyDescent="0.25">
      <c r="A2333" t="s">
        <v>1530</v>
      </c>
      <c r="B2333" t="s">
        <v>415</v>
      </c>
      <c r="C2333" s="10" t="str" cm="1">
        <f t="array" ref="C2333">IF(AND(A2333="2020-12", ISNA(MATCH(B2333, _xlfn._xlws.FILTER(B:B, A:A="2021-01"), 0))), "Left", "Ativo")</f>
        <v>Ativo</v>
      </c>
      <c r="D2333" s="10" t="str" cm="1">
        <f t="array" ref="D2333">IF(AND(A2333="2021-01", ISNA(MATCH(B2333, _xlfn._xlws.FILTER(B:B, A:A="2021-02"), 0))), "Left", "Ativo")</f>
        <v>Ativo</v>
      </c>
      <c r="E2333" s="10" t="str" cm="1">
        <f t="array" ref="E2333">IF(AND(A2333="2021-02", ISNA(MATCH(B2333, _xlfn._xlws.FILTER(B:B, A:A="2021-03"), 0))), "Left", "Ativo")</f>
        <v>Ativo</v>
      </c>
      <c r="F2333" s="12" t="str" cm="1">
        <f t="array" ref="F2333">IF(AND(A2333="2021-03", ISNA(MATCH(B2333, _xlfn._xlws.FILTER(B:B, A:A="2021-04"), 0))), "Left", "Ativo")</f>
        <v>Ativo</v>
      </c>
    </row>
    <row r="2334" spans="1:6" x14ac:dyDescent="0.25">
      <c r="A2334" t="s">
        <v>1530</v>
      </c>
      <c r="B2334" t="s">
        <v>416</v>
      </c>
      <c r="C2334" s="10" t="str" cm="1">
        <f t="array" ref="C2334">IF(AND(A2334="2020-12", ISNA(MATCH(B2334, _xlfn._xlws.FILTER(B:B, A:A="2021-01"), 0))), "Left", "Ativo")</f>
        <v>Ativo</v>
      </c>
      <c r="D2334" s="10" t="str" cm="1">
        <f t="array" ref="D2334">IF(AND(A2334="2021-01", ISNA(MATCH(B2334, _xlfn._xlws.FILTER(B:B, A:A="2021-02"), 0))), "Left", "Ativo")</f>
        <v>Ativo</v>
      </c>
      <c r="E2334" s="10" t="str" cm="1">
        <f t="array" ref="E2334">IF(AND(A2334="2021-02", ISNA(MATCH(B2334, _xlfn._xlws.FILTER(B:B, A:A="2021-03"), 0))), "Left", "Ativo")</f>
        <v>Ativo</v>
      </c>
      <c r="F2334" s="12" t="str" cm="1">
        <f t="array" ref="F2334">IF(AND(A2334="2021-03", ISNA(MATCH(B2334, _xlfn._xlws.FILTER(B:B, A:A="2021-04"), 0))), "Left", "Ativo")</f>
        <v>Ativo</v>
      </c>
    </row>
    <row r="2335" spans="1:6" x14ac:dyDescent="0.25">
      <c r="A2335" t="s">
        <v>1530</v>
      </c>
      <c r="B2335" t="s">
        <v>417</v>
      </c>
      <c r="C2335" s="10" t="str" cm="1">
        <f t="array" ref="C2335">IF(AND(A2335="2020-12", ISNA(MATCH(B2335, _xlfn._xlws.FILTER(B:B, A:A="2021-01"), 0))), "Left", "Ativo")</f>
        <v>Ativo</v>
      </c>
      <c r="D2335" s="10" t="str" cm="1">
        <f t="array" ref="D2335">IF(AND(A2335="2021-01", ISNA(MATCH(B2335, _xlfn._xlws.FILTER(B:B, A:A="2021-02"), 0))), "Left", "Ativo")</f>
        <v>Ativo</v>
      </c>
      <c r="E2335" s="10" t="str" cm="1">
        <f t="array" ref="E2335">IF(AND(A2335="2021-02", ISNA(MATCH(B2335, _xlfn._xlws.FILTER(B:B, A:A="2021-03"), 0))), "Left", "Ativo")</f>
        <v>Ativo</v>
      </c>
      <c r="F2335" s="12" t="str" cm="1">
        <f t="array" ref="F2335">IF(AND(A2335="2021-03", ISNA(MATCH(B2335, _xlfn._xlws.FILTER(B:B, A:A="2021-04"), 0))), "Left", "Ativo")</f>
        <v>Ativo</v>
      </c>
    </row>
    <row r="2336" spans="1:6" x14ac:dyDescent="0.25">
      <c r="A2336" t="s">
        <v>1530</v>
      </c>
      <c r="B2336" t="s">
        <v>418</v>
      </c>
      <c r="C2336" s="10" t="str" cm="1">
        <f t="array" ref="C2336">IF(AND(A2336="2020-12", ISNA(MATCH(B2336, _xlfn._xlws.FILTER(B:B, A:A="2021-01"), 0))), "Left", "Ativo")</f>
        <v>Ativo</v>
      </c>
      <c r="D2336" s="10" t="str" cm="1">
        <f t="array" ref="D2336">IF(AND(A2336="2021-01", ISNA(MATCH(B2336, _xlfn._xlws.FILTER(B:B, A:A="2021-02"), 0))), "Left", "Ativo")</f>
        <v>Ativo</v>
      </c>
      <c r="E2336" s="10" t="str" cm="1">
        <f t="array" ref="E2336">IF(AND(A2336="2021-02", ISNA(MATCH(B2336, _xlfn._xlws.FILTER(B:B, A:A="2021-03"), 0))), "Left", "Ativo")</f>
        <v>Ativo</v>
      </c>
      <c r="F2336" s="12" t="str" cm="1">
        <f t="array" ref="F2336">IF(AND(A2336="2021-03", ISNA(MATCH(B2336, _xlfn._xlws.FILTER(B:B, A:A="2021-04"), 0))), "Left", "Ativo")</f>
        <v>Ativo</v>
      </c>
    </row>
    <row r="2337" spans="1:6" x14ac:dyDescent="0.25">
      <c r="A2337" t="s">
        <v>1530</v>
      </c>
      <c r="B2337" t="s">
        <v>419</v>
      </c>
      <c r="C2337" s="10" t="str" cm="1">
        <f t="array" ref="C2337">IF(AND(A2337="2020-12", ISNA(MATCH(B2337, _xlfn._xlws.FILTER(B:B, A:A="2021-01"), 0))), "Left", "Ativo")</f>
        <v>Ativo</v>
      </c>
      <c r="D2337" s="10" t="str" cm="1">
        <f t="array" ref="D2337">IF(AND(A2337="2021-01", ISNA(MATCH(B2337, _xlfn._xlws.FILTER(B:B, A:A="2021-02"), 0))), "Left", "Ativo")</f>
        <v>Ativo</v>
      </c>
      <c r="E2337" s="10" t="str" cm="1">
        <f t="array" ref="E2337">IF(AND(A2337="2021-02", ISNA(MATCH(B2337, _xlfn._xlws.FILTER(B:B, A:A="2021-03"), 0))), "Left", "Ativo")</f>
        <v>Ativo</v>
      </c>
      <c r="F2337" s="12" t="str" cm="1">
        <f t="array" ref="F2337">IF(AND(A2337="2021-03", ISNA(MATCH(B2337, _xlfn._xlws.FILTER(B:B, A:A="2021-04"), 0))), "Left", "Ativo")</f>
        <v>Ativo</v>
      </c>
    </row>
    <row r="2338" spans="1:6" x14ac:dyDescent="0.25">
      <c r="A2338" t="s">
        <v>1530</v>
      </c>
      <c r="B2338" t="s">
        <v>420</v>
      </c>
      <c r="C2338" s="10" t="str" cm="1">
        <f t="array" ref="C2338">IF(AND(A2338="2020-12", ISNA(MATCH(B2338, _xlfn._xlws.FILTER(B:B, A:A="2021-01"), 0))), "Left", "Ativo")</f>
        <v>Ativo</v>
      </c>
      <c r="D2338" s="10" t="str" cm="1">
        <f t="array" ref="D2338">IF(AND(A2338="2021-01", ISNA(MATCH(B2338, _xlfn._xlws.FILTER(B:B, A:A="2021-02"), 0))), "Left", "Ativo")</f>
        <v>Ativo</v>
      </c>
      <c r="E2338" s="10" t="str" cm="1">
        <f t="array" ref="E2338">IF(AND(A2338="2021-02", ISNA(MATCH(B2338, _xlfn._xlws.FILTER(B:B, A:A="2021-03"), 0))), "Left", "Ativo")</f>
        <v>Ativo</v>
      </c>
      <c r="F2338" s="12" t="str" cm="1">
        <f t="array" ref="F2338">IF(AND(A2338="2021-03", ISNA(MATCH(B2338, _xlfn._xlws.FILTER(B:B, A:A="2021-04"), 0))), "Left", "Ativo")</f>
        <v>Ativo</v>
      </c>
    </row>
    <row r="2339" spans="1:6" x14ac:dyDescent="0.25">
      <c r="A2339" t="s">
        <v>1530</v>
      </c>
      <c r="B2339" t="s">
        <v>421</v>
      </c>
      <c r="C2339" s="10" t="str" cm="1">
        <f t="array" ref="C2339">IF(AND(A2339="2020-12", ISNA(MATCH(B2339, _xlfn._xlws.FILTER(B:B, A:A="2021-01"), 0))), "Left", "Ativo")</f>
        <v>Ativo</v>
      </c>
      <c r="D2339" s="10" t="str" cm="1">
        <f t="array" ref="D2339">IF(AND(A2339="2021-01", ISNA(MATCH(B2339, _xlfn._xlws.FILTER(B:B, A:A="2021-02"), 0))), "Left", "Ativo")</f>
        <v>Ativo</v>
      </c>
      <c r="E2339" s="10" t="str" cm="1">
        <f t="array" ref="E2339">IF(AND(A2339="2021-02", ISNA(MATCH(B2339, _xlfn._xlws.FILTER(B:B, A:A="2021-03"), 0))), "Left", "Ativo")</f>
        <v>Ativo</v>
      </c>
      <c r="F2339" s="12" t="str" cm="1">
        <f t="array" ref="F2339">IF(AND(A2339="2021-03", ISNA(MATCH(B2339, _xlfn._xlws.FILTER(B:B, A:A="2021-04"), 0))), "Left", "Ativo")</f>
        <v>Ativo</v>
      </c>
    </row>
    <row r="2340" spans="1:6" x14ac:dyDescent="0.25">
      <c r="A2340" t="s">
        <v>1530</v>
      </c>
      <c r="B2340" t="s">
        <v>422</v>
      </c>
      <c r="C2340" s="10" t="str" cm="1">
        <f t="array" ref="C2340">IF(AND(A2340="2020-12", ISNA(MATCH(B2340, _xlfn._xlws.FILTER(B:B, A:A="2021-01"), 0))), "Left", "Ativo")</f>
        <v>Ativo</v>
      </c>
      <c r="D2340" s="10" t="str" cm="1">
        <f t="array" ref="D2340">IF(AND(A2340="2021-01", ISNA(MATCH(B2340, _xlfn._xlws.FILTER(B:B, A:A="2021-02"), 0))), "Left", "Ativo")</f>
        <v>Ativo</v>
      </c>
      <c r="E2340" s="10" t="str" cm="1">
        <f t="array" ref="E2340">IF(AND(A2340="2021-02", ISNA(MATCH(B2340, _xlfn._xlws.FILTER(B:B, A:A="2021-03"), 0))), "Left", "Ativo")</f>
        <v>Left</v>
      </c>
      <c r="F2340" s="12" t="str" cm="1">
        <f t="array" ref="F2340">IF(AND(A2340="2021-03", ISNA(MATCH(B2340, _xlfn._xlws.FILTER(B:B, A:A="2021-04"), 0))), "Left", "Ativo")</f>
        <v>Ativo</v>
      </c>
    </row>
    <row r="2341" spans="1:6" x14ac:dyDescent="0.25">
      <c r="A2341" t="s">
        <v>1530</v>
      </c>
      <c r="B2341" t="s">
        <v>423</v>
      </c>
      <c r="C2341" s="10" t="str" cm="1">
        <f t="array" ref="C2341">IF(AND(A2341="2020-12", ISNA(MATCH(B2341, _xlfn._xlws.FILTER(B:B, A:A="2021-01"), 0))), "Left", "Ativo")</f>
        <v>Ativo</v>
      </c>
      <c r="D2341" s="10" t="str" cm="1">
        <f t="array" ref="D2341">IF(AND(A2341="2021-01", ISNA(MATCH(B2341, _xlfn._xlws.FILTER(B:B, A:A="2021-02"), 0))), "Left", "Ativo")</f>
        <v>Ativo</v>
      </c>
      <c r="E2341" s="10" t="str" cm="1">
        <f t="array" ref="E2341">IF(AND(A2341="2021-02", ISNA(MATCH(B2341, _xlfn._xlws.FILTER(B:B, A:A="2021-03"), 0))), "Left", "Ativo")</f>
        <v>Ativo</v>
      </c>
      <c r="F2341" s="12" t="str" cm="1">
        <f t="array" ref="F2341">IF(AND(A2341="2021-03", ISNA(MATCH(B2341, _xlfn._xlws.FILTER(B:B, A:A="2021-04"), 0))), "Left", "Ativo")</f>
        <v>Ativo</v>
      </c>
    </row>
    <row r="2342" spans="1:6" x14ac:dyDescent="0.25">
      <c r="A2342" t="s">
        <v>1530</v>
      </c>
      <c r="B2342" t="s">
        <v>424</v>
      </c>
      <c r="C2342" s="10" t="str" cm="1">
        <f t="array" ref="C2342">IF(AND(A2342="2020-12", ISNA(MATCH(B2342, _xlfn._xlws.FILTER(B:B, A:A="2021-01"), 0))), "Left", "Ativo")</f>
        <v>Ativo</v>
      </c>
      <c r="D2342" s="10" t="str" cm="1">
        <f t="array" ref="D2342">IF(AND(A2342="2021-01", ISNA(MATCH(B2342, _xlfn._xlws.FILTER(B:B, A:A="2021-02"), 0))), "Left", "Ativo")</f>
        <v>Ativo</v>
      </c>
      <c r="E2342" s="10" t="str" cm="1">
        <f t="array" ref="E2342">IF(AND(A2342="2021-02", ISNA(MATCH(B2342, _xlfn._xlws.FILTER(B:B, A:A="2021-03"), 0))), "Left", "Ativo")</f>
        <v>Ativo</v>
      </c>
      <c r="F2342" s="12" t="str" cm="1">
        <f t="array" ref="F2342">IF(AND(A2342="2021-03", ISNA(MATCH(B2342, _xlfn._xlws.FILTER(B:B, A:A="2021-04"), 0))), "Left", "Ativo")</f>
        <v>Ativo</v>
      </c>
    </row>
    <row r="2343" spans="1:6" x14ac:dyDescent="0.25">
      <c r="A2343" t="s">
        <v>1530</v>
      </c>
      <c r="B2343" t="s">
        <v>425</v>
      </c>
      <c r="C2343" s="10" t="str" cm="1">
        <f t="array" ref="C2343">IF(AND(A2343="2020-12", ISNA(MATCH(B2343, _xlfn._xlws.FILTER(B:B, A:A="2021-01"), 0))), "Left", "Ativo")</f>
        <v>Ativo</v>
      </c>
      <c r="D2343" s="10" t="str" cm="1">
        <f t="array" ref="D2343">IF(AND(A2343="2021-01", ISNA(MATCH(B2343, _xlfn._xlws.FILTER(B:B, A:A="2021-02"), 0))), "Left", "Ativo")</f>
        <v>Ativo</v>
      </c>
      <c r="E2343" s="10" t="str" cm="1">
        <f t="array" ref="E2343">IF(AND(A2343="2021-02", ISNA(MATCH(B2343, _xlfn._xlws.FILTER(B:B, A:A="2021-03"), 0))), "Left", "Ativo")</f>
        <v>Left</v>
      </c>
      <c r="F2343" s="12" t="str" cm="1">
        <f t="array" ref="F2343">IF(AND(A2343="2021-03", ISNA(MATCH(B2343, _xlfn._xlws.FILTER(B:B, A:A="2021-04"), 0))), "Left", "Ativo")</f>
        <v>Ativo</v>
      </c>
    </row>
    <row r="2344" spans="1:6" x14ac:dyDescent="0.25">
      <c r="A2344" t="s">
        <v>1530</v>
      </c>
      <c r="B2344" t="s">
        <v>426</v>
      </c>
      <c r="C2344" s="10" t="str" cm="1">
        <f t="array" ref="C2344">IF(AND(A2344="2020-12", ISNA(MATCH(B2344, _xlfn._xlws.FILTER(B:B, A:A="2021-01"), 0))), "Left", "Ativo")</f>
        <v>Ativo</v>
      </c>
      <c r="D2344" s="10" t="str" cm="1">
        <f t="array" ref="D2344">IF(AND(A2344="2021-01", ISNA(MATCH(B2344, _xlfn._xlws.FILTER(B:B, A:A="2021-02"), 0))), "Left", "Ativo")</f>
        <v>Ativo</v>
      </c>
      <c r="E2344" s="10" t="str" cm="1">
        <f t="array" ref="E2344">IF(AND(A2344="2021-02", ISNA(MATCH(B2344, _xlfn._xlws.FILTER(B:B, A:A="2021-03"), 0))), "Left", "Ativo")</f>
        <v>Left</v>
      </c>
      <c r="F2344" s="12" t="str" cm="1">
        <f t="array" ref="F2344">IF(AND(A2344="2021-03", ISNA(MATCH(B2344, _xlfn._xlws.FILTER(B:B, A:A="2021-04"), 0))), "Left", "Ativo")</f>
        <v>Ativo</v>
      </c>
    </row>
    <row r="2345" spans="1:6" x14ac:dyDescent="0.25">
      <c r="A2345" t="s">
        <v>1530</v>
      </c>
      <c r="B2345" t="s">
        <v>427</v>
      </c>
      <c r="C2345" s="10" t="str" cm="1">
        <f t="array" ref="C2345">IF(AND(A2345="2020-12", ISNA(MATCH(B2345, _xlfn._xlws.FILTER(B:B, A:A="2021-01"), 0))), "Left", "Ativo")</f>
        <v>Ativo</v>
      </c>
      <c r="D2345" s="10" t="str" cm="1">
        <f t="array" ref="D2345">IF(AND(A2345="2021-01", ISNA(MATCH(B2345, _xlfn._xlws.FILTER(B:B, A:A="2021-02"), 0))), "Left", "Ativo")</f>
        <v>Ativo</v>
      </c>
      <c r="E2345" s="10" t="str" cm="1">
        <f t="array" ref="E2345">IF(AND(A2345="2021-02", ISNA(MATCH(B2345, _xlfn._xlws.FILTER(B:B, A:A="2021-03"), 0))), "Left", "Ativo")</f>
        <v>Ativo</v>
      </c>
      <c r="F2345" s="12" t="str" cm="1">
        <f t="array" ref="F2345">IF(AND(A2345="2021-03", ISNA(MATCH(B2345, _xlfn._xlws.FILTER(B:B, A:A="2021-04"), 0))), "Left", "Ativo")</f>
        <v>Ativo</v>
      </c>
    </row>
    <row r="2346" spans="1:6" x14ac:dyDescent="0.25">
      <c r="A2346" t="s">
        <v>1530</v>
      </c>
      <c r="B2346" t="s">
        <v>428</v>
      </c>
      <c r="C2346" s="10" t="str" cm="1">
        <f t="array" ref="C2346">IF(AND(A2346="2020-12", ISNA(MATCH(B2346, _xlfn._xlws.FILTER(B:B, A:A="2021-01"), 0))), "Left", "Ativo")</f>
        <v>Ativo</v>
      </c>
      <c r="D2346" s="10" t="str" cm="1">
        <f t="array" ref="D2346">IF(AND(A2346="2021-01", ISNA(MATCH(B2346, _xlfn._xlws.FILTER(B:B, A:A="2021-02"), 0))), "Left", "Ativo")</f>
        <v>Ativo</v>
      </c>
      <c r="E2346" s="10" t="str" cm="1">
        <f t="array" ref="E2346">IF(AND(A2346="2021-02", ISNA(MATCH(B2346, _xlfn._xlws.FILTER(B:B, A:A="2021-03"), 0))), "Left", "Ativo")</f>
        <v>Ativo</v>
      </c>
      <c r="F2346" s="12" t="str" cm="1">
        <f t="array" ref="F2346">IF(AND(A2346="2021-03", ISNA(MATCH(B2346, _xlfn._xlws.FILTER(B:B, A:A="2021-04"), 0))), "Left", "Ativo")</f>
        <v>Ativo</v>
      </c>
    </row>
    <row r="2347" spans="1:6" x14ac:dyDescent="0.25">
      <c r="A2347" t="s">
        <v>1530</v>
      </c>
      <c r="B2347" t="s">
        <v>429</v>
      </c>
      <c r="C2347" s="10" t="str" cm="1">
        <f t="array" ref="C2347">IF(AND(A2347="2020-12", ISNA(MATCH(B2347, _xlfn._xlws.FILTER(B:B, A:A="2021-01"), 0))), "Left", "Ativo")</f>
        <v>Ativo</v>
      </c>
      <c r="D2347" s="10" t="str" cm="1">
        <f t="array" ref="D2347">IF(AND(A2347="2021-01", ISNA(MATCH(B2347, _xlfn._xlws.FILTER(B:B, A:A="2021-02"), 0))), "Left", "Ativo")</f>
        <v>Ativo</v>
      </c>
      <c r="E2347" s="10" t="str" cm="1">
        <f t="array" ref="E2347">IF(AND(A2347="2021-02", ISNA(MATCH(B2347, _xlfn._xlws.FILTER(B:B, A:A="2021-03"), 0))), "Left", "Ativo")</f>
        <v>Ativo</v>
      </c>
      <c r="F2347" s="12" t="str" cm="1">
        <f t="array" ref="F2347">IF(AND(A2347="2021-03", ISNA(MATCH(B2347, _xlfn._xlws.FILTER(B:B, A:A="2021-04"), 0))), "Left", "Ativo")</f>
        <v>Ativo</v>
      </c>
    </row>
    <row r="2348" spans="1:6" x14ac:dyDescent="0.25">
      <c r="A2348" t="s">
        <v>1530</v>
      </c>
      <c r="B2348" t="s">
        <v>430</v>
      </c>
      <c r="C2348" s="10" t="str" cm="1">
        <f t="array" ref="C2348">IF(AND(A2348="2020-12", ISNA(MATCH(B2348, _xlfn._xlws.FILTER(B:B, A:A="2021-01"), 0))), "Left", "Ativo")</f>
        <v>Ativo</v>
      </c>
      <c r="D2348" s="10" t="str" cm="1">
        <f t="array" ref="D2348">IF(AND(A2348="2021-01", ISNA(MATCH(B2348, _xlfn._xlws.FILTER(B:B, A:A="2021-02"), 0))), "Left", "Ativo")</f>
        <v>Ativo</v>
      </c>
      <c r="E2348" s="10" t="str" cm="1">
        <f t="array" ref="E2348">IF(AND(A2348="2021-02", ISNA(MATCH(B2348, _xlfn._xlws.FILTER(B:B, A:A="2021-03"), 0))), "Left", "Ativo")</f>
        <v>Ativo</v>
      </c>
      <c r="F2348" s="12" t="str" cm="1">
        <f t="array" ref="F2348">IF(AND(A2348="2021-03", ISNA(MATCH(B2348, _xlfn._xlws.FILTER(B:B, A:A="2021-04"), 0))), "Left", "Ativo")</f>
        <v>Ativo</v>
      </c>
    </row>
    <row r="2349" spans="1:6" x14ac:dyDescent="0.25">
      <c r="A2349" t="s">
        <v>1530</v>
      </c>
      <c r="B2349" t="s">
        <v>431</v>
      </c>
      <c r="C2349" s="10" t="str" cm="1">
        <f t="array" ref="C2349">IF(AND(A2349="2020-12", ISNA(MATCH(B2349, _xlfn._xlws.FILTER(B:B, A:A="2021-01"), 0))), "Left", "Ativo")</f>
        <v>Ativo</v>
      </c>
      <c r="D2349" s="10" t="str" cm="1">
        <f t="array" ref="D2349">IF(AND(A2349="2021-01", ISNA(MATCH(B2349, _xlfn._xlws.FILTER(B:B, A:A="2021-02"), 0))), "Left", "Ativo")</f>
        <v>Ativo</v>
      </c>
      <c r="E2349" s="10" t="str" cm="1">
        <f t="array" ref="E2349">IF(AND(A2349="2021-02", ISNA(MATCH(B2349, _xlfn._xlws.FILTER(B:B, A:A="2021-03"), 0))), "Left", "Ativo")</f>
        <v>Ativo</v>
      </c>
      <c r="F2349" s="12" t="str" cm="1">
        <f t="array" ref="F2349">IF(AND(A2349="2021-03", ISNA(MATCH(B2349, _xlfn._xlws.FILTER(B:B, A:A="2021-04"), 0))), "Left", "Ativo")</f>
        <v>Ativo</v>
      </c>
    </row>
    <row r="2350" spans="1:6" x14ac:dyDescent="0.25">
      <c r="A2350" t="s">
        <v>1530</v>
      </c>
      <c r="B2350" t="s">
        <v>432</v>
      </c>
      <c r="C2350" s="10" t="str" cm="1">
        <f t="array" ref="C2350">IF(AND(A2350="2020-12", ISNA(MATCH(B2350, _xlfn._xlws.FILTER(B:B, A:A="2021-01"), 0))), "Left", "Ativo")</f>
        <v>Ativo</v>
      </c>
      <c r="D2350" s="10" t="str" cm="1">
        <f t="array" ref="D2350">IF(AND(A2350="2021-01", ISNA(MATCH(B2350, _xlfn._xlws.FILTER(B:B, A:A="2021-02"), 0))), "Left", "Ativo")</f>
        <v>Ativo</v>
      </c>
      <c r="E2350" s="10" t="str" cm="1">
        <f t="array" ref="E2350">IF(AND(A2350="2021-02", ISNA(MATCH(B2350, _xlfn._xlws.FILTER(B:B, A:A="2021-03"), 0))), "Left", "Ativo")</f>
        <v>Ativo</v>
      </c>
      <c r="F2350" s="12" t="str" cm="1">
        <f t="array" ref="F2350">IF(AND(A2350="2021-03", ISNA(MATCH(B2350, _xlfn._xlws.FILTER(B:B, A:A="2021-04"), 0))), "Left", "Ativo")</f>
        <v>Ativo</v>
      </c>
    </row>
    <row r="2351" spans="1:6" x14ac:dyDescent="0.25">
      <c r="A2351" t="s">
        <v>1530</v>
      </c>
      <c r="B2351" t="s">
        <v>433</v>
      </c>
      <c r="C2351" s="10" t="str" cm="1">
        <f t="array" ref="C2351">IF(AND(A2351="2020-12", ISNA(MATCH(B2351, _xlfn._xlws.FILTER(B:B, A:A="2021-01"), 0))), "Left", "Ativo")</f>
        <v>Ativo</v>
      </c>
      <c r="D2351" s="10" t="str" cm="1">
        <f t="array" ref="D2351">IF(AND(A2351="2021-01", ISNA(MATCH(B2351, _xlfn._xlws.FILTER(B:B, A:A="2021-02"), 0))), "Left", "Ativo")</f>
        <v>Ativo</v>
      </c>
      <c r="E2351" s="10" t="str" cm="1">
        <f t="array" ref="E2351">IF(AND(A2351="2021-02", ISNA(MATCH(B2351, _xlfn._xlws.FILTER(B:B, A:A="2021-03"), 0))), "Left", "Ativo")</f>
        <v>Ativo</v>
      </c>
      <c r="F2351" s="12" t="str" cm="1">
        <f t="array" ref="F2351">IF(AND(A2351="2021-03", ISNA(MATCH(B2351, _xlfn._xlws.FILTER(B:B, A:A="2021-04"), 0))), "Left", "Ativo")</f>
        <v>Ativo</v>
      </c>
    </row>
    <row r="2352" spans="1:6" x14ac:dyDescent="0.25">
      <c r="A2352" t="s">
        <v>1530</v>
      </c>
      <c r="B2352" t="s">
        <v>434</v>
      </c>
      <c r="C2352" s="10" t="str" cm="1">
        <f t="array" ref="C2352">IF(AND(A2352="2020-12", ISNA(MATCH(B2352, _xlfn._xlws.FILTER(B:B, A:A="2021-01"), 0))), "Left", "Ativo")</f>
        <v>Ativo</v>
      </c>
      <c r="D2352" s="10" t="str" cm="1">
        <f t="array" ref="D2352">IF(AND(A2352="2021-01", ISNA(MATCH(B2352, _xlfn._xlws.FILTER(B:B, A:A="2021-02"), 0))), "Left", "Ativo")</f>
        <v>Ativo</v>
      </c>
      <c r="E2352" s="10" t="str" cm="1">
        <f t="array" ref="E2352">IF(AND(A2352="2021-02", ISNA(MATCH(B2352, _xlfn._xlws.FILTER(B:B, A:A="2021-03"), 0))), "Left", "Ativo")</f>
        <v>Ativo</v>
      </c>
      <c r="F2352" s="12" t="str" cm="1">
        <f t="array" ref="F2352">IF(AND(A2352="2021-03", ISNA(MATCH(B2352, _xlfn._xlws.FILTER(B:B, A:A="2021-04"), 0))), "Left", "Ativo")</f>
        <v>Ativo</v>
      </c>
    </row>
    <row r="2353" spans="1:6" x14ac:dyDescent="0.25">
      <c r="A2353" t="s">
        <v>1530</v>
      </c>
      <c r="B2353" t="s">
        <v>435</v>
      </c>
      <c r="C2353" s="10" t="str" cm="1">
        <f t="array" ref="C2353">IF(AND(A2353="2020-12", ISNA(MATCH(B2353, _xlfn._xlws.FILTER(B:B, A:A="2021-01"), 0))), "Left", "Ativo")</f>
        <v>Ativo</v>
      </c>
      <c r="D2353" s="10" t="str" cm="1">
        <f t="array" ref="D2353">IF(AND(A2353="2021-01", ISNA(MATCH(B2353, _xlfn._xlws.FILTER(B:B, A:A="2021-02"), 0))), "Left", "Ativo")</f>
        <v>Ativo</v>
      </c>
      <c r="E2353" s="10" t="str" cm="1">
        <f t="array" ref="E2353">IF(AND(A2353="2021-02", ISNA(MATCH(B2353, _xlfn._xlws.FILTER(B:B, A:A="2021-03"), 0))), "Left", "Ativo")</f>
        <v>Ativo</v>
      </c>
      <c r="F2353" s="12" t="str" cm="1">
        <f t="array" ref="F2353">IF(AND(A2353="2021-03", ISNA(MATCH(B2353, _xlfn._xlws.FILTER(B:B, A:A="2021-04"), 0))), "Left", "Ativo")</f>
        <v>Ativo</v>
      </c>
    </row>
    <row r="2354" spans="1:6" x14ac:dyDescent="0.25">
      <c r="A2354" t="s">
        <v>1530</v>
      </c>
      <c r="B2354" t="s">
        <v>436</v>
      </c>
      <c r="C2354" s="10" t="str" cm="1">
        <f t="array" ref="C2354">IF(AND(A2354="2020-12", ISNA(MATCH(B2354, _xlfn._xlws.FILTER(B:B, A:A="2021-01"), 0))), "Left", "Ativo")</f>
        <v>Ativo</v>
      </c>
      <c r="D2354" s="10" t="str" cm="1">
        <f t="array" ref="D2354">IF(AND(A2354="2021-01", ISNA(MATCH(B2354, _xlfn._xlws.FILTER(B:B, A:A="2021-02"), 0))), "Left", "Ativo")</f>
        <v>Ativo</v>
      </c>
      <c r="E2354" s="10" t="str" cm="1">
        <f t="array" ref="E2354">IF(AND(A2354="2021-02", ISNA(MATCH(B2354, _xlfn._xlws.FILTER(B:B, A:A="2021-03"), 0))), "Left", "Ativo")</f>
        <v>Ativo</v>
      </c>
      <c r="F2354" s="12" t="str" cm="1">
        <f t="array" ref="F2354">IF(AND(A2354="2021-03", ISNA(MATCH(B2354, _xlfn._xlws.FILTER(B:B, A:A="2021-04"), 0))), "Left", "Ativo")</f>
        <v>Ativo</v>
      </c>
    </row>
    <row r="2355" spans="1:6" x14ac:dyDescent="0.25">
      <c r="A2355" t="s">
        <v>1530</v>
      </c>
      <c r="B2355" t="s">
        <v>437</v>
      </c>
      <c r="C2355" s="10" t="str" cm="1">
        <f t="array" ref="C2355">IF(AND(A2355="2020-12", ISNA(MATCH(B2355, _xlfn._xlws.FILTER(B:B, A:A="2021-01"), 0))), "Left", "Ativo")</f>
        <v>Ativo</v>
      </c>
      <c r="D2355" s="10" t="str" cm="1">
        <f t="array" ref="D2355">IF(AND(A2355="2021-01", ISNA(MATCH(B2355, _xlfn._xlws.FILTER(B:B, A:A="2021-02"), 0))), "Left", "Ativo")</f>
        <v>Ativo</v>
      </c>
      <c r="E2355" s="10" t="str" cm="1">
        <f t="array" ref="E2355">IF(AND(A2355="2021-02", ISNA(MATCH(B2355, _xlfn._xlws.FILTER(B:B, A:A="2021-03"), 0))), "Left", "Ativo")</f>
        <v>Ativo</v>
      </c>
      <c r="F2355" s="12" t="str" cm="1">
        <f t="array" ref="F2355">IF(AND(A2355="2021-03", ISNA(MATCH(B2355, _xlfn._xlws.FILTER(B:B, A:A="2021-04"), 0))), "Left", "Ativo")</f>
        <v>Ativo</v>
      </c>
    </row>
    <row r="2356" spans="1:6" x14ac:dyDescent="0.25">
      <c r="A2356" t="s">
        <v>1530</v>
      </c>
      <c r="B2356" t="s">
        <v>438</v>
      </c>
      <c r="C2356" s="10" t="str" cm="1">
        <f t="array" ref="C2356">IF(AND(A2356="2020-12", ISNA(MATCH(B2356, _xlfn._xlws.FILTER(B:B, A:A="2021-01"), 0))), "Left", "Ativo")</f>
        <v>Ativo</v>
      </c>
      <c r="D2356" s="10" t="str" cm="1">
        <f t="array" ref="D2356">IF(AND(A2356="2021-01", ISNA(MATCH(B2356, _xlfn._xlws.FILTER(B:B, A:A="2021-02"), 0))), "Left", "Ativo")</f>
        <v>Ativo</v>
      </c>
      <c r="E2356" s="10" t="str" cm="1">
        <f t="array" ref="E2356">IF(AND(A2356="2021-02", ISNA(MATCH(B2356, _xlfn._xlws.FILTER(B:B, A:A="2021-03"), 0))), "Left", "Ativo")</f>
        <v>Ativo</v>
      </c>
      <c r="F2356" s="12" t="str" cm="1">
        <f t="array" ref="F2356">IF(AND(A2356="2021-03", ISNA(MATCH(B2356, _xlfn._xlws.FILTER(B:B, A:A="2021-04"), 0))), "Left", "Ativo")</f>
        <v>Ativo</v>
      </c>
    </row>
    <row r="2357" spans="1:6" x14ac:dyDescent="0.25">
      <c r="A2357" t="s">
        <v>1530</v>
      </c>
      <c r="B2357" t="s">
        <v>439</v>
      </c>
      <c r="C2357" s="10" t="str" cm="1">
        <f t="array" ref="C2357">IF(AND(A2357="2020-12", ISNA(MATCH(B2357, _xlfn._xlws.FILTER(B:B, A:A="2021-01"), 0))), "Left", "Ativo")</f>
        <v>Ativo</v>
      </c>
      <c r="D2357" s="10" t="str" cm="1">
        <f t="array" ref="D2357">IF(AND(A2357="2021-01", ISNA(MATCH(B2357, _xlfn._xlws.FILTER(B:B, A:A="2021-02"), 0))), "Left", "Ativo")</f>
        <v>Ativo</v>
      </c>
      <c r="E2357" s="10" t="str" cm="1">
        <f t="array" ref="E2357">IF(AND(A2357="2021-02", ISNA(MATCH(B2357, _xlfn._xlws.FILTER(B:B, A:A="2021-03"), 0))), "Left", "Ativo")</f>
        <v>Ativo</v>
      </c>
      <c r="F2357" s="12" t="str" cm="1">
        <f t="array" ref="F2357">IF(AND(A2357="2021-03", ISNA(MATCH(B2357, _xlfn._xlws.FILTER(B:B, A:A="2021-04"), 0))), "Left", "Ativo")</f>
        <v>Ativo</v>
      </c>
    </row>
    <row r="2358" spans="1:6" x14ac:dyDescent="0.25">
      <c r="A2358" t="s">
        <v>1530</v>
      </c>
      <c r="B2358" t="s">
        <v>440</v>
      </c>
      <c r="C2358" s="10" t="str" cm="1">
        <f t="array" ref="C2358">IF(AND(A2358="2020-12", ISNA(MATCH(B2358, _xlfn._xlws.FILTER(B:B, A:A="2021-01"), 0))), "Left", "Ativo")</f>
        <v>Ativo</v>
      </c>
      <c r="D2358" s="10" t="str" cm="1">
        <f t="array" ref="D2358">IF(AND(A2358="2021-01", ISNA(MATCH(B2358, _xlfn._xlws.FILTER(B:B, A:A="2021-02"), 0))), "Left", "Ativo")</f>
        <v>Ativo</v>
      </c>
      <c r="E2358" s="10" t="str" cm="1">
        <f t="array" ref="E2358">IF(AND(A2358="2021-02", ISNA(MATCH(B2358, _xlfn._xlws.FILTER(B:B, A:A="2021-03"), 0))), "Left", "Ativo")</f>
        <v>Left</v>
      </c>
      <c r="F2358" s="12" t="str" cm="1">
        <f t="array" ref="F2358">IF(AND(A2358="2021-03", ISNA(MATCH(B2358, _xlfn._xlws.FILTER(B:B, A:A="2021-04"), 0))), "Left", "Ativo")</f>
        <v>Ativo</v>
      </c>
    </row>
    <row r="2359" spans="1:6" x14ac:dyDescent="0.25">
      <c r="A2359" t="s">
        <v>1530</v>
      </c>
      <c r="B2359" t="s">
        <v>441</v>
      </c>
      <c r="C2359" s="10" t="str" cm="1">
        <f t="array" ref="C2359">IF(AND(A2359="2020-12", ISNA(MATCH(B2359, _xlfn._xlws.FILTER(B:B, A:A="2021-01"), 0))), "Left", "Ativo")</f>
        <v>Ativo</v>
      </c>
      <c r="D2359" s="10" t="str" cm="1">
        <f t="array" ref="D2359">IF(AND(A2359="2021-01", ISNA(MATCH(B2359, _xlfn._xlws.FILTER(B:B, A:A="2021-02"), 0))), "Left", "Ativo")</f>
        <v>Ativo</v>
      </c>
      <c r="E2359" s="10" t="str" cm="1">
        <f t="array" ref="E2359">IF(AND(A2359="2021-02", ISNA(MATCH(B2359, _xlfn._xlws.FILTER(B:B, A:A="2021-03"), 0))), "Left", "Ativo")</f>
        <v>Ativo</v>
      </c>
      <c r="F2359" s="12" t="str" cm="1">
        <f t="array" ref="F2359">IF(AND(A2359="2021-03", ISNA(MATCH(B2359, _xlfn._xlws.FILTER(B:B, A:A="2021-04"), 0))), "Left", "Ativo")</f>
        <v>Ativo</v>
      </c>
    </row>
    <row r="2360" spans="1:6" x14ac:dyDescent="0.25">
      <c r="A2360" t="s">
        <v>1530</v>
      </c>
      <c r="B2360" t="s">
        <v>442</v>
      </c>
      <c r="C2360" s="10" t="str" cm="1">
        <f t="array" ref="C2360">IF(AND(A2360="2020-12", ISNA(MATCH(B2360, _xlfn._xlws.FILTER(B:B, A:A="2021-01"), 0))), "Left", "Ativo")</f>
        <v>Ativo</v>
      </c>
      <c r="D2360" s="10" t="str" cm="1">
        <f t="array" ref="D2360">IF(AND(A2360="2021-01", ISNA(MATCH(B2360, _xlfn._xlws.FILTER(B:B, A:A="2021-02"), 0))), "Left", "Ativo")</f>
        <v>Ativo</v>
      </c>
      <c r="E2360" s="10" t="str" cm="1">
        <f t="array" ref="E2360">IF(AND(A2360="2021-02", ISNA(MATCH(B2360, _xlfn._xlws.FILTER(B:B, A:A="2021-03"), 0))), "Left", "Ativo")</f>
        <v>Ativo</v>
      </c>
      <c r="F2360" s="12" t="str" cm="1">
        <f t="array" ref="F2360">IF(AND(A2360="2021-03", ISNA(MATCH(B2360, _xlfn._xlws.FILTER(B:B, A:A="2021-04"), 0))), "Left", "Ativo")</f>
        <v>Ativo</v>
      </c>
    </row>
    <row r="2361" spans="1:6" x14ac:dyDescent="0.25">
      <c r="A2361" t="s">
        <v>1530</v>
      </c>
      <c r="B2361" t="s">
        <v>443</v>
      </c>
      <c r="C2361" s="10" t="str" cm="1">
        <f t="array" ref="C2361">IF(AND(A2361="2020-12", ISNA(MATCH(B2361, _xlfn._xlws.FILTER(B:B, A:A="2021-01"), 0))), "Left", "Ativo")</f>
        <v>Ativo</v>
      </c>
      <c r="D2361" s="10" t="str" cm="1">
        <f t="array" ref="D2361">IF(AND(A2361="2021-01", ISNA(MATCH(B2361, _xlfn._xlws.FILTER(B:B, A:A="2021-02"), 0))), "Left", "Ativo")</f>
        <v>Ativo</v>
      </c>
      <c r="E2361" s="10" t="str" cm="1">
        <f t="array" ref="E2361">IF(AND(A2361="2021-02", ISNA(MATCH(B2361, _xlfn._xlws.FILTER(B:B, A:A="2021-03"), 0))), "Left", "Ativo")</f>
        <v>Ativo</v>
      </c>
      <c r="F2361" s="12" t="str" cm="1">
        <f t="array" ref="F2361">IF(AND(A2361="2021-03", ISNA(MATCH(B2361, _xlfn._xlws.FILTER(B:B, A:A="2021-04"), 0))), "Left", "Ativo")</f>
        <v>Ativo</v>
      </c>
    </row>
    <row r="2362" spans="1:6" x14ac:dyDescent="0.25">
      <c r="A2362" t="s">
        <v>1530</v>
      </c>
      <c r="B2362" t="s">
        <v>444</v>
      </c>
      <c r="C2362" s="10" t="str" cm="1">
        <f t="array" ref="C2362">IF(AND(A2362="2020-12", ISNA(MATCH(B2362, _xlfn._xlws.FILTER(B:B, A:A="2021-01"), 0))), "Left", "Ativo")</f>
        <v>Ativo</v>
      </c>
      <c r="D2362" s="10" t="str" cm="1">
        <f t="array" ref="D2362">IF(AND(A2362="2021-01", ISNA(MATCH(B2362, _xlfn._xlws.FILTER(B:B, A:A="2021-02"), 0))), "Left", "Ativo")</f>
        <v>Ativo</v>
      </c>
      <c r="E2362" s="10" t="str" cm="1">
        <f t="array" ref="E2362">IF(AND(A2362="2021-02", ISNA(MATCH(B2362, _xlfn._xlws.FILTER(B:B, A:A="2021-03"), 0))), "Left", "Ativo")</f>
        <v>Ativo</v>
      </c>
      <c r="F2362" s="12" t="str" cm="1">
        <f t="array" ref="F2362">IF(AND(A2362="2021-03", ISNA(MATCH(B2362, _xlfn._xlws.FILTER(B:B, A:A="2021-04"), 0))), "Left", "Ativo")</f>
        <v>Ativo</v>
      </c>
    </row>
    <row r="2363" spans="1:6" x14ac:dyDescent="0.25">
      <c r="A2363" t="s">
        <v>1530</v>
      </c>
      <c r="B2363" t="s">
        <v>445</v>
      </c>
      <c r="C2363" s="10" t="str" cm="1">
        <f t="array" ref="C2363">IF(AND(A2363="2020-12", ISNA(MATCH(B2363, _xlfn._xlws.FILTER(B:B, A:A="2021-01"), 0))), "Left", "Ativo")</f>
        <v>Ativo</v>
      </c>
      <c r="D2363" s="10" t="str" cm="1">
        <f t="array" ref="D2363">IF(AND(A2363="2021-01", ISNA(MATCH(B2363, _xlfn._xlws.FILTER(B:B, A:A="2021-02"), 0))), "Left", "Ativo")</f>
        <v>Ativo</v>
      </c>
      <c r="E2363" s="10" t="str" cm="1">
        <f t="array" ref="E2363">IF(AND(A2363="2021-02", ISNA(MATCH(B2363, _xlfn._xlws.FILTER(B:B, A:A="2021-03"), 0))), "Left", "Ativo")</f>
        <v>Ativo</v>
      </c>
      <c r="F2363" s="12" t="str" cm="1">
        <f t="array" ref="F2363">IF(AND(A2363="2021-03", ISNA(MATCH(B2363, _xlfn._xlws.FILTER(B:B, A:A="2021-04"), 0))), "Left", "Ativo")</f>
        <v>Ativo</v>
      </c>
    </row>
    <row r="2364" spans="1:6" x14ac:dyDescent="0.25">
      <c r="A2364" t="s">
        <v>1530</v>
      </c>
      <c r="B2364" t="s">
        <v>446</v>
      </c>
      <c r="C2364" s="10" t="str" cm="1">
        <f t="array" ref="C2364">IF(AND(A2364="2020-12", ISNA(MATCH(B2364, _xlfn._xlws.FILTER(B:B, A:A="2021-01"), 0))), "Left", "Ativo")</f>
        <v>Ativo</v>
      </c>
      <c r="D2364" s="10" t="str" cm="1">
        <f t="array" ref="D2364">IF(AND(A2364="2021-01", ISNA(MATCH(B2364, _xlfn._xlws.FILTER(B:B, A:A="2021-02"), 0))), "Left", "Ativo")</f>
        <v>Ativo</v>
      </c>
      <c r="E2364" s="10" t="str" cm="1">
        <f t="array" ref="E2364">IF(AND(A2364="2021-02", ISNA(MATCH(B2364, _xlfn._xlws.FILTER(B:B, A:A="2021-03"), 0))), "Left", "Ativo")</f>
        <v>Ativo</v>
      </c>
      <c r="F2364" s="12" t="str" cm="1">
        <f t="array" ref="F2364">IF(AND(A2364="2021-03", ISNA(MATCH(B2364, _xlfn._xlws.FILTER(B:B, A:A="2021-04"), 0))), "Left", "Ativo")</f>
        <v>Ativo</v>
      </c>
    </row>
    <row r="2365" spans="1:6" x14ac:dyDescent="0.25">
      <c r="A2365" t="s">
        <v>1530</v>
      </c>
      <c r="B2365" t="s">
        <v>447</v>
      </c>
      <c r="C2365" s="10" t="str" cm="1">
        <f t="array" ref="C2365">IF(AND(A2365="2020-12", ISNA(MATCH(B2365, _xlfn._xlws.FILTER(B:B, A:A="2021-01"), 0))), "Left", "Ativo")</f>
        <v>Ativo</v>
      </c>
      <c r="D2365" s="10" t="str" cm="1">
        <f t="array" ref="D2365">IF(AND(A2365="2021-01", ISNA(MATCH(B2365, _xlfn._xlws.FILTER(B:B, A:A="2021-02"), 0))), "Left", "Ativo")</f>
        <v>Ativo</v>
      </c>
      <c r="E2365" s="10" t="str" cm="1">
        <f t="array" ref="E2365">IF(AND(A2365="2021-02", ISNA(MATCH(B2365, _xlfn._xlws.FILTER(B:B, A:A="2021-03"), 0))), "Left", "Ativo")</f>
        <v>Ativo</v>
      </c>
      <c r="F2365" s="12" t="str" cm="1">
        <f t="array" ref="F2365">IF(AND(A2365="2021-03", ISNA(MATCH(B2365, _xlfn._xlws.FILTER(B:B, A:A="2021-04"), 0))), "Left", "Ativo")</f>
        <v>Ativo</v>
      </c>
    </row>
    <row r="2366" spans="1:6" x14ac:dyDescent="0.25">
      <c r="A2366" t="s">
        <v>1530</v>
      </c>
      <c r="B2366" t="s">
        <v>448</v>
      </c>
      <c r="C2366" s="10" t="str" cm="1">
        <f t="array" ref="C2366">IF(AND(A2366="2020-12", ISNA(MATCH(B2366, _xlfn._xlws.FILTER(B:B, A:A="2021-01"), 0))), "Left", "Ativo")</f>
        <v>Ativo</v>
      </c>
      <c r="D2366" s="10" t="str" cm="1">
        <f t="array" ref="D2366">IF(AND(A2366="2021-01", ISNA(MATCH(B2366, _xlfn._xlws.FILTER(B:B, A:A="2021-02"), 0))), "Left", "Ativo")</f>
        <v>Ativo</v>
      </c>
      <c r="E2366" s="10" t="str" cm="1">
        <f t="array" ref="E2366">IF(AND(A2366="2021-02", ISNA(MATCH(B2366, _xlfn._xlws.FILTER(B:B, A:A="2021-03"), 0))), "Left", "Ativo")</f>
        <v>Ativo</v>
      </c>
      <c r="F2366" s="12" t="str" cm="1">
        <f t="array" ref="F2366">IF(AND(A2366="2021-03", ISNA(MATCH(B2366, _xlfn._xlws.FILTER(B:B, A:A="2021-04"), 0))), "Left", "Ativo")</f>
        <v>Ativo</v>
      </c>
    </row>
    <row r="2367" spans="1:6" x14ac:dyDescent="0.25">
      <c r="A2367" t="s">
        <v>1530</v>
      </c>
      <c r="B2367" t="s">
        <v>449</v>
      </c>
      <c r="C2367" s="10" t="str" cm="1">
        <f t="array" ref="C2367">IF(AND(A2367="2020-12", ISNA(MATCH(B2367, _xlfn._xlws.FILTER(B:B, A:A="2021-01"), 0))), "Left", "Ativo")</f>
        <v>Ativo</v>
      </c>
      <c r="D2367" s="10" t="str" cm="1">
        <f t="array" ref="D2367">IF(AND(A2367="2021-01", ISNA(MATCH(B2367, _xlfn._xlws.FILTER(B:B, A:A="2021-02"), 0))), "Left", "Ativo")</f>
        <v>Ativo</v>
      </c>
      <c r="E2367" s="10" t="str" cm="1">
        <f t="array" ref="E2367">IF(AND(A2367="2021-02", ISNA(MATCH(B2367, _xlfn._xlws.FILTER(B:B, A:A="2021-03"), 0))), "Left", "Ativo")</f>
        <v>Ativo</v>
      </c>
      <c r="F2367" s="12" t="str" cm="1">
        <f t="array" ref="F2367">IF(AND(A2367="2021-03", ISNA(MATCH(B2367, _xlfn._xlws.FILTER(B:B, A:A="2021-04"), 0))), "Left", "Ativo")</f>
        <v>Ativo</v>
      </c>
    </row>
    <row r="2368" spans="1:6" x14ac:dyDescent="0.25">
      <c r="A2368" t="s">
        <v>1530</v>
      </c>
      <c r="B2368" t="s">
        <v>450</v>
      </c>
      <c r="C2368" s="10" t="str" cm="1">
        <f t="array" ref="C2368">IF(AND(A2368="2020-12", ISNA(MATCH(B2368, _xlfn._xlws.FILTER(B:B, A:A="2021-01"), 0))), "Left", "Ativo")</f>
        <v>Ativo</v>
      </c>
      <c r="D2368" s="10" t="str" cm="1">
        <f t="array" ref="D2368">IF(AND(A2368="2021-01", ISNA(MATCH(B2368, _xlfn._xlws.FILTER(B:B, A:A="2021-02"), 0))), "Left", "Ativo")</f>
        <v>Ativo</v>
      </c>
      <c r="E2368" s="10" t="str" cm="1">
        <f t="array" ref="E2368">IF(AND(A2368="2021-02", ISNA(MATCH(B2368, _xlfn._xlws.FILTER(B:B, A:A="2021-03"), 0))), "Left", "Ativo")</f>
        <v>Ativo</v>
      </c>
      <c r="F2368" s="12" t="str" cm="1">
        <f t="array" ref="F2368">IF(AND(A2368="2021-03", ISNA(MATCH(B2368, _xlfn._xlws.FILTER(B:B, A:A="2021-04"), 0))), "Left", "Ativo")</f>
        <v>Ativo</v>
      </c>
    </row>
    <row r="2369" spans="1:6" x14ac:dyDescent="0.25">
      <c r="A2369" t="s">
        <v>1530</v>
      </c>
      <c r="B2369" t="s">
        <v>451</v>
      </c>
      <c r="C2369" s="10" t="str" cm="1">
        <f t="array" ref="C2369">IF(AND(A2369="2020-12", ISNA(MATCH(B2369, _xlfn._xlws.FILTER(B:B, A:A="2021-01"), 0))), "Left", "Ativo")</f>
        <v>Ativo</v>
      </c>
      <c r="D2369" s="10" t="str" cm="1">
        <f t="array" ref="D2369">IF(AND(A2369="2021-01", ISNA(MATCH(B2369, _xlfn._xlws.FILTER(B:B, A:A="2021-02"), 0))), "Left", "Ativo")</f>
        <v>Ativo</v>
      </c>
      <c r="E2369" s="10" t="str" cm="1">
        <f t="array" ref="E2369">IF(AND(A2369="2021-02", ISNA(MATCH(B2369, _xlfn._xlws.FILTER(B:B, A:A="2021-03"), 0))), "Left", "Ativo")</f>
        <v>Ativo</v>
      </c>
      <c r="F2369" s="12" t="str" cm="1">
        <f t="array" ref="F2369">IF(AND(A2369="2021-03", ISNA(MATCH(B2369, _xlfn._xlws.FILTER(B:B, A:A="2021-04"), 0))), "Left", "Ativo")</f>
        <v>Ativo</v>
      </c>
    </row>
    <row r="2370" spans="1:6" x14ac:dyDescent="0.25">
      <c r="A2370" t="s">
        <v>1530</v>
      </c>
      <c r="B2370" t="s">
        <v>452</v>
      </c>
      <c r="C2370" s="10" t="str" cm="1">
        <f t="array" ref="C2370">IF(AND(A2370="2020-12", ISNA(MATCH(B2370, _xlfn._xlws.FILTER(B:B, A:A="2021-01"), 0))), "Left", "Ativo")</f>
        <v>Ativo</v>
      </c>
      <c r="D2370" s="10" t="str" cm="1">
        <f t="array" ref="D2370">IF(AND(A2370="2021-01", ISNA(MATCH(B2370, _xlfn._xlws.FILTER(B:B, A:A="2021-02"), 0))), "Left", "Ativo")</f>
        <v>Ativo</v>
      </c>
      <c r="E2370" s="10" t="str" cm="1">
        <f t="array" ref="E2370">IF(AND(A2370="2021-02", ISNA(MATCH(B2370, _xlfn._xlws.FILTER(B:B, A:A="2021-03"), 0))), "Left", "Ativo")</f>
        <v>Ativo</v>
      </c>
      <c r="F2370" s="12" t="str" cm="1">
        <f t="array" ref="F2370">IF(AND(A2370="2021-03", ISNA(MATCH(B2370, _xlfn._xlws.FILTER(B:B, A:A="2021-04"), 0))), "Left", "Ativo")</f>
        <v>Ativo</v>
      </c>
    </row>
    <row r="2371" spans="1:6" x14ac:dyDescent="0.25">
      <c r="A2371" t="s">
        <v>1530</v>
      </c>
      <c r="B2371" t="s">
        <v>453</v>
      </c>
      <c r="C2371" s="10" t="str" cm="1">
        <f t="array" ref="C2371">IF(AND(A2371="2020-12", ISNA(MATCH(B2371, _xlfn._xlws.FILTER(B:B, A:A="2021-01"), 0))), "Left", "Ativo")</f>
        <v>Ativo</v>
      </c>
      <c r="D2371" s="10" t="str" cm="1">
        <f t="array" ref="D2371">IF(AND(A2371="2021-01", ISNA(MATCH(B2371, _xlfn._xlws.FILTER(B:B, A:A="2021-02"), 0))), "Left", "Ativo")</f>
        <v>Ativo</v>
      </c>
      <c r="E2371" s="10" t="str" cm="1">
        <f t="array" ref="E2371">IF(AND(A2371="2021-02", ISNA(MATCH(B2371, _xlfn._xlws.FILTER(B:B, A:A="2021-03"), 0))), "Left", "Ativo")</f>
        <v>Ativo</v>
      </c>
      <c r="F2371" s="12" t="str" cm="1">
        <f t="array" ref="F2371">IF(AND(A2371="2021-03", ISNA(MATCH(B2371, _xlfn._xlws.FILTER(B:B, A:A="2021-04"), 0))), "Left", "Ativo")</f>
        <v>Ativo</v>
      </c>
    </row>
    <row r="2372" spans="1:6" x14ac:dyDescent="0.25">
      <c r="A2372" t="s">
        <v>1530</v>
      </c>
      <c r="B2372" t="s">
        <v>454</v>
      </c>
      <c r="C2372" s="10" t="str" cm="1">
        <f t="array" ref="C2372">IF(AND(A2372="2020-12", ISNA(MATCH(B2372, _xlfn._xlws.FILTER(B:B, A:A="2021-01"), 0))), "Left", "Ativo")</f>
        <v>Ativo</v>
      </c>
      <c r="D2372" s="10" t="str" cm="1">
        <f t="array" ref="D2372">IF(AND(A2372="2021-01", ISNA(MATCH(B2372, _xlfn._xlws.FILTER(B:B, A:A="2021-02"), 0))), "Left", "Ativo")</f>
        <v>Ativo</v>
      </c>
      <c r="E2372" s="10" t="str" cm="1">
        <f t="array" ref="E2372">IF(AND(A2372="2021-02", ISNA(MATCH(B2372, _xlfn._xlws.FILTER(B:B, A:A="2021-03"), 0))), "Left", "Ativo")</f>
        <v>Ativo</v>
      </c>
      <c r="F2372" s="12" t="str" cm="1">
        <f t="array" ref="F2372">IF(AND(A2372="2021-03", ISNA(MATCH(B2372, _xlfn._xlws.FILTER(B:B, A:A="2021-04"), 0))), "Left", "Ativo")</f>
        <v>Ativo</v>
      </c>
    </row>
    <row r="2373" spans="1:6" x14ac:dyDescent="0.25">
      <c r="A2373" t="s">
        <v>1530</v>
      </c>
      <c r="B2373" t="s">
        <v>455</v>
      </c>
      <c r="C2373" s="10" t="str" cm="1">
        <f t="array" ref="C2373">IF(AND(A2373="2020-12", ISNA(MATCH(B2373, _xlfn._xlws.FILTER(B:B, A:A="2021-01"), 0))), "Left", "Ativo")</f>
        <v>Ativo</v>
      </c>
      <c r="D2373" s="10" t="str" cm="1">
        <f t="array" ref="D2373">IF(AND(A2373="2021-01", ISNA(MATCH(B2373, _xlfn._xlws.FILTER(B:B, A:A="2021-02"), 0))), "Left", "Ativo")</f>
        <v>Ativo</v>
      </c>
      <c r="E2373" s="10" t="str" cm="1">
        <f t="array" ref="E2373">IF(AND(A2373="2021-02", ISNA(MATCH(B2373, _xlfn._xlws.FILTER(B:B, A:A="2021-03"), 0))), "Left", "Ativo")</f>
        <v>Ativo</v>
      </c>
      <c r="F2373" s="12" t="str" cm="1">
        <f t="array" ref="F2373">IF(AND(A2373="2021-03", ISNA(MATCH(B2373, _xlfn._xlws.FILTER(B:B, A:A="2021-04"), 0))), "Left", "Ativo")</f>
        <v>Ativo</v>
      </c>
    </row>
    <row r="2374" spans="1:6" x14ac:dyDescent="0.25">
      <c r="A2374" t="s">
        <v>1530</v>
      </c>
      <c r="B2374" t="s">
        <v>456</v>
      </c>
      <c r="C2374" s="10" t="str" cm="1">
        <f t="array" ref="C2374">IF(AND(A2374="2020-12", ISNA(MATCH(B2374, _xlfn._xlws.FILTER(B:B, A:A="2021-01"), 0))), "Left", "Ativo")</f>
        <v>Ativo</v>
      </c>
      <c r="D2374" s="10" t="str" cm="1">
        <f t="array" ref="D2374">IF(AND(A2374="2021-01", ISNA(MATCH(B2374, _xlfn._xlws.FILTER(B:B, A:A="2021-02"), 0))), "Left", "Ativo")</f>
        <v>Ativo</v>
      </c>
      <c r="E2374" s="10" t="str" cm="1">
        <f t="array" ref="E2374">IF(AND(A2374="2021-02", ISNA(MATCH(B2374, _xlfn._xlws.FILTER(B:B, A:A="2021-03"), 0))), "Left", "Ativo")</f>
        <v>Ativo</v>
      </c>
      <c r="F2374" s="12" t="str" cm="1">
        <f t="array" ref="F2374">IF(AND(A2374="2021-03", ISNA(MATCH(B2374, _xlfn._xlws.FILTER(B:B, A:A="2021-04"), 0))), "Left", "Ativo")</f>
        <v>Ativo</v>
      </c>
    </row>
    <row r="2375" spans="1:6" x14ac:dyDescent="0.25">
      <c r="A2375" t="s">
        <v>1530</v>
      </c>
      <c r="B2375" t="s">
        <v>457</v>
      </c>
      <c r="C2375" s="10" t="str" cm="1">
        <f t="array" ref="C2375">IF(AND(A2375="2020-12", ISNA(MATCH(B2375, _xlfn._xlws.FILTER(B:B, A:A="2021-01"), 0))), "Left", "Ativo")</f>
        <v>Ativo</v>
      </c>
      <c r="D2375" s="10" t="str" cm="1">
        <f t="array" ref="D2375">IF(AND(A2375="2021-01", ISNA(MATCH(B2375, _xlfn._xlws.FILTER(B:B, A:A="2021-02"), 0))), "Left", "Ativo")</f>
        <v>Ativo</v>
      </c>
      <c r="E2375" s="10" t="str" cm="1">
        <f t="array" ref="E2375">IF(AND(A2375="2021-02", ISNA(MATCH(B2375, _xlfn._xlws.FILTER(B:B, A:A="2021-03"), 0))), "Left", "Ativo")</f>
        <v>Ativo</v>
      </c>
      <c r="F2375" s="12" t="str" cm="1">
        <f t="array" ref="F2375">IF(AND(A2375="2021-03", ISNA(MATCH(B2375, _xlfn._xlws.FILTER(B:B, A:A="2021-04"), 0))), "Left", "Ativo")</f>
        <v>Ativo</v>
      </c>
    </row>
    <row r="2376" spans="1:6" x14ac:dyDescent="0.25">
      <c r="A2376" t="s">
        <v>1530</v>
      </c>
      <c r="B2376" t="s">
        <v>458</v>
      </c>
      <c r="C2376" s="10" t="str" cm="1">
        <f t="array" ref="C2376">IF(AND(A2376="2020-12", ISNA(MATCH(B2376, _xlfn._xlws.FILTER(B:B, A:A="2021-01"), 0))), "Left", "Ativo")</f>
        <v>Ativo</v>
      </c>
      <c r="D2376" s="10" t="str" cm="1">
        <f t="array" ref="D2376">IF(AND(A2376="2021-01", ISNA(MATCH(B2376, _xlfn._xlws.FILTER(B:B, A:A="2021-02"), 0))), "Left", "Ativo")</f>
        <v>Ativo</v>
      </c>
      <c r="E2376" s="10" t="str" cm="1">
        <f t="array" ref="E2376">IF(AND(A2376="2021-02", ISNA(MATCH(B2376, _xlfn._xlws.FILTER(B:B, A:A="2021-03"), 0))), "Left", "Ativo")</f>
        <v>Ativo</v>
      </c>
      <c r="F2376" s="12" t="str" cm="1">
        <f t="array" ref="F2376">IF(AND(A2376="2021-03", ISNA(MATCH(B2376, _xlfn._xlws.FILTER(B:B, A:A="2021-04"), 0))), "Left", "Ativo")</f>
        <v>Ativo</v>
      </c>
    </row>
    <row r="2377" spans="1:6" x14ac:dyDescent="0.25">
      <c r="A2377" t="s">
        <v>1530</v>
      </c>
      <c r="B2377" t="s">
        <v>459</v>
      </c>
      <c r="C2377" s="10" t="str" cm="1">
        <f t="array" ref="C2377">IF(AND(A2377="2020-12", ISNA(MATCH(B2377, _xlfn._xlws.FILTER(B:B, A:A="2021-01"), 0))), "Left", "Ativo")</f>
        <v>Ativo</v>
      </c>
      <c r="D2377" s="10" t="str" cm="1">
        <f t="array" ref="D2377">IF(AND(A2377="2021-01", ISNA(MATCH(B2377, _xlfn._xlws.FILTER(B:B, A:A="2021-02"), 0))), "Left", "Ativo")</f>
        <v>Ativo</v>
      </c>
      <c r="E2377" s="10" t="str" cm="1">
        <f t="array" ref="E2377">IF(AND(A2377="2021-02", ISNA(MATCH(B2377, _xlfn._xlws.FILTER(B:B, A:A="2021-03"), 0))), "Left", "Ativo")</f>
        <v>Ativo</v>
      </c>
      <c r="F2377" s="12" t="str" cm="1">
        <f t="array" ref="F2377">IF(AND(A2377="2021-03", ISNA(MATCH(B2377, _xlfn._xlws.FILTER(B:B, A:A="2021-04"), 0))), "Left", "Ativo")</f>
        <v>Ativo</v>
      </c>
    </row>
    <row r="2378" spans="1:6" x14ac:dyDescent="0.25">
      <c r="A2378" t="s">
        <v>1530</v>
      </c>
      <c r="B2378" t="s">
        <v>460</v>
      </c>
      <c r="C2378" s="10" t="str" cm="1">
        <f t="array" ref="C2378">IF(AND(A2378="2020-12", ISNA(MATCH(B2378, _xlfn._xlws.FILTER(B:B, A:A="2021-01"), 0))), "Left", "Ativo")</f>
        <v>Ativo</v>
      </c>
      <c r="D2378" s="10" t="str" cm="1">
        <f t="array" ref="D2378">IF(AND(A2378="2021-01", ISNA(MATCH(B2378, _xlfn._xlws.FILTER(B:B, A:A="2021-02"), 0))), "Left", "Ativo")</f>
        <v>Ativo</v>
      </c>
      <c r="E2378" s="10" t="str" cm="1">
        <f t="array" ref="E2378">IF(AND(A2378="2021-02", ISNA(MATCH(B2378, _xlfn._xlws.FILTER(B:B, A:A="2021-03"), 0))), "Left", "Ativo")</f>
        <v>Left</v>
      </c>
      <c r="F2378" s="12" t="str" cm="1">
        <f t="array" ref="F2378">IF(AND(A2378="2021-03", ISNA(MATCH(B2378, _xlfn._xlws.FILTER(B:B, A:A="2021-04"), 0))), "Left", "Ativo")</f>
        <v>Ativo</v>
      </c>
    </row>
    <row r="2379" spans="1:6" x14ac:dyDescent="0.25">
      <c r="A2379" t="s">
        <v>1530</v>
      </c>
      <c r="B2379" t="s">
        <v>461</v>
      </c>
      <c r="C2379" s="10" t="str" cm="1">
        <f t="array" ref="C2379">IF(AND(A2379="2020-12", ISNA(MATCH(B2379, _xlfn._xlws.FILTER(B:B, A:A="2021-01"), 0))), "Left", "Ativo")</f>
        <v>Ativo</v>
      </c>
      <c r="D2379" s="10" t="str" cm="1">
        <f t="array" ref="D2379">IF(AND(A2379="2021-01", ISNA(MATCH(B2379, _xlfn._xlws.FILTER(B:B, A:A="2021-02"), 0))), "Left", "Ativo")</f>
        <v>Ativo</v>
      </c>
      <c r="E2379" s="10" t="str" cm="1">
        <f t="array" ref="E2379">IF(AND(A2379="2021-02", ISNA(MATCH(B2379, _xlfn._xlws.FILTER(B:B, A:A="2021-03"), 0))), "Left", "Ativo")</f>
        <v>Ativo</v>
      </c>
      <c r="F2379" s="12" t="str" cm="1">
        <f t="array" ref="F2379">IF(AND(A2379="2021-03", ISNA(MATCH(B2379, _xlfn._xlws.FILTER(B:B, A:A="2021-04"), 0))), "Left", "Ativo")</f>
        <v>Ativo</v>
      </c>
    </row>
    <row r="2380" spans="1:6" x14ac:dyDescent="0.25">
      <c r="A2380" t="s">
        <v>1530</v>
      </c>
      <c r="B2380" t="s">
        <v>462</v>
      </c>
      <c r="C2380" s="10" t="str" cm="1">
        <f t="array" ref="C2380">IF(AND(A2380="2020-12", ISNA(MATCH(B2380, _xlfn._xlws.FILTER(B:B, A:A="2021-01"), 0))), "Left", "Ativo")</f>
        <v>Ativo</v>
      </c>
      <c r="D2380" s="10" t="str" cm="1">
        <f t="array" ref="D2380">IF(AND(A2380="2021-01", ISNA(MATCH(B2380, _xlfn._xlws.FILTER(B:B, A:A="2021-02"), 0))), "Left", "Ativo")</f>
        <v>Ativo</v>
      </c>
      <c r="E2380" s="10" t="str" cm="1">
        <f t="array" ref="E2380">IF(AND(A2380="2021-02", ISNA(MATCH(B2380, _xlfn._xlws.FILTER(B:B, A:A="2021-03"), 0))), "Left", "Ativo")</f>
        <v>Ativo</v>
      </c>
      <c r="F2380" s="12" t="str" cm="1">
        <f t="array" ref="F2380">IF(AND(A2380="2021-03", ISNA(MATCH(B2380, _xlfn._xlws.FILTER(B:B, A:A="2021-04"), 0))), "Left", "Ativo")</f>
        <v>Ativo</v>
      </c>
    </row>
    <row r="2381" spans="1:6" x14ac:dyDescent="0.25">
      <c r="A2381" t="s">
        <v>1530</v>
      </c>
      <c r="B2381" t="s">
        <v>463</v>
      </c>
      <c r="C2381" s="10" t="str" cm="1">
        <f t="array" ref="C2381">IF(AND(A2381="2020-12", ISNA(MATCH(B2381, _xlfn._xlws.FILTER(B:B, A:A="2021-01"), 0))), "Left", "Ativo")</f>
        <v>Ativo</v>
      </c>
      <c r="D2381" s="10" t="str" cm="1">
        <f t="array" ref="D2381">IF(AND(A2381="2021-01", ISNA(MATCH(B2381, _xlfn._xlws.FILTER(B:B, A:A="2021-02"), 0))), "Left", "Ativo")</f>
        <v>Ativo</v>
      </c>
      <c r="E2381" s="10" t="str" cm="1">
        <f t="array" ref="E2381">IF(AND(A2381="2021-02", ISNA(MATCH(B2381, _xlfn._xlws.FILTER(B:B, A:A="2021-03"), 0))), "Left", "Ativo")</f>
        <v>Ativo</v>
      </c>
      <c r="F2381" s="12" t="str" cm="1">
        <f t="array" ref="F2381">IF(AND(A2381="2021-03", ISNA(MATCH(B2381, _xlfn._xlws.FILTER(B:B, A:A="2021-04"), 0))), "Left", "Ativo")</f>
        <v>Ativo</v>
      </c>
    </row>
    <row r="2382" spans="1:6" x14ac:dyDescent="0.25">
      <c r="A2382" t="s">
        <v>1530</v>
      </c>
      <c r="B2382" t="s">
        <v>464</v>
      </c>
      <c r="C2382" s="10" t="str" cm="1">
        <f t="array" ref="C2382">IF(AND(A2382="2020-12", ISNA(MATCH(B2382, _xlfn._xlws.FILTER(B:B, A:A="2021-01"), 0))), "Left", "Ativo")</f>
        <v>Ativo</v>
      </c>
      <c r="D2382" s="10" t="str" cm="1">
        <f t="array" ref="D2382">IF(AND(A2382="2021-01", ISNA(MATCH(B2382, _xlfn._xlws.FILTER(B:B, A:A="2021-02"), 0))), "Left", "Ativo")</f>
        <v>Ativo</v>
      </c>
      <c r="E2382" s="10" t="str" cm="1">
        <f t="array" ref="E2382">IF(AND(A2382="2021-02", ISNA(MATCH(B2382, _xlfn._xlws.FILTER(B:B, A:A="2021-03"), 0))), "Left", "Ativo")</f>
        <v>Ativo</v>
      </c>
      <c r="F2382" s="12" t="str" cm="1">
        <f t="array" ref="F2382">IF(AND(A2382="2021-03", ISNA(MATCH(B2382, _xlfn._xlws.FILTER(B:B, A:A="2021-04"), 0))), "Left", "Ativo")</f>
        <v>Ativo</v>
      </c>
    </row>
    <row r="2383" spans="1:6" x14ac:dyDescent="0.25">
      <c r="A2383" t="s">
        <v>1530</v>
      </c>
      <c r="B2383" t="s">
        <v>465</v>
      </c>
      <c r="C2383" s="10" t="str" cm="1">
        <f t="array" ref="C2383">IF(AND(A2383="2020-12", ISNA(MATCH(B2383, _xlfn._xlws.FILTER(B:B, A:A="2021-01"), 0))), "Left", "Ativo")</f>
        <v>Ativo</v>
      </c>
      <c r="D2383" s="10" t="str" cm="1">
        <f t="array" ref="D2383">IF(AND(A2383="2021-01", ISNA(MATCH(B2383, _xlfn._xlws.FILTER(B:B, A:A="2021-02"), 0))), "Left", "Ativo")</f>
        <v>Ativo</v>
      </c>
      <c r="E2383" s="10" t="str" cm="1">
        <f t="array" ref="E2383">IF(AND(A2383="2021-02", ISNA(MATCH(B2383, _xlfn._xlws.FILTER(B:B, A:A="2021-03"), 0))), "Left", "Ativo")</f>
        <v>Ativo</v>
      </c>
      <c r="F2383" s="12" t="str" cm="1">
        <f t="array" ref="F2383">IF(AND(A2383="2021-03", ISNA(MATCH(B2383, _xlfn._xlws.FILTER(B:B, A:A="2021-04"), 0))), "Left", "Ativo")</f>
        <v>Ativo</v>
      </c>
    </row>
    <row r="2384" spans="1:6" x14ac:dyDescent="0.25">
      <c r="A2384" t="s">
        <v>1530</v>
      </c>
      <c r="B2384" t="s">
        <v>466</v>
      </c>
      <c r="C2384" s="10" t="str" cm="1">
        <f t="array" ref="C2384">IF(AND(A2384="2020-12", ISNA(MATCH(B2384, _xlfn._xlws.FILTER(B:B, A:A="2021-01"), 0))), "Left", "Ativo")</f>
        <v>Ativo</v>
      </c>
      <c r="D2384" s="10" t="str" cm="1">
        <f t="array" ref="D2384">IF(AND(A2384="2021-01", ISNA(MATCH(B2384, _xlfn._xlws.FILTER(B:B, A:A="2021-02"), 0))), "Left", "Ativo")</f>
        <v>Ativo</v>
      </c>
      <c r="E2384" s="10" t="str" cm="1">
        <f t="array" ref="E2384">IF(AND(A2384="2021-02", ISNA(MATCH(B2384, _xlfn._xlws.FILTER(B:B, A:A="2021-03"), 0))), "Left", "Ativo")</f>
        <v>Ativo</v>
      </c>
      <c r="F2384" s="12" t="str" cm="1">
        <f t="array" ref="F2384">IF(AND(A2384="2021-03", ISNA(MATCH(B2384, _xlfn._xlws.FILTER(B:B, A:A="2021-04"), 0))), "Left", "Ativo")</f>
        <v>Ativo</v>
      </c>
    </row>
    <row r="2385" spans="1:6" x14ac:dyDescent="0.25">
      <c r="A2385" t="s">
        <v>1530</v>
      </c>
      <c r="B2385" t="s">
        <v>467</v>
      </c>
      <c r="C2385" s="10" t="str" cm="1">
        <f t="array" ref="C2385">IF(AND(A2385="2020-12", ISNA(MATCH(B2385, _xlfn._xlws.FILTER(B:B, A:A="2021-01"), 0))), "Left", "Ativo")</f>
        <v>Ativo</v>
      </c>
      <c r="D2385" s="10" t="str" cm="1">
        <f t="array" ref="D2385">IF(AND(A2385="2021-01", ISNA(MATCH(B2385, _xlfn._xlws.FILTER(B:B, A:A="2021-02"), 0))), "Left", "Ativo")</f>
        <v>Ativo</v>
      </c>
      <c r="E2385" s="10" t="str" cm="1">
        <f t="array" ref="E2385">IF(AND(A2385="2021-02", ISNA(MATCH(B2385, _xlfn._xlws.FILTER(B:B, A:A="2021-03"), 0))), "Left", "Ativo")</f>
        <v>Ativo</v>
      </c>
      <c r="F2385" s="12" t="str" cm="1">
        <f t="array" ref="F2385">IF(AND(A2385="2021-03", ISNA(MATCH(B2385, _xlfn._xlws.FILTER(B:B, A:A="2021-04"), 0))), "Left", "Ativo")</f>
        <v>Ativo</v>
      </c>
    </row>
    <row r="2386" spans="1:6" x14ac:dyDescent="0.25">
      <c r="A2386" t="s">
        <v>1530</v>
      </c>
      <c r="B2386" t="s">
        <v>468</v>
      </c>
      <c r="C2386" s="10" t="str" cm="1">
        <f t="array" ref="C2386">IF(AND(A2386="2020-12", ISNA(MATCH(B2386, _xlfn._xlws.FILTER(B:B, A:A="2021-01"), 0))), "Left", "Ativo")</f>
        <v>Ativo</v>
      </c>
      <c r="D2386" s="10" t="str" cm="1">
        <f t="array" ref="D2386">IF(AND(A2386="2021-01", ISNA(MATCH(B2386, _xlfn._xlws.FILTER(B:B, A:A="2021-02"), 0))), "Left", "Ativo")</f>
        <v>Ativo</v>
      </c>
      <c r="E2386" s="10" t="str" cm="1">
        <f t="array" ref="E2386">IF(AND(A2386="2021-02", ISNA(MATCH(B2386, _xlfn._xlws.FILTER(B:B, A:A="2021-03"), 0))), "Left", "Ativo")</f>
        <v>Ativo</v>
      </c>
      <c r="F2386" s="12" t="str" cm="1">
        <f t="array" ref="F2386">IF(AND(A2386="2021-03", ISNA(MATCH(B2386, _xlfn._xlws.FILTER(B:B, A:A="2021-04"), 0))), "Left", "Ativo")</f>
        <v>Ativo</v>
      </c>
    </row>
    <row r="2387" spans="1:6" x14ac:dyDescent="0.25">
      <c r="A2387" t="s">
        <v>1530</v>
      </c>
      <c r="B2387" t="s">
        <v>469</v>
      </c>
      <c r="C2387" s="10" t="str" cm="1">
        <f t="array" ref="C2387">IF(AND(A2387="2020-12", ISNA(MATCH(B2387, _xlfn._xlws.FILTER(B:B, A:A="2021-01"), 0))), "Left", "Ativo")</f>
        <v>Ativo</v>
      </c>
      <c r="D2387" s="10" t="str" cm="1">
        <f t="array" ref="D2387">IF(AND(A2387="2021-01", ISNA(MATCH(B2387, _xlfn._xlws.FILTER(B:B, A:A="2021-02"), 0))), "Left", "Ativo")</f>
        <v>Ativo</v>
      </c>
      <c r="E2387" s="10" t="str" cm="1">
        <f t="array" ref="E2387">IF(AND(A2387="2021-02", ISNA(MATCH(B2387, _xlfn._xlws.FILTER(B:B, A:A="2021-03"), 0))), "Left", "Ativo")</f>
        <v>Ativo</v>
      </c>
      <c r="F2387" s="12" t="str" cm="1">
        <f t="array" ref="F2387">IF(AND(A2387="2021-03", ISNA(MATCH(B2387, _xlfn._xlws.FILTER(B:B, A:A="2021-04"), 0))), "Left", "Ativo")</f>
        <v>Ativo</v>
      </c>
    </row>
    <row r="2388" spans="1:6" x14ac:dyDescent="0.25">
      <c r="A2388" t="s">
        <v>1530</v>
      </c>
      <c r="B2388" t="s">
        <v>470</v>
      </c>
      <c r="C2388" s="10" t="str" cm="1">
        <f t="array" ref="C2388">IF(AND(A2388="2020-12", ISNA(MATCH(B2388, _xlfn._xlws.FILTER(B:B, A:A="2021-01"), 0))), "Left", "Ativo")</f>
        <v>Ativo</v>
      </c>
      <c r="D2388" s="10" t="str" cm="1">
        <f t="array" ref="D2388">IF(AND(A2388="2021-01", ISNA(MATCH(B2388, _xlfn._xlws.FILTER(B:B, A:A="2021-02"), 0))), "Left", "Ativo")</f>
        <v>Ativo</v>
      </c>
      <c r="E2388" s="10" t="str" cm="1">
        <f t="array" ref="E2388">IF(AND(A2388="2021-02", ISNA(MATCH(B2388, _xlfn._xlws.FILTER(B:B, A:A="2021-03"), 0))), "Left", "Ativo")</f>
        <v>Ativo</v>
      </c>
      <c r="F2388" s="12" t="str" cm="1">
        <f t="array" ref="F2388">IF(AND(A2388="2021-03", ISNA(MATCH(B2388, _xlfn._xlws.FILTER(B:B, A:A="2021-04"), 0))), "Left", "Ativo")</f>
        <v>Ativo</v>
      </c>
    </row>
    <row r="2389" spans="1:6" x14ac:dyDescent="0.25">
      <c r="A2389" t="s">
        <v>1530</v>
      </c>
      <c r="B2389" t="s">
        <v>471</v>
      </c>
      <c r="C2389" s="10" t="str" cm="1">
        <f t="array" ref="C2389">IF(AND(A2389="2020-12", ISNA(MATCH(B2389, _xlfn._xlws.FILTER(B:B, A:A="2021-01"), 0))), "Left", "Ativo")</f>
        <v>Ativo</v>
      </c>
      <c r="D2389" s="10" t="str" cm="1">
        <f t="array" ref="D2389">IF(AND(A2389="2021-01", ISNA(MATCH(B2389, _xlfn._xlws.FILTER(B:B, A:A="2021-02"), 0))), "Left", "Ativo")</f>
        <v>Ativo</v>
      </c>
      <c r="E2389" s="10" t="str" cm="1">
        <f t="array" ref="E2389">IF(AND(A2389="2021-02", ISNA(MATCH(B2389, _xlfn._xlws.FILTER(B:B, A:A="2021-03"), 0))), "Left", "Ativo")</f>
        <v>Ativo</v>
      </c>
      <c r="F2389" s="12" t="str" cm="1">
        <f t="array" ref="F2389">IF(AND(A2389="2021-03", ISNA(MATCH(B2389, _xlfn._xlws.FILTER(B:B, A:A="2021-04"), 0))), "Left", "Ativo")</f>
        <v>Ativo</v>
      </c>
    </row>
    <row r="2390" spans="1:6" x14ac:dyDescent="0.25">
      <c r="A2390" t="s">
        <v>1530</v>
      </c>
      <c r="B2390" t="s">
        <v>472</v>
      </c>
      <c r="C2390" s="10" t="str" cm="1">
        <f t="array" ref="C2390">IF(AND(A2390="2020-12", ISNA(MATCH(B2390, _xlfn._xlws.FILTER(B:B, A:A="2021-01"), 0))), "Left", "Ativo")</f>
        <v>Ativo</v>
      </c>
      <c r="D2390" s="10" t="str" cm="1">
        <f t="array" ref="D2390">IF(AND(A2390="2021-01", ISNA(MATCH(B2390, _xlfn._xlws.FILTER(B:B, A:A="2021-02"), 0))), "Left", "Ativo")</f>
        <v>Ativo</v>
      </c>
      <c r="E2390" s="10" t="str" cm="1">
        <f t="array" ref="E2390">IF(AND(A2390="2021-02", ISNA(MATCH(B2390, _xlfn._xlws.FILTER(B:B, A:A="2021-03"), 0))), "Left", "Ativo")</f>
        <v>Ativo</v>
      </c>
      <c r="F2390" s="12" t="str" cm="1">
        <f t="array" ref="F2390">IF(AND(A2390="2021-03", ISNA(MATCH(B2390, _xlfn._xlws.FILTER(B:B, A:A="2021-04"), 0))), "Left", "Ativo")</f>
        <v>Ativo</v>
      </c>
    </row>
    <row r="2391" spans="1:6" x14ac:dyDescent="0.25">
      <c r="A2391" t="s">
        <v>1530</v>
      </c>
      <c r="B2391" t="s">
        <v>473</v>
      </c>
      <c r="C2391" s="10" t="str" cm="1">
        <f t="array" ref="C2391">IF(AND(A2391="2020-12", ISNA(MATCH(B2391, _xlfn._xlws.FILTER(B:B, A:A="2021-01"), 0))), "Left", "Ativo")</f>
        <v>Ativo</v>
      </c>
      <c r="D2391" s="10" t="str" cm="1">
        <f t="array" ref="D2391">IF(AND(A2391="2021-01", ISNA(MATCH(B2391, _xlfn._xlws.FILTER(B:B, A:A="2021-02"), 0))), "Left", "Ativo")</f>
        <v>Ativo</v>
      </c>
      <c r="E2391" s="10" t="str" cm="1">
        <f t="array" ref="E2391">IF(AND(A2391="2021-02", ISNA(MATCH(B2391, _xlfn._xlws.FILTER(B:B, A:A="2021-03"), 0))), "Left", "Ativo")</f>
        <v>Ativo</v>
      </c>
      <c r="F2391" s="12" t="str" cm="1">
        <f t="array" ref="F2391">IF(AND(A2391="2021-03", ISNA(MATCH(B2391, _xlfn._xlws.FILTER(B:B, A:A="2021-04"), 0))), "Left", "Ativo")</f>
        <v>Ativo</v>
      </c>
    </row>
    <row r="2392" spans="1:6" x14ac:dyDescent="0.25">
      <c r="A2392" t="s">
        <v>1530</v>
      </c>
      <c r="B2392" t="s">
        <v>474</v>
      </c>
      <c r="C2392" s="10" t="str" cm="1">
        <f t="array" ref="C2392">IF(AND(A2392="2020-12", ISNA(MATCH(B2392, _xlfn._xlws.FILTER(B:B, A:A="2021-01"), 0))), "Left", "Ativo")</f>
        <v>Ativo</v>
      </c>
      <c r="D2392" s="10" t="str" cm="1">
        <f t="array" ref="D2392">IF(AND(A2392="2021-01", ISNA(MATCH(B2392, _xlfn._xlws.FILTER(B:B, A:A="2021-02"), 0))), "Left", "Ativo")</f>
        <v>Ativo</v>
      </c>
      <c r="E2392" s="10" t="str" cm="1">
        <f t="array" ref="E2392">IF(AND(A2392="2021-02", ISNA(MATCH(B2392, _xlfn._xlws.FILTER(B:B, A:A="2021-03"), 0))), "Left", "Ativo")</f>
        <v>Ativo</v>
      </c>
      <c r="F2392" s="12" t="str" cm="1">
        <f t="array" ref="F2392">IF(AND(A2392="2021-03", ISNA(MATCH(B2392, _xlfn._xlws.FILTER(B:B, A:A="2021-04"), 0))), "Left", "Ativo")</f>
        <v>Ativo</v>
      </c>
    </row>
    <row r="2393" spans="1:6" x14ac:dyDescent="0.25">
      <c r="A2393" t="s">
        <v>1530</v>
      </c>
      <c r="B2393" t="s">
        <v>475</v>
      </c>
      <c r="C2393" s="10" t="str" cm="1">
        <f t="array" ref="C2393">IF(AND(A2393="2020-12", ISNA(MATCH(B2393, _xlfn._xlws.FILTER(B:B, A:A="2021-01"), 0))), "Left", "Ativo")</f>
        <v>Ativo</v>
      </c>
      <c r="D2393" s="10" t="str" cm="1">
        <f t="array" ref="D2393">IF(AND(A2393="2021-01", ISNA(MATCH(B2393, _xlfn._xlws.FILTER(B:B, A:A="2021-02"), 0))), "Left", "Ativo")</f>
        <v>Ativo</v>
      </c>
      <c r="E2393" s="10" t="str" cm="1">
        <f t="array" ref="E2393">IF(AND(A2393="2021-02", ISNA(MATCH(B2393, _xlfn._xlws.FILTER(B:B, A:A="2021-03"), 0))), "Left", "Ativo")</f>
        <v>Ativo</v>
      </c>
      <c r="F2393" s="12" t="str" cm="1">
        <f t="array" ref="F2393">IF(AND(A2393="2021-03", ISNA(MATCH(B2393, _xlfn._xlws.FILTER(B:B, A:A="2021-04"), 0))), "Left", "Ativo")</f>
        <v>Ativo</v>
      </c>
    </row>
    <row r="2394" spans="1:6" x14ac:dyDescent="0.25">
      <c r="A2394" t="s">
        <v>1530</v>
      </c>
      <c r="B2394" t="s">
        <v>476</v>
      </c>
      <c r="C2394" s="10" t="str" cm="1">
        <f t="array" ref="C2394">IF(AND(A2394="2020-12", ISNA(MATCH(B2394, _xlfn._xlws.FILTER(B:B, A:A="2021-01"), 0))), "Left", "Ativo")</f>
        <v>Ativo</v>
      </c>
      <c r="D2394" s="10" t="str" cm="1">
        <f t="array" ref="D2394">IF(AND(A2394="2021-01", ISNA(MATCH(B2394, _xlfn._xlws.FILTER(B:B, A:A="2021-02"), 0))), "Left", "Ativo")</f>
        <v>Ativo</v>
      </c>
      <c r="E2394" s="10" t="str" cm="1">
        <f t="array" ref="E2394">IF(AND(A2394="2021-02", ISNA(MATCH(B2394, _xlfn._xlws.FILTER(B:B, A:A="2021-03"), 0))), "Left", "Ativo")</f>
        <v>Ativo</v>
      </c>
      <c r="F2394" s="12" t="str" cm="1">
        <f t="array" ref="F2394">IF(AND(A2394="2021-03", ISNA(MATCH(B2394, _xlfn._xlws.FILTER(B:B, A:A="2021-04"), 0))), "Left", "Ativo")</f>
        <v>Ativo</v>
      </c>
    </row>
    <row r="2395" spans="1:6" x14ac:dyDescent="0.25">
      <c r="A2395" t="s">
        <v>1530</v>
      </c>
      <c r="B2395" t="s">
        <v>477</v>
      </c>
      <c r="C2395" s="10" t="str" cm="1">
        <f t="array" ref="C2395">IF(AND(A2395="2020-12", ISNA(MATCH(B2395, _xlfn._xlws.FILTER(B:B, A:A="2021-01"), 0))), "Left", "Ativo")</f>
        <v>Ativo</v>
      </c>
      <c r="D2395" s="10" t="str" cm="1">
        <f t="array" ref="D2395">IF(AND(A2395="2021-01", ISNA(MATCH(B2395, _xlfn._xlws.FILTER(B:B, A:A="2021-02"), 0))), "Left", "Ativo")</f>
        <v>Ativo</v>
      </c>
      <c r="E2395" s="10" t="str" cm="1">
        <f t="array" ref="E2395">IF(AND(A2395="2021-02", ISNA(MATCH(B2395, _xlfn._xlws.FILTER(B:B, A:A="2021-03"), 0))), "Left", "Ativo")</f>
        <v>Ativo</v>
      </c>
      <c r="F2395" s="12" t="str" cm="1">
        <f t="array" ref="F2395">IF(AND(A2395="2021-03", ISNA(MATCH(B2395, _xlfn._xlws.FILTER(B:B, A:A="2021-04"), 0))), "Left", "Ativo")</f>
        <v>Ativo</v>
      </c>
    </row>
    <row r="2396" spans="1:6" x14ac:dyDescent="0.25">
      <c r="A2396" t="s">
        <v>1530</v>
      </c>
      <c r="B2396" t="s">
        <v>478</v>
      </c>
      <c r="C2396" s="10" t="str" cm="1">
        <f t="array" ref="C2396">IF(AND(A2396="2020-12", ISNA(MATCH(B2396, _xlfn._xlws.FILTER(B:B, A:A="2021-01"), 0))), "Left", "Ativo")</f>
        <v>Ativo</v>
      </c>
      <c r="D2396" s="10" t="str" cm="1">
        <f t="array" ref="D2396">IF(AND(A2396="2021-01", ISNA(MATCH(B2396, _xlfn._xlws.FILTER(B:B, A:A="2021-02"), 0))), "Left", "Ativo")</f>
        <v>Ativo</v>
      </c>
      <c r="E2396" s="10" t="str" cm="1">
        <f t="array" ref="E2396">IF(AND(A2396="2021-02", ISNA(MATCH(B2396, _xlfn._xlws.FILTER(B:B, A:A="2021-03"), 0))), "Left", "Ativo")</f>
        <v>Ativo</v>
      </c>
      <c r="F2396" s="12" t="str" cm="1">
        <f t="array" ref="F2396">IF(AND(A2396="2021-03", ISNA(MATCH(B2396, _xlfn._xlws.FILTER(B:B, A:A="2021-04"), 0))), "Left", "Ativo")</f>
        <v>Ativo</v>
      </c>
    </row>
    <row r="2397" spans="1:6" x14ac:dyDescent="0.25">
      <c r="A2397" t="s">
        <v>1530</v>
      </c>
      <c r="B2397" t="s">
        <v>479</v>
      </c>
      <c r="C2397" s="10" t="str" cm="1">
        <f t="array" ref="C2397">IF(AND(A2397="2020-12", ISNA(MATCH(B2397, _xlfn._xlws.FILTER(B:B, A:A="2021-01"), 0))), "Left", "Ativo")</f>
        <v>Ativo</v>
      </c>
      <c r="D2397" s="10" t="str" cm="1">
        <f t="array" ref="D2397">IF(AND(A2397="2021-01", ISNA(MATCH(B2397, _xlfn._xlws.FILTER(B:B, A:A="2021-02"), 0))), "Left", "Ativo")</f>
        <v>Ativo</v>
      </c>
      <c r="E2397" s="10" t="str" cm="1">
        <f t="array" ref="E2397">IF(AND(A2397="2021-02", ISNA(MATCH(B2397, _xlfn._xlws.FILTER(B:B, A:A="2021-03"), 0))), "Left", "Ativo")</f>
        <v>Ativo</v>
      </c>
      <c r="F2397" s="12" t="str" cm="1">
        <f t="array" ref="F2397">IF(AND(A2397="2021-03", ISNA(MATCH(B2397, _xlfn._xlws.FILTER(B:B, A:A="2021-04"), 0))), "Left", "Ativo")</f>
        <v>Ativo</v>
      </c>
    </row>
    <row r="2398" spans="1:6" x14ac:dyDescent="0.25">
      <c r="A2398" t="s">
        <v>1530</v>
      </c>
      <c r="B2398" t="s">
        <v>480</v>
      </c>
      <c r="C2398" s="10" t="str" cm="1">
        <f t="array" ref="C2398">IF(AND(A2398="2020-12", ISNA(MATCH(B2398, _xlfn._xlws.FILTER(B:B, A:A="2021-01"), 0))), "Left", "Ativo")</f>
        <v>Ativo</v>
      </c>
      <c r="D2398" s="10" t="str" cm="1">
        <f t="array" ref="D2398">IF(AND(A2398="2021-01", ISNA(MATCH(B2398, _xlfn._xlws.FILTER(B:B, A:A="2021-02"), 0))), "Left", "Ativo")</f>
        <v>Ativo</v>
      </c>
      <c r="E2398" s="10" t="str" cm="1">
        <f t="array" ref="E2398">IF(AND(A2398="2021-02", ISNA(MATCH(B2398, _xlfn._xlws.FILTER(B:B, A:A="2021-03"), 0))), "Left", "Ativo")</f>
        <v>Ativo</v>
      </c>
      <c r="F2398" s="12" t="str" cm="1">
        <f t="array" ref="F2398">IF(AND(A2398="2021-03", ISNA(MATCH(B2398, _xlfn._xlws.FILTER(B:B, A:A="2021-04"), 0))), "Left", "Ativo")</f>
        <v>Ativo</v>
      </c>
    </row>
    <row r="2399" spans="1:6" x14ac:dyDescent="0.25">
      <c r="A2399" t="s">
        <v>1530</v>
      </c>
      <c r="B2399" t="s">
        <v>481</v>
      </c>
      <c r="C2399" s="10" t="str" cm="1">
        <f t="array" ref="C2399">IF(AND(A2399="2020-12", ISNA(MATCH(B2399, _xlfn._xlws.FILTER(B:B, A:A="2021-01"), 0))), "Left", "Ativo")</f>
        <v>Ativo</v>
      </c>
      <c r="D2399" s="10" t="str" cm="1">
        <f t="array" ref="D2399">IF(AND(A2399="2021-01", ISNA(MATCH(B2399, _xlfn._xlws.FILTER(B:B, A:A="2021-02"), 0))), "Left", "Ativo")</f>
        <v>Ativo</v>
      </c>
      <c r="E2399" s="10" t="str" cm="1">
        <f t="array" ref="E2399">IF(AND(A2399="2021-02", ISNA(MATCH(B2399, _xlfn._xlws.FILTER(B:B, A:A="2021-03"), 0))), "Left", "Ativo")</f>
        <v>Ativo</v>
      </c>
      <c r="F2399" s="12" t="str" cm="1">
        <f t="array" ref="F2399">IF(AND(A2399="2021-03", ISNA(MATCH(B2399, _xlfn._xlws.FILTER(B:B, A:A="2021-04"), 0))), "Left", "Ativo")</f>
        <v>Ativo</v>
      </c>
    </row>
    <row r="2400" spans="1:6" x14ac:dyDescent="0.25">
      <c r="A2400" t="s">
        <v>1530</v>
      </c>
      <c r="B2400" t="s">
        <v>482</v>
      </c>
      <c r="C2400" s="10" t="str" cm="1">
        <f t="array" ref="C2400">IF(AND(A2400="2020-12", ISNA(MATCH(B2400, _xlfn._xlws.FILTER(B:B, A:A="2021-01"), 0))), "Left", "Ativo")</f>
        <v>Ativo</v>
      </c>
      <c r="D2400" s="10" t="str" cm="1">
        <f t="array" ref="D2400">IF(AND(A2400="2021-01", ISNA(MATCH(B2400, _xlfn._xlws.FILTER(B:B, A:A="2021-02"), 0))), "Left", "Ativo")</f>
        <v>Ativo</v>
      </c>
      <c r="E2400" s="10" t="str" cm="1">
        <f t="array" ref="E2400">IF(AND(A2400="2021-02", ISNA(MATCH(B2400, _xlfn._xlws.FILTER(B:B, A:A="2021-03"), 0))), "Left", "Ativo")</f>
        <v>Ativo</v>
      </c>
      <c r="F2400" s="12" t="str" cm="1">
        <f t="array" ref="F2400">IF(AND(A2400="2021-03", ISNA(MATCH(B2400, _xlfn._xlws.FILTER(B:B, A:A="2021-04"), 0))), "Left", "Ativo")</f>
        <v>Ativo</v>
      </c>
    </row>
    <row r="2401" spans="1:6" x14ac:dyDescent="0.25">
      <c r="A2401" t="s">
        <v>1530</v>
      </c>
      <c r="B2401" t="s">
        <v>483</v>
      </c>
      <c r="C2401" s="10" t="str" cm="1">
        <f t="array" ref="C2401">IF(AND(A2401="2020-12", ISNA(MATCH(B2401, _xlfn._xlws.FILTER(B:B, A:A="2021-01"), 0))), "Left", "Ativo")</f>
        <v>Ativo</v>
      </c>
      <c r="D2401" s="10" t="str" cm="1">
        <f t="array" ref="D2401">IF(AND(A2401="2021-01", ISNA(MATCH(B2401, _xlfn._xlws.FILTER(B:B, A:A="2021-02"), 0))), "Left", "Ativo")</f>
        <v>Ativo</v>
      </c>
      <c r="E2401" s="10" t="str" cm="1">
        <f t="array" ref="E2401">IF(AND(A2401="2021-02", ISNA(MATCH(B2401, _xlfn._xlws.FILTER(B:B, A:A="2021-03"), 0))), "Left", "Ativo")</f>
        <v>Ativo</v>
      </c>
      <c r="F2401" s="12" t="str" cm="1">
        <f t="array" ref="F2401">IF(AND(A2401="2021-03", ISNA(MATCH(B2401, _xlfn._xlws.FILTER(B:B, A:A="2021-04"), 0))), "Left", "Ativo")</f>
        <v>Ativo</v>
      </c>
    </row>
    <row r="2402" spans="1:6" x14ac:dyDescent="0.25">
      <c r="A2402" t="s">
        <v>1530</v>
      </c>
      <c r="B2402" t="s">
        <v>484</v>
      </c>
      <c r="C2402" s="10" t="str" cm="1">
        <f t="array" ref="C2402">IF(AND(A2402="2020-12", ISNA(MATCH(B2402, _xlfn._xlws.FILTER(B:B, A:A="2021-01"), 0))), "Left", "Ativo")</f>
        <v>Ativo</v>
      </c>
      <c r="D2402" s="10" t="str" cm="1">
        <f t="array" ref="D2402">IF(AND(A2402="2021-01", ISNA(MATCH(B2402, _xlfn._xlws.FILTER(B:B, A:A="2021-02"), 0))), "Left", "Ativo")</f>
        <v>Ativo</v>
      </c>
      <c r="E2402" s="10" t="str" cm="1">
        <f t="array" ref="E2402">IF(AND(A2402="2021-02", ISNA(MATCH(B2402, _xlfn._xlws.FILTER(B:B, A:A="2021-03"), 0))), "Left", "Ativo")</f>
        <v>Ativo</v>
      </c>
      <c r="F2402" s="12" t="str" cm="1">
        <f t="array" ref="F2402">IF(AND(A2402="2021-03", ISNA(MATCH(B2402, _xlfn._xlws.FILTER(B:B, A:A="2021-04"), 0))), "Left", "Ativo")</f>
        <v>Ativo</v>
      </c>
    </row>
    <row r="2403" spans="1:6" x14ac:dyDescent="0.25">
      <c r="A2403" t="s">
        <v>1530</v>
      </c>
      <c r="B2403" t="s">
        <v>485</v>
      </c>
      <c r="C2403" s="10" t="str" cm="1">
        <f t="array" ref="C2403">IF(AND(A2403="2020-12", ISNA(MATCH(B2403, _xlfn._xlws.FILTER(B:B, A:A="2021-01"), 0))), "Left", "Ativo")</f>
        <v>Ativo</v>
      </c>
      <c r="D2403" s="10" t="str" cm="1">
        <f t="array" ref="D2403">IF(AND(A2403="2021-01", ISNA(MATCH(B2403, _xlfn._xlws.FILTER(B:B, A:A="2021-02"), 0))), "Left", "Ativo")</f>
        <v>Ativo</v>
      </c>
      <c r="E2403" s="10" t="str" cm="1">
        <f t="array" ref="E2403">IF(AND(A2403="2021-02", ISNA(MATCH(B2403, _xlfn._xlws.FILTER(B:B, A:A="2021-03"), 0))), "Left", "Ativo")</f>
        <v>Ativo</v>
      </c>
      <c r="F2403" s="12" t="str" cm="1">
        <f t="array" ref="F2403">IF(AND(A2403="2021-03", ISNA(MATCH(B2403, _xlfn._xlws.FILTER(B:B, A:A="2021-04"), 0))), "Left", "Ativo")</f>
        <v>Ativo</v>
      </c>
    </row>
    <row r="2404" spans="1:6" x14ac:dyDescent="0.25">
      <c r="A2404" t="s">
        <v>1530</v>
      </c>
      <c r="B2404" t="s">
        <v>486</v>
      </c>
      <c r="C2404" s="10" t="str" cm="1">
        <f t="array" ref="C2404">IF(AND(A2404="2020-12", ISNA(MATCH(B2404, _xlfn._xlws.FILTER(B:B, A:A="2021-01"), 0))), "Left", "Ativo")</f>
        <v>Ativo</v>
      </c>
      <c r="D2404" s="10" t="str" cm="1">
        <f t="array" ref="D2404">IF(AND(A2404="2021-01", ISNA(MATCH(B2404, _xlfn._xlws.FILTER(B:B, A:A="2021-02"), 0))), "Left", "Ativo")</f>
        <v>Ativo</v>
      </c>
      <c r="E2404" s="10" t="str" cm="1">
        <f t="array" ref="E2404">IF(AND(A2404="2021-02", ISNA(MATCH(B2404, _xlfn._xlws.FILTER(B:B, A:A="2021-03"), 0))), "Left", "Ativo")</f>
        <v>Ativo</v>
      </c>
      <c r="F2404" s="12" t="str" cm="1">
        <f t="array" ref="F2404">IF(AND(A2404="2021-03", ISNA(MATCH(B2404, _xlfn._xlws.FILTER(B:B, A:A="2021-04"), 0))), "Left", "Ativo")</f>
        <v>Ativo</v>
      </c>
    </row>
    <row r="2405" spans="1:6" x14ac:dyDescent="0.25">
      <c r="A2405" t="s">
        <v>1530</v>
      </c>
      <c r="B2405" t="s">
        <v>487</v>
      </c>
      <c r="C2405" s="10" t="str" cm="1">
        <f t="array" ref="C2405">IF(AND(A2405="2020-12", ISNA(MATCH(B2405, _xlfn._xlws.FILTER(B:B, A:A="2021-01"), 0))), "Left", "Ativo")</f>
        <v>Ativo</v>
      </c>
      <c r="D2405" s="10" t="str" cm="1">
        <f t="array" ref="D2405">IF(AND(A2405="2021-01", ISNA(MATCH(B2405, _xlfn._xlws.FILTER(B:B, A:A="2021-02"), 0))), "Left", "Ativo")</f>
        <v>Ativo</v>
      </c>
      <c r="E2405" s="10" t="str" cm="1">
        <f t="array" ref="E2405">IF(AND(A2405="2021-02", ISNA(MATCH(B2405, _xlfn._xlws.FILTER(B:B, A:A="2021-03"), 0))), "Left", "Ativo")</f>
        <v>Ativo</v>
      </c>
      <c r="F2405" s="12" t="str" cm="1">
        <f t="array" ref="F2405">IF(AND(A2405="2021-03", ISNA(MATCH(B2405, _xlfn._xlws.FILTER(B:B, A:A="2021-04"), 0))), "Left", "Ativo")</f>
        <v>Ativo</v>
      </c>
    </row>
    <row r="2406" spans="1:6" x14ac:dyDescent="0.25">
      <c r="A2406" t="s">
        <v>1530</v>
      </c>
      <c r="B2406" t="s">
        <v>488</v>
      </c>
      <c r="C2406" s="10" t="str" cm="1">
        <f t="array" ref="C2406">IF(AND(A2406="2020-12", ISNA(MATCH(B2406, _xlfn._xlws.FILTER(B:B, A:A="2021-01"), 0))), "Left", "Ativo")</f>
        <v>Ativo</v>
      </c>
      <c r="D2406" s="10" t="str" cm="1">
        <f t="array" ref="D2406">IF(AND(A2406="2021-01", ISNA(MATCH(B2406, _xlfn._xlws.FILTER(B:B, A:A="2021-02"), 0))), "Left", "Ativo")</f>
        <v>Ativo</v>
      </c>
      <c r="E2406" s="10" t="str" cm="1">
        <f t="array" ref="E2406">IF(AND(A2406="2021-02", ISNA(MATCH(B2406, _xlfn._xlws.FILTER(B:B, A:A="2021-03"), 0))), "Left", "Ativo")</f>
        <v>Ativo</v>
      </c>
      <c r="F2406" s="12" t="str" cm="1">
        <f t="array" ref="F2406">IF(AND(A2406="2021-03", ISNA(MATCH(B2406, _xlfn._xlws.FILTER(B:B, A:A="2021-04"), 0))), "Left", "Ativo")</f>
        <v>Ativo</v>
      </c>
    </row>
    <row r="2407" spans="1:6" x14ac:dyDescent="0.25">
      <c r="A2407" t="s">
        <v>1530</v>
      </c>
      <c r="B2407" t="s">
        <v>489</v>
      </c>
      <c r="C2407" s="10" t="str" cm="1">
        <f t="array" ref="C2407">IF(AND(A2407="2020-12", ISNA(MATCH(B2407, _xlfn._xlws.FILTER(B:B, A:A="2021-01"), 0))), "Left", "Ativo")</f>
        <v>Ativo</v>
      </c>
      <c r="D2407" s="10" t="str" cm="1">
        <f t="array" ref="D2407">IF(AND(A2407="2021-01", ISNA(MATCH(B2407, _xlfn._xlws.FILTER(B:B, A:A="2021-02"), 0))), "Left", "Ativo")</f>
        <v>Ativo</v>
      </c>
      <c r="E2407" s="10" t="str" cm="1">
        <f t="array" ref="E2407">IF(AND(A2407="2021-02", ISNA(MATCH(B2407, _xlfn._xlws.FILTER(B:B, A:A="2021-03"), 0))), "Left", "Ativo")</f>
        <v>Ativo</v>
      </c>
      <c r="F2407" s="12" t="str" cm="1">
        <f t="array" ref="F2407">IF(AND(A2407="2021-03", ISNA(MATCH(B2407, _xlfn._xlws.FILTER(B:B, A:A="2021-04"), 0))), "Left", "Ativo")</f>
        <v>Ativo</v>
      </c>
    </row>
    <row r="2408" spans="1:6" x14ac:dyDescent="0.25">
      <c r="A2408" t="s">
        <v>1530</v>
      </c>
      <c r="B2408" t="s">
        <v>490</v>
      </c>
      <c r="C2408" s="10" t="str" cm="1">
        <f t="array" ref="C2408">IF(AND(A2408="2020-12", ISNA(MATCH(B2408, _xlfn._xlws.FILTER(B:B, A:A="2021-01"), 0))), "Left", "Ativo")</f>
        <v>Ativo</v>
      </c>
      <c r="D2408" s="10" t="str" cm="1">
        <f t="array" ref="D2408">IF(AND(A2408="2021-01", ISNA(MATCH(B2408, _xlfn._xlws.FILTER(B:B, A:A="2021-02"), 0))), "Left", "Ativo")</f>
        <v>Ativo</v>
      </c>
      <c r="E2408" s="10" t="str" cm="1">
        <f t="array" ref="E2408">IF(AND(A2408="2021-02", ISNA(MATCH(B2408, _xlfn._xlws.FILTER(B:B, A:A="2021-03"), 0))), "Left", "Ativo")</f>
        <v>Ativo</v>
      </c>
      <c r="F2408" s="12" t="str" cm="1">
        <f t="array" ref="F2408">IF(AND(A2408="2021-03", ISNA(MATCH(B2408, _xlfn._xlws.FILTER(B:B, A:A="2021-04"), 0))), "Left", "Ativo")</f>
        <v>Ativo</v>
      </c>
    </row>
    <row r="2409" spans="1:6" x14ac:dyDescent="0.25">
      <c r="A2409" t="s">
        <v>1530</v>
      </c>
      <c r="B2409" t="s">
        <v>491</v>
      </c>
      <c r="C2409" s="10" t="str" cm="1">
        <f t="array" ref="C2409">IF(AND(A2409="2020-12", ISNA(MATCH(B2409, _xlfn._xlws.FILTER(B:B, A:A="2021-01"), 0))), "Left", "Ativo")</f>
        <v>Ativo</v>
      </c>
      <c r="D2409" s="10" t="str" cm="1">
        <f t="array" ref="D2409">IF(AND(A2409="2021-01", ISNA(MATCH(B2409, _xlfn._xlws.FILTER(B:B, A:A="2021-02"), 0))), "Left", "Ativo")</f>
        <v>Ativo</v>
      </c>
      <c r="E2409" s="10" t="str" cm="1">
        <f t="array" ref="E2409">IF(AND(A2409="2021-02", ISNA(MATCH(B2409, _xlfn._xlws.FILTER(B:B, A:A="2021-03"), 0))), "Left", "Ativo")</f>
        <v>Ativo</v>
      </c>
      <c r="F2409" s="12" t="str" cm="1">
        <f t="array" ref="F2409">IF(AND(A2409="2021-03", ISNA(MATCH(B2409, _xlfn._xlws.FILTER(B:B, A:A="2021-04"), 0))), "Left", "Ativo")</f>
        <v>Ativo</v>
      </c>
    </row>
    <row r="2410" spans="1:6" x14ac:dyDescent="0.25">
      <c r="A2410" t="s">
        <v>1530</v>
      </c>
      <c r="B2410" t="s">
        <v>492</v>
      </c>
      <c r="C2410" s="10" t="str" cm="1">
        <f t="array" ref="C2410">IF(AND(A2410="2020-12", ISNA(MATCH(B2410, _xlfn._xlws.FILTER(B:B, A:A="2021-01"), 0))), "Left", "Ativo")</f>
        <v>Ativo</v>
      </c>
      <c r="D2410" s="10" t="str" cm="1">
        <f t="array" ref="D2410">IF(AND(A2410="2021-01", ISNA(MATCH(B2410, _xlfn._xlws.FILTER(B:B, A:A="2021-02"), 0))), "Left", "Ativo")</f>
        <v>Ativo</v>
      </c>
      <c r="E2410" s="10" t="str" cm="1">
        <f t="array" ref="E2410">IF(AND(A2410="2021-02", ISNA(MATCH(B2410, _xlfn._xlws.FILTER(B:B, A:A="2021-03"), 0))), "Left", "Ativo")</f>
        <v>Left</v>
      </c>
      <c r="F2410" s="12" t="str" cm="1">
        <f t="array" ref="F2410">IF(AND(A2410="2021-03", ISNA(MATCH(B2410, _xlfn._xlws.FILTER(B:B, A:A="2021-04"), 0))), "Left", "Ativo")</f>
        <v>Ativo</v>
      </c>
    </row>
    <row r="2411" spans="1:6" x14ac:dyDescent="0.25">
      <c r="A2411" t="s">
        <v>1530</v>
      </c>
      <c r="B2411" t="s">
        <v>493</v>
      </c>
      <c r="C2411" s="10" t="str" cm="1">
        <f t="array" ref="C2411">IF(AND(A2411="2020-12", ISNA(MATCH(B2411, _xlfn._xlws.FILTER(B:B, A:A="2021-01"), 0))), "Left", "Ativo")</f>
        <v>Ativo</v>
      </c>
      <c r="D2411" s="10" t="str" cm="1">
        <f t="array" ref="D2411">IF(AND(A2411="2021-01", ISNA(MATCH(B2411, _xlfn._xlws.FILTER(B:B, A:A="2021-02"), 0))), "Left", "Ativo")</f>
        <v>Ativo</v>
      </c>
      <c r="E2411" s="10" t="str" cm="1">
        <f t="array" ref="E2411">IF(AND(A2411="2021-02", ISNA(MATCH(B2411, _xlfn._xlws.FILTER(B:B, A:A="2021-03"), 0))), "Left", "Ativo")</f>
        <v>Ativo</v>
      </c>
      <c r="F2411" s="12" t="str" cm="1">
        <f t="array" ref="F2411">IF(AND(A2411="2021-03", ISNA(MATCH(B2411, _xlfn._xlws.FILTER(B:B, A:A="2021-04"), 0))), "Left", "Ativo")</f>
        <v>Ativo</v>
      </c>
    </row>
    <row r="2412" spans="1:6" x14ac:dyDescent="0.25">
      <c r="A2412" t="s">
        <v>1530</v>
      </c>
      <c r="B2412" t="s">
        <v>494</v>
      </c>
      <c r="C2412" s="10" t="str" cm="1">
        <f t="array" ref="C2412">IF(AND(A2412="2020-12", ISNA(MATCH(B2412, _xlfn._xlws.FILTER(B:B, A:A="2021-01"), 0))), "Left", "Ativo")</f>
        <v>Ativo</v>
      </c>
      <c r="D2412" s="10" t="str" cm="1">
        <f t="array" ref="D2412">IF(AND(A2412="2021-01", ISNA(MATCH(B2412, _xlfn._xlws.FILTER(B:B, A:A="2021-02"), 0))), "Left", "Ativo")</f>
        <v>Ativo</v>
      </c>
      <c r="E2412" s="10" t="str" cm="1">
        <f t="array" ref="E2412">IF(AND(A2412="2021-02", ISNA(MATCH(B2412, _xlfn._xlws.FILTER(B:B, A:A="2021-03"), 0))), "Left", "Ativo")</f>
        <v>Ativo</v>
      </c>
      <c r="F2412" s="12" t="str" cm="1">
        <f t="array" ref="F2412">IF(AND(A2412="2021-03", ISNA(MATCH(B2412, _xlfn._xlws.FILTER(B:B, A:A="2021-04"), 0))), "Left", "Ativo")</f>
        <v>Ativo</v>
      </c>
    </row>
    <row r="2413" spans="1:6" x14ac:dyDescent="0.25">
      <c r="A2413" t="s">
        <v>1530</v>
      </c>
      <c r="B2413" t="s">
        <v>495</v>
      </c>
      <c r="C2413" s="10" t="str" cm="1">
        <f t="array" ref="C2413">IF(AND(A2413="2020-12", ISNA(MATCH(B2413, _xlfn._xlws.FILTER(B:B, A:A="2021-01"), 0))), "Left", "Ativo")</f>
        <v>Ativo</v>
      </c>
      <c r="D2413" s="10" t="str" cm="1">
        <f t="array" ref="D2413">IF(AND(A2413="2021-01", ISNA(MATCH(B2413, _xlfn._xlws.FILTER(B:B, A:A="2021-02"), 0))), "Left", "Ativo")</f>
        <v>Ativo</v>
      </c>
      <c r="E2413" s="10" t="str" cm="1">
        <f t="array" ref="E2413">IF(AND(A2413="2021-02", ISNA(MATCH(B2413, _xlfn._xlws.FILTER(B:B, A:A="2021-03"), 0))), "Left", "Ativo")</f>
        <v>Ativo</v>
      </c>
      <c r="F2413" s="12" t="str" cm="1">
        <f t="array" ref="F2413">IF(AND(A2413="2021-03", ISNA(MATCH(B2413, _xlfn._xlws.FILTER(B:B, A:A="2021-04"), 0))), "Left", "Ativo")</f>
        <v>Ativo</v>
      </c>
    </row>
    <row r="2414" spans="1:6" x14ac:dyDescent="0.25">
      <c r="A2414" t="s">
        <v>1530</v>
      </c>
      <c r="B2414" t="s">
        <v>496</v>
      </c>
      <c r="C2414" s="10" t="str" cm="1">
        <f t="array" ref="C2414">IF(AND(A2414="2020-12", ISNA(MATCH(B2414, _xlfn._xlws.FILTER(B:B, A:A="2021-01"), 0))), "Left", "Ativo")</f>
        <v>Ativo</v>
      </c>
      <c r="D2414" s="10" t="str" cm="1">
        <f t="array" ref="D2414">IF(AND(A2414="2021-01", ISNA(MATCH(B2414, _xlfn._xlws.FILTER(B:B, A:A="2021-02"), 0))), "Left", "Ativo")</f>
        <v>Ativo</v>
      </c>
      <c r="E2414" s="10" t="str" cm="1">
        <f t="array" ref="E2414">IF(AND(A2414="2021-02", ISNA(MATCH(B2414, _xlfn._xlws.FILTER(B:B, A:A="2021-03"), 0))), "Left", "Ativo")</f>
        <v>Ativo</v>
      </c>
      <c r="F2414" s="12" t="str" cm="1">
        <f t="array" ref="F2414">IF(AND(A2414="2021-03", ISNA(MATCH(B2414, _xlfn._xlws.FILTER(B:B, A:A="2021-04"), 0))), "Left", "Ativo")</f>
        <v>Ativo</v>
      </c>
    </row>
    <row r="2415" spans="1:6" x14ac:dyDescent="0.25">
      <c r="A2415" t="s">
        <v>1530</v>
      </c>
      <c r="B2415" t="s">
        <v>497</v>
      </c>
      <c r="C2415" s="10" t="str" cm="1">
        <f t="array" ref="C2415">IF(AND(A2415="2020-12", ISNA(MATCH(B2415, _xlfn._xlws.FILTER(B:B, A:A="2021-01"), 0))), "Left", "Ativo")</f>
        <v>Ativo</v>
      </c>
      <c r="D2415" s="10" t="str" cm="1">
        <f t="array" ref="D2415">IF(AND(A2415="2021-01", ISNA(MATCH(B2415, _xlfn._xlws.FILTER(B:B, A:A="2021-02"), 0))), "Left", "Ativo")</f>
        <v>Ativo</v>
      </c>
      <c r="E2415" s="10" t="str" cm="1">
        <f t="array" ref="E2415">IF(AND(A2415="2021-02", ISNA(MATCH(B2415, _xlfn._xlws.FILTER(B:B, A:A="2021-03"), 0))), "Left", "Ativo")</f>
        <v>Ativo</v>
      </c>
      <c r="F2415" s="12" t="str" cm="1">
        <f t="array" ref="F2415">IF(AND(A2415="2021-03", ISNA(MATCH(B2415, _xlfn._xlws.FILTER(B:B, A:A="2021-04"), 0))), "Left", "Ativo")</f>
        <v>Ativo</v>
      </c>
    </row>
    <row r="2416" spans="1:6" x14ac:dyDescent="0.25">
      <c r="A2416" t="s">
        <v>1530</v>
      </c>
      <c r="B2416" t="s">
        <v>498</v>
      </c>
      <c r="C2416" s="10" t="str" cm="1">
        <f t="array" ref="C2416">IF(AND(A2416="2020-12", ISNA(MATCH(B2416, _xlfn._xlws.FILTER(B:B, A:A="2021-01"), 0))), "Left", "Ativo")</f>
        <v>Ativo</v>
      </c>
      <c r="D2416" s="10" t="str" cm="1">
        <f t="array" ref="D2416">IF(AND(A2416="2021-01", ISNA(MATCH(B2416, _xlfn._xlws.FILTER(B:B, A:A="2021-02"), 0))), "Left", "Ativo")</f>
        <v>Ativo</v>
      </c>
      <c r="E2416" s="10" t="str" cm="1">
        <f t="array" ref="E2416">IF(AND(A2416="2021-02", ISNA(MATCH(B2416, _xlfn._xlws.FILTER(B:B, A:A="2021-03"), 0))), "Left", "Ativo")</f>
        <v>Ativo</v>
      </c>
      <c r="F2416" s="12" t="str" cm="1">
        <f t="array" ref="F2416">IF(AND(A2416="2021-03", ISNA(MATCH(B2416, _xlfn._xlws.FILTER(B:B, A:A="2021-04"), 0))), "Left", "Ativo")</f>
        <v>Ativo</v>
      </c>
    </row>
    <row r="2417" spans="1:6" x14ac:dyDescent="0.25">
      <c r="A2417" t="s">
        <v>1530</v>
      </c>
      <c r="B2417" t="s">
        <v>499</v>
      </c>
      <c r="C2417" s="10" t="str" cm="1">
        <f t="array" ref="C2417">IF(AND(A2417="2020-12", ISNA(MATCH(B2417, _xlfn._xlws.FILTER(B:B, A:A="2021-01"), 0))), "Left", "Ativo")</f>
        <v>Ativo</v>
      </c>
      <c r="D2417" s="10" t="str" cm="1">
        <f t="array" ref="D2417">IF(AND(A2417="2021-01", ISNA(MATCH(B2417, _xlfn._xlws.FILTER(B:B, A:A="2021-02"), 0))), "Left", "Ativo")</f>
        <v>Ativo</v>
      </c>
      <c r="E2417" s="10" t="str" cm="1">
        <f t="array" ref="E2417">IF(AND(A2417="2021-02", ISNA(MATCH(B2417, _xlfn._xlws.FILTER(B:B, A:A="2021-03"), 0))), "Left", "Ativo")</f>
        <v>Ativo</v>
      </c>
      <c r="F2417" s="12" t="str" cm="1">
        <f t="array" ref="F2417">IF(AND(A2417="2021-03", ISNA(MATCH(B2417, _xlfn._xlws.FILTER(B:B, A:A="2021-04"), 0))), "Left", "Ativo")</f>
        <v>Ativo</v>
      </c>
    </row>
    <row r="2418" spans="1:6" x14ac:dyDescent="0.25">
      <c r="A2418" t="s">
        <v>1530</v>
      </c>
      <c r="B2418" t="s">
        <v>500</v>
      </c>
      <c r="C2418" s="10" t="str" cm="1">
        <f t="array" ref="C2418">IF(AND(A2418="2020-12", ISNA(MATCH(B2418, _xlfn._xlws.FILTER(B:B, A:A="2021-01"), 0))), "Left", "Ativo")</f>
        <v>Ativo</v>
      </c>
      <c r="D2418" s="10" t="str" cm="1">
        <f t="array" ref="D2418">IF(AND(A2418="2021-01", ISNA(MATCH(B2418, _xlfn._xlws.FILTER(B:B, A:A="2021-02"), 0))), "Left", "Ativo")</f>
        <v>Ativo</v>
      </c>
      <c r="E2418" s="10" t="str" cm="1">
        <f t="array" ref="E2418">IF(AND(A2418="2021-02", ISNA(MATCH(B2418, _xlfn._xlws.FILTER(B:B, A:A="2021-03"), 0))), "Left", "Ativo")</f>
        <v>Ativo</v>
      </c>
      <c r="F2418" s="12" t="str" cm="1">
        <f t="array" ref="F2418">IF(AND(A2418="2021-03", ISNA(MATCH(B2418, _xlfn._xlws.FILTER(B:B, A:A="2021-04"), 0))), "Left", "Ativo")</f>
        <v>Ativo</v>
      </c>
    </row>
    <row r="2419" spans="1:6" x14ac:dyDescent="0.25">
      <c r="A2419" t="s">
        <v>1530</v>
      </c>
      <c r="B2419" t="s">
        <v>501</v>
      </c>
      <c r="C2419" s="10" t="str" cm="1">
        <f t="array" ref="C2419">IF(AND(A2419="2020-12", ISNA(MATCH(B2419, _xlfn._xlws.FILTER(B:B, A:A="2021-01"), 0))), "Left", "Ativo")</f>
        <v>Ativo</v>
      </c>
      <c r="D2419" s="10" t="str" cm="1">
        <f t="array" ref="D2419">IF(AND(A2419="2021-01", ISNA(MATCH(B2419, _xlfn._xlws.FILTER(B:B, A:A="2021-02"), 0))), "Left", "Ativo")</f>
        <v>Ativo</v>
      </c>
      <c r="E2419" s="10" t="str" cm="1">
        <f t="array" ref="E2419">IF(AND(A2419="2021-02", ISNA(MATCH(B2419, _xlfn._xlws.FILTER(B:B, A:A="2021-03"), 0))), "Left", "Ativo")</f>
        <v>Ativo</v>
      </c>
      <c r="F2419" s="12" t="str" cm="1">
        <f t="array" ref="F2419">IF(AND(A2419="2021-03", ISNA(MATCH(B2419, _xlfn._xlws.FILTER(B:B, A:A="2021-04"), 0))), "Left", "Ativo")</f>
        <v>Ativo</v>
      </c>
    </row>
    <row r="2420" spans="1:6" x14ac:dyDescent="0.25">
      <c r="A2420" t="s">
        <v>1530</v>
      </c>
      <c r="B2420" t="s">
        <v>502</v>
      </c>
      <c r="C2420" s="10" t="str" cm="1">
        <f t="array" ref="C2420">IF(AND(A2420="2020-12", ISNA(MATCH(B2420, _xlfn._xlws.FILTER(B:B, A:A="2021-01"), 0))), "Left", "Ativo")</f>
        <v>Ativo</v>
      </c>
      <c r="D2420" s="10" t="str" cm="1">
        <f t="array" ref="D2420">IF(AND(A2420="2021-01", ISNA(MATCH(B2420, _xlfn._xlws.FILTER(B:B, A:A="2021-02"), 0))), "Left", "Ativo")</f>
        <v>Ativo</v>
      </c>
      <c r="E2420" s="10" t="str" cm="1">
        <f t="array" ref="E2420">IF(AND(A2420="2021-02", ISNA(MATCH(B2420, _xlfn._xlws.FILTER(B:B, A:A="2021-03"), 0))), "Left", "Ativo")</f>
        <v>Ativo</v>
      </c>
      <c r="F2420" s="12" t="str" cm="1">
        <f t="array" ref="F2420">IF(AND(A2420="2021-03", ISNA(MATCH(B2420, _xlfn._xlws.FILTER(B:B, A:A="2021-04"), 0))), "Left", "Ativo")</f>
        <v>Ativo</v>
      </c>
    </row>
    <row r="2421" spans="1:6" x14ac:dyDescent="0.25">
      <c r="A2421" t="s">
        <v>1530</v>
      </c>
      <c r="B2421" t="s">
        <v>503</v>
      </c>
      <c r="C2421" s="10" t="str" cm="1">
        <f t="array" ref="C2421">IF(AND(A2421="2020-12", ISNA(MATCH(B2421, _xlfn._xlws.FILTER(B:B, A:A="2021-01"), 0))), "Left", "Ativo")</f>
        <v>Ativo</v>
      </c>
      <c r="D2421" s="10" t="str" cm="1">
        <f t="array" ref="D2421">IF(AND(A2421="2021-01", ISNA(MATCH(B2421, _xlfn._xlws.FILTER(B:B, A:A="2021-02"), 0))), "Left", "Ativo")</f>
        <v>Ativo</v>
      </c>
      <c r="E2421" s="10" t="str" cm="1">
        <f t="array" ref="E2421">IF(AND(A2421="2021-02", ISNA(MATCH(B2421, _xlfn._xlws.FILTER(B:B, A:A="2021-03"), 0))), "Left", "Ativo")</f>
        <v>Ativo</v>
      </c>
      <c r="F2421" s="12" t="str" cm="1">
        <f t="array" ref="F2421">IF(AND(A2421="2021-03", ISNA(MATCH(B2421, _xlfn._xlws.FILTER(B:B, A:A="2021-04"), 0))), "Left", "Ativo")</f>
        <v>Ativo</v>
      </c>
    </row>
    <row r="2422" spans="1:6" x14ac:dyDescent="0.25">
      <c r="A2422" t="s">
        <v>1530</v>
      </c>
      <c r="B2422" t="s">
        <v>504</v>
      </c>
      <c r="C2422" s="10" t="str" cm="1">
        <f t="array" ref="C2422">IF(AND(A2422="2020-12", ISNA(MATCH(B2422, _xlfn._xlws.FILTER(B:B, A:A="2021-01"), 0))), "Left", "Ativo")</f>
        <v>Ativo</v>
      </c>
      <c r="D2422" s="10" t="str" cm="1">
        <f t="array" ref="D2422">IF(AND(A2422="2021-01", ISNA(MATCH(B2422, _xlfn._xlws.FILTER(B:B, A:A="2021-02"), 0))), "Left", "Ativo")</f>
        <v>Ativo</v>
      </c>
      <c r="E2422" s="10" t="str" cm="1">
        <f t="array" ref="E2422">IF(AND(A2422="2021-02", ISNA(MATCH(B2422, _xlfn._xlws.FILTER(B:B, A:A="2021-03"), 0))), "Left", "Ativo")</f>
        <v>Ativo</v>
      </c>
      <c r="F2422" s="12" t="str" cm="1">
        <f t="array" ref="F2422">IF(AND(A2422="2021-03", ISNA(MATCH(B2422, _xlfn._xlws.FILTER(B:B, A:A="2021-04"), 0))), "Left", "Ativo")</f>
        <v>Ativo</v>
      </c>
    </row>
    <row r="2423" spans="1:6" x14ac:dyDescent="0.25">
      <c r="A2423" t="s">
        <v>1530</v>
      </c>
      <c r="B2423" t="s">
        <v>505</v>
      </c>
      <c r="C2423" s="10" t="str" cm="1">
        <f t="array" ref="C2423">IF(AND(A2423="2020-12", ISNA(MATCH(B2423, _xlfn._xlws.FILTER(B:B, A:A="2021-01"), 0))), "Left", "Ativo")</f>
        <v>Ativo</v>
      </c>
      <c r="D2423" s="10" t="str" cm="1">
        <f t="array" ref="D2423">IF(AND(A2423="2021-01", ISNA(MATCH(B2423, _xlfn._xlws.FILTER(B:B, A:A="2021-02"), 0))), "Left", "Ativo")</f>
        <v>Ativo</v>
      </c>
      <c r="E2423" s="10" t="str" cm="1">
        <f t="array" ref="E2423">IF(AND(A2423="2021-02", ISNA(MATCH(B2423, _xlfn._xlws.FILTER(B:B, A:A="2021-03"), 0))), "Left", "Ativo")</f>
        <v>Ativo</v>
      </c>
      <c r="F2423" s="12" t="str" cm="1">
        <f t="array" ref="F2423">IF(AND(A2423="2021-03", ISNA(MATCH(B2423, _xlfn._xlws.FILTER(B:B, A:A="2021-04"), 0))), "Left", "Ativo")</f>
        <v>Ativo</v>
      </c>
    </row>
    <row r="2424" spans="1:6" x14ac:dyDescent="0.25">
      <c r="A2424" t="s">
        <v>1530</v>
      </c>
      <c r="B2424" t="s">
        <v>506</v>
      </c>
      <c r="C2424" s="10" t="str" cm="1">
        <f t="array" ref="C2424">IF(AND(A2424="2020-12", ISNA(MATCH(B2424, _xlfn._xlws.FILTER(B:B, A:A="2021-01"), 0))), "Left", "Ativo")</f>
        <v>Ativo</v>
      </c>
      <c r="D2424" s="10" t="str" cm="1">
        <f t="array" ref="D2424">IF(AND(A2424="2021-01", ISNA(MATCH(B2424, _xlfn._xlws.FILTER(B:B, A:A="2021-02"), 0))), "Left", "Ativo")</f>
        <v>Ativo</v>
      </c>
      <c r="E2424" s="10" t="str" cm="1">
        <f t="array" ref="E2424">IF(AND(A2424="2021-02", ISNA(MATCH(B2424, _xlfn._xlws.FILTER(B:B, A:A="2021-03"), 0))), "Left", "Ativo")</f>
        <v>Ativo</v>
      </c>
      <c r="F2424" s="12" t="str" cm="1">
        <f t="array" ref="F2424">IF(AND(A2424="2021-03", ISNA(MATCH(B2424, _xlfn._xlws.FILTER(B:B, A:A="2021-04"), 0))), "Left", "Ativo")</f>
        <v>Ativo</v>
      </c>
    </row>
    <row r="2425" spans="1:6" x14ac:dyDescent="0.25">
      <c r="A2425" t="s">
        <v>1530</v>
      </c>
      <c r="B2425" t="s">
        <v>507</v>
      </c>
      <c r="C2425" s="10" t="str" cm="1">
        <f t="array" ref="C2425">IF(AND(A2425="2020-12", ISNA(MATCH(B2425, _xlfn._xlws.FILTER(B:B, A:A="2021-01"), 0))), "Left", "Ativo")</f>
        <v>Ativo</v>
      </c>
      <c r="D2425" s="10" t="str" cm="1">
        <f t="array" ref="D2425">IF(AND(A2425="2021-01", ISNA(MATCH(B2425, _xlfn._xlws.FILTER(B:B, A:A="2021-02"), 0))), "Left", "Ativo")</f>
        <v>Ativo</v>
      </c>
      <c r="E2425" s="10" t="str" cm="1">
        <f t="array" ref="E2425">IF(AND(A2425="2021-02", ISNA(MATCH(B2425, _xlfn._xlws.FILTER(B:B, A:A="2021-03"), 0))), "Left", "Ativo")</f>
        <v>Ativo</v>
      </c>
      <c r="F2425" s="12" t="str" cm="1">
        <f t="array" ref="F2425">IF(AND(A2425="2021-03", ISNA(MATCH(B2425, _xlfn._xlws.FILTER(B:B, A:A="2021-04"), 0))), "Left", "Ativo")</f>
        <v>Ativo</v>
      </c>
    </row>
    <row r="2426" spans="1:6" x14ac:dyDescent="0.25">
      <c r="A2426" t="s">
        <v>1530</v>
      </c>
      <c r="B2426" t="s">
        <v>508</v>
      </c>
      <c r="C2426" s="10" t="str" cm="1">
        <f t="array" ref="C2426">IF(AND(A2426="2020-12", ISNA(MATCH(B2426, _xlfn._xlws.FILTER(B:B, A:A="2021-01"), 0))), "Left", "Ativo")</f>
        <v>Ativo</v>
      </c>
      <c r="D2426" s="10" t="str" cm="1">
        <f t="array" ref="D2426">IF(AND(A2426="2021-01", ISNA(MATCH(B2426, _xlfn._xlws.FILTER(B:B, A:A="2021-02"), 0))), "Left", "Ativo")</f>
        <v>Ativo</v>
      </c>
      <c r="E2426" s="10" t="str" cm="1">
        <f t="array" ref="E2426">IF(AND(A2426="2021-02", ISNA(MATCH(B2426, _xlfn._xlws.FILTER(B:B, A:A="2021-03"), 0))), "Left", "Ativo")</f>
        <v>Ativo</v>
      </c>
      <c r="F2426" s="12" t="str" cm="1">
        <f t="array" ref="F2426">IF(AND(A2426="2021-03", ISNA(MATCH(B2426, _xlfn._xlws.FILTER(B:B, A:A="2021-04"), 0))), "Left", "Ativo")</f>
        <v>Ativo</v>
      </c>
    </row>
    <row r="2427" spans="1:6" x14ac:dyDescent="0.25">
      <c r="A2427" t="s">
        <v>1530</v>
      </c>
      <c r="B2427" t="s">
        <v>509</v>
      </c>
      <c r="C2427" s="10" t="str" cm="1">
        <f t="array" ref="C2427">IF(AND(A2427="2020-12", ISNA(MATCH(B2427, _xlfn._xlws.FILTER(B:B, A:A="2021-01"), 0))), "Left", "Ativo")</f>
        <v>Ativo</v>
      </c>
      <c r="D2427" s="10" t="str" cm="1">
        <f t="array" ref="D2427">IF(AND(A2427="2021-01", ISNA(MATCH(B2427, _xlfn._xlws.FILTER(B:B, A:A="2021-02"), 0))), "Left", "Ativo")</f>
        <v>Ativo</v>
      </c>
      <c r="E2427" s="10" t="str" cm="1">
        <f t="array" ref="E2427">IF(AND(A2427="2021-02", ISNA(MATCH(B2427, _xlfn._xlws.FILTER(B:B, A:A="2021-03"), 0))), "Left", "Ativo")</f>
        <v>Ativo</v>
      </c>
      <c r="F2427" s="12" t="str" cm="1">
        <f t="array" ref="F2427">IF(AND(A2427="2021-03", ISNA(MATCH(B2427, _xlfn._xlws.FILTER(B:B, A:A="2021-04"), 0))), "Left", "Ativo")</f>
        <v>Ativo</v>
      </c>
    </row>
    <row r="2428" spans="1:6" x14ac:dyDescent="0.25">
      <c r="A2428" t="s">
        <v>1530</v>
      </c>
      <c r="B2428" t="s">
        <v>510</v>
      </c>
      <c r="C2428" s="10" t="str" cm="1">
        <f t="array" ref="C2428">IF(AND(A2428="2020-12", ISNA(MATCH(B2428, _xlfn._xlws.FILTER(B:B, A:A="2021-01"), 0))), "Left", "Ativo")</f>
        <v>Ativo</v>
      </c>
      <c r="D2428" s="10" t="str" cm="1">
        <f t="array" ref="D2428">IF(AND(A2428="2021-01", ISNA(MATCH(B2428, _xlfn._xlws.FILTER(B:B, A:A="2021-02"), 0))), "Left", "Ativo")</f>
        <v>Ativo</v>
      </c>
      <c r="E2428" s="10" t="str" cm="1">
        <f t="array" ref="E2428">IF(AND(A2428="2021-02", ISNA(MATCH(B2428, _xlfn._xlws.FILTER(B:B, A:A="2021-03"), 0))), "Left", "Ativo")</f>
        <v>Ativo</v>
      </c>
      <c r="F2428" s="12" t="str" cm="1">
        <f t="array" ref="F2428">IF(AND(A2428="2021-03", ISNA(MATCH(B2428, _xlfn._xlws.FILTER(B:B, A:A="2021-04"), 0))), "Left", "Ativo")</f>
        <v>Ativo</v>
      </c>
    </row>
    <row r="2429" spans="1:6" x14ac:dyDescent="0.25">
      <c r="A2429" t="s">
        <v>1530</v>
      </c>
      <c r="B2429" t="s">
        <v>511</v>
      </c>
      <c r="C2429" s="10" t="str" cm="1">
        <f t="array" ref="C2429">IF(AND(A2429="2020-12", ISNA(MATCH(B2429, _xlfn._xlws.FILTER(B:B, A:A="2021-01"), 0))), "Left", "Ativo")</f>
        <v>Ativo</v>
      </c>
      <c r="D2429" s="10" t="str" cm="1">
        <f t="array" ref="D2429">IF(AND(A2429="2021-01", ISNA(MATCH(B2429, _xlfn._xlws.FILTER(B:B, A:A="2021-02"), 0))), "Left", "Ativo")</f>
        <v>Ativo</v>
      </c>
      <c r="E2429" s="10" t="str" cm="1">
        <f t="array" ref="E2429">IF(AND(A2429="2021-02", ISNA(MATCH(B2429, _xlfn._xlws.FILTER(B:B, A:A="2021-03"), 0))), "Left", "Ativo")</f>
        <v>Ativo</v>
      </c>
      <c r="F2429" s="12" t="str" cm="1">
        <f t="array" ref="F2429">IF(AND(A2429="2021-03", ISNA(MATCH(B2429, _xlfn._xlws.FILTER(B:B, A:A="2021-04"), 0))), "Left", "Ativo")</f>
        <v>Ativo</v>
      </c>
    </row>
    <row r="2430" spans="1:6" x14ac:dyDescent="0.25">
      <c r="A2430" t="s">
        <v>1530</v>
      </c>
      <c r="B2430" t="s">
        <v>512</v>
      </c>
      <c r="C2430" s="10" t="str" cm="1">
        <f t="array" ref="C2430">IF(AND(A2430="2020-12", ISNA(MATCH(B2430, _xlfn._xlws.FILTER(B:B, A:A="2021-01"), 0))), "Left", "Ativo")</f>
        <v>Ativo</v>
      </c>
      <c r="D2430" s="10" t="str" cm="1">
        <f t="array" ref="D2430">IF(AND(A2430="2021-01", ISNA(MATCH(B2430, _xlfn._xlws.FILTER(B:B, A:A="2021-02"), 0))), "Left", "Ativo")</f>
        <v>Ativo</v>
      </c>
      <c r="E2430" s="10" t="str" cm="1">
        <f t="array" ref="E2430">IF(AND(A2430="2021-02", ISNA(MATCH(B2430, _xlfn._xlws.FILTER(B:B, A:A="2021-03"), 0))), "Left", "Ativo")</f>
        <v>Ativo</v>
      </c>
      <c r="F2430" s="12" t="str" cm="1">
        <f t="array" ref="F2430">IF(AND(A2430="2021-03", ISNA(MATCH(B2430, _xlfn._xlws.FILTER(B:B, A:A="2021-04"), 0))), "Left", "Ativo")</f>
        <v>Ativo</v>
      </c>
    </row>
    <row r="2431" spans="1:6" x14ac:dyDescent="0.25">
      <c r="A2431" t="s">
        <v>1530</v>
      </c>
      <c r="B2431" t="s">
        <v>513</v>
      </c>
      <c r="C2431" s="10" t="str" cm="1">
        <f t="array" ref="C2431">IF(AND(A2431="2020-12", ISNA(MATCH(B2431, _xlfn._xlws.FILTER(B:B, A:A="2021-01"), 0))), "Left", "Ativo")</f>
        <v>Ativo</v>
      </c>
      <c r="D2431" s="10" t="str" cm="1">
        <f t="array" ref="D2431">IF(AND(A2431="2021-01", ISNA(MATCH(B2431, _xlfn._xlws.FILTER(B:B, A:A="2021-02"), 0))), "Left", "Ativo")</f>
        <v>Ativo</v>
      </c>
      <c r="E2431" s="10" t="str" cm="1">
        <f t="array" ref="E2431">IF(AND(A2431="2021-02", ISNA(MATCH(B2431, _xlfn._xlws.FILTER(B:B, A:A="2021-03"), 0))), "Left", "Ativo")</f>
        <v>Ativo</v>
      </c>
      <c r="F2431" s="12" t="str" cm="1">
        <f t="array" ref="F2431">IF(AND(A2431="2021-03", ISNA(MATCH(B2431, _xlfn._xlws.FILTER(B:B, A:A="2021-04"), 0))), "Left", "Ativo")</f>
        <v>Ativo</v>
      </c>
    </row>
    <row r="2432" spans="1:6" x14ac:dyDescent="0.25">
      <c r="A2432" t="s">
        <v>1530</v>
      </c>
      <c r="B2432" t="s">
        <v>514</v>
      </c>
      <c r="C2432" s="10" t="str" cm="1">
        <f t="array" ref="C2432">IF(AND(A2432="2020-12", ISNA(MATCH(B2432, _xlfn._xlws.FILTER(B:B, A:A="2021-01"), 0))), "Left", "Ativo")</f>
        <v>Ativo</v>
      </c>
      <c r="D2432" s="10" t="str" cm="1">
        <f t="array" ref="D2432">IF(AND(A2432="2021-01", ISNA(MATCH(B2432, _xlfn._xlws.FILTER(B:B, A:A="2021-02"), 0))), "Left", "Ativo")</f>
        <v>Ativo</v>
      </c>
      <c r="E2432" s="10" t="str" cm="1">
        <f t="array" ref="E2432">IF(AND(A2432="2021-02", ISNA(MATCH(B2432, _xlfn._xlws.FILTER(B:B, A:A="2021-03"), 0))), "Left", "Ativo")</f>
        <v>Ativo</v>
      </c>
      <c r="F2432" s="12" t="str" cm="1">
        <f t="array" ref="F2432">IF(AND(A2432="2021-03", ISNA(MATCH(B2432, _xlfn._xlws.FILTER(B:B, A:A="2021-04"), 0))), "Left", "Ativo")</f>
        <v>Ativo</v>
      </c>
    </row>
    <row r="2433" spans="1:6" x14ac:dyDescent="0.25">
      <c r="A2433" t="s">
        <v>1530</v>
      </c>
      <c r="B2433" t="s">
        <v>515</v>
      </c>
      <c r="C2433" s="10" t="str" cm="1">
        <f t="array" ref="C2433">IF(AND(A2433="2020-12", ISNA(MATCH(B2433, _xlfn._xlws.FILTER(B:B, A:A="2021-01"), 0))), "Left", "Ativo")</f>
        <v>Ativo</v>
      </c>
      <c r="D2433" s="10" t="str" cm="1">
        <f t="array" ref="D2433">IF(AND(A2433="2021-01", ISNA(MATCH(B2433, _xlfn._xlws.FILTER(B:B, A:A="2021-02"), 0))), "Left", "Ativo")</f>
        <v>Ativo</v>
      </c>
      <c r="E2433" s="10" t="str" cm="1">
        <f t="array" ref="E2433">IF(AND(A2433="2021-02", ISNA(MATCH(B2433, _xlfn._xlws.FILTER(B:B, A:A="2021-03"), 0))), "Left", "Ativo")</f>
        <v>Ativo</v>
      </c>
      <c r="F2433" s="12" t="str" cm="1">
        <f t="array" ref="F2433">IF(AND(A2433="2021-03", ISNA(MATCH(B2433, _xlfn._xlws.FILTER(B:B, A:A="2021-04"), 0))), "Left", "Ativo")</f>
        <v>Ativo</v>
      </c>
    </row>
    <row r="2434" spans="1:6" x14ac:dyDescent="0.25">
      <c r="A2434" t="s">
        <v>1530</v>
      </c>
      <c r="B2434" t="s">
        <v>516</v>
      </c>
      <c r="C2434" s="10" t="str" cm="1">
        <f t="array" ref="C2434">IF(AND(A2434="2020-12", ISNA(MATCH(B2434, _xlfn._xlws.FILTER(B:B, A:A="2021-01"), 0))), "Left", "Ativo")</f>
        <v>Ativo</v>
      </c>
      <c r="D2434" s="10" t="str" cm="1">
        <f t="array" ref="D2434">IF(AND(A2434="2021-01", ISNA(MATCH(B2434, _xlfn._xlws.FILTER(B:B, A:A="2021-02"), 0))), "Left", "Ativo")</f>
        <v>Ativo</v>
      </c>
      <c r="E2434" s="10" t="str" cm="1">
        <f t="array" ref="E2434">IF(AND(A2434="2021-02", ISNA(MATCH(B2434, _xlfn._xlws.FILTER(B:B, A:A="2021-03"), 0))), "Left", "Ativo")</f>
        <v>Ativo</v>
      </c>
      <c r="F2434" s="12" t="str" cm="1">
        <f t="array" ref="F2434">IF(AND(A2434="2021-03", ISNA(MATCH(B2434, _xlfn._xlws.FILTER(B:B, A:A="2021-04"), 0))), "Left", "Ativo")</f>
        <v>Ativo</v>
      </c>
    </row>
    <row r="2435" spans="1:6" x14ac:dyDescent="0.25">
      <c r="A2435" t="s">
        <v>1530</v>
      </c>
      <c r="B2435" t="s">
        <v>517</v>
      </c>
      <c r="C2435" s="10" t="str" cm="1">
        <f t="array" ref="C2435">IF(AND(A2435="2020-12", ISNA(MATCH(B2435, _xlfn._xlws.FILTER(B:B, A:A="2021-01"), 0))), "Left", "Ativo")</f>
        <v>Ativo</v>
      </c>
      <c r="D2435" s="10" t="str" cm="1">
        <f t="array" ref="D2435">IF(AND(A2435="2021-01", ISNA(MATCH(B2435, _xlfn._xlws.FILTER(B:B, A:A="2021-02"), 0))), "Left", "Ativo")</f>
        <v>Ativo</v>
      </c>
      <c r="E2435" s="10" t="str" cm="1">
        <f t="array" ref="E2435">IF(AND(A2435="2021-02", ISNA(MATCH(B2435, _xlfn._xlws.FILTER(B:B, A:A="2021-03"), 0))), "Left", "Ativo")</f>
        <v>Ativo</v>
      </c>
      <c r="F2435" s="12" t="str" cm="1">
        <f t="array" ref="F2435">IF(AND(A2435="2021-03", ISNA(MATCH(B2435, _xlfn._xlws.FILTER(B:B, A:A="2021-04"), 0))), "Left", "Ativo")</f>
        <v>Ativo</v>
      </c>
    </row>
    <row r="2436" spans="1:6" x14ac:dyDescent="0.25">
      <c r="A2436" t="s">
        <v>1530</v>
      </c>
      <c r="B2436" t="s">
        <v>518</v>
      </c>
      <c r="C2436" s="10" t="str" cm="1">
        <f t="array" ref="C2436">IF(AND(A2436="2020-12", ISNA(MATCH(B2436, _xlfn._xlws.FILTER(B:B, A:A="2021-01"), 0))), "Left", "Ativo")</f>
        <v>Ativo</v>
      </c>
      <c r="D2436" s="10" t="str" cm="1">
        <f t="array" ref="D2436">IF(AND(A2436="2021-01", ISNA(MATCH(B2436, _xlfn._xlws.FILTER(B:B, A:A="2021-02"), 0))), "Left", "Ativo")</f>
        <v>Ativo</v>
      </c>
      <c r="E2436" s="10" t="str" cm="1">
        <f t="array" ref="E2436">IF(AND(A2436="2021-02", ISNA(MATCH(B2436, _xlfn._xlws.FILTER(B:B, A:A="2021-03"), 0))), "Left", "Ativo")</f>
        <v>Ativo</v>
      </c>
      <c r="F2436" s="12" t="str" cm="1">
        <f t="array" ref="F2436">IF(AND(A2436="2021-03", ISNA(MATCH(B2436, _xlfn._xlws.FILTER(B:B, A:A="2021-04"), 0))), "Left", "Ativo")</f>
        <v>Ativo</v>
      </c>
    </row>
    <row r="2437" spans="1:6" x14ac:dyDescent="0.25">
      <c r="A2437" t="s">
        <v>1530</v>
      </c>
      <c r="B2437" t="s">
        <v>519</v>
      </c>
      <c r="C2437" s="10" t="str" cm="1">
        <f t="array" ref="C2437">IF(AND(A2437="2020-12", ISNA(MATCH(B2437, _xlfn._xlws.FILTER(B:B, A:A="2021-01"), 0))), "Left", "Ativo")</f>
        <v>Ativo</v>
      </c>
      <c r="D2437" s="10" t="str" cm="1">
        <f t="array" ref="D2437">IF(AND(A2437="2021-01", ISNA(MATCH(B2437, _xlfn._xlws.FILTER(B:B, A:A="2021-02"), 0))), "Left", "Ativo")</f>
        <v>Ativo</v>
      </c>
      <c r="E2437" s="10" t="str" cm="1">
        <f t="array" ref="E2437">IF(AND(A2437="2021-02", ISNA(MATCH(B2437, _xlfn._xlws.FILTER(B:B, A:A="2021-03"), 0))), "Left", "Ativo")</f>
        <v>Ativo</v>
      </c>
      <c r="F2437" s="12" t="str" cm="1">
        <f t="array" ref="F2437">IF(AND(A2437="2021-03", ISNA(MATCH(B2437, _xlfn._xlws.FILTER(B:B, A:A="2021-04"), 0))), "Left", "Ativo")</f>
        <v>Ativo</v>
      </c>
    </row>
    <row r="2438" spans="1:6" x14ac:dyDescent="0.25">
      <c r="A2438" t="s">
        <v>1530</v>
      </c>
      <c r="B2438" t="s">
        <v>520</v>
      </c>
      <c r="C2438" s="10" t="str" cm="1">
        <f t="array" ref="C2438">IF(AND(A2438="2020-12", ISNA(MATCH(B2438, _xlfn._xlws.FILTER(B:B, A:A="2021-01"), 0))), "Left", "Ativo")</f>
        <v>Ativo</v>
      </c>
      <c r="D2438" s="10" t="str" cm="1">
        <f t="array" ref="D2438">IF(AND(A2438="2021-01", ISNA(MATCH(B2438, _xlfn._xlws.FILTER(B:B, A:A="2021-02"), 0))), "Left", "Ativo")</f>
        <v>Ativo</v>
      </c>
      <c r="E2438" s="10" t="str" cm="1">
        <f t="array" ref="E2438">IF(AND(A2438="2021-02", ISNA(MATCH(B2438, _xlfn._xlws.FILTER(B:B, A:A="2021-03"), 0))), "Left", "Ativo")</f>
        <v>Ativo</v>
      </c>
      <c r="F2438" s="12" t="str" cm="1">
        <f t="array" ref="F2438">IF(AND(A2438="2021-03", ISNA(MATCH(B2438, _xlfn._xlws.FILTER(B:B, A:A="2021-04"), 0))), "Left", "Ativo")</f>
        <v>Ativo</v>
      </c>
    </row>
    <row r="2439" spans="1:6" x14ac:dyDescent="0.25">
      <c r="A2439" t="s">
        <v>1530</v>
      </c>
      <c r="B2439" t="s">
        <v>521</v>
      </c>
      <c r="C2439" s="10" t="str" cm="1">
        <f t="array" ref="C2439">IF(AND(A2439="2020-12", ISNA(MATCH(B2439, _xlfn._xlws.FILTER(B:B, A:A="2021-01"), 0))), "Left", "Ativo")</f>
        <v>Ativo</v>
      </c>
      <c r="D2439" s="10" t="str" cm="1">
        <f t="array" ref="D2439">IF(AND(A2439="2021-01", ISNA(MATCH(B2439, _xlfn._xlws.FILTER(B:B, A:A="2021-02"), 0))), "Left", "Ativo")</f>
        <v>Ativo</v>
      </c>
      <c r="E2439" s="10" t="str" cm="1">
        <f t="array" ref="E2439">IF(AND(A2439="2021-02", ISNA(MATCH(B2439, _xlfn._xlws.FILTER(B:B, A:A="2021-03"), 0))), "Left", "Ativo")</f>
        <v>Ativo</v>
      </c>
      <c r="F2439" s="12" t="str" cm="1">
        <f t="array" ref="F2439">IF(AND(A2439="2021-03", ISNA(MATCH(B2439, _xlfn._xlws.FILTER(B:B, A:A="2021-04"), 0))), "Left", "Ativo")</f>
        <v>Ativo</v>
      </c>
    </row>
    <row r="2440" spans="1:6" x14ac:dyDescent="0.25">
      <c r="A2440" t="s">
        <v>1530</v>
      </c>
      <c r="B2440" t="s">
        <v>522</v>
      </c>
      <c r="C2440" s="10" t="str" cm="1">
        <f t="array" ref="C2440">IF(AND(A2440="2020-12", ISNA(MATCH(B2440, _xlfn._xlws.FILTER(B:B, A:A="2021-01"), 0))), "Left", "Ativo")</f>
        <v>Ativo</v>
      </c>
      <c r="D2440" s="10" t="str" cm="1">
        <f t="array" ref="D2440">IF(AND(A2440="2021-01", ISNA(MATCH(B2440, _xlfn._xlws.FILTER(B:B, A:A="2021-02"), 0))), "Left", "Ativo")</f>
        <v>Ativo</v>
      </c>
      <c r="E2440" s="10" t="str" cm="1">
        <f t="array" ref="E2440">IF(AND(A2440="2021-02", ISNA(MATCH(B2440, _xlfn._xlws.FILTER(B:B, A:A="2021-03"), 0))), "Left", "Ativo")</f>
        <v>Ativo</v>
      </c>
      <c r="F2440" s="12" t="str" cm="1">
        <f t="array" ref="F2440">IF(AND(A2440="2021-03", ISNA(MATCH(B2440, _xlfn._xlws.FILTER(B:B, A:A="2021-04"), 0))), "Left", "Ativo")</f>
        <v>Ativo</v>
      </c>
    </row>
    <row r="2441" spans="1:6" x14ac:dyDescent="0.25">
      <c r="A2441" t="s">
        <v>1530</v>
      </c>
      <c r="B2441" t="s">
        <v>523</v>
      </c>
      <c r="C2441" s="10" t="str" cm="1">
        <f t="array" ref="C2441">IF(AND(A2441="2020-12", ISNA(MATCH(B2441, _xlfn._xlws.FILTER(B:B, A:A="2021-01"), 0))), "Left", "Ativo")</f>
        <v>Ativo</v>
      </c>
      <c r="D2441" s="10" t="str" cm="1">
        <f t="array" ref="D2441">IF(AND(A2441="2021-01", ISNA(MATCH(B2441, _xlfn._xlws.FILTER(B:B, A:A="2021-02"), 0))), "Left", "Ativo")</f>
        <v>Ativo</v>
      </c>
      <c r="E2441" s="10" t="str" cm="1">
        <f t="array" ref="E2441">IF(AND(A2441="2021-02", ISNA(MATCH(B2441, _xlfn._xlws.FILTER(B:B, A:A="2021-03"), 0))), "Left", "Ativo")</f>
        <v>Ativo</v>
      </c>
      <c r="F2441" s="12" t="str" cm="1">
        <f t="array" ref="F2441">IF(AND(A2441="2021-03", ISNA(MATCH(B2441, _xlfn._xlws.FILTER(B:B, A:A="2021-04"), 0))), "Left", "Ativo")</f>
        <v>Ativo</v>
      </c>
    </row>
    <row r="2442" spans="1:6" x14ac:dyDescent="0.25">
      <c r="A2442" t="s">
        <v>1530</v>
      </c>
      <c r="B2442" t="s">
        <v>524</v>
      </c>
      <c r="C2442" s="10" t="str" cm="1">
        <f t="array" ref="C2442">IF(AND(A2442="2020-12", ISNA(MATCH(B2442, _xlfn._xlws.FILTER(B:B, A:A="2021-01"), 0))), "Left", "Ativo")</f>
        <v>Ativo</v>
      </c>
      <c r="D2442" s="10" t="str" cm="1">
        <f t="array" ref="D2442">IF(AND(A2442="2021-01", ISNA(MATCH(B2442, _xlfn._xlws.FILTER(B:B, A:A="2021-02"), 0))), "Left", "Ativo")</f>
        <v>Ativo</v>
      </c>
      <c r="E2442" s="10" t="str" cm="1">
        <f t="array" ref="E2442">IF(AND(A2442="2021-02", ISNA(MATCH(B2442, _xlfn._xlws.FILTER(B:B, A:A="2021-03"), 0))), "Left", "Ativo")</f>
        <v>Ativo</v>
      </c>
      <c r="F2442" s="12" t="str" cm="1">
        <f t="array" ref="F2442">IF(AND(A2442="2021-03", ISNA(MATCH(B2442, _xlfn._xlws.FILTER(B:B, A:A="2021-04"), 0))), "Left", "Ativo")</f>
        <v>Ativo</v>
      </c>
    </row>
    <row r="2443" spans="1:6" x14ac:dyDescent="0.25">
      <c r="A2443" t="s">
        <v>1530</v>
      </c>
      <c r="B2443" t="s">
        <v>525</v>
      </c>
      <c r="C2443" s="10" t="str" cm="1">
        <f t="array" ref="C2443">IF(AND(A2443="2020-12", ISNA(MATCH(B2443, _xlfn._xlws.FILTER(B:B, A:A="2021-01"), 0))), "Left", "Ativo")</f>
        <v>Ativo</v>
      </c>
      <c r="D2443" s="10" t="str" cm="1">
        <f t="array" ref="D2443">IF(AND(A2443="2021-01", ISNA(MATCH(B2443, _xlfn._xlws.FILTER(B:B, A:A="2021-02"), 0))), "Left", "Ativo")</f>
        <v>Ativo</v>
      </c>
      <c r="E2443" s="10" t="str" cm="1">
        <f t="array" ref="E2443">IF(AND(A2443="2021-02", ISNA(MATCH(B2443, _xlfn._xlws.FILTER(B:B, A:A="2021-03"), 0))), "Left", "Ativo")</f>
        <v>Ativo</v>
      </c>
      <c r="F2443" s="12" t="str" cm="1">
        <f t="array" ref="F2443">IF(AND(A2443="2021-03", ISNA(MATCH(B2443, _xlfn._xlws.FILTER(B:B, A:A="2021-04"), 0))), "Left", "Ativo")</f>
        <v>Ativo</v>
      </c>
    </row>
    <row r="2444" spans="1:6" x14ac:dyDescent="0.25">
      <c r="A2444" t="s">
        <v>1530</v>
      </c>
      <c r="B2444" t="s">
        <v>526</v>
      </c>
      <c r="C2444" s="10" t="str" cm="1">
        <f t="array" ref="C2444">IF(AND(A2444="2020-12", ISNA(MATCH(B2444, _xlfn._xlws.FILTER(B:B, A:A="2021-01"), 0))), "Left", "Ativo")</f>
        <v>Ativo</v>
      </c>
      <c r="D2444" s="10" t="str" cm="1">
        <f t="array" ref="D2444">IF(AND(A2444="2021-01", ISNA(MATCH(B2444, _xlfn._xlws.FILTER(B:B, A:A="2021-02"), 0))), "Left", "Ativo")</f>
        <v>Ativo</v>
      </c>
      <c r="E2444" s="10" t="str" cm="1">
        <f t="array" ref="E2444">IF(AND(A2444="2021-02", ISNA(MATCH(B2444, _xlfn._xlws.FILTER(B:B, A:A="2021-03"), 0))), "Left", "Ativo")</f>
        <v>Ativo</v>
      </c>
      <c r="F2444" s="12" t="str" cm="1">
        <f t="array" ref="F2444">IF(AND(A2444="2021-03", ISNA(MATCH(B2444, _xlfn._xlws.FILTER(B:B, A:A="2021-04"), 0))), "Left", "Ativo")</f>
        <v>Ativo</v>
      </c>
    </row>
    <row r="2445" spans="1:6" x14ac:dyDescent="0.25">
      <c r="A2445" t="s">
        <v>1530</v>
      </c>
      <c r="B2445" t="s">
        <v>527</v>
      </c>
      <c r="C2445" s="10" t="str" cm="1">
        <f t="array" ref="C2445">IF(AND(A2445="2020-12", ISNA(MATCH(B2445, _xlfn._xlws.FILTER(B:B, A:A="2021-01"), 0))), "Left", "Ativo")</f>
        <v>Ativo</v>
      </c>
      <c r="D2445" s="10" t="str" cm="1">
        <f t="array" ref="D2445">IF(AND(A2445="2021-01", ISNA(MATCH(B2445, _xlfn._xlws.FILTER(B:B, A:A="2021-02"), 0))), "Left", "Ativo")</f>
        <v>Ativo</v>
      </c>
      <c r="E2445" s="10" t="str" cm="1">
        <f t="array" ref="E2445">IF(AND(A2445="2021-02", ISNA(MATCH(B2445, _xlfn._xlws.FILTER(B:B, A:A="2021-03"), 0))), "Left", "Ativo")</f>
        <v>Ativo</v>
      </c>
      <c r="F2445" s="12" t="str" cm="1">
        <f t="array" ref="F2445">IF(AND(A2445="2021-03", ISNA(MATCH(B2445, _xlfn._xlws.FILTER(B:B, A:A="2021-04"), 0))), "Left", "Ativo")</f>
        <v>Ativo</v>
      </c>
    </row>
    <row r="2446" spans="1:6" x14ac:dyDescent="0.25">
      <c r="A2446" t="s">
        <v>1530</v>
      </c>
      <c r="B2446" t="s">
        <v>528</v>
      </c>
      <c r="C2446" s="10" t="str" cm="1">
        <f t="array" ref="C2446">IF(AND(A2446="2020-12", ISNA(MATCH(B2446, _xlfn._xlws.FILTER(B:B, A:A="2021-01"), 0))), "Left", "Ativo")</f>
        <v>Ativo</v>
      </c>
      <c r="D2446" s="10" t="str" cm="1">
        <f t="array" ref="D2446">IF(AND(A2446="2021-01", ISNA(MATCH(B2446, _xlfn._xlws.FILTER(B:B, A:A="2021-02"), 0))), "Left", "Ativo")</f>
        <v>Ativo</v>
      </c>
      <c r="E2446" s="10" t="str" cm="1">
        <f t="array" ref="E2446">IF(AND(A2446="2021-02", ISNA(MATCH(B2446, _xlfn._xlws.FILTER(B:B, A:A="2021-03"), 0))), "Left", "Ativo")</f>
        <v>Ativo</v>
      </c>
      <c r="F2446" s="12" t="str" cm="1">
        <f t="array" ref="F2446">IF(AND(A2446="2021-03", ISNA(MATCH(B2446, _xlfn._xlws.FILTER(B:B, A:A="2021-04"), 0))), "Left", "Ativo")</f>
        <v>Ativo</v>
      </c>
    </row>
    <row r="2447" spans="1:6" x14ac:dyDescent="0.25">
      <c r="A2447" t="s">
        <v>1530</v>
      </c>
      <c r="B2447" t="s">
        <v>529</v>
      </c>
      <c r="C2447" s="10" t="str" cm="1">
        <f t="array" ref="C2447">IF(AND(A2447="2020-12", ISNA(MATCH(B2447, _xlfn._xlws.FILTER(B:B, A:A="2021-01"), 0))), "Left", "Ativo")</f>
        <v>Ativo</v>
      </c>
      <c r="D2447" s="10" t="str" cm="1">
        <f t="array" ref="D2447">IF(AND(A2447="2021-01", ISNA(MATCH(B2447, _xlfn._xlws.FILTER(B:B, A:A="2021-02"), 0))), "Left", "Ativo")</f>
        <v>Ativo</v>
      </c>
      <c r="E2447" s="10" t="str" cm="1">
        <f t="array" ref="E2447">IF(AND(A2447="2021-02", ISNA(MATCH(B2447, _xlfn._xlws.FILTER(B:B, A:A="2021-03"), 0))), "Left", "Ativo")</f>
        <v>Ativo</v>
      </c>
      <c r="F2447" s="12" t="str" cm="1">
        <f t="array" ref="F2447">IF(AND(A2447="2021-03", ISNA(MATCH(B2447, _xlfn._xlws.FILTER(B:B, A:A="2021-04"), 0))), "Left", "Ativo")</f>
        <v>Ativo</v>
      </c>
    </row>
    <row r="2448" spans="1:6" x14ac:dyDescent="0.25">
      <c r="A2448" t="s">
        <v>1530</v>
      </c>
      <c r="B2448" t="s">
        <v>530</v>
      </c>
      <c r="C2448" s="10" t="str" cm="1">
        <f t="array" ref="C2448">IF(AND(A2448="2020-12", ISNA(MATCH(B2448, _xlfn._xlws.FILTER(B:B, A:A="2021-01"), 0))), "Left", "Ativo")</f>
        <v>Ativo</v>
      </c>
      <c r="D2448" s="10" t="str" cm="1">
        <f t="array" ref="D2448">IF(AND(A2448="2021-01", ISNA(MATCH(B2448, _xlfn._xlws.FILTER(B:B, A:A="2021-02"), 0))), "Left", "Ativo")</f>
        <v>Ativo</v>
      </c>
      <c r="E2448" s="10" t="str" cm="1">
        <f t="array" ref="E2448">IF(AND(A2448="2021-02", ISNA(MATCH(B2448, _xlfn._xlws.FILTER(B:B, A:A="2021-03"), 0))), "Left", "Ativo")</f>
        <v>Ativo</v>
      </c>
      <c r="F2448" s="12" t="str" cm="1">
        <f t="array" ref="F2448">IF(AND(A2448="2021-03", ISNA(MATCH(B2448, _xlfn._xlws.FILTER(B:B, A:A="2021-04"), 0))), "Left", "Ativo")</f>
        <v>Ativo</v>
      </c>
    </row>
    <row r="2449" spans="1:6" x14ac:dyDescent="0.25">
      <c r="A2449" t="s">
        <v>1530</v>
      </c>
      <c r="B2449" t="s">
        <v>531</v>
      </c>
      <c r="C2449" s="10" t="str" cm="1">
        <f t="array" ref="C2449">IF(AND(A2449="2020-12", ISNA(MATCH(B2449, _xlfn._xlws.FILTER(B:B, A:A="2021-01"), 0))), "Left", "Ativo")</f>
        <v>Ativo</v>
      </c>
      <c r="D2449" s="10" t="str" cm="1">
        <f t="array" ref="D2449">IF(AND(A2449="2021-01", ISNA(MATCH(B2449, _xlfn._xlws.FILTER(B:B, A:A="2021-02"), 0))), "Left", "Ativo")</f>
        <v>Ativo</v>
      </c>
      <c r="E2449" s="10" t="str" cm="1">
        <f t="array" ref="E2449">IF(AND(A2449="2021-02", ISNA(MATCH(B2449, _xlfn._xlws.FILTER(B:B, A:A="2021-03"), 0))), "Left", "Ativo")</f>
        <v>Ativo</v>
      </c>
      <c r="F2449" s="12" t="str" cm="1">
        <f t="array" ref="F2449">IF(AND(A2449="2021-03", ISNA(MATCH(B2449, _xlfn._xlws.FILTER(B:B, A:A="2021-04"), 0))), "Left", "Ativo")</f>
        <v>Ativo</v>
      </c>
    </row>
    <row r="2450" spans="1:6" x14ac:dyDescent="0.25">
      <c r="A2450" t="s">
        <v>1530</v>
      </c>
      <c r="B2450" t="s">
        <v>532</v>
      </c>
      <c r="C2450" s="10" t="str" cm="1">
        <f t="array" ref="C2450">IF(AND(A2450="2020-12", ISNA(MATCH(B2450, _xlfn._xlws.FILTER(B:B, A:A="2021-01"), 0))), "Left", "Ativo")</f>
        <v>Ativo</v>
      </c>
      <c r="D2450" s="10" t="str" cm="1">
        <f t="array" ref="D2450">IF(AND(A2450="2021-01", ISNA(MATCH(B2450, _xlfn._xlws.FILTER(B:B, A:A="2021-02"), 0))), "Left", "Ativo")</f>
        <v>Ativo</v>
      </c>
      <c r="E2450" s="10" t="str" cm="1">
        <f t="array" ref="E2450">IF(AND(A2450="2021-02", ISNA(MATCH(B2450, _xlfn._xlws.FILTER(B:B, A:A="2021-03"), 0))), "Left", "Ativo")</f>
        <v>Ativo</v>
      </c>
      <c r="F2450" s="12" t="str" cm="1">
        <f t="array" ref="F2450">IF(AND(A2450="2021-03", ISNA(MATCH(B2450, _xlfn._xlws.FILTER(B:B, A:A="2021-04"), 0))), "Left", "Ativo")</f>
        <v>Ativo</v>
      </c>
    </row>
    <row r="2451" spans="1:6" x14ac:dyDescent="0.25">
      <c r="A2451" t="s">
        <v>1530</v>
      </c>
      <c r="B2451" t="s">
        <v>533</v>
      </c>
      <c r="C2451" s="10" t="str" cm="1">
        <f t="array" ref="C2451">IF(AND(A2451="2020-12", ISNA(MATCH(B2451, _xlfn._xlws.FILTER(B:B, A:A="2021-01"), 0))), "Left", "Ativo")</f>
        <v>Ativo</v>
      </c>
      <c r="D2451" s="10" t="str" cm="1">
        <f t="array" ref="D2451">IF(AND(A2451="2021-01", ISNA(MATCH(B2451, _xlfn._xlws.FILTER(B:B, A:A="2021-02"), 0))), "Left", "Ativo")</f>
        <v>Ativo</v>
      </c>
      <c r="E2451" s="10" t="str" cm="1">
        <f t="array" ref="E2451">IF(AND(A2451="2021-02", ISNA(MATCH(B2451, _xlfn._xlws.FILTER(B:B, A:A="2021-03"), 0))), "Left", "Ativo")</f>
        <v>Ativo</v>
      </c>
      <c r="F2451" s="12" t="str" cm="1">
        <f t="array" ref="F2451">IF(AND(A2451="2021-03", ISNA(MATCH(B2451, _xlfn._xlws.FILTER(B:B, A:A="2021-04"), 0))), "Left", "Ativo")</f>
        <v>Ativo</v>
      </c>
    </row>
    <row r="2452" spans="1:6" x14ac:dyDescent="0.25">
      <c r="A2452" t="s">
        <v>1530</v>
      </c>
      <c r="B2452" t="s">
        <v>534</v>
      </c>
      <c r="C2452" s="10" t="str" cm="1">
        <f t="array" ref="C2452">IF(AND(A2452="2020-12", ISNA(MATCH(B2452, _xlfn._xlws.FILTER(B:B, A:A="2021-01"), 0))), "Left", "Ativo")</f>
        <v>Ativo</v>
      </c>
      <c r="D2452" s="10" t="str" cm="1">
        <f t="array" ref="D2452">IF(AND(A2452="2021-01", ISNA(MATCH(B2452, _xlfn._xlws.FILTER(B:B, A:A="2021-02"), 0))), "Left", "Ativo")</f>
        <v>Ativo</v>
      </c>
      <c r="E2452" s="10" t="str" cm="1">
        <f t="array" ref="E2452">IF(AND(A2452="2021-02", ISNA(MATCH(B2452, _xlfn._xlws.FILTER(B:B, A:A="2021-03"), 0))), "Left", "Ativo")</f>
        <v>Ativo</v>
      </c>
      <c r="F2452" s="12" t="str" cm="1">
        <f t="array" ref="F2452">IF(AND(A2452="2021-03", ISNA(MATCH(B2452, _xlfn._xlws.FILTER(B:B, A:A="2021-04"), 0))), "Left", "Ativo")</f>
        <v>Ativo</v>
      </c>
    </row>
    <row r="2453" spans="1:6" x14ac:dyDescent="0.25">
      <c r="A2453" t="s">
        <v>1530</v>
      </c>
      <c r="B2453" t="s">
        <v>535</v>
      </c>
      <c r="C2453" s="10" t="str" cm="1">
        <f t="array" ref="C2453">IF(AND(A2453="2020-12", ISNA(MATCH(B2453, _xlfn._xlws.FILTER(B:B, A:A="2021-01"), 0))), "Left", "Ativo")</f>
        <v>Ativo</v>
      </c>
      <c r="D2453" s="10" t="str" cm="1">
        <f t="array" ref="D2453">IF(AND(A2453="2021-01", ISNA(MATCH(B2453, _xlfn._xlws.FILTER(B:B, A:A="2021-02"), 0))), "Left", "Ativo")</f>
        <v>Ativo</v>
      </c>
      <c r="E2453" s="10" t="str" cm="1">
        <f t="array" ref="E2453">IF(AND(A2453="2021-02", ISNA(MATCH(B2453, _xlfn._xlws.FILTER(B:B, A:A="2021-03"), 0))), "Left", "Ativo")</f>
        <v>Ativo</v>
      </c>
      <c r="F2453" s="12" t="str" cm="1">
        <f t="array" ref="F2453">IF(AND(A2453="2021-03", ISNA(MATCH(B2453, _xlfn._xlws.FILTER(B:B, A:A="2021-04"), 0))), "Left", "Ativo")</f>
        <v>Ativo</v>
      </c>
    </row>
    <row r="2454" spans="1:6" x14ac:dyDescent="0.25">
      <c r="A2454" t="s">
        <v>1530</v>
      </c>
      <c r="B2454" t="s">
        <v>536</v>
      </c>
      <c r="C2454" s="10" t="str" cm="1">
        <f t="array" ref="C2454">IF(AND(A2454="2020-12", ISNA(MATCH(B2454, _xlfn._xlws.FILTER(B:B, A:A="2021-01"), 0))), "Left", "Ativo")</f>
        <v>Ativo</v>
      </c>
      <c r="D2454" s="10" t="str" cm="1">
        <f t="array" ref="D2454">IF(AND(A2454="2021-01", ISNA(MATCH(B2454, _xlfn._xlws.FILTER(B:B, A:A="2021-02"), 0))), "Left", "Ativo")</f>
        <v>Ativo</v>
      </c>
      <c r="E2454" s="10" t="str" cm="1">
        <f t="array" ref="E2454">IF(AND(A2454="2021-02", ISNA(MATCH(B2454, _xlfn._xlws.FILTER(B:B, A:A="2021-03"), 0))), "Left", "Ativo")</f>
        <v>Ativo</v>
      </c>
      <c r="F2454" s="12" t="str" cm="1">
        <f t="array" ref="F2454">IF(AND(A2454="2021-03", ISNA(MATCH(B2454, _xlfn._xlws.FILTER(B:B, A:A="2021-04"), 0))), "Left", "Ativo")</f>
        <v>Ativo</v>
      </c>
    </row>
    <row r="2455" spans="1:6" x14ac:dyDescent="0.25">
      <c r="A2455" t="s">
        <v>1530</v>
      </c>
      <c r="B2455" t="s">
        <v>537</v>
      </c>
      <c r="C2455" s="10" t="str" cm="1">
        <f t="array" ref="C2455">IF(AND(A2455="2020-12", ISNA(MATCH(B2455, _xlfn._xlws.FILTER(B:B, A:A="2021-01"), 0))), "Left", "Ativo")</f>
        <v>Ativo</v>
      </c>
      <c r="D2455" s="10" t="str" cm="1">
        <f t="array" ref="D2455">IF(AND(A2455="2021-01", ISNA(MATCH(B2455, _xlfn._xlws.FILTER(B:B, A:A="2021-02"), 0))), "Left", "Ativo")</f>
        <v>Ativo</v>
      </c>
      <c r="E2455" s="10" t="str" cm="1">
        <f t="array" ref="E2455">IF(AND(A2455="2021-02", ISNA(MATCH(B2455, _xlfn._xlws.FILTER(B:B, A:A="2021-03"), 0))), "Left", "Ativo")</f>
        <v>Ativo</v>
      </c>
      <c r="F2455" s="12" t="str" cm="1">
        <f t="array" ref="F2455">IF(AND(A2455="2021-03", ISNA(MATCH(B2455, _xlfn._xlws.FILTER(B:B, A:A="2021-04"), 0))), "Left", "Ativo")</f>
        <v>Ativo</v>
      </c>
    </row>
    <row r="2456" spans="1:6" x14ac:dyDescent="0.25">
      <c r="A2456" t="s">
        <v>1530</v>
      </c>
      <c r="B2456" t="s">
        <v>538</v>
      </c>
      <c r="C2456" s="10" t="str" cm="1">
        <f t="array" ref="C2456">IF(AND(A2456="2020-12", ISNA(MATCH(B2456, _xlfn._xlws.FILTER(B:B, A:A="2021-01"), 0))), "Left", "Ativo")</f>
        <v>Ativo</v>
      </c>
      <c r="D2456" s="10" t="str" cm="1">
        <f t="array" ref="D2456">IF(AND(A2456="2021-01", ISNA(MATCH(B2456, _xlfn._xlws.FILTER(B:B, A:A="2021-02"), 0))), "Left", "Ativo")</f>
        <v>Ativo</v>
      </c>
      <c r="E2456" s="10" t="str" cm="1">
        <f t="array" ref="E2456">IF(AND(A2456="2021-02", ISNA(MATCH(B2456, _xlfn._xlws.FILTER(B:B, A:A="2021-03"), 0))), "Left", "Ativo")</f>
        <v>Ativo</v>
      </c>
      <c r="F2456" s="12" t="str" cm="1">
        <f t="array" ref="F2456">IF(AND(A2456="2021-03", ISNA(MATCH(B2456, _xlfn._xlws.FILTER(B:B, A:A="2021-04"), 0))), "Left", "Ativo")</f>
        <v>Ativo</v>
      </c>
    </row>
    <row r="2457" spans="1:6" x14ac:dyDescent="0.25">
      <c r="A2457" t="s">
        <v>1530</v>
      </c>
      <c r="B2457" t="s">
        <v>539</v>
      </c>
      <c r="C2457" s="10" t="str" cm="1">
        <f t="array" ref="C2457">IF(AND(A2457="2020-12", ISNA(MATCH(B2457, _xlfn._xlws.FILTER(B:B, A:A="2021-01"), 0))), "Left", "Ativo")</f>
        <v>Ativo</v>
      </c>
      <c r="D2457" s="10" t="str" cm="1">
        <f t="array" ref="D2457">IF(AND(A2457="2021-01", ISNA(MATCH(B2457, _xlfn._xlws.FILTER(B:B, A:A="2021-02"), 0))), "Left", "Ativo")</f>
        <v>Ativo</v>
      </c>
      <c r="E2457" s="10" t="str" cm="1">
        <f t="array" ref="E2457">IF(AND(A2457="2021-02", ISNA(MATCH(B2457, _xlfn._xlws.FILTER(B:B, A:A="2021-03"), 0))), "Left", "Ativo")</f>
        <v>Ativo</v>
      </c>
      <c r="F2457" s="12" t="str" cm="1">
        <f t="array" ref="F2457">IF(AND(A2457="2021-03", ISNA(MATCH(B2457, _xlfn._xlws.FILTER(B:B, A:A="2021-04"), 0))), "Left", "Ativo")</f>
        <v>Ativo</v>
      </c>
    </row>
    <row r="2458" spans="1:6" x14ac:dyDescent="0.25">
      <c r="A2458" t="s">
        <v>1530</v>
      </c>
      <c r="B2458" t="s">
        <v>540</v>
      </c>
      <c r="C2458" s="10" t="str" cm="1">
        <f t="array" ref="C2458">IF(AND(A2458="2020-12", ISNA(MATCH(B2458, _xlfn._xlws.FILTER(B:B, A:A="2021-01"), 0))), "Left", "Ativo")</f>
        <v>Ativo</v>
      </c>
      <c r="D2458" s="10" t="str" cm="1">
        <f t="array" ref="D2458">IF(AND(A2458="2021-01", ISNA(MATCH(B2458, _xlfn._xlws.FILTER(B:B, A:A="2021-02"), 0))), "Left", "Ativo")</f>
        <v>Ativo</v>
      </c>
      <c r="E2458" s="10" t="str" cm="1">
        <f t="array" ref="E2458">IF(AND(A2458="2021-02", ISNA(MATCH(B2458, _xlfn._xlws.FILTER(B:B, A:A="2021-03"), 0))), "Left", "Ativo")</f>
        <v>Ativo</v>
      </c>
      <c r="F2458" s="12" t="str" cm="1">
        <f t="array" ref="F2458">IF(AND(A2458="2021-03", ISNA(MATCH(B2458, _xlfn._xlws.FILTER(B:B, A:A="2021-04"), 0))), "Left", "Ativo")</f>
        <v>Ativo</v>
      </c>
    </row>
    <row r="2459" spans="1:6" x14ac:dyDescent="0.25">
      <c r="A2459" t="s">
        <v>1530</v>
      </c>
      <c r="B2459" t="s">
        <v>541</v>
      </c>
      <c r="C2459" s="10" t="str" cm="1">
        <f t="array" ref="C2459">IF(AND(A2459="2020-12", ISNA(MATCH(B2459, _xlfn._xlws.FILTER(B:B, A:A="2021-01"), 0))), "Left", "Ativo")</f>
        <v>Ativo</v>
      </c>
      <c r="D2459" s="10" t="str" cm="1">
        <f t="array" ref="D2459">IF(AND(A2459="2021-01", ISNA(MATCH(B2459, _xlfn._xlws.FILTER(B:B, A:A="2021-02"), 0))), "Left", "Ativo")</f>
        <v>Ativo</v>
      </c>
      <c r="E2459" s="10" t="str" cm="1">
        <f t="array" ref="E2459">IF(AND(A2459="2021-02", ISNA(MATCH(B2459, _xlfn._xlws.FILTER(B:B, A:A="2021-03"), 0))), "Left", "Ativo")</f>
        <v>Ativo</v>
      </c>
      <c r="F2459" s="12" t="str" cm="1">
        <f t="array" ref="F2459">IF(AND(A2459="2021-03", ISNA(MATCH(B2459, _xlfn._xlws.FILTER(B:B, A:A="2021-04"), 0))), "Left", "Ativo")</f>
        <v>Ativo</v>
      </c>
    </row>
    <row r="2460" spans="1:6" x14ac:dyDescent="0.25">
      <c r="A2460" t="s">
        <v>1530</v>
      </c>
      <c r="B2460" t="s">
        <v>542</v>
      </c>
      <c r="C2460" s="10" t="str" cm="1">
        <f t="array" ref="C2460">IF(AND(A2460="2020-12", ISNA(MATCH(B2460, _xlfn._xlws.FILTER(B:B, A:A="2021-01"), 0))), "Left", "Ativo")</f>
        <v>Ativo</v>
      </c>
      <c r="D2460" s="10" t="str" cm="1">
        <f t="array" ref="D2460">IF(AND(A2460="2021-01", ISNA(MATCH(B2460, _xlfn._xlws.FILTER(B:B, A:A="2021-02"), 0))), "Left", "Ativo")</f>
        <v>Ativo</v>
      </c>
      <c r="E2460" s="10" t="str" cm="1">
        <f t="array" ref="E2460">IF(AND(A2460="2021-02", ISNA(MATCH(B2460, _xlfn._xlws.FILTER(B:B, A:A="2021-03"), 0))), "Left", "Ativo")</f>
        <v>Ativo</v>
      </c>
      <c r="F2460" s="12" t="str" cm="1">
        <f t="array" ref="F2460">IF(AND(A2460="2021-03", ISNA(MATCH(B2460, _xlfn._xlws.FILTER(B:B, A:A="2021-04"), 0))), "Left", "Ativo")</f>
        <v>Ativo</v>
      </c>
    </row>
    <row r="2461" spans="1:6" x14ac:dyDescent="0.25">
      <c r="A2461" t="s">
        <v>1530</v>
      </c>
      <c r="B2461" t="s">
        <v>543</v>
      </c>
      <c r="C2461" s="10" t="str" cm="1">
        <f t="array" ref="C2461">IF(AND(A2461="2020-12", ISNA(MATCH(B2461, _xlfn._xlws.FILTER(B:B, A:A="2021-01"), 0))), "Left", "Ativo")</f>
        <v>Ativo</v>
      </c>
      <c r="D2461" s="10" t="str" cm="1">
        <f t="array" ref="D2461">IF(AND(A2461="2021-01", ISNA(MATCH(B2461, _xlfn._xlws.FILTER(B:B, A:A="2021-02"), 0))), "Left", "Ativo")</f>
        <v>Ativo</v>
      </c>
      <c r="E2461" s="10" t="str" cm="1">
        <f t="array" ref="E2461">IF(AND(A2461="2021-02", ISNA(MATCH(B2461, _xlfn._xlws.FILTER(B:B, A:A="2021-03"), 0))), "Left", "Ativo")</f>
        <v>Ativo</v>
      </c>
      <c r="F2461" s="12" t="str" cm="1">
        <f t="array" ref="F2461">IF(AND(A2461="2021-03", ISNA(MATCH(B2461, _xlfn._xlws.FILTER(B:B, A:A="2021-04"), 0))), "Left", "Ativo")</f>
        <v>Ativo</v>
      </c>
    </row>
    <row r="2462" spans="1:6" x14ac:dyDescent="0.25">
      <c r="A2462" t="s">
        <v>1530</v>
      </c>
      <c r="B2462" t="s">
        <v>544</v>
      </c>
      <c r="C2462" s="10" t="str" cm="1">
        <f t="array" ref="C2462">IF(AND(A2462="2020-12", ISNA(MATCH(B2462, _xlfn._xlws.FILTER(B:B, A:A="2021-01"), 0))), "Left", "Ativo")</f>
        <v>Ativo</v>
      </c>
      <c r="D2462" s="10" t="str" cm="1">
        <f t="array" ref="D2462">IF(AND(A2462="2021-01", ISNA(MATCH(B2462, _xlfn._xlws.FILTER(B:B, A:A="2021-02"), 0))), "Left", "Ativo")</f>
        <v>Ativo</v>
      </c>
      <c r="E2462" s="10" t="str" cm="1">
        <f t="array" ref="E2462">IF(AND(A2462="2021-02", ISNA(MATCH(B2462, _xlfn._xlws.FILTER(B:B, A:A="2021-03"), 0))), "Left", "Ativo")</f>
        <v>Ativo</v>
      </c>
      <c r="F2462" s="12" t="str" cm="1">
        <f t="array" ref="F2462">IF(AND(A2462="2021-03", ISNA(MATCH(B2462, _xlfn._xlws.FILTER(B:B, A:A="2021-04"), 0))), "Left", "Ativo")</f>
        <v>Ativo</v>
      </c>
    </row>
    <row r="2463" spans="1:6" x14ac:dyDescent="0.25">
      <c r="A2463" t="s">
        <v>1530</v>
      </c>
      <c r="B2463" t="s">
        <v>545</v>
      </c>
      <c r="C2463" s="10" t="str" cm="1">
        <f t="array" ref="C2463">IF(AND(A2463="2020-12", ISNA(MATCH(B2463, _xlfn._xlws.FILTER(B:B, A:A="2021-01"), 0))), "Left", "Ativo")</f>
        <v>Ativo</v>
      </c>
      <c r="D2463" s="10" t="str" cm="1">
        <f t="array" ref="D2463">IF(AND(A2463="2021-01", ISNA(MATCH(B2463, _xlfn._xlws.FILTER(B:B, A:A="2021-02"), 0))), "Left", "Ativo")</f>
        <v>Ativo</v>
      </c>
      <c r="E2463" s="10" t="str" cm="1">
        <f t="array" ref="E2463">IF(AND(A2463="2021-02", ISNA(MATCH(B2463, _xlfn._xlws.FILTER(B:B, A:A="2021-03"), 0))), "Left", "Ativo")</f>
        <v>Ativo</v>
      </c>
      <c r="F2463" s="12" t="str" cm="1">
        <f t="array" ref="F2463">IF(AND(A2463="2021-03", ISNA(MATCH(B2463, _xlfn._xlws.FILTER(B:B, A:A="2021-04"), 0))), "Left", "Ativo")</f>
        <v>Ativo</v>
      </c>
    </row>
    <row r="2464" spans="1:6" x14ac:dyDescent="0.25">
      <c r="A2464" t="s">
        <v>1530</v>
      </c>
      <c r="B2464" t="s">
        <v>546</v>
      </c>
      <c r="C2464" s="10" t="str" cm="1">
        <f t="array" ref="C2464">IF(AND(A2464="2020-12", ISNA(MATCH(B2464, _xlfn._xlws.FILTER(B:B, A:A="2021-01"), 0))), "Left", "Ativo")</f>
        <v>Ativo</v>
      </c>
      <c r="D2464" s="10" t="str" cm="1">
        <f t="array" ref="D2464">IF(AND(A2464="2021-01", ISNA(MATCH(B2464, _xlfn._xlws.FILTER(B:B, A:A="2021-02"), 0))), "Left", "Ativo")</f>
        <v>Ativo</v>
      </c>
      <c r="E2464" s="10" t="str" cm="1">
        <f t="array" ref="E2464">IF(AND(A2464="2021-02", ISNA(MATCH(B2464, _xlfn._xlws.FILTER(B:B, A:A="2021-03"), 0))), "Left", "Ativo")</f>
        <v>Ativo</v>
      </c>
      <c r="F2464" s="12" t="str" cm="1">
        <f t="array" ref="F2464">IF(AND(A2464="2021-03", ISNA(MATCH(B2464, _xlfn._xlws.FILTER(B:B, A:A="2021-04"), 0))), "Left", "Ativo")</f>
        <v>Ativo</v>
      </c>
    </row>
    <row r="2465" spans="1:6" x14ac:dyDescent="0.25">
      <c r="A2465" t="s">
        <v>1530</v>
      </c>
      <c r="B2465" t="s">
        <v>547</v>
      </c>
      <c r="C2465" s="10" t="str" cm="1">
        <f t="array" ref="C2465">IF(AND(A2465="2020-12", ISNA(MATCH(B2465, _xlfn._xlws.FILTER(B:B, A:A="2021-01"), 0))), "Left", "Ativo")</f>
        <v>Ativo</v>
      </c>
      <c r="D2465" s="10" t="str" cm="1">
        <f t="array" ref="D2465">IF(AND(A2465="2021-01", ISNA(MATCH(B2465, _xlfn._xlws.FILTER(B:B, A:A="2021-02"), 0))), "Left", "Ativo")</f>
        <v>Ativo</v>
      </c>
      <c r="E2465" s="10" t="str" cm="1">
        <f t="array" ref="E2465">IF(AND(A2465="2021-02", ISNA(MATCH(B2465, _xlfn._xlws.FILTER(B:B, A:A="2021-03"), 0))), "Left", "Ativo")</f>
        <v>Ativo</v>
      </c>
      <c r="F2465" s="12" t="str" cm="1">
        <f t="array" ref="F2465">IF(AND(A2465="2021-03", ISNA(MATCH(B2465, _xlfn._xlws.FILTER(B:B, A:A="2021-04"), 0))), "Left", "Ativo")</f>
        <v>Ativo</v>
      </c>
    </row>
    <row r="2466" spans="1:6" x14ac:dyDescent="0.25">
      <c r="A2466" t="s">
        <v>1530</v>
      </c>
      <c r="B2466" t="s">
        <v>548</v>
      </c>
      <c r="C2466" s="10" t="str" cm="1">
        <f t="array" ref="C2466">IF(AND(A2466="2020-12", ISNA(MATCH(B2466, _xlfn._xlws.FILTER(B:B, A:A="2021-01"), 0))), "Left", "Ativo")</f>
        <v>Ativo</v>
      </c>
      <c r="D2466" s="10" t="str" cm="1">
        <f t="array" ref="D2466">IF(AND(A2466="2021-01", ISNA(MATCH(B2466, _xlfn._xlws.FILTER(B:B, A:A="2021-02"), 0))), "Left", "Ativo")</f>
        <v>Ativo</v>
      </c>
      <c r="E2466" s="10" t="str" cm="1">
        <f t="array" ref="E2466">IF(AND(A2466="2021-02", ISNA(MATCH(B2466, _xlfn._xlws.FILTER(B:B, A:A="2021-03"), 0))), "Left", "Ativo")</f>
        <v>Ativo</v>
      </c>
      <c r="F2466" s="12" t="str" cm="1">
        <f t="array" ref="F2466">IF(AND(A2466="2021-03", ISNA(MATCH(B2466, _xlfn._xlws.FILTER(B:B, A:A="2021-04"), 0))), "Left", "Ativo")</f>
        <v>Ativo</v>
      </c>
    </row>
    <row r="2467" spans="1:6" x14ac:dyDescent="0.25">
      <c r="A2467" t="s">
        <v>1530</v>
      </c>
      <c r="B2467" t="s">
        <v>549</v>
      </c>
      <c r="C2467" s="10" t="str" cm="1">
        <f t="array" ref="C2467">IF(AND(A2467="2020-12", ISNA(MATCH(B2467, _xlfn._xlws.FILTER(B:B, A:A="2021-01"), 0))), "Left", "Ativo")</f>
        <v>Ativo</v>
      </c>
      <c r="D2467" s="10" t="str" cm="1">
        <f t="array" ref="D2467">IF(AND(A2467="2021-01", ISNA(MATCH(B2467, _xlfn._xlws.FILTER(B:B, A:A="2021-02"), 0))), "Left", "Ativo")</f>
        <v>Ativo</v>
      </c>
      <c r="E2467" s="10" t="str" cm="1">
        <f t="array" ref="E2467">IF(AND(A2467="2021-02", ISNA(MATCH(B2467, _xlfn._xlws.FILTER(B:B, A:A="2021-03"), 0))), "Left", "Ativo")</f>
        <v>Ativo</v>
      </c>
      <c r="F2467" s="12" t="str" cm="1">
        <f t="array" ref="F2467">IF(AND(A2467="2021-03", ISNA(MATCH(B2467, _xlfn._xlws.FILTER(B:B, A:A="2021-04"), 0))), "Left", "Ativo")</f>
        <v>Ativo</v>
      </c>
    </row>
    <row r="2468" spans="1:6" x14ac:dyDescent="0.25">
      <c r="A2468" t="s">
        <v>1530</v>
      </c>
      <c r="B2468" t="s">
        <v>550</v>
      </c>
      <c r="C2468" s="10" t="str" cm="1">
        <f t="array" ref="C2468">IF(AND(A2468="2020-12", ISNA(MATCH(B2468, _xlfn._xlws.FILTER(B:B, A:A="2021-01"), 0))), "Left", "Ativo")</f>
        <v>Ativo</v>
      </c>
      <c r="D2468" s="10" t="str" cm="1">
        <f t="array" ref="D2468">IF(AND(A2468="2021-01", ISNA(MATCH(B2468, _xlfn._xlws.FILTER(B:B, A:A="2021-02"), 0))), "Left", "Ativo")</f>
        <v>Ativo</v>
      </c>
      <c r="E2468" s="10" t="str" cm="1">
        <f t="array" ref="E2468">IF(AND(A2468="2021-02", ISNA(MATCH(B2468, _xlfn._xlws.FILTER(B:B, A:A="2021-03"), 0))), "Left", "Ativo")</f>
        <v>Ativo</v>
      </c>
      <c r="F2468" s="12" t="str" cm="1">
        <f t="array" ref="F2468">IF(AND(A2468="2021-03", ISNA(MATCH(B2468, _xlfn._xlws.FILTER(B:B, A:A="2021-04"), 0))), "Left", "Ativo")</f>
        <v>Ativo</v>
      </c>
    </row>
    <row r="2469" spans="1:6" x14ac:dyDescent="0.25">
      <c r="A2469" t="s">
        <v>1530</v>
      </c>
      <c r="B2469" t="s">
        <v>551</v>
      </c>
      <c r="C2469" s="10" t="str" cm="1">
        <f t="array" ref="C2469">IF(AND(A2469="2020-12", ISNA(MATCH(B2469, _xlfn._xlws.FILTER(B:B, A:A="2021-01"), 0))), "Left", "Ativo")</f>
        <v>Ativo</v>
      </c>
      <c r="D2469" s="10" t="str" cm="1">
        <f t="array" ref="D2469">IF(AND(A2469="2021-01", ISNA(MATCH(B2469, _xlfn._xlws.FILTER(B:B, A:A="2021-02"), 0))), "Left", "Ativo")</f>
        <v>Ativo</v>
      </c>
      <c r="E2469" s="10" t="str" cm="1">
        <f t="array" ref="E2469">IF(AND(A2469="2021-02", ISNA(MATCH(B2469, _xlfn._xlws.FILTER(B:B, A:A="2021-03"), 0))), "Left", "Ativo")</f>
        <v>Ativo</v>
      </c>
      <c r="F2469" s="12" t="str" cm="1">
        <f t="array" ref="F2469">IF(AND(A2469="2021-03", ISNA(MATCH(B2469, _xlfn._xlws.FILTER(B:B, A:A="2021-04"), 0))), "Left", "Ativo")</f>
        <v>Ativo</v>
      </c>
    </row>
    <row r="2470" spans="1:6" x14ac:dyDescent="0.25">
      <c r="A2470" t="s">
        <v>1530</v>
      </c>
      <c r="B2470" t="s">
        <v>552</v>
      </c>
      <c r="C2470" s="10" t="str" cm="1">
        <f t="array" ref="C2470">IF(AND(A2470="2020-12", ISNA(MATCH(B2470, _xlfn._xlws.FILTER(B:B, A:A="2021-01"), 0))), "Left", "Ativo")</f>
        <v>Ativo</v>
      </c>
      <c r="D2470" s="10" t="str" cm="1">
        <f t="array" ref="D2470">IF(AND(A2470="2021-01", ISNA(MATCH(B2470, _xlfn._xlws.FILTER(B:B, A:A="2021-02"), 0))), "Left", "Ativo")</f>
        <v>Ativo</v>
      </c>
      <c r="E2470" s="10" t="str" cm="1">
        <f t="array" ref="E2470">IF(AND(A2470="2021-02", ISNA(MATCH(B2470, _xlfn._xlws.FILTER(B:B, A:A="2021-03"), 0))), "Left", "Ativo")</f>
        <v>Ativo</v>
      </c>
      <c r="F2470" s="12" t="str" cm="1">
        <f t="array" ref="F2470">IF(AND(A2470="2021-03", ISNA(MATCH(B2470, _xlfn._xlws.FILTER(B:B, A:A="2021-04"), 0))), "Left", "Ativo")</f>
        <v>Ativo</v>
      </c>
    </row>
    <row r="2471" spans="1:6" x14ac:dyDescent="0.25">
      <c r="A2471" t="s">
        <v>1530</v>
      </c>
      <c r="B2471" t="s">
        <v>553</v>
      </c>
      <c r="C2471" s="10" t="str" cm="1">
        <f t="array" ref="C2471">IF(AND(A2471="2020-12", ISNA(MATCH(B2471, _xlfn._xlws.FILTER(B:B, A:A="2021-01"), 0))), "Left", "Ativo")</f>
        <v>Ativo</v>
      </c>
      <c r="D2471" s="10" t="str" cm="1">
        <f t="array" ref="D2471">IF(AND(A2471="2021-01", ISNA(MATCH(B2471, _xlfn._xlws.FILTER(B:B, A:A="2021-02"), 0))), "Left", "Ativo")</f>
        <v>Ativo</v>
      </c>
      <c r="E2471" s="10" t="str" cm="1">
        <f t="array" ref="E2471">IF(AND(A2471="2021-02", ISNA(MATCH(B2471, _xlfn._xlws.FILTER(B:B, A:A="2021-03"), 0))), "Left", "Ativo")</f>
        <v>Ativo</v>
      </c>
      <c r="F2471" s="12" t="str" cm="1">
        <f t="array" ref="F2471">IF(AND(A2471="2021-03", ISNA(MATCH(B2471, _xlfn._xlws.FILTER(B:B, A:A="2021-04"), 0))), "Left", "Ativo")</f>
        <v>Ativo</v>
      </c>
    </row>
    <row r="2472" spans="1:6" x14ac:dyDescent="0.25">
      <c r="A2472" t="s">
        <v>1530</v>
      </c>
      <c r="B2472" t="s">
        <v>554</v>
      </c>
      <c r="C2472" s="10" t="str" cm="1">
        <f t="array" ref="C2472">IF(AND(A2472="2020-12", ISNA(MATCH(B2472, _xlfn._xlws.FILTER(B:B, A:A="2021-01"), 0))), "Left", "Ativo")</f>
        <v>Ativo</v>
      </c>
      <c r="D2472" s="10" t="str" cm="1">
        <f t="array" ref="D2472">IF(AND(A2472="2021-01", ISNA(MATCH(B2472, _xlfn._xlws.FILTER(B:B, A:A="2021-02"), 0))), "Left", "Ativo")</f>
        <v>Ativo</v>
      </c>
      <c r="E2472" s="10" t="str" cm="1">
        <f t="array" ref="E2472">IF(AND(A2472="2021-02", ISNA(MATCH(B2472, _xlfn._xlws.FILTER(B:B, A:A="2021-03"), 0))), "Left", "Ativo")</f>
        <v>Ativo</v>
      </c>
      <c r="F2472" s="12" t="str" cm="1">
        <f t="array" ref="F2472">IF(AND(A2472="2021-03", ISNA(MATCH(B2472, _xlfn._xlws.FILTER(B:B, A:A="2021-04"), 0))), "Left", "Ativo")</f>
        <v>Ativo</v>
      </c>
    </row>
    <row r="2473" spans="1:6" x14ac:dyDescent="0.25">
      <c r="A2473" t="s">
        <v>1530</v>
      </c>
      <c r="B2473" t="s">
        <v>555</v>
      </c>
      <c r="C2473" s="10" t="str" cm="1">
        <f t="array" ref="C2473">IF(AND(A2473="2020-12", ISNA(MATCH(B2473, _xlfn._xlws.FILTER(B:B, A:A="2021-01"), 0))), "Left", "Ativo")</f>
        <v>Ativo</v>
      </c>
      <c r="D2473" s="10" t="str" cm="1">
        <f t="array" ref="D2473">IF(AND(A2473="2021-01", ISNA(MATCH(B2473, _xlfn._xlws.FILTER(B:B, A:A="2021-02"), 0))), "Left", "Ativo")</f>
        <v>Ativo</v>
      </c>
      <c r="E2473" s="10" t="str" cm="1">
        <f t="array" ref="E2473">IF(AND(A2473="2021-02", ISNA(MATCH(B2473, _xlfn._xlws.FILTER(B:B, A:A="2021-03"), 0))), "Left", "Ativo")</f>
        <v>Ativo</v>
      </c>
      <c r="F2473" s="12" t="str" cm="1">
        <f t="array" ref="F2473">IF(AND(A2473="2021-03", ISNA(MATCH(B2473, _xlfn._xlws.FILTER(B:B, A:A="2021-04"), 0))), "Left", "Ativo")</f>
        <v>Ativo</v>
      </c>
    </row>
    <row r="2474" spans="1:6" x14ac:dyDescent="0.25">
      <c r="A2474" t="s">
        <v>1530</v>
      </c>
      <c r="B2474" t="s">
        <v>556</v>
      </c>
      <c r="C2474" s="10" t="str" cm="1">
        <f t="array" ref="C2474">IF(AND(A2474="2020-12", ISNA(MATCH(B2474, _xlfn._xlws.FILTER(B:B, A:A="2021-01"), 0))), "Left", "Ativo")</f>
        <v>Ativo</v>
      </c>
      <c r="D2474" s="10" t="str" cm="1">
        <f t="array" ref="D2474">IF(AND(A2474="2021-01", ISNA(MATCH(B2474, _xlfn._xlws.FILTER(B:B, A:A="2021-02"), 0))), "Left", "Ativo")</f>
        <v>Ativo</v>
      </c>
      <c r="E2474" s="10" t="str" cm="1">
        <f t="array" ref="E2474">IF(AND(A2474="2021-02", ISNA(MATCH(B2474, _xlfn._xlws.FILTER(B:B, A:A="2021-03"), 0))), "Left", "Ativo")</f>
        <v>Ativo</v>
      </c>
      <c r="F2474" s="12" t="str" cm="1">
        <f t="array" ref="F2474">IF(AND(A2474="2021-03", ISNA(MATCH(B2474, _xlfn._xlws.FILTER(B:B, A:A="2021-04"), 0))), "Left", "Ativo")</f>
        <v>Ativo</v>
      </c>
    </row>
    <row r="2475" spans="1:6" x14ac:dyDescent="0.25">
      <c r="A2475" t="s">
        <v>1530</v>
      </c>
      <c r="B2475" t="s">
        <v>557</v>
      </c>
      <c r="C2475" s="10" t="str" cm="1">
        <f t="array" ref="C2475">IF(AND(A2475="2020-12", ISNA(MATCH(B2475, _xlfn._xlws.FILTER(B:B, A:A="2021-01"), 0))), "Left", "Ativo")</f>
        <v>Ativo</v>
      </c>
      <c r="D2475" s="10" t="str" cm="1">
        <f t="array" ref="D2475">IF(AND(A2475="2021-01", ISNA(MATCH(B2475, _xlfn._xlws.FILTER(B:B, A:A="2021-02"), 0))), "Left", "Ativo")</f>
        <v>Ativo</v>
      </c>
      <c r="E2475" s="10" t="str" cm="1">
        <f t="array" ref="E2475">IF(AND(A2475="2021-02", ISNA(MATCH(B2475, _xlfn._xlws.FILTER(B:B, A:A="2021-03"), 0))), "Left", "Ativo")</f>
        <v>Ativo</v>
      </c>
      <c r="F2475" s="12" t="str" cm="1">
        <f t="array" ref="F2475">IF(AND(A2475="2021-03", ISNA(MATCH(B2475, _xlfn._xlws.FILTER(B:B, A:A="2021-04"), 0))), "Left", "Ativo")</f>
        <v>Ativo</v>
      </c>
    </row>
    <row r="2476" spans="1:6" x14ac:dyDescent="0.25">
      <c r="A2476" t="s">
        <v>1530</v>
      </c>
      <c r="B2476" t="s">
        <v>558</v>
      </c>
      <c r="C2476" s="10" t="str" cm="1">
        <f t="array" ref="C2476">IF(AND(A2476="2020-12", ISNA(MATCH(B2476, _xlfn._xlws.FILTER(B:B, A:A="2021-01"), 0))), "Left", "Ativo")</f>
        <v>Ativo</v>
      </c>
      <c r="D2476" s="10" t="str" cm="1">
        <f t="array" ref="D2476">IF(AND(A2476="2021-01", ISNA(MATCH(B2476, _xlfn._xlws.FILTER(B:B, A:A="2021-02"), 0))), "Left", "Ativo")</f>
        <v>Ativo</v>
      </c>
      <c r="E2476" s="10" t="str" cm="1">
        <f t="array" ref="E2476">IF(AND(A2476="2021-02", ISNA(MATCH(B2476, _xlfn._xlws.FILTER(B:B, A:A="2021-03"), 0))), "Left", "Ativo")</f>
        <v>Ativo</v>
      </c>
      <c r="F2476" s="12" t="str" cm="1">
        <f t="array" ref="F2476">IF(AND(A2476="2021-03", ISNA(MATCH(B2476, _xlfn._xlws.FILTER(B:B, A:A="2021-04"), 0))), "Left", "Ativo")</f>
        <v>Ativo</v>
      </c>
    </row>
    <row r="2477" spans="1:6" x14ac:dyDescent="0.25">
      <c r="A2477" t="s">
        <v>1530</v>
      </c>
      <c r="B2477" t="s">
        <v>559</v>
      </c>
      <c r="C2477" s="10" t="str" cm="1">
        <f t="array" ref="C2477">IF(AND(A2477="2020-12", ISNA(MATCH(B2477, _xlfn._xlws.FILTER(B:B, A:A="2021-01"), 0))), "Left", "Ativo")</f>
        <v>Ativo</v>
      </c>
      <c r="D2477" s="10" t="str" cm="1">
        <f t="array" ref="D2477">IF(AND(A2477="2021-01", ISNA(MATCH(B2477, _xlfn._xlws.FILTER(B:B, A:A="2021-02"), 0))), "Left", "Ativo")</f>
        <v>Ativo</v>
      </c>
      <c r="E2477" s="10" t="str" cm="1">
        <f t="array" ref="E2477">IF(AND(A2477="2021-02", ISNA(MATCH(B2477, _xlfn._xlws.FILTER(B:B, A:A="2021-03"), 0))), "Left", "Ativo")</f>
        <v>Ativo</v>
      </c>
      <c r="F2477" s="12" t="str" cm="1">
        <f t="array" ref="F2477">IF(AND(A2477="2021-03", ISNA(MATCH(B2477, _xlfn._xlws.FILTER(B:B, A:A="2021-04"), 0))), "Left", "Ativo")</f>
        <v>Ativo</v>
      </c>
    </row>
    <row r="2478" spans="1:6" x14ac:dyDescent="0.25">
      <c r="A2478" t="s">
        <v>1530</v>
      </c>
      <c r="B2478" t="s">
        <v>560</v>
      </c>
      <c r="C2478" s="10" t="str" cm="1">
        <f t="array" ref="C2478">IF(AND(A2478="2020-12", ISNA(MATCH(B2478, _xlfn._xlws.FILTER(B:B, A:A="2021-01"), 0))), "Left", "Ativo")</f>
        <v>Ativo</v>
      </c>
      <c r="D2478" s="10" t="str" cm="1">
        <f t="array" ref="D2478">IF(AND(A2478="2021-01", ISNA(MATCH(B2478, _xlfn._xlws.FILTER(B:B, A:A="2021-02"), 0))), "Left", "Ativo")</f>
        <v>Ativo</v>
      </c>
      <c r="E2478" s="10" t="str" cm="1">
        <f t="array" ref="E2478">IF(AND(A2478="2021-02", ISNA(MATCH(B2478, _xlfn._xlws.FILTER(B:B, A:A="2021-03"), 0))), "Left", "Ativo")</f>
        <v>Ativo</v>
      </c>
      <c r="F2478" s="12" t="str" cm="1">
        <f t="array" ref="F2478">IF(AND(A2478="2021-03", ISNA(MATCH(B2478, _xlfn._xlws.FILTER(B:B, A:A="2021-04"), 0))), "Left", "Ativo")</f>
        <v>Ativo</v>
      </c>
    </row>
    <row r="2479" spans="1:6" x14ac:dyDescent="0.25">
      <c r="A2479" t="s">
        <v>1530</v>
      </c>
      <c r="B2479" t="s">
        <v>561</v>
      </c>
      <c r="C2479" s="10" t="str" cm="1">
        <f t="array" ref="C2479">IF(AND(A2479="2020-12", ISNA(MATCH(B2479, _xlfn._xlws.FILTER(B:B, A:A="2021-01"), 0))), "Left", "Ativo")</f>
        <v>Ativo</v>
      </c>
      <c r="D2479" s="10" t="str" cm="1">
        <f t="array" ref="D2479">IF(AND(A2479="2021-01", ISNA(MATCH(B2479, _xlfn._xlws.FILTER(B:B, A:A="2021-02"), 0))), "Left", "Ativo")</f>
        <v>Ativo</v>
      </c>
      <c r="E2479" s="10" t="str" cm="1">
        <f t="array" ref="E2479">IF(AND(A2479="2021-02", ISNA(MATCH(B2479, _xlfn._xlws.FILTER(B:B, A:A="2021-03"), 0))), "Left", "Ativo")</f>
        <v>Ativo</v>
      </c>
      <c r="F2479" s="12" t="str" cm="1">
        <f t="array" ref="F2479">IF(AND(A2479="2021-03", ISNA(MATCH(B2479, _xlfn._xlws.FILTER(B:B, A:A="2021-04"), 0))), "Left", "Ativo")</f>
        <v>Ativo</v>
      </c>
    </row>
    <row r="2480" spans="1:6" x14ac:dyDescent="0.25">
      <c r="A2480" t="s">
        <v>1530</v>
      </c>
      <c r="B2480" t="s">
        <v>562</v>
      </c>
      <c r="C2480" s="10" t="str" cm="1">
        <f t="array" ref="C2480">IF(AND(A2480="2020-12", ISNA(MATCH(B2480, _xlfn._xlws.FILTER(B:B, A:A="2021-01"), 0))), "Left", "Ativo")</f>
        <v>Ativo</v>
      </c>
      <c r="D2480" s="10" t="str" cm="1">
        <f t="array" ref="D2480">IF(AND(A2480="2021-01", ISNA(MATCH(B2480, _xlfn._xlws.FILTER(B:B, A:A="2021-02"), 0))), "Left", "Ativo")</f>
        <v>Ativo</v>
      </c>
      <c r="E2480" s="10" t="str" cm="1">
        <f t="array" ref="E2480">IF(AND(A2480="2021-02", ISNA(MATCH(B2480, _xlfn._xlws.FILTER(B:B, A:A="2021-03"), 0))), "Left", "Ativo")</f>
        <v>Ativo</v>
      </c>
      <c r="F2480" s="12" t="str" cm="1">
        <f t="array" ref="F2480">IF(AND(A2480="2021-03", ISNA(MATCH(B2480, _xlfn._xlws.FILTER(B:B, A:A="2021-04"), 0))), "Left", "Ativo")</f>
        <v>Ativo</v>
      </c>
    </row>
    <row r="2481" spans="1:6" x14ac:dyDescent="0.25">
      <c r="A2481" t="s">
        <v>1530</v>
      </c>
      <c r="B2481" t="s">
        <v>563</v>
      </c>
      <c r="C2481" s="10" t="str" cm="1">
        <f t="array" ref="C2481">IF(AND(A2481="2020-12", ISNA(MATCH(B2481, _xlfn._xlws.FILTER(B:B, A:A="2021-01"), 0))), "Left", "Ativo")</f>
        <v>Ativo</v>
      </c>
      <c r="D2481" s="10" t="str" cm="1">
        <f t="array" ref="D2481">IF(AND(A2481="2021-01", ISNA(MATCH(B2481, _xlfn._xlws.FILTER(B:B, A:A="2021-02"), 0))), "Left", "Ativo")</f>
        <v>Ativo</v>
      </c>
      <c r="E2481" s="10" t="str" cm="1">
        <f t="array" ref="E2481">IF(AND(A2481="2021-02", ISNA(MATCH(B2481, _xlfn._xlws.FILTER(B:B, A:A="2021-03"), 0))), "Left", "Ativo")</f>
        <v>Ativo</v>
      </c>
      <c r="F2481" s="12" t="str" cm="1">
        <f t="array" ref="F2481">IF(AND(A2481="2021-03", ISNA(MATCH(B2481, _xlfn._xlws.FILTER(B:B, A:A="2021-04"), 0))), "Left", "Ativo")</f>
        <v>Ativo</v>
      </c>
    </row>
    <row r="2482" spans="1:6" x14ac:dyDescent="0.25">
      <c r="A2482" t="s">
        <v>1530</v>
      </c>
      <c r="B2482" t="s">
        <v>564</v>
      </c>
      <c r="C2482" s="10" t="str" cm="1">
        <f t="array" ref="C2482">IF(AND(A2482="2020-12", ISNA(MATCH(B2482, _xlfn._xlws.FILTER(B:B, A:A="2021-01"), 0))), "Left", "Ativo")</f>
        <v>Ativo</v>
      </c>
      <c r="D2482" s="10" t="str" cm="1">
        <f t="array" ref="D2482">IF(AND(A2482="2021-01", ISNA(MATCH(B2482, _xlfn._xlws.FILTER(B:B, A:A="2021-02"), 0))), "Left", "Ativo")</f>
        <v>Ativo</v>
      </c>
      <c r="E2482" s="10" t="str" cm="1">
        <f t="array" ref="E2482">IF(AND(A2482="2021-02", ISNA(MATCH(B2482, _xlfn._xlws.FILTER(B:B, A:A="2021-03"), 0))), "Left", "Ativo")</f>
        <v>Ativo</v>
      </c>
      <c r="F2482" s="12" t="str" cm="1">
        <f t="array" ref="F2482">IF(AND(A2482="2021-03", ISNA(MATCH(B2482, _xlfn._xlws.FILTER(B:B, A:A="2021-04"), 0))), "Left", "Ativo")</f>
        <v>Ativo</v>
      </c>
    </row>
    <row r="2483" spans="1:6" x14ac:dyDescent="0.25">
      <c r="A2483" t="s">
        <v>1530</v>
      </c>
      <c r="B2483" t="s">
        <v>1028</v>
      </c>
      <c r="C2483" s="10" t="str" cm="1">
        <f t="array" ref="C2483">IF(AND(A2483="2020-12", ISNA(MATCH(B2483, _xlfn._xlws.FILTER(B:B, A:A="2021-01"), 0))), "Left", "Ativo")</f>
        <v>Ativo</v>
      </c>
      <c r="D2483" s="10" t="str" cm="1">
        <f t="array" ref="D2483">IF(AND(A2483="2021-01", ISNA(MATCH(B2483, _xlfn._xlws.FILTER(B:B, A:A="2021-02"), 0))), "Left", "Ativo")</f>
        <v>Ativo</v>
      </c>
      <c r="E2483" s="10" t="str" cm="1">
        <f t="array" ref="E2483">IF(AND(A2483="2021-02", ISNA(MATCH(B2483, _xlfn._xlws.FILTER(B:B, A:A="2021-03"), 0))), "Left", "Ativo")</f>
        <v>Ativo</v>
      </c>
      <c r="F2483" s="12" t="str" cm="1">
        <f t="array" ref="F2483">IF(AND(A2483="2021-03", ISNA(MATCH(B2483, _xlfn._xlws.FILTER(B:B, A:A="2021-04"), 0))), "Left", "Ativo")</f>
        <v>Ativo</v>
      </c>
    </row>
    <row r="2484" spans="1:6" x14ac:dyDescent="0.25">
      <c r="A2484" t="s">
        <v>1530</v>
      </c>
      <c r="B2484" t="s">
        <v>1029</v>
      </c>
      <c r="C2484" s="10" t="str" cm="1">
        <f t="array" ref="C2484">IF(AND(A2484="2020-12", ISNA(MATCH(B2484, _xlfn._xlws.FILTER(B:B, A:A="2021-01"), 0))), "Left", "Ativo")</f>
        <v>Ativo</v>
      </c>
      <c r="D2484" s="10" t="str" cm="1">
        <f t="array" ref="D2484">IF(AND(A2484="2021-01", ISNA(MATCH(B2484, _xlfn._xlws.FILTER(B:B, A:A="2021-02"), 0))), "Left", "Ativo")</f>
        <v>Ativo</v>
      </c>
      <c r="E2484" s="10" t="str" cm="1">
        <f t="array" ref="E2484">IF(AND(A2484="2021-02", ISNA(MATCH(B2484, _xlfn._xlws.FILTER(B:B, A:A="2021-03"), 0))), "Left", "Ativo")</f>
        <v>Ativo</v>
      </c>
      <c r="F2484" s="12" t="str" cm="1">
        <f t="array" ref="F2484">IF(AND(A2484="2021-03", ISNA(MATCH(B2484, _xlfn._xlws.FILTER(B:B, A:A="2021-04"), 0))), "Left", "Ativo")</f>
        <v>Ativo</v>
      </c>
    </row>
    <row r="2485" spans="1:6" x14ac:dyDescent="0.25">
      <c r="A2485" t="s">
        <v>1530</v>
      </c>
      <c r="B2485" t="s">
        <v>1030</v>
      </c>
      <c r="C2485" s="10" t="str" cm="1">
        <f t="array" ref="C2485">IF(AND(A2485="2020-12", ISNA(MATCH(B2485, _xlfn._xlws.FILTER(B:B, A:A="2021-01"), 0))), "Left", "Ativo")</f>
        <v>Ativo</v>
      </c>
      <c r="D2485" s="10" t="str" cm="1">
        <f t="array" ref="D2485">IF(AND(A2485="2021-01", ISNA(MATCH(B2485, _xlfn._xlws.FILTER(B:B, A:A="2021-02"), 0))), "Left", "Ativo")</f>
        <v>Ativo</v>
      </c>
      <c r="E2485" s="10" t="str" cm="1">
        <f t="array" ref="E2485">IF(AND(A2485="2021-02", ISNA(MATCH(B2485, _xlfn._xlws.FILTER(B:B, A:A="2021-03"), 0))), "Left", "Ativo")</f>
        <v>Ativo</v>
      </c>
      <c r="F2485" s="12" t="str" cm="1">
        <f t="array" ref="F2485">IF(AND(A2485="2021-03", ISNA(MATCH(B2485, _xlfn._xlws.FILTER(B:B, A:A="2021-04"), 0))), "Left", "Ativo")</f>
        <v>Ativo</v>
      </c>
    </row>
    <row r="2486" spans="1:6" x14ac:dyDescent="0.25">
      <c r="A2486" t="s">
        <v>1530</v>
      </c>
      <c r="B2486" t="s">
        <v>1031</v>
      </c>
      <c r="C2486" s="10" t="str" cm="1">
        <f t="array" ref="C2486">IF(AND(A2486="2020-12", ISNA(MATCH(B2486, _xlfn._xlws.FILTER(B:B, A:A="2021-01"), 0))), "Left", "Ativo")</f>
        <v>Ativo</v>
      </c>
      <c r="D2486" s="10" t="str" cm="1">
        <f t="array" ref="D2486">IF(AND(A2486="2021-01", ISNA(MATCH(B2486, _xlfn._xlws.FILTER(B:B, A:A="2021-02"), 0))), "Left", "Ativo")</f>
        <v>Ativo</v>
      </c>
      <c r="E2486" s="10" t="str" cm="1">
        <f t="array" ref="E2486">IF(AND(A2486="2021-02", ISNA(MATCH(B2486, _xlfn._xlws.FILTER(B:B, A:A="2021-03"), 0))), "Left", "Ativo")</f>
        <v>Ativo</v>
      </c>
      <c r="F2486" s="12" t="str" cm="1">
        <f t="array" ref="F2486">IF(AND(A2486="2021-03", ISNA(MATCH(B2486, _xlfn._xlws.FILTER(B:B, A:A="2021-04"), 0))), "Left", "Ativo")</f>
        <v>Ativo</v>
      </c>
    </row>
    <row r="2487" spans="1:6" x14ac:dyDescent="0.25">
      <c r="A2487" t="s">
        <v>1530</v>
      </c>
      <c r="B2487" t="s">
        <v>1032</v>
      </c>
      <c r="C2487" s="10" t="str" cm="1">
        <f t="array" ref="C2487">IF(AND(A2487="2020-12", ISNA(MATCH(B2487, _xlfn._xlws.FILTER(B:B, A:A="2021-01"), 0))), "Left", "Ativo")</f>
        <v>Ativo</v>
      </c>
      <c r="D2487" s="10" t="str" cm="1">
        <f t="array" ref="D2487">IF(AND(A2487="2021-01", ISNA(MATCH(B2487, _xlfn._xlws.FILTER(B:B, A:A="2021-02"), 0))), "Left", "Ativo")</f>
        <v>Ativo</v>
      </c>
      <c r="E2487" s="10" t="str" cm="1">
        <f t="array" ref="E2487">IF(AND(A2487="2021-02", ISNA(MATCH(B2487, _xlfn._xlws.FILTER(B:B, A:A="2021-03"), 0))), "Left", "Ativo")</f>
        <v>Ativo</v>
      </c>
      <c r="F2487" s="12" t="str" cm="1">
        <f t="array" ref="F2487">IF(AND(A2487="2021-03", ISNA(MATCH(B2487, _xlfn._xlws.FILTER(B:B, A:A="2021-04"), 0))), "Left", "Ativo")</f>
        <v>Ativo</v>
      </c>
    </row>
    <row r="2488" spans="1:6" x14ac:dyDescent="0.25">
      <c r="A2488" t="s">
        <v>1530</v>
      </c>
      <c r="B2488" t="s">
        <v>1033</v>
      </c>
      <c r="C2488" s="10" t="str" cm="1">
        <f t="array" ref="C2488">IF(AND(A2488="2020-12", ISNA(MATCH(B2488, _xlfn._xlws.FILTER(B:B, A:A="2021-01"), 0))), "Left", "Ativo")</f>
        <v>Ativo</v>
      </c>
      <c r="D2488" s="10" t="str" cm="1">
        <f t="array" ref="D2488">IF(AND(A2488="2021-01", ISNA(MATCH(B2488, _xlfn._xlws.FILTER(B:B, A:A="2021-02"), 0))), "Left", "Ativo")</f>
        <v>Ativo</v>
      </c>
      <c r="E2488" s="10" t="str" cm="1">
        <f t="array" ref="E2488">IF(AND(A2488="2021-02", ISNA(MATCH(B2488, _xlfn._xlws.FILTER(B:B, A:A="2021-03"), 0))), "Left", "Ativo")</f>
        <v>Ativo</v>
      </c>
      <c r="F2488" s="12" t="str" cm="1">
        <f t="array" ref="F2488">IF(AND(A2488="2021-03", ISNA(MATCH(B2488, _xlfn._xlws.FILTER(B:B, A:A="2021-04"), 0))), "Left", "Ativo")</f>
        <v>Ativo</v>
      </c>
    </row>
    <row r="2489" spans="1:6" x14ac:dyDescent="0.25">
      <c r="A2489" t="s">
        <v>1530</v>
      </c>
      <c r="B2489" t="s">
        <v>1034</v>
      </c>
      <c r="C2489" s="10" t="str" cm="1">
        <f t="array" ref="C2489">IF(AND(A2489="2020-12", ISNA(MATCH(B2489, _xlfn._xlws.FILTER(B:B, A:A="2021-01"), 0))), "Left", "Ativo")</f>
        <v>Ativo</v>
      </c>
      <c r="D2489" s="10" t="str" cm="1">
        <f t="array" ref="D2489">IF(AND(A2489="2021-01", ISNA(MATCH(B2489, _xlfn._xlws.FILTER(B:B, A:A="2021-02"), 0))), "Left", "Ativo")</f>
        <v>Ativo</v>
      </c>
      <c r="E2489" s="10" t="str" cm="1">
        <f t="array" ref="E2489">IF(AND(A2489="2021-02", ISNA(MATCH(B2489, _xlfn._xlws.FILTER(B:B, A:A="2021-03"), 0))), "Left", "Ativo")</f>
        <v>Ativo</v>
      </c>
      <c r="F2489" s="12" t="str" cm="1">
        <f t="array" ref="F2489">IF(AND(A2489="2021-03", ISNA(MATCH(B2489, _xlfn._xlws.FILTER(B:B, A:A="2021-04"), 0))), "Left", "Ativo")</f>
        <v>Ativo</v>
      </c>
    </row>
    <row r="2490" spans="1:6" x14ac:dyDescent="0.25">
      <c r="A2490" t="s">
        <v>1530</v>
      </c>
      <c r="B2490" t="s">
        <v>1035</v>
      </c>
      <c r="C2490" s="10" t="str" cm="1">
        <f t="array" ref="C2490">IF(AND(A2490="2020-12", ISNA(MATCH(B2490, _xlfn._xlws.FILTER(B:B, A:A="2021-01"), 0))), "Left", "Ativo")</f>
        <v>Ativo</v>
      </c>
      <c r="D2490" s="10" t="str" cm="1">
        <f t="array" ref="D2490">IF(AND(A2490="2021-01", ISNA(MATCH(B2490, _xlfn._xlws.FILTER(B:B, A:A="2021-02"), 0))), "Left", "Ativo")</f>
        <v>Ativo</v>
      </c>
      <c r="E2490" s="10" t="str" cm="1">
        <f t="array" ref="E2490">IF(AND(A2490="2021-02", ISNA(MATCH(B2490, _xlfn._xlws.FILTER(B:B, A:A="2021-03"), 0))), "Left", "Ativo")</f>
        <v>Ativo</v>
      </c>
      <c r="F2490" s="12" t="str" cm="1">
        <f t="array" ref="F2490">IF(AND(A2490="2021-03", ISNA(MATCH(B2490, _xlfn._xlws.FILTER(B:B, A:A="2021-04"), 0))), "Left", "Ativo")</f>
        <v>Ativo</v>
      </c>
    </row>
    <row r="2491" spans="1:6" x14ac:dyDescent="0.25">
      <c r="A2491" t="s">
        <v>1530</v>
      </c>
      <c r="B2491" t="s">
        <v>1036</v>
      </c>
      <c r="C2491" s="10" t="str" cm="1">
        <f t="array" ref="C2491">IF(AND(A2491="2020-12", ISNA(MATCH(B2491, _xlfn._xlws.FILTER(B:B, A:A="2021-01"), 0))), "Left", "Ativo")</f>
        <v>Ativo</v>
      </c>
      <c r="D2491" s="10" t="str" cm="1">
        <f t="array" ref="D2491">IF(AND(A2491="2021-01", ISNA(MATCH(B2491, _xlfn._xlws.FILTER(B:B, A:A="2021-02"), 0))), "Left", "Ativo")</f>
        <v>Ativo</v>
      </c>
      <c r="E2491" s="10" t="str" cm="1">
        <f t="array" ref="E2491">IF(AND(A2491="2021-02", ISNA(MATCH(B2491, _xlfn._xlws.FILTER(B:B, A:A="2021-03"), 0))), "Left", "Ativo")</f>
        <v>Ativo</v>
      </c>
      <c r="F2491" s="12" t="str" cm="1">
        <f t="array" ref="F2491">IF(AND(A2491="2021-03", ISNA(MATCH(B2491, _xlfn._xlws.FILTER(B:B, A:A="2021-04"), 0))), "Left", "Ativo")</f>
        <v>Ativo</v>
      </c>
    </row>
    <row r="2492" spans="1:6" x14ac:dyDescent="0.25">
      <c r="A2492" t="s">
        <v>1530</v>
      </c>
      <c r="B2492" t="s">
        <v>1037</v>
      </c>
      <c r="C2492" s="10" t="str" cm="1">
        <f t="array" ref="C2492">IF(AND(A2492="2020-12", ISNA(MATCH(B2492, _xlfn._xlws.FILTER(B:B, A:A="2021-01"), 0))), "Left", "Ativo")</f>
        <v>Ativo</v>
      </c>
      <c r="D2492" s="10" t="str" cm="1">
        <f t="array" ref="D2492">IF(AND(A2492="2021-01", ISNA(MATCH(B2492, _xlfn._xlws.FILTER(B:B, A:A="2021-02"), 0))), "Left", "Ativo")</f>
        <v>Ativo</v>
      </c>
      <c r="E2492" s="10" t="str" cm="1">
        <f t="array" ref="E2492">IF(AND(A2492="2021-02", ISNA(MATCH(B2492, _xlfn._xlws.FILTER(B:B, A:A="2021-03"), 0))), "Left", "Ativo")</f>
        <v>Ativo</v>
      </c>
      <c r="F2492" s="12" t="str" cm="1">
        <f t="array" ref="F2492">IF(AND(A2492="2021-03", ISNA(MATCH(B2492, _xlfn._xlws.FILTER(B:B, A:A="2021-04"), 0))), "Left", "Ativo")</f>
        <v>Ativo</v>
      </c>
    </row>
    <row r="2493" spans="1:6" x14ac:dyDescent="0.25">
      <c r="A2493" t="s">
        <v>1530</v>
      </c>
      <c r="B2493" t="s">
        <v>1038</v>
      </c>
      <c r="C2493" s="10" t="str" cm="1">
        <f t="array" ref="C2493">IF(AND(A2493="2020-12", ISNA(MATCH(B2493, _xlfn._xlws.FILTER(B:B, A:A="2021-01"), 0))), "Left", "Ativo")</f>
        <v>Ativo</v>
      </c>
      <c r="D2493" s="10" t="str" cm="1">
        <f t="array" ref="D2493">IF(AND(A2493="2021-01", ISNA(MATCH(B2493, _xlfn._xlws.FILTER(B:B, A:A="2021-02"), 0))), "Left", "Ativo")</f>
        <v>Ativo</v>
      </c>
      <c r="E2493" s="10" t="str" cm="1">
        <f t="array" ref="E2493">IF(AND(A2493="2021-02", ISNA(MATCH(B2493, _xlfn._xlws.FILTER(B:B, A:A="2021-03"), 0))), "Left", "Ativo")</f>
        <v>Ativo</v>
      </c>
      <c r="F2493" s="12" t="str" cm="1">
        <f t="array" ref="F2493">IF(AND(A2493="2021-03", ISNA(MATCH(B2493, _xlfn._xlws.FILTER(B:B, A:A="2021-04"), 0))), "Left", "Ativo")</f>
        <v>Ativo</v>
      </c>
    </row>
    <row r="2494" spans="1:6" x14ac:dyDescent="0.25">
      <c r="A2494" t="s">
        <v>1530</v>
      </c>
      <c r="B2494" t="s">
        <v>1039</v>
      </c>
      <c r="C2494" s="10" t="str" cm="1">
        <f t="array" ref="C2494">IF(AND(A2494="2020-12", ISNA(MATCH(B2494, _xlfn._xlws.FILTER(B:B, A:A="2021-01"), 0))), "Left", "Ativo")</f>
        <v>Ativo</v>
      </c>
      <c r="D2494" s="10" t="str" cm="1">
        <f t="array" ref="D2494">IF(AND(A2494="2021-01", ISNA(MATCH(B2494, _xlfn._xlws.FILTER(B:B, A:A="2021-02"), 0))), "Left", "Ativo")</f>
        <v>Ativo</v>
      </c>
      <c r="E2494" s="10" t="str" cm="1">
        <f t="array" ref="E2494">IF(AND(A2494="2021-02", ISNA(MATCH(B2494, _xlfn._xlws.FILTER(B:B, A:A="2021-03"), 0))), "Left", "Ativo")</f>
        <v>Ativo</v>
      </c>
      <c r="F2494" s="12" t="str" cm="1">
        <f t="array" ref="F2494">IF(AND(A2494="2021-03", ISNA(MATCH(B2494, _xlfn._xlws.FILTER(B:B, A:A="2021-04"), 0))), "Left", "Ativo")</f>
        <v>Ativo</v>
      </c>
    </row>
    <row r="2495" spans="1:6" x14ac:dyDescent="0.25">
      <c r="A2495" t="s">
        <v>1530</v>
      </c>
      <c r="B2495" t="s">
        <v>1040</v>
      </c>
      <c r="C2495" s="10" t="str" cm="1">
        <f t="array" ref="C2495">IF(AND(A2495="2020-12", ISNA(MATCH(B2495, _xlfn._xlws.FILTER(B:B, A:A="2021-01"), 0))), "Left", "Ativo")</f>
        <v>Ativo</v>
      </c>
      <c r="D2495" s="10" t="str" cm="1">
        <f t="array" ref="D2495">IF(AND(A2495="2021-01", ISNA(MATCH(B2495, _xlfn._xlws.FILTER(B:B, A:A="2021-02"), 0))), "Left", "Ativo")</f>
        <v>Ativo</v>
      </c>
      <c r="E2495" s="10" t="str" cm="1">
        <f t="array" ref="E2495">IF(AND(A2495="2021-02", ISNA(MATCH(B2495, _xlfn._xlws.FILTER(B:B, A:A="2021-03"), 0))), "Left", "Ativo")</f>
        <v>Ativo</v>
      </c>
      <c r="F2495" s="12" t="str" cm="1">
        <f t="array" ref="F2495">IF(AND(A2495="2021-03", ISNA(MATCH(B2495, _xlfn._xlws.FILTER(B:B, A:A="2021-04"), 0))), "Left", "Ativo")</f>
        <v>Ativo</v>
      </c>
    </row>
    <row r="2496" spans="1:6" x14ac:dyDescent="0.25">
      <c r="A2496" t="s">
        <v>1530</v>
      </c>
      <c r="B2496" t="s">
        <v>1041</v>
      </c>
      <c r="C2496" s="10" t="str" cm="1">
        <f t="array" ref="C2496">IF(AND(A2496="2020-12", ISNA(MATCH(B2496, _xlfn._xlws.FILTER(B:B, A:A="2021-01"), 0))), "Left", "Ativo")</f>
        <v>Ativo</v>
      </c>
      <c r="D2496" s="10" t="str" cm="1">
        <f t="array" ref="D2496">IF(AND(A2496="2021-01", ISNA(MATCH(B2496, _xlfn._xlws.FILTER(B:B, A:A="2021-02"), 0))), "Left", "Ativo")</f>
        <v>Ativo</v>
      </c>
      <c r="E2496" s="10" t="str" cm="1">
        <f t="array" ref="E2496">IF(AND(A2496="2021-02", ISNA(MATCH(B2496, _xlfn._xlws.FILTER(B:B, A:A="2021-03"), 0))), "Left", "Ativo")</f>
        <v>Ativo</v>
      </c>
      <c r="F2496" s="12" t="str" cm="1">
        <f t="array" ref="F2496">IF(AND(A2496="2021-03", ISNA(MATCH(B2496, _xlfn._xlws.FILTER(B:B, A:A="2021-04"), 0))), "Left", "Ativo")</f>
        <v>Ativo</v>
      </c>
    </row>
    <row r="2497" spans="1:6" x14ac:dyDescent="0.25">
      <c r="A2497" t="s">
        <v>1530</v>
      </c>
      <c r="B2497" t="s">
        <v>1042</v>
      </c>
      <c r="C2497" s="10" t="str" cm="1">
        <f t="array" ref="C2497">IF(AND(A2497="2020-12", ISNA(MATCH(B2497, _xlfn._xlws.FILTER(B:B, A:A="2021-01"), 0))), "Left", "Ativo")</f>
        <v>Ativo</v>
      </c>
      <c r="D2497" s="10" t="str" cm="1">
        <f t="array" ref="D2497">IF(AND(A2497="2021-01", ISNA(MATCH(B2497, _xlfn._xlws.FILTER(B:B, A:A="2021-02"), 0))), "Left", "Ativo")</f>
        <v>Ativo</v>
      </c>
      <c r="E2497" s="10" t="str" cm="1">
        <f t="array" ref="E2497">IF(AND(A2497="2021-02", ISNA(MATCH(B2497, _xlfn._xlws.FILTER(B:B, A:A="2021-03"), 0))), "Left", "Ativo")</f>
        <v>Ativo</v>
      </c>
      <c r="F2497" s="12" t="str" cm="1">
        <f t="array" ref="F2497">IF(AND(A2497="2021-03", ISNA(MATCH(B2497, _xlfn._xlws.FILTER(B:B, A:A="2021-04"), 0))), "Left", "Ativo")</f>
        <v>Ativo</v>
      </c>
    </row>
    <row r="2498" spans="1:6" x14ac:dyDescent="0.25">
      <c r="A2498" t="s">
        <v>1530</v>
      </c>
      <c r="B2498" t="s">
        <v>1043</v>
      </c>
      <c r="C2498" s="10" t="str" cm="1">
        <f t="array" ref="C2498">IF(AND(A2498="2020-12", ISNA(MATCH(B2498, _xlfn._xlws.FILTER(B:B, A:A="2021-01"), 0))), "Left", "Ativo")</f>
        <v>Ativo</v>
      </c>
      <c r="D2498" s="10" t="str" cm="1">
        <f t="array" ref="D2498">IF(AND(A2498="2021-01", ISNA(MATCH(B2498, _xlfn._xlws.FILTER(B:B, A:A="2021-02"), 0))), "Left", "Ativo")</f>
        <v>Ativo</v>
      </c>
      <c r="E2498" s="10" t="str" cm="1">
        <f t="array" ref="E2498">IF(AND(A2498="2021-02", ISNA(MATCH(B2498, _xlfn._xlws.FILTER(B:B, A:A="2021-03"), 0))), "Left", "Ativo")</f>
        <v>Ativo</v>
      </c>
      <c r="F2498" s="12" t="str" cm="1">
        <f t="array" ref="F2498">IF(AND(A2498="2021-03", ISNA(MATCH(B2498, _xlfn._xlws.FILTER(B:B, A:A="2021-04"), 0))), "Left", "Ativo")</f>
        <v>Ativo</v>
      </c>
    </row>
    <row r="2499" spans="1:6" x14ac:dyDescent="0.25">
      <c r="A2499" t="s">
        <v>1530</v>
      </c>
      <c r="B2499" t="s">
        <v>1044</v>
      </c>
      <c r="C2499" s="10" t="str" cm="1">
        <f t="array" ref="C2499">IF(AND(A2499="2020-12", ISNA(MATCH(B2499, _xlfn._xlws.FILTER(B:B, A:A="2021-01"), 0))), "Left", "Ativo")</f>
        <v>Ativo</v>
      </c>
      <c r="D2499" s="10" t="str" cm="1">
        <f t="array" ref="D2499">IF(AND(A2499="2021-01", ISNA(MATCH(B2499, _xlfn._xlws.FILTER(B:B, A:A="2021-02"), 0))), "Left", "Ativo")</f>
        <v>Ativo</v>
      </c>
      <c r="E2499" s="10" t="str" cm="1">
        <f t="array" ref="E2499">IF(AND(A2499="2021-02", ISNA(MATCH(B2499, _xlfn._xlws.FILTER(B:B, A:A="2021-03"), 0))), "Left", "Ativo")</f>
        <v>Ativo</v>
      </c>
      <c r="F2499" s="12" t="str" cm="1">
        <f t="array" ref="F2499">IF(AND(A2499="2021-03", ISNA(MATCH(B2499, _xlfn._xlws.FILTER(B:B, A:A="2021-04"), 0))), "Left", "Ativo")</f>
        <v>Ativo</v>
      </c>
    </row>
    <row r="2500" spans="1:6" x14ac:dyDescent="0.25">
      <c r="A2500" t="s">
        <v>1530</v>
      </c>
      <c r="B2500" t="s">
        <v>1045</v>
      </c>
      <c r="C2500" s="10" t="str" cm="1">
        <f t="array" ref="C2500">IF(AND(A2500="2020-12", ISNA(MATCH(B2500, _xlfn._xlws.FILTER(B:B, A:A="2021-01"), 0))), "Left", "Ativo")</f>
        <v>Ativo</v>
      </c>
      <c r="D2500" s="10" t="str" cm="1">
        <f t="array" ref="D2500">IF(AND(A2500="2021-01", ISNA(MATCH(B2500, _xlfn._xlws.FILTER(B:B, A:A="2021-02"), 0))), "Left", "Ativo")</f>
        <v>Ativo</v>
      </c>
      <c r="E2500" s="10" t="str" cm="1">
        <f t="array" ref="E2500">IF(AND(A2500="2021-02", ISNA(MATCH(B2500, _xlfn._xlws.FILTER(B:B, A:A="2021-03"), 0))), "Left", "Ativo")</f>
        <v>Ativo</v>
      </c>
      <c r="F2500" s="12" t="str" cm="1">
        <f t="array" ref="F2500">IF(AND(A2500="2021-03", ISNA(MATCH(B2500, _xlfn._xlws.FILTER(B:B, A:A="2021-04"), 0))), "Left", "Ativo")</f>
        <v>Ativo</v>
      </c>
    </row>
    <row r="2501" spans="1:6" x14ac:dyDescent="0.25">
      <c r="A2501" t="s">
        <v>1530</v>
      </c>
      <c r="B2501" t="s">
        <v>1046</v>
      </c>
      <c r="C2501" s="10" t="str" cm="1">
        <f t="array" ref="C2501">IF(AND(A2501="2020-12", ISNA(MATCH(B2501, _xlfn._xlws.FILTER(B:B, A:A="2021-01"), 0))), "Left", "Ativo")</f>
        <v>Ativo</v>
      </c>
      <c r="D2501" s="10" t="str" cm="1">
        <f t="array" ref="D2501">IF(AND(A2501="2021-01", ISNA(MATCH(B2501, _xlfn._xlws.FILTER(B:B, A:A="2021-02"), 0))), "Left", "Ativo")</f>
        <v>Ativo</v>
      </c>
      <c r="E2501" s="10" t="str" cm="1">
        <f t="array" ref="E2501">IF(AND(A2501="2021-02", ISNA(MATCH(B2501, _xlfn._xlws.FILTER(B:B, A:A="2021-03"), 0))), "Left", "Ativo")</f>
        <v>Ativo</v>
      </c>
      <c r="F2501" s="12" t="str" cm="1">
        <f t="array" ref="F2501">IF(AND(A2501="2021-03", ISNA(MATCH(B2501, _xlfn._xlws.FILTER(B:B, A:A="2021-04"), 0))), "Left", "Ativo")</f>
        <v>Ativo</v>
      </c>
    </row>
    <row r="2502" spans="1:6" x14ac:dyDescent="0.25">
      <c r="A2502" t="s">
        <v>1530</v>
      </c>
      <c r="B2502" t="s">
        <v>1047</v>
      </c>
      <c r="C2502" s="10" t="str" cm="1">
        <f t="array" ref="C2502">IF(AND(A2502="2020-12", ISNA(MATCH(B2502, _xlfn._xlws.FILTER(B:B, A:A="2021-01"), 0))), "Left", "Ativo")</f>
        <v>Ativo</v>
      </c>
      <c r="D2502" s="10" t="str" cm="1">
        <f t="array" ref="D2502">IF(AND(A2502="2021-01", ISNA(MATCH(B2502, _xlfn._xlws.FILTER(B:B, A:A="2021-02"), 0))), "Left", "Ativo")</f>
        <v>Ativo</v>
      </c>
      <c r="E2502" s="10" t="str" cm="1">
        <f t="array" ref="E2502">IF(AND(A2502="2021-02", ISNA(MATCH(B2502, _xlfn._xlws.FILTER(B:B, A:A="2021-03"), 0))), "Left", "Ativo")</f>
        <v>Ativo</v>
      </c>
      <c r="F2502" s="12" t="str" cm="1">
        <f t="array" ref="F2502">IF(AND(A2502="2021-03", ISNA(MATCH(B2502, _xlfn._xlws.FILTER(B:B, A:A="2021-04"), 0))), "Left", "Ativo")</f>
        <v>Ativo</v>
      </c>
    </row>
    <row r="2503" spans="1:6" x14ac:dyDescent="0.25">
      <c r="A2503" t="s">
        <v>1530</v>
      </c>
      <c r="B2503" t="s">
        <v>1048</v>
      </c>
      <c r="C2503" s="10" t="str" cm="1">
        <f t="array" ref="C2503">IF(AND(A2503="2020-12", ISNA(MATCH(B2503, _xlfn._xlws.FILTER(B:B, A:A="2021-01"), 0))), "Left", "Ativo")</f>
        <v>Ativo</v>
      </c>
      <c r="D2503" s="10" t="str" cm="1">
        <f t="array" ref="D2503">IF(AND(A2503="2021-01", ISNA(MATCH(B2503, _xlfn._xlws.FILTER(B:B, A:A="2021-02"), 0))), "Left", "Ativo")</f>
        <v>Ativo</v>
      </c>
      <c r="E2503" s="10" t="str" cm="1">
        <f t="array" ref="E2503">IF(AND(A2503="2021-02", ISNA(MATCH(B2503, _xlfn._xlws.FILTER(B:B, A:A="2021-03"), 0))), "Left", "Ativo")</f>
        <v>Ativo</v>
      </c>
      <c r="F2503" s="12" t="str" cm="1">
        <f t="array" ref="F2503">IF(AND(A2503="2021-03", ISNA(MATCH(B2503, _xlfn._xlws.FILTER(B:B, A:A="2021-04"), 0))), "Left", "Ativo")</f>
        <v>Ativo</v>
      </c>
    </row>
    <row r="2504" spans="1:6" x14ac:dyDescent="0.25">
      <c r="A2504" t="s">
        <v>1530</v>
      </c>
      <c r="B2504" t="s">
        <v>575</v>
      </c>
      <c r="C2504" s="10" t="str" cm="1">
        <f t="array" ref="C2504">IF(AND(A2504="2020-12", ISNA(MATCH(B2504, _xlfn._xlws.FILTER(B:B, A:A="2021-01"), 0))), "Left", "Ativo")</f>
        <v>Ativo</v>
      </c>
      <c r="D2504" s="10" t="str" cm="1">
        <f t="array" ref="D2504">IF(AND(A2504="2021-01", ISNA(MATCH(B2504, _xlfn._xlws.FILTER(B:B, A:A="2021-02"), 0))), "Left", "Ativo")</f>
        <v>Ativo</v>
      </c>
      <c r="E2504" s="10" t="str" cm="1">
        <f t="array" ref="E2504">IF(AND(A2504="2021-02", ISNA(MATCH(B2504, _xlfn._xlws.FILTER(B:B, A:A="2021-03"), 0))), "Left", "Ativo")</f>
        <v>Ativo</v>
      </c>
      <c r="F2504" s="12" t="str" cm="1">
        <f t="array" ref="F2504">IF(AND(A2504="2021-03", ISNA(MATCH(B2504, _xlfn._xlws.FILTER(B:B, A:A="2021-04"), 0))), "Left", "Ativo")</f>
        <v>Ativo</v>
      </c>
    </row>
    <row r="2505" spans="1:6" x14ac:dyDescent="0.25">
      <c r="A2505" t="s">
        <v>1530</v>
      </c>
      <c r="B2505" t="s">
        <v>576</v>
      </c>
      <c r="C2505" s="10" t="str" cm="1">
        <f t="array" ref="C2505">IF(AND(A2505="2020-12", ISNA(MATCH(B2505, _xlfn._xlws.FILTER(B:B, A:A="2021-01"), 0))), "Left", "Ativo")</f>
        <v>Ativo</v>
      </c>
      <c r="D2505" s="10" t="str" cm="1">
        <f t="array" ref="D2505">IF(AND(A2505="2021-01", ISNA(MATCH(B2505, _xlfn._xlws.FILTER(B:B, A:A="2021-02"), 0))), "Left", "Ativo")</f>
        <v>Ativo</v>
      </c>
      <c r="E2505" s="10" t="str" cm="1">
        <f t="array" ref="E2505">IF(AND(A2505="2021-02", ISNA(MATCH(B2505, _xlfn._xlws.FILTER(B:B, A:A="2021-03"), 0))), "Left", "Ativo")</f>
        <v>Ativo</v>
      </c>
      <c r="F2505" s="12" t="str" cm="1">
        <f t="array" ref="F2505">IF(AND(A2505="2021-03", ISNA(MATCH(B2505, _xlfn._xlws.FILTER(B:B, A:A="2021-04"), 0))), "Left", "Ativo")</f>
        <v>Ativo</v>
      </c>
    </row>
    <row r="2506" spans="1:6" x14ac:dyDescent="0.25">
      <c r="A2506" t="s">
        <v>1530</v>
      </c>
      <c r="B2506" t="s">
        <v>577</v>
      </c>
      <c r="C2506" s="10" t="str" cm="1">
        <f t="array" ref="C2506">IF(AND(A2506="2020-12", ISNA(MATCH(B2506, _xlfn._xlws.FILTER(B:B, A:A="2021-01"), 0))), "Left", "Ativo")</f>
        <v>Ativo</v>
      </c>
      <c r="D2506" s="10" t="str" cm="1">
        <f t="array" ref="D2506">IF(AND(A2506="2021-01", ISNA(MATCH(B2506, _xlfn._xlws.FILTER(B:B, A:A="2021-02"), 0))), "Left", "Ativo")</f>
        <v>Ativo</v>
      </c>
      <c r="E2506" s="10" t="str" cm="1">
        <f t="array" ref="E2506">IF(AND(A2506="2021-02", ISNA(MATCH(B2506, _xlfn._xlws.FILTER(B:B, A:A="2021-03"), 0))), "Left", "Ativo")</f>
        <v>Ativo</v>
      </c>
      <c r="F2506" s="12" t="str" cm="1">
        <f t="array" ref="F2506">IF(AND(A2506="2021-03", ISNA(MATCH(B2506, _xlfn._xlws.FILTER(B:B, A:A="2021-04"), 0))), "Left", "Ativo")</f>
        <v>Ativo</v>
      </c>
    </row>
    <row r="2507" spans="1:6" x14ac:dyDescent="0.25">
      <c r="A2507" t="s">
        <v>1530</v>
      </c>
      <c r="B2507" t="s">
        <v>578</v>
      </c>
      <c r="C2507" s="10" t="str" cm="1">
        <f t="array" ref="C2507">IF(AND(A2507="2020-12", ISNA(MATCH(B2507, _xlfn._xlws.FILTER(B:B, A:A="2021-01"), 0))), "Left", "Ativo")</f>
        <v>Ativo</v>
      </c>
      <c r="D2507" s="10" t="str" cm="1">
        <f t="array" ref="D2507">IF(AND(A2507="2021-01", ISNA(MATCH(B2507, _xlfn._xlws.FILTER(B:B, A:A="2021-02"), 0))), "Left", "Ativo")</f>
        <v>Ativo</v>
      </c>
      <c r="E2507" s="10" t="str" cm="1">
        <f t="array" ref="E2507">IF(AND(A2507="2021-02", ISNA(MATCH(B2507, _xlfn._xlws.FILTER(B:B, A:A="2021-03"), 0))), "Left", "Ativo")</f>
        <v>Left</v>
      </c>
      <c r="F2507" s="12" t="str" cm="1">
        <f t="array" ref="F2507">IF(AND(A2507="2021-03", ISNA(MATCH(B2507, _xlfn._xlws.FILTER(B:B, A:A="2021-04"), 0))), "Left", "Ativo")</f>
        <v>Ativo</v>
      </c>
    </row>
    <row r="2508" spans="1:6" x14ac:dyDescent="0.25">
      <c r="A2508" t="s">
        <v>1530</v>
      </c>
      <c r="B2508" t="s">
        <v>579</v>
      </c>
      <c r="C2508" s="10" t="str" cm="1">
        <f t="array" ref="C2508">IF(AND(A2508="2020-12", ISNA(MATCH(B2508, _xlfn._xlws.FILTER(B:B, A:A="2021-01"), 0))), "Left", "Ativo")</f>
        <v>Ativo</v>
      </c>
      <c r="D2508" s="10" t="str" cm="1">
        <f t="array" ref="D2508">IF(AND(A2508="2021-01", ISNA(MATCH(B2508, _xlfn._xlws.FILTER(B:B, A:A="2021-02"), 0))), "Left", "Ativo")</f>
        <v>Ativo</v>
      </c>
      <c r="E2508" s="10" t="str" cm="1">
        <f t="array" ref="E2508">IF(AND(A2508="2021-02", ISNA(MATCH(B2508, _xlfn._xlws.FILTER(B:B, A:A="2021-03"), 0))), "Left", "Ativo")</f>
        <v>Left</v>
      </c>
      <c r="F2508" s="12" t="str" cm="1">
        <f t="array" ref="F2508">IF(AND(A2508="2021-03", ISNA(MATCH(B2508, _xlfn._xlws.FILTER(B:B, A:A="2021-04"), 0))), "Left", "Ativo")</f>
        <v>Ativo</v>
      </c>
    </row>
    <row r="2509" spans="1:6" x14ac:dyDescent="0.25">
      <c r="A2509" t="s">
        <v>1530</v>
      </c>
      <c r="B2509" t="s">
        <v>580</v>
      </c>
      <c r="C2509" s="10" t="str" cm="1">
        <f t="array" ref="C2509">IF(AND(A2509="2020-12", ISNA(MATCH(B2509, _xlfn._xlws.FILTER(B:B, A:A="2021-01"), 0))), "Left", "Ativo")</f>
        <v>Ativo</v>
      </c>
      <c r="D2509" s="10" t="str" cm="1">
        <f t="array" ref="D2509">IF(AND(A2509="2021-01", ISNA(MATCH(B2509, _xlfn._xlws.FILTER(B:B, A:A="2021-02"), 0))), "Left", "Ativo")</f>
        <v>Ativo</v>
      </c>
      <c r="E2509" s="10" t="str" cm="1">
        <f t="array" ref="E2509">IF(AND(A2509="2021-02", ISNA(MATCH(B2509, _xlfn._xlws.FILTER(B:B, A:A="2021-03"), 0))), "Left", "Ativo")</f>
        <v>Left</v>
      </c>
      <c r="F2509" s="12" t="str" cm="1">
        <f t="array" ref="F2509">IF(AND(A2509="2021-03", ISNA(MATCH(B2509, _xlfn._xlws.FILTER(B:B, A:A="2021-04"), 0))), "Left", "Ativo")</f>
        <v>Ativo</v>
      </c>
    </row>
    <row r="2510" spans="1:6" x14ac:dyDescent="0.25">
      <c r="A2510" t="s">
        <v>1530</v>
      </c>
      <c r="B2510" t="s">
        <v>581</v>
      </c>
      <c r="C2510" s="10" t="str" cm="1">
        <f t="array" ref="C2510">IF(AND(A2510="2020-12", ISNA(MATCH(B2510, _xlfn._xlws.FILTER(B:B, A:A="2021-01"), 0))), "Left", "Ativo")</f>
        <v>Ativo</v>
      </c>
      <c r="D2510" s="10" t="str" cm="1">
        <f t="array" ref="D2510">IF(AND(A2510="2021-01", ISNA(MATCH(B2510, _xlfn._xlws.FILTER(B:B, A:A="2021-02"), 0))), "Left", "Ativo")</f>
        <v>Ativo</v>
      </c>
      <c r="E2510" s="10" t="str" cm="1">
        <f t="array" ref="E2510">IF(AND(A2510="2021-02", ISNA(MATCH(B2510, _xlfn._xlws.FILTER(B:B, A:A="2021-03"), 0))), "Left", "Ativo")</f>
        <v>Left</v>
      </c>
      <c r="F2510" s="12" t="str" cm="1">
        <f t="array" ref="F2510">IF(AND(A2510="2021-03", ISNA(MATCH(B2510, _xlfn._xlws.FILTER(B:B, A:A="2021-04"), 0))), "Left", "Ativo")</f>
        <v>Ativo</v>
      </c>
    </row>
    <row r="2511" spans="1:6" x14ac:dyDescent="0.25">
      <c r="A2511" t="s">
        <v>1530</v>
      </c>
      <c r="B2511" t="s">
        <v>582</v>
      </c>
      <c r="C2511" s="10" t="str" cm="1">
        <f t="array" ref="C2511">IF(AND(A2511="2020-12", ISNA(MATCH(B2511, _xlfn._xlws.FILTER(B:B, A:A="2021-01"), 0))), "Left", "Ativo")</f>
        <v>Ativo</v>
      </c>
      <c r="D2511" s="10" t="str" cm="1">
        <f t="array" ref="D2511">IF(AND(A2511="2021-01", ISNA(MATCH(B2511, _xlfn._xlws.FILTER(B:B, A:A="2021-02"), 0))), "Left", "Ativo")</f>
        <v>Ativo</v>
      </c>
      <c r="E2511" s="10" t="str" cm="1">
        <f t="array" ref="E2511">IF(AND(A2511="2021-02", ISNA(MATCH(B2511, _xlfn._xlws.FILTER(B:B, A:A="2021-03"), 0))), "Left", "Ativo")</f>
        <v>Ativo</v>
      </c>
      <c r="F2511" s="12" t="str" cm="1">
        <f t="array" ref="F2511">IF(AND(A2511="2021-03", ISNA(MATCH(B2511, _xlfn._xlws.FILTER(B:B, A:A="2021-04"), 0))), "Left", "Ativo")</f>
        <v>Ativo</v>
      </c>
    </row>
    <row r="2512" spans="1:6" x14ac:dyDescent="0.25">
      <c r="A2512" t="s">
        <v>1530</v>
      </c>
      <c r="B2512" t="s">
        <v>583</v>
      </c>
      <c r="C2512" s="10" t="str" cm="1">
        <f t="array" ref="C2512">IF(AND(A2512="2020-12", ISNA(MATCH(B2512, _xlfn._xlws.FILTER(B:B, A:A="2021-01"), 0))), "Left", "Ativo")</f>
        <v>Ativo</v>
      </c>
      <c r="D2512" s="10" t="str" cm="1">
        <f t="array" ref="D2512">IF(AND(A2512="2021-01", ISNA(MATCH(B2512, _xlfn._xlws.FILTER(B:B, A:A="2021-02"), 0))), "Left", "Ativo")</f>
        <v>Ativo</v>
      </c>
      <c r="E2512" s="10" t="str" cm="1">
        <f t="array" ref="E2512">IF(AND(A2512="2021-02", ISNA(MATCH(B2512, _xlfn._xlws.FILTER(B:B, A:A="2021-03"), 0))), "Left", "Ativo")</f>
        <v>Ativo</v>
      </c>
      <c r="F2512" s="12" t="str" cm="1">
        <f t="array" ref="F2512">IF(AND(A2512="2021-03", ISNA(MATCH(B2512, _xlfn._xlws.FILTER(B:B, A:A="2021-04"), 0))), "Left", "Ativo")</f>
        <v>Ativo</v>
      </c>
    </row>
    <row r="2513" spans="1:6" x14ac:dyDescent="0.25">
      <c r="A2513" t="s">
        <v>1530</v>
      </c>
      <c r="B2513" t="s">
        <v>584</v>
      </c>
      <c r="C2513" s="10" t="str" cm="1">
        <f t="array" ref="C2513">IF(AND(A2513="2020-12", ISNA(MATCH(B2513, _xlfn._xlws.FILTER(B:B, A:A="2021-01"), 0))), "Left", "Ativo")</f>
        <v>Ativo</v>
      </c>
      <c r="D2513" s="10" t="str" cm="1">
        <f t="array" ref="D2513">IF(AND(A2513="2021-01", ISNA(MATCH(B2513, _xlfn._xlws.FILTER(B:B, A:A="2021-02"), 0))), "Left", "Ativo")</f>
        <v>Ativo</v>
      </c>
      <c r="E2513" s="10" t="str" cm="1">
        <f t="array" ref="E2513">IF(AND(A2513="2021-02", ISNA(MATCH(B2513, _xlfn._xlws.FILTER(B:B, A:A="2021-03"), 0))), "Left", "Ativo")</f>
        <v>Ativo</v>
      </c>
      <c r="F2513" s="12" t="str" cm="1">
        <f t="array" ref="F2513">IF(AND(A2513="2021-03", ISNA(MATCH(B2513, _xlfn._xlws.FILTER(B:B, A:A="2021-04"), 0))), "Left", "Ativo")</f>
        <v>Ativo</v>
      </c>
    </row>
    <row r="2514" spans="1:6" x14ac:dyDescent="0.25">
      <c r="A2514" t="s">
        <v>1530</v>
      </c>
      <c r="B2514" t="s">
        <v>585</v>
      </c>
      <c r="C2514" s="10" t="str" cm="1">
        <f t="array" ref="C2514">IF(AND(A2514="2020-12", ISNA(MATCH(B2514, _xlfn._xlws.FILTER(B:B, A:A="2021-01"), 0))), "Left", "Ativo")</f>
        <v>Ativo</v>
      </c>
      <c r="D2514" s="10" t="str" cm="1">
        <f t="array" ref="D2514">IF(AND(A2514="2021-01", ISNA(MATCH(B2514, _xlfn._xlws.FILTER(B:B, A:A="2021-02"), 0))), "Left", "Ativo")</f>
        <v>Ativo</v>
      </c>
      <c r="E2514" s="10" t="str" cm="1">
        <f t="array" ref="E2514">IF(AND(A2514="2021-02", ISNA(MATCH(B2514, _xlfn._xlws.FILTER(B:B, A:A="2021-03"), 0))), "Left", "Ativo")</f>
        <v>Ativo</v>
      </c>
      <c r="F2514" s="12" t="str" cm="1">
        <f t="array" ref="F2514">IF(AND(A2514="2021-03", ISNA(MATCH(B2514, _xlfn._xlws.FILTER(B:B, A:A="2021-04"), 0))), "Left", "Ativo")</f>
        <v>Ativo</v>
      </c>
    </row>
    <row r="2515" spans="1:6" x14ac:dyDescent="0.25">
      <c r="A2515" t="s">
        <v>1530</v>
      </c>
      <c r="B2515" t="s">
        <v>586</v>
      </c>
      <c r="C2515" s="10" t="str" cm="1">
        <f t="array" ref="C2515">IF(AND(A2515="2020-12", ISNA(MATCH(B2515, _xlfn._xlws.FILTER(B:B, A:A="2021-01"), 0))), "Left", "Ativo")</f>
        <v>Ativo</v>
      </c>
      <c r="D2515" s="10" t="str" cm="1">
        <f t="array" ref="D2515">IF(AND(A2515="2021-01", ISNA(MATCH(B2515, _xlfn._xlws.FILTER(B:B, A:A="2021-02"), 0))), "Left", "Ativo")</f>
        <v>Ativo</v>
      </c>
      <c r="E2515" s="10" t="str" cm="1">
        <f t="array" ref="E2515">IF(AND(A2515="2021-02", ISNA(MATCH(B2515, _xlfn._xlws.FILTER(B:B, A:A="2021-03"), 0))), "Left", "Ativo")</f>
        <v>Ativo</v>
      </c>
      <c r="F2515" s="12" t="str" cm="1">
        <f t="array" ref="F2515">IF(AND(A2515="2021-03", ISNA(MATCH(B2515, _xlfn._xlws.FILTER(B:B, A:A="2021-04"), 0))), "Left", "Ativo")</f>
        <v>Ativo</v>
      </c>
    </row>
    <row r="2516" spans="1:6" x14ac:dyDescent="0.25">
      <c r="A2516" t="s">
        <v>1530</v>
      </c>
      <c r="B2516" t="s">
        <v>587</v>
      </c>
      <c r="C2516" s="10" t="str" cm="1">
        <f t="array" ref="C2516">IF(AND(A2516="2020-12", ISNA(MATCH(B2516, _xlfn._xlws.FILTER(B:B, A:A="2021-01"), 0))), "Left", "Ativo")</f>
        <v>Ativo</v>
      </c>
      <c r="D2516" s="10" t="str" cm="1">
        <f t="array" ref="D2516">IF(AND(A2516="2021-01", ISNA(MATCH(B2516, _xlfn._xlws.FILTER(B:B, A:A="2021-02"), 0))), "Left", "Ativo")</f>
        <v>Ativo</v>
      </c>
      <c r="E2516" s="10" t="str" cm="1">
        <f t="array" ref="E2516">IF(AND(A2516="2021-02", ISNA(MATCH(B2516, _xlfn._xlws.FILTER(B:B, A:A="2021-03"), 0))), "Left", "Ativo")</f>
        <v>Ativo</v>
      </c>
      <c r="F2516" s="12" t="str" cm="1">
        <f t="array" ref="F2516">IF(AND(A2516="2021-03", ISNA(MATCH(B2516, _xlfn._xlws.FILTER(B:B, A:A="2021-04"), 0))), "Left", "Ativo")</f>
        <v>Ativo</v>
      </c>
    </row>
    <row r="2517" spans="1:6" x14ac:dyDescent="0.25">
      <c r="A2517" t="s">
        <v>1530</v>
      </c>
      <c r="B2517" t="s">
        <v>588</v>
      </c>
      <c r="C2517" s="10" t="str" cm="1">
        <f t="array" ref="C2517">IF(AND(A2517="2020-12", ISNA(MATCH(B2517, _xlfn._xlws.FILTER(B:B, A:A="2021-01"), 0))), "Left", "Ativo")</f>
        <v>Ativo</v>
      </c>
      <c r="D2517" s="10" t="str" cm="1">
        <f t="array" ref="D2517">IF(AND(A2517="2021-01", ISNA(MATCH(B2517, _xlfn._xlws.FILTER(B:B, A:A="2021-02"), 0))), "Left", "Ativo")</f>
        <v>Ativo</v>
      </c>
      <c r="E2517" s="10" t="str" cm="1">
        <f t="array" ref="E2517">IF(AND(A2517="2021-02", ISNA(MATCH(B2517, _xlfn._xlws.FILTER(B:B, A:A="2021-03"), 0))), "Left", "Ativo")</f>
        <v>Ativo</v>
      </c>
      <c r="F2517" s="12" t="str" cm="1">
        <f t="array" ref="F2517">IF(AND(A2517="2021-03", ISNA(MATCH(B2517, _xlfn._xlws.FILTER(B:B, A:A="2021-04"), 0))), "Left", "Ativo")</f>
        <v>Ativo</v>
      </c>
    </row>
    <row r="2518" spans="1:6" x14ac:dyDescent="0.25">
      <c r="A2518" t="s">
        <v>1530</v>
      </c>
      <c r="B2518" t="s">
        <v>589</v>
      </c>
      <c r="C2518" s="10" t="str" cm="1">
        <f t="array" ref="C2518">IF(AND(A2518="2020-12", ISNA(MATCH(B2518, _xlfn._xlws.FILTER(B:B, A:A="2021-01"), 0))), "Left", "Ativo")</f>
        <v>Ativo</v>
      </c>
      <c r="D2518" s="10" t="str" cm="1">
        <f t="array" ref="D2518">IF(AND(A2518="2021-01", ISNA(MATCH(B2518, _xlfn._xlws.FILTER(B:B, A:A="2021-02"), 0))), "Left", "Ativo")</f>
        <v>Ativo</v>
      </c>
      <c r="E2518" s="10" t="str" cm="1">
        <f t="array" ref="E2518">IF(AND(A2518="2021-02", ISNA(MATCH(B2518, _xlfn._xlws.FILTER(B:B, A:A="2021-03"), 0))), "Left", "Ativo")</f>
        <v>Ativo</v>
      </c>
      <c r="F2518" s="12" t="str" cm="1">
        <f t="array" ref="F2518">IF(AND(A2518="2021-03", ISNA(MATCH(B2518, _xlfn._xlws.FILTER(B:B, A:A="2021-04"), 0))), "Left", "Ativo")</f>
        <v>Ativo</v>
      </c>
    </row>
    <row r="2519" spans="1:6" x14ac:dyDescent="0.25">
      <c r="A2519" t="s">
        <v>1530</v>
      </c>
      <c r="B2519" t="s">
        <v>590</v>
      </c>
      <c r="C2519" s="10" t="str" cm="1">
        <f t="array" ref="C2519">IF(AND(A2519="2020-12", ISNA(MATCH(B2519, _xlfn._xlws.FILTER(B:B, A:A="2021-01"), 0))), "Left", "Ativo")</f>
        <v>Ativo</v>
      </c>
      <c r="D2519" s="10" t="str" cm="1">
        <f t="array" ref="D2519">IF(AND(A2519="2021-01", ISNA(MATCH(B2519, _xlfn._xlws.FILTER(B:B, A:A="2021-02"), 0))), "Left", "Ativo")</f>
        <v>Ativo</v>
      </c>
      <c r="E2519" s="10" t="str" cm="1">
        <f t="array" ref="E2519">IF(AND(A2519="2021-02", ISNA(MATCH(B2519, _xlfn._xlws.FILTER(B:B, A:A="2021-03"), 0))), "Left", "Ativo")</f>
        <v>Ativo</v>
      </c>
      <c r="F2519" s="12" t="str" cm="1">
        <f t="array" ref="F2519">IF(AND(A2519="2021-03", ISNA(MATCH(B2519, _xlfn._xlws.FILTER(B:B, A:A="2021-04"), 0))), "Left", "Ativo")</f>
        <v>Ativo</v>
      </c>
    </row>
    <row r="2520" spans="1:6" x14ac:dyDescent="0.25">
      <c r="A2520" t="s">
        <v>1530</v>
      </c>
      <c r="B2520" t="s">
        <v>591</v>
      </c>
      <c r="C2520" s="10" t="str" cm="1">
        <f t="array" ref="C2520">IF(AND(A2520="2020-12", ISNA(MATCH(B2520, _xlfn._xlws.FILTER(B:B, A:A="2021-01"), 0))), "Left", "Ativo")</f>
        <v>Ativo</v>
      </c>
      <c r="D2520" s="10" t="str" cm="1">
        <f t="array" ref="D2520">IF(AND(A2520="2021-01", ISNA(MATCH(B2520, _xlfn._xlws.FILTER(B:B, A:A="2021-02"), 0))), "Left", "Ativo")</f>
        <v>Ativo</v>
      </c>
      <c r="E2520" s="10" t="str" cm="1">
        <f t="array" ref="E2520">IF(AND(A2520="2021-02", ISNA(MATCH(B2520, _xlfn._xlws.FILTER(B:B, A:A="2021-03"), 0))), "Left", "Ativo")</f>
        <v>Ativo</v>
      </c>
      <c r="F2520" s="12" t="str" cm="1">
        <f t="array" ref="F2520">IF(AND(A2520="2021-03", ISNA(MATCH(B2520, _xlfn._xlws.FILTER(B:B, A:A="2021-04"), 0))), "Left", "Ativo")</f>
        <v>Ativo</v>
      </c>
    </row>
    <row r="2521" spans="1:6" x14ac:dyDescent="0.25">
      <c r="A2521" t="s">
        <v>1530</v>
      </c>
      <c r="B2521" t="s">
        <v>592</v>
      </c>
      <c r="C2521" s="10" t="str" cm="1">
        <f t="array" ref="C2521">IF(AND(A2521="2020-12", ISNA(MATCH(B2521, _xlfn._xlws.FILTER(B:B, A:A="2021-01"), 0))), "Left", "Ativo")</f>
        <v>Ativo</v>
      </c>
      <c r="D2521" s="10" t="str" cm="1">
        <f t="array" ref="D2521">IF(AND(A2521="2021-01", ISNA(MATCH(B2521, _xlfn._xlws.FILTER(B:B, A:A="2021-02"), 0))), "Left", "Ativo")</f>
        <v>Ativo</v>
      </c>
      <c r="E2521" s="10" t="str" cm="1">
        <f t="array" ref="E2521">IF(AND(A2521="2021-02", ISNA(MATCH(B2521, _xlfn._xlws.FILTER(B:B, A:A="2021-03"), 0))), "Left", "Ativo")</f>
        <v>Ativo</v>
      </c>
      <c r="F2521" s="12" t="str" cm="1">
        <f t="array" ref="F2521">IF(AND(A2521="2021-03", ISNA(MATCH(B2521, _xlfn._xlws.FILTER(B:B, A:A="2021-04"), 0))), "Left", "Ativo")</f>
        <v>Ativo</v>
      </c>
    </row>
    <row r="2522" spans="1:6" x14ac:dyDescent="0.25">
      <c r="A2522" t="s">
        <v>1530</v>
      </c>
      <c r="B2522" t="s">
        <v>593</v>
      </c>
      <c r="C2522" s="10" t="str" cm="1">
        <f t="array" ref="C2522">IF(AND(A2522="2020-12", ISNA(MATCH(B2522, _xlfn._xlws.FILTER(B:B, A:A="2021-01"), 0))), "Left", "Ativo")</f>
        <v>Ativo</v>
      </c>
      <c r="D2522" s="10" t="str" cm="1">
        <f t="array" ref="D2522">IF(AND(A2522="2021-01", ISNA(MATCH(B2522, _xlfn._xlws.FILTER(B:B, A:A="2021-02"), 0))), "Left", "Ativo")</f>
        <v>Ativo</v>
      </c>
      <c r="E2522" s="10" t="str" cm="1">
        <f t="array" ref="E2522">IF(AND(A2522="2021-02", ISNA(MATCH(B2522, _xlfn._xlws.FILTER(B:B, A:A="2021-03"), 0))), "Left", "Ativo")</f>
        <v>Ativo</v>
      </c>
      <c r="F2522" s="12" t="str" cm="1">
        <f t="array" ref="F2522">IF(AND(A2522="2021-03", ISNA(MATCH(B2522, _xlfn._xlws.FILTER(B:B, A:A="2021-04"), 0))), "Left", "Ativo")</f>
        <v>Ativo</v>
      </c>
    </row>
    <row r="2523" spans="1:6" x14ac:dyDescent="0.25">
      <c r="A2523" t="s">
        <v>1530</v>
      </c>
      <c r="B2523" t="s">
        <v>594</v>
      </c>
      <c r="C2523" s="10" t="str" cm="1">
        <f t="array" ref="C2523">IF(AND(A2523="2020-12", ISNA(MATCH(B2523, _xlfn._xlws.FILTER(B:B, A:A="2021-01"), 0))), "Left", "Ativo")</f>
        <v>Ativo</v>
      </c>
      <c r="D2523" s="10" t="str" cm="1">
        <f t="array" ref="D2523">IF(AND(A2523="2021-01", ISNA(MATCH(B2523, _xlfn._xlws.FILTER(B:B, A:A="2021-02"), 0))), "Left", "Ativo")</f>
        <v>Ativo</v>
      </c>
      <c r="E2523" s="10" t="str" cm="1">
        <f t="array" ref="E2523">IF(AND(A2523="2021-02", ISNA(MATCH(B2523, _xlfn._xlws.FILTER(B:B, A:A="2021-03"), 0))), "Left", "Ativo")</f>
        <v>Ativo</v>
      </c>
      <c r="F2523" s="12" t="str" cm="1">
        <f t="array" ref="F2523">IF(AND(A2523="2021-03", ISNA(MATCH(B2523, _xlfn._xlws.FILTER(B:B, A:A="2021-04"), 0))), "Left", "Ativo")</f>
        <v>Ativo</v>
      </c>
    </row>
    <row r="2524" spans="1:6" x14ac:dyDescent="0.25">
      <c r="A2524" t="s">
        <v>1530</v>
      </c>
      <c r="B2524" t="s">
        <v>595</v>
      </c>
      <c r="C2524" s="10" t="str" cm="1">
        <f t="array" ref="C2524">IF(AND(A2524="2020-12", ISNA(MATCH(B2524, _xlfn._xlws.FILTER(B:B, A:A="2021-01"), 0))), "Left", "Ativo")</f>
        <v>Ativo</v>
      </c>
      <c r="D2524" s="10" t="str" cm="1">
        <f t="array" ref="D2524">IF(AND(A2524="2021-01", ISNA(MATCH(B2524, _xlfn._xlws.FILTER(B:B, A:A="2021-02"), 0))), "Left", "Ativo")</f>
        <v>Ativo</v>
      </c>
      <c r="E2524" s="10" t="str" cm="1">
        <f t="array" ref="E2524">IF(AND(A2524="2021-02", ISNA(MATCH(B2524, _xlfn._xlws.FILTER(B:B, A:A="2021-03"), 0))), "Left", "Ativo")</f>
        <v>Ativo</v>
      </c>
      <c r="F2524" s="12" t="str" cm="1">
        <f t="array" ref="F2524">IF(AND(A2524="2021-03", ISNA(MATCH(B2524, _xlfn._xlws.FILTER(B:B, A:A="2021-04"), 0))), "Left", "Ativo")</f>
        <v>Ativo</v>
      </c>
    </row>
    <row r="2525" spans="1:6" x14ac:dyDescent="0.25">
      <c r="A2525" t="s">
        <v>1530</v>
      </c>
      <c r="B2525" t="s">
        <v>596</v>
      </c>
      <c r="C2525" s="10" t="str" cm="1">
        <f t="array" ref="C2525">IF(AND(A2525="2020-12", ISNA(MATCH(B2525, _xlfn._xlws.FILTER(B:B, A:A="2021-01"), 0))), "Left", "Ativo")</f>
        <v>Ativo</v>
      </c>
      <c r="D2525" s="10" t="str" cm="1">
        <f t="array" ref="D2525">IF(AND(A2525="2021-01", ISNA(MATCH(B2525, _xlfn._xlws.FILTER(B:B, A:A="2021-02"), 0))), "Left", "Ativo")</f>
        <v>Ativo</v>
      </c>
      <c r="E2525" s="10" t="str" cm="1">
        <f t="array" ref="E2525">IF(AND(A2525="2021-02", ISNA(MATCH(B2525, _xlfn._xlws.FILTER(B:B, A:A="2021-03"), 0))), "Left", "Ativo")</f>
        <v>Ativo</v>
      </c>
      <c r="F2525" s="12" t="str" cm="1">
        <f t="array" ref="F2525">IF(AND(A2525="2021-03", ISNA(MATCH(B2525, _xlfn._xlws.FILTER(B:B, A:A="2021-04"), 0))), "Left", "Ativo")</f>
        <v>Ativo</v>
      </c>
    </row>
    <row r="2526" spans="1:6" x14ac:dyDescent="0.25">
      <c r="A2526" t="s">
        <v>1530</v>
      </c>
      <c r="B2526" t="s">
        <v>597</v>
      </c>
      <c r="C2526" s="10" t="str" cm="1">
        <f t="array" ref="C2526">IF(AND(A2526="2020-12", ISNA(MATCH(B2526, _xlfn._xlws.FILTER(B:B, A:A="2021-01"), 0))), "Left", "Ativo")</f>
        <v>Ativo</v>
      </c>
      <c r="D2526" s="10" t="str" cm="1">
        <f t="array" ref="D2526">IF(AND(A2526="2021-01", ISNA(MATCH(B2526, _xlfn._xlws.FILTER(B:B, A:A="2021-02"), 0))), "Left", "Ativo")</f>
        <v>Ativo</v>
      </c>
      <c r="E2526" s="10" t="str" cm="1">
        <f t="array" ref="E2526">IF(AND(A2526="2021-02", ISNA(MATCH(B2526, _xlfn._xlws.FILTER(B:B, A:A="2021-03"), 0))), "Left", "Ativo")</f>
        <v>Ativo</v>
      </c>
      <c r="F2526" s="12" t="str" cm="1">
        <f t="array" ref="F2526">IF(AND(A2526="2021-03", ISNA(MATCH(B2526, _xlfn._xlws.FILTER(B:B, A:A="2021-04"), 0))), "Left", "Ativo")</f>
        <v>Ativo</v>
      </c>
    </row>
    <row r="2527" spans="1:6" x14ac:dyDescent="0.25">
      <c r="A2527" t="s">
        <v>1530</v>
      </c>
      <c r="B2527" t="s">
        <v>598</v>
      </c>
      <c r="C2527" s="10" t="str" cm="1">
        <f t="array" ref="C2527">IF(AND(A2527="2020-12", ISNA(MATCH(B2527, _xlfn._xlws.FILTER(B:B, A:A="2021-01"), 0))), "Left", "Ativo")</f>
        <v>Ativo</v>
      </c>
      <c r="D2527" s="10" t="str" cm="1">
        <f t="array" ref="D2527">IF(AND(A2527="2021-01", ISNA(MATCH(B2527, _xlfn._xlws.FILTER(B:B, A:A="2021-02"), 0))), "Left", "Ativo")</f>
        <v>Ativo</v>
      </c>
      <c r="E2527" s="10" t="str" cm="1">
        <f t="array" ref="E2527">IF(AND(A2527="2021-02", ISNA(MATCH(B2527, _xlfn._xlws.FILTER(B:B, A:A="2021-03"), 0))), "Left", "Ativo")</f>
        <v>Ativo</v>
      </c>
      <c r="F2527" s="12" t="str" cm="1">
        <f t="array" ref="F2527">IF(AND(A2527="2021-03", ISNA(MATCH(B2527, _xlfn._xlws.FILTER(B:B, A:A="2021-04"), 0))), "Left", "Ativo")</f>
        <v>Ativo</v>
      </c>
    </row>
    <row r="2528" spans="1:6" x14ac:dyDescent="0.25">
      <c r="A2528" t="s">
        <v>1530</v>
      </c>
      <c r="B2528" t="s">
        <v>599</v>
      </c>
      <c r="C2528" s="10" t="str" cm="1">
        <f t="array" ref="C2528">IF(AND(A2528="2020-12", ISNA(MATCH(B2528, _xlfn._xlws.FILTER(B:B, A:A="2021-01"), 0))), "Left", "Ativo")</f>
        <v>Ativo</v>
      </c>
      <c r="D2528" s="10" t="str" cm="1">
        <f t="array" ref="D2528">IF(AND(A2528="2021-01", ISNA(MATCH(B2528, _xlfn._xlws.FILTER(B:B, A:A="2021-02"), 0))), "Left", "Ativo")</f>
        <v>Ativo</v>
      </c>
      <c r="E2528" s="10" t="str" cm="1">
        <f t="array" ref="E2528">IF(AND(A2528="2021-02", ISNA(MATCH(B2528, _xlfn._xlws.FILTER(B:B, A:A="2021-03"), 0))), "Left", "Ativo")</f>
        <v>Ativo</v>
      </c>
      <c r="F2528" s="12" t="str" cm="1">
        <f t="array" ref="F2528">IF(AND(A2528="2021-03", ISNA(MATCH(B2528, _xlfn._xlws.FILTER(B:B, A:A="2021-04"), 0))), "Left", "Ativo")</f>
        <v>Ativo</v>
      </c>
    </row>
    <row r="2529" spans="1:6" x14ac:dyDescent="0.25">
      <c r="A2529" t="s">
        <v>1530</v>
      </c>
      <c r="B2529" t="s">
        <v>600</v>
      </c>
      <c r="C2529" s="10" t="str" cm="1">
        <f t="array" ref="C2529">IF(AND(A2529="2020-12", ISNA(MATCH(B2529, _xlfn._xlws.FILTER(B:B, A:A="2021-01"), 0))), "Left", "Ativo")</f>
        <v>Ativo</v>
      </c>
      <c r="D2529" s="10" t="str" cm="1">
        <f t="array" ref="D2529">IF(AND(A2529="2021-01", ISNA(MATCH(B2529, _xlfn._xlws.FILTER(B:B, A:A="2021-02"), 0))), "Left", "Ativo")</f>
        <v>Ativo</v>
      </c>
      <c r="E2529" s="10" t="str" cm="1">
        <f t="array" ref="E2529">IF(AND(A2529="2021-02", ISNA(MATCH(B2529, _xlfn._xlws.FILTER(B:B, A:A="2021-03"), 0))), "Left", "Ativo")</f>
        <v>Ativo</v>
      </c>
      <c r="F2529" s="12" t="str" cm="1">
        <f t="array" ref="F2529">IF(AND(A2529="2021-03", ISNA(MATCH(B2529, _xlfn._xlws.FILTER(B:B, A:A="2021-04"), 0))), "Left", "Ativo")</f>
        <v>Ativo</v>
      </c>
    </row>
    <row r="2530" spans="1:6" x14ac:dyDescent="0.25">
      <c r="A2530" t="s">
        <v>1530</v>
      </c>
      <c r="B2530" t="s">
        <v>601</v>
      </c>
      <c r="C2530" s="10" t="str" cm="1">
        <f t="array" ref="C2530">IF(AND(A2530="2020-12", ISNA(MATCH(B2530, _xlfn._xlws.FILTER(B:B, A:A="2021-01"), 0))), "Left", "Ativo")</f>
        <v>Ativo</v>
      </c>
      <c r="D2530" s="10" t="str" cm="1">
        <f t="array" ref="D2530">IF(AND(A2530="2021-01", ISNA(MATCH(B2530, _xlfn._xlws.FILTER(B:B, A:A="2021-02"), 0))), "Left", "Ativo")</f>
        <v>Ativo</v>
      </c>
      <c r="E2530" s="10" t="str" cm="1">
        <f t="array" ref="E2530">IF(AND(A2530="2021-02", ISNA(MATCH(B2530, _xlfn._xlws.FILTER(B:B, A:A="2021-03"), 0))), "Left", "Ativo")</f>
        <v>Ativo</v>
      </c>
      <c r="F2530" s="12" t="str" cm="1">
        <f t="array" ref="F2530">IF(AND(A2530="2021-03", ISNA(MATCH(B2530, _xlfn._xlws.FILTER(B:B, A:A="2021-04"), 0))), "Left", "Ativo")</f>
        <v>Ativo</v>
      </c>
    </row>
    <row r="2531" spans="1:6" x14ac:dyDescent="0.25">
      <c r="A2531" t="s">
        <v>1530</v>
      </c>
      <c r="B2531" t="s">
        <v>602</v>
      </c>
      <c r="C2531" s="10" t="str" cm="1">
        <f t="array" ref="C2531">IF(AND(A2531="2020-12", ISNA(MATCH(B2531, _xlfn._xlws.FILTER(B:B, A:A="2021-01"), 0))), "Left", "Ativo")</f>
        <v>Ativo</v>
      </c>
      <c r="D2531" s="10" t="str" cm="1">
        <f t="array" ref="D2531">IF(AND(A2531="2021-01", ISNA(MATCH(B2531, _xlfn._xlws.FILTER(B:B, A:A="2021-02"), 0))), "Left", "Ativo")</f>
        <v>Ativo</v>
      </c>
      <c r="E2531" s="10" t="str" cm="1">
        <f t="array" ref="E2531">IF(AND(A2531="2021-02", ISNA(MATCH(B2531, _xlfn._xlws.FILTER(B:B, A:A="2021-03"), 0))), "Left", "Ativo")</f>
        <v>Ativo</v>
      </c>
      <c r="F2531" s="12" t="str" cm="1">
        <f t="array" ref="F2531">IF(AND(A2531="2021-03", ISNA(MATCH(B2531, _xlfn._xlws.FILTER(B:B, A:A="2021-04"), 0))), "Left", "Ativo")</f>
        <v>Ativo</v>
      </c>
    </row>
    <row r="2532" spans="1:6" x14ac:dyDescent="0.25">
      <c r="A2532" t="s">
        <v>1530</v>
      </c>
      <c r="B2532" t="s">
        <v>603</v>
      </c>
      <c r="C2532" s="10" t="str" cm="1">
        <f t="array" ref="C2532">IF(AND(A2532="2020-12", ISNA(MATCH(B2532, _xlfn._xlws.FILTER(B:B, A:A="2021-01"), 0))), "Left", "Ativo")</f>
        <v>Ativo</v>
      </c>
      <c r="D2532" s="10" t="str" cm="1">
        <f t="array" ref="D2532">IF(AND(A2532="2021-01", ISNA(MATCH(B2532, _xlfn._xlws.FILTER(B:B, A:A="2021-02"), 0))), "Left", "Ativo")</f>
        <v>Ativo</v>
      </c>
      <c r="E2532" s="10" t="str" cm="1">
        <f t="array" ref="E2532">IF(AND(A2532="2021-02", ISNA(MATCH(B2532, _xlfn._xlws.FILTER(B:B, A:A="2021-03"), 0))), "Left", "Ativo")</f>
        <v>Ativo</v>
      </c>
      <c r="F2532" s="12" t="str" cm="1">
        <f t="array" ref="F2532">IF(AND(A2532="2021-03", ISNA(MATCH(B2532, _xlfn._xlws.FILTER(B:B, A:A="2021-04"), 0))), "Left", "Ativo")</f>
        <v>Ativo</v>
      </c>
    </row>
    <row r="2533" spans="1:6" x14ac:dyDescent="0.25">
      <c r="A2533" t="s">
        <v>1530</v>
      </c>
      <c r="B2533" t="s">
        <v>604</v>
      </c>
      <c r="C2533" s="10" t="str" cm="1">
        <f t="array" ref="C2533">IF(AND(A2533="2020-12", ISNA(MATCH(B2533, _xlfn._xlws.FILTER(B:B, A:A="2021-01"), 0))), "Left", "Ativo")</f>
        <v>Ativo</v>
      </c>
      <c r="D2533" s="10" t="str" cm="1">
        <f t="array" ref="D2533">IF(AND(A2533="2021-01", ISNA(MATCH(B2533, _xlfn._xlws.FILTER(B:B, A:A="2021-02"), 0))), "Left", "Ativo")</f>
        <v>Ativo</v>
      </c>
      <c r="E2533" s="10" t="str" cm="1">
        <f t="array" ref="E2533">IF(AND(A2533="2021-02", ISNA(MATCH(B2533, _xlfn._xlws.FILTER(B:B, A:A="2021-03"), 0))), "Left", "Ativo")</f>
        <v>Ativo</v>
      </c>
      <c r="F2533" s="12" t="str" cm="1">
        <f t="array" ref="F2533">IF(AND(A2533="2021-03", ISNA(MATCH(B2533, _xlfn._xlws.FILTER(B:B, A:A="2021-04"), 0))), "Left", "Ativo")</f>
        <v>Ativo</v>
      </c>
    </row>
    <row r="2534" spans="1:6" x14ac:dyDescent="0.25">
      <c r="A2534" t="s">
        <v>1530</v>
      </c>
      <c r="B2534" t="s">
        <v>605</v>
      </c>
      <c r="C2534" s="10" t="str" cm="1">
        <f t="array" ref="C2534">IF(AND(A2534="2020-12", ISNA(MATCH(B2534, _xlfn._xlws.FILTER(B:B, A:A="2021-01"), 0))), "Left", "Ativo")</f>
        <v>Ativo</v>
      </c>
      <c r="D2534" s="10" t="str" cm="1">
        <f t="array" ref="D2534">IF(AND(A2534="2021-01", ISNA(MATCH(B2534, _xlfn._xlws.FILTER(B:B, A:A="2021-02"), 0))), "Left", "Ativo")</f>
        <v>Ativo</v>
      </c>
      <c r="E2534" s="10" t="str" cm="1">
        <f t="array" ref="E2534">IF(AND(A2534="2021-02", ISNA(MATCH(B2534, _xlfn._xlws.FILTER(B:B, A:A="2021-03"), 0))), "Left", "Ativo")</f>
        <v>Ativo</v>
      </c>
      <c r="F2534" s="12" t="str" cm="1">
        <f t="array" ref="F2534">IF(AND(A2534="2021-03", ISNA(MATCH(B2534, _xlfn._xlws.FILTER(B:B, A:A="2021-04"), 0))), "Left", "Ativo")</f>
        <v>Ativo</v>
      </c>
    </row>
    <row r="2535" spans="1:6" x14ac:dyDescent="0.25">
      <c r="A2535" t="s">
        <v>1530</v>
      </c>
      <c r="B2535" t="s">
        <v>606</v>
      </c>
      <c r="C2535" s="10" t="str" cm="1">
        <f t="array" ref="C2535">IF(AND(A2535="2020-12", ISNA(MATCH(B2535, _xlfn._xlws.FILTER(B:B, A:A="2021-01"), 0))), "Left", "Ativo")</f>
        <v>Ativo</v>
      </c>
      <c r="D2535" s="10" t="str" cm="1">
        <f t="array" ref="D2535">IF(AND(A2535="2021-01", ISNA(MATCH(B2535, _xlfn._xlws.FILTER(B:B, A:A="2021-02"), 0))), "Left", "Ativo")</f>
        <v>Ativo</v>
      </c>
      <c r="E2535" s="10" t="str" cm="1">
        <f t="array" ref="E2535">IF(AND(A2535="2021-02", ISNA(MATCH(B2535, _xlfn._xlws.FILTER(B:B, A:A="2021-03"), 0))), "Left", "Ativo")</f>
        <v>Ativo</v>
      </c>
      <c r="F2535" s="12" t="str" cm="1">
        <f t="array" ref="F2535">IF(AND(A2535="2021-03", ISNA(MATCH(B2535, _xlfn._xlws.FILTER(B:B, A:A="2021-04"), 0))), "Left", "Ativo")</f>
        <v>Ativo</v>
      </c>
    </row>
    <row r="2536" spans="1:6" x14ac:dyDescent="0.25">
      <c r="A2536" t="s">
        <v>1530</v>
      </c>
      <c r="B2536" t="s">
        <v>607</v>
      </c>
      <c r="C2536" s="10" t="str" cm="1">
        <f t="array" ref="C2536">IF(AND(A2536="2020-12", ISNA(MATCH(B2536, _xlfn._xlws.FILTER(B:B, A:A="2021-01"), 0))), "Left", "Ativo")</f>
        <v>Ativo</v>
      </c>
      <c r="D2536" s="10" t="str" cm="1">
        <f t="array" ref="D2536">IF(AND(A2536="2021-01", ISNA(MATCH(B2536, _xlfn._xlws.FILTER(B:B, A:A="2021-02"), 0))), "Left", "Ativo")</f>
        <v>Ativo</v>
      </c>
      <c r="E2536" s="10" t="str" cm="1">
        <f t="array" ref="E2536">IF(AND(A2536="2021-02", ISNA(MATCH(B2536, _xlfn._xlws.FILTER(B:B, A:A="2021-03"), 0))), "Left", "Ativo")</f>
        <v>Ativo</v>
      </c>
      <c r="F2536" s="12" t="str" cm="1">
        <f t="array" ref="F2536">IF(AND(A2536="2021-03", ISNA(MATCH(B2536, _xlfn._xlws.FILTER(B:B, A:A="2021-04"), 0))), "Left", "Ativo")</f>
        <v>Ativo</v>
      </c>
    </row>
    <row r="2537" spans="1:6" x14ac:dyDescent="0.25">
      <c r="A2537" t="s">
        <v>1530</v>
      </c>
      <c r="B2537" t="s">
        <v>608</v>
      </c>
      <c r="C2537" s="10" t="str" cm="1">
        <f t="array" ref="C2537">IF(AND(A2537="2020-12", ISNA(MATCH(B2537, _xlfn._xlws.FILTER(B:B, A:A="2021-01"), 0))), "Left", "Ativo")</f>
        <v>Ativo</v>
      </c>
      <c r="D2537" s="10" t="str" cm="1">
        <f t="array" ref="D2537">IF(AND(A2537="2021-01", ISNA(MATCH(B2537, _xlfn._xlws.FILTER(B:B, A:A="2021-02"), 0))), "Left", "Ativo")</f>
        <v>Ativo</v>
      </c>
      <c r="E2537" s="10" t="str" cm="1">
        <f t="array" ref="E2537">IF(AND(A2537="2021-02", ISNA(MATCH(B2537, _xlfn._xlws.FILTER(B:B, A:A="2021-03"), 0))), "Left", "Ativo")</f>
        <v>Ativo</v>
      </c>
      <c r="F2537" s="12" t="str" cm="1">
        <f t="array" ref="F2537">IF(AND(A2537="2021-03", ISNA(MATCH(B2537, _xlfn._xlws.FILTER(B:B, A:A="2021-04"), 0))), "Left", "Ativo")</f>
        <v>Ativo</v>
      </c>
    </row>
    <row r="2538" spans="1:6" x14ac:dyDescent="0.25">
      <c r="A2538" t="s">
        <v>1530</v>
      </c>
      <c r="B2538" t="s">
        <v>609</v>
      </c>
      <c r="C2538" s="10" t="str" cm="1">
        <f t="array" ref="C2538">IF(AND(A2538="2020-12", ISNA(MATCH(B2538, _xlfn._xlws.FILTER(B:B, A:A="2021-01"), 0))), "Left", "Ativo")</f>
        <v>Ativo</v>
      </c>
      <c r="D2538" s="10" t="str" cm="1">
        <f t="array" ref="D2538">IF(AND(A2538="2021-01", ISNA(MATCH(B2538, _xlfn._xlws.FILTER(B:B, A:A="2021-02"), 0))), "Left", "Ativo")</f>
        <v>Ativo</v>
      </c>
      <c r="E2538" s="10" t="str" cm="1">
        <f t="array" ref="E2538">IF(AND(A2538="2021-02", ISNA(MATCH(B2538, _xlfn._xlws.FILTER(B:B, A:A="2021-03"), 0))), "Left", "Ativo")</f>
        <v>Ativo</v>
      </c>
      <c r="F2538" s="12" t="str" cm="1">
        <f t="array" ref="F2538">IF(AND(A2538="2021-03", ISNA(MATCH(B2538, _xlfn._xlws.FILTER(B:B, A:A="2021-04"), 0))), "Left", "Ativo")</f>
        <v>Ativo</v>
      </c>
    </row>
    <row r="2539" spans="1:6" x14ac:dyDescent="0.25">
      <c r="A2539" t="s">
        <v>1530</v>
      </c>
      <c r="B2539" t="s">
        <v>610</v>
      </c>
      <c r="C2539" s="10" t="str" cm="1">
        <f t="array" ref="C2539">IF(AND(A2539="2020-12", ISNA(MATCH(B2539, _xlfn._xlws.FILTER(B:B, A:A="2021-01"), 0))), "Left", "Ativo")</f>
        <v>Ativo</v>
      </c>
      <c r="D2539" s="10" t="str" cm="1">
        <f t="array" ref="D2539">IF(AND(A2539="2021-01", ISNA(MATCH(B2539, _xlfn._xlws.FILTER(B:B, A:A="2021-02"), 0))), "Left", "Ativo")</f>
        <v>Ativo</v>
      </c>
      <c r="E2539" s="10" t="str" cm="1">
        <f t="array" ref="E2539">IF(AND(A2539="2021-02", ISNA(MATCH(B2539, _xlfn._xlws.FILTER(B:B, A:A="2021-03"), 0))), "Left", "Ativo")</f>
        <v>Left</v>
      </c>
      <c r="F2539" s="12" t="str" cm="1">
        <f t="array" ref="F2539">IF(AND(A2539="2021-03", ISNA(MATCH(B2539, _xlfn._xlws.FILTER(B:B, A:A="2021-04"), 0))), "Left", "Ativo")</f>
        <v>Ativo</v>
      </c>
    </row>
    <row r="2540" spans="1:6" x14ac:dyDescent="0.25">
      <c r="A2540" t="s">
        <v>1530</v>
      </c>
      <c r="B2540" t="s">
        <v>611</v>
      </c>
      <c r="C2540" s="10" t="str" cm="1">
        <f t="array" ref="C2540">IF(AND(A2540="2020-12", ISNA(MATCH(B2540, _xlfn._xlws.FILTER(B:B, A:A="2021-01"), 0))), "Left", "Ativo")</f>
        <v>Ativo</v>
      </c>
      <c r="D2540" s="10" t="str" cm="1">
        <f t="array" ref="D2540">IF(AND(A2540="2021-01", ISNA(MATCH(B2540, _xlfn._xlws.FILTER(B:B, A:A="2021-02"), 0))), "Left", "Ativo")</f>
        <v>Ativo</v>
      </c>
      <c r="E2540" s="10" t="str" cm="1">
        <f t="array" ref="E2540">IF(AND(A2540="2021-02", ISNA(MATCH(B2540, _xlfn._xlws.FILTER(B:B, A:A="2021-03"), 0))), "Left", "Ativo")</f>
        <v>Ativo</v>
      </c>
      <c r="F2540" s="12" t="str" cm="1">
        <f t="array" ref="F2540">IF(AND(A2540="2021-03", ISNA(MATCH(B2540, _xlfn._xlws.FILTER(B:B, A:A="2021-04"), 0))), "Left", "Ativo")</f>
        <v>Ativo</v>
      </c>
    </row>
    <row r="2541" spans="1:6" x14ac:dyDescent="0.25">
      <c r="A2541" t="s">
        <v>1530</v>
      </c>
      <c r="B2541" t="s">
        <v>612</v>
      </c>
      <c r="C2541" s="10" t="str" cm="1">
        <f t="array" ref="C2541">IF(AND(A2541="2020-12", ISNA(MATCH(B2541, _xlfn._xlws.FILTER(B:B, A:A="2021-01"), 0))), "Left", "Ativo")</f>
        <v>Ativo</v>
      </c>
      <c r="D2541" s="10" t="str" cm="1">
        <f t="array" ref="D2541">IF(AND(A2541="2021-01", ISNA(MATCH(B2541, _xlfn._xlws.FILTER(B:B, A:A="2021-02"), 0))), "Left", "Ativo")</f>
        <v>Ativo</v>
      </c>
      <c r="E2541" s="10" t="str" cm="1">
        <f t="array" ref="E2541">IF(AND(A2541="2021-02", ISNA(MATCH(B2541, _xlfn._xlws.FILTER(B:B, A:A="2021-03"), 0))), "Left", "Ativo")</f>
        <v>Ativo</v>
      </c>
      <c r="F2541" s="12" t="str" cm="1">
        <f t="array" ref="F2541">IF(AND(A2541="2021-03", ISNA(MATCH(B2541, _xlfn._xlws.FILTER(B:B, A:A="2021-04"), 0))), "Left", "Ativo")</f>
        <v>Ativo</v>
      </c>
    </row>
    <row r="2542" spans="1:6" x14ac:dyDescent="0.25">
      <c r="A2542" t="s">
        <v>1530</v>
      </c>
      <c r="B2542" t="s">
        <v>613</v>
      </c>
      <c r="C2542" s="10" t="str" cm="1">
        <f t="array" ref="C2542">IF(AND(A2542="2020-12", ISNA(MATCH(B2542, _xlfn._xlws.FILTER(B:B, A:A="2021-01"), 0))), "Left", "Ativo")</f>
        <v>Ativo</v>
      </c>
      <c r="D2542" s="10" t="str" cm="1">
        <f t="array" ref="D2542">IF(AND(A2542="2021-01", ISNA(MATCH(B2542, _xlfn._xlws.FILTER(B:B, A:A="2021-02"), 0))), "Left", "Ativo")</f>
        <v>Ativo</v>
      </c>
      <c r="E2542" s="10" t="str" cm="1">
        <f t="array" ref="E2542">IF(AND(A2542="2021-02", ISNA(MATCH(B2542, _xlfn._xlws.FILTER(B:B, A:A="2021-03"), 0))), "Left", "Ativo")</f>
        <v>Left</v>
      </c>
      <c r="F2542" s="12" t="str" cm="1">
        <f t="array" ref="F2542">IF(AND(A2542="2021-03", ISNA(MATCH(B2542, _xlfn._xlws.FILTER(B:B, A:A="2021-04"), 0))), "Left", "Ativo")</f>
        <v>Ativo</v>
      </c>
    </row>
    <row r="2543" spans="1:6" x14ac:dyDescent="0.25">
      <c r="A2543" t="s">
        <v>1530</v>
      </c>
      <c r="B2543" t="s">
        <v>614</v>
      </c>
      <c r="C2543" s="10" t="str" cm="1">
        <f t="array" ref="C2543">IF(AND(A2543="2020-12", ISNA(MATCH(B2543, _xlfn._xlws.FILTER(B:B, A:A="2021-01"), 0))), "Left", "Ativo")</f>
        <v>Ativo</v>
      </c>
      <c r="D2543" s="10" t="str" cm="1">
        <f t="array" ref="D2543">IF(AND(A2543="2021-01", ISNA(MATCH(B2543, _xlfn._xlws.FILTER(B:B, A:A="2021-02"), 0))), "Left", "Ativo")</f>
        <v>Ativo</v>
      </c>
      <c r="E2543" s="10" t="str" cm="1">
        <f t="array" ref="E2543">IF(AND(A2543="2021-02", ISNA(MATCH(B2543, _xlfn._xlws.FILTER(B:B, A:A="2021-03"), 0))), "Left", "Ativo")</f>
        <v>Left</v>
      </c>
      <c r="F2543" s="12" t="str" cm="1">
        <f t="array" ref="F2543">IF(AND(A2543="2021-03", ISNA(MATCH(B2543, _xlfn._xlws.FILTER(B:B, A:A="2021-04"), 0))), "Left", "Ativo")</f>
        <v>Ativo</v>
      </c>
    </row>
    <row r="2544" spans="1:6" x14ac:dyDescent="0.25">
      <c r="A2544" t="s">
        <v>1530</v>
      </c>
      <c r="B2544" t="s">
        <v>615</v>
      </c>
      <c r="C2544" s="10" t="str" cm="1">
        <f t="array" ref="C2544">IF(AND(A2544="2020-12", ISNA(MATCH(B2544, _xlfn._xlws.FILTER(B:B, A:A="2021-01"), 0))), "Left", "Ativo")</f>
        <v>Ativo</v>
      </c>
      <c r="D2544" s="10" t="str" cm="1">
        <f t="array" ref="D2544">IF(AND(A2544="2021-01", ISNA(MATCH(B2544, _xlfn._xlws.FILTER(B:B, A:A="2021-02"), 0))), "Left", "Ativo")</f>
        <v>Ativo</v>
      </c>
      <c r="E2544" s="10" t="str" cm="1">
        <f t="array" ref="E2544">IF(AND(A2544="2021-02", ISNA(MATCH(B2544, _xlfn._xlws.FILTER(B:B, A:A="2021-03"), 0))), "Left", "Ativo")</f>
        <v>Ativo</v>
      </c>
      <c r="F2544" s="12" t="str" cm="1">
        <f t="array" ref="F2544">IF(AND(A2544="2021-03", ISNA(MATCH(B2544, _xlfn._xlws.FILTER(B:B, A:A="2021-04"), 0))), "Left", "Ativo")</f>
        <v>Ativo</v>
      </c>
    </row>
    <row r="2545" spans="1:6" x14ac:dyDescent="0.25">
      <c r="A2545" t="s">
        <v>1530</v>
      </c>
      <c r="B2545" t="s">
        <v>616</v>
      </c>
      <c r="C2545" s="10" t="str" cm="1">
        <f t="array" ref="C2545">IF(AND(A2545="2020-12", ISNA(MATCH(B2545, _xlfn._xlws.FILTER(B:B, A:A="2021-01"), 0))), "Left", "Ativo")</f>
        <v>Ativo</v>
      </c>
      <c r="D2545" s="10" t="str" cm="1">
        <f t="array" ref="D2545">IF(AND(A2545="2021-01", ISNA(MATCH(B2545, _xlfn._xlws.FILTER(B:B, A:A="2021-02"), 0))), "Left", "Ativo")</f>
        <v>Ativo</v>
      </c>
      <c r="E2545" s="10" t="str" cm="1">
        <f t="array" ref="E2545">IF(AND(A2545="2021-02", ISNA(MATCH(B2545, _xlfn._xlws.FILTER(B:B, A:A="2021-03"), 0))), "Left", "Ativo")</f>
        <v>Ativo</v>
      </c>
      <c r="F2545" s="12" t="str" cm="1">
        <f t="array" ref="F2545">IF(AND(A2545="2021-03", ISNA(MATCH(B2545, _xlfn._xlws.FILTER(B:B, A:A="2021-04"), 0))), "Left", "Ativo")</f>
        <v>Ativo</v>
      </c>
    </row>
    <row r="2546" spans="1:6" x14ac:dyDescent="0.25">
      <c r="A2546" t="s">
        <v>1530</v>
      </c>
      <c r="B2546" t="s">
        <v>617</v>
      </c>
      <c r="C2546" s="10" t="str" cm="1">
        <f t="array" ref="C2546">IF(AND(A2546="2020-12", ISNA(MATCH(B2546, _xlfn._xlws.FILTER(B:B, A:A="2021-01"), 0))), "Left", "Ativo")</f>
        <v>Ativo</v>
      </c>
      <c r="D2546" s="10" t="str" cm="1">
        <f t="array" ref="D2546">IF(AND(A2546="2021-01", ISNA(MATCH(B2546, _xlfn._xlws.FILTER(B:B, A:A="2021-02"), 0))), "Left", "Ativo")</f>
        <v>Ativo</v>
      </c>
      <c r="E2546" s="10" t="str" cm="1">
        <f t="array" ref="E2546">IF(AND(A2546="2021-02", ISNA(MATCH(B2546, _xlfn._xlws.FILTER(B:B, A:A="2021-03"), 0))), "Left", "Ativo")</f>
        <v>Ativo</v>
      </c>
      <c r="F2546" s="12" t="str" cm="1">
        <f t="array" ref="F2546">IF(AND(A2546="2021-03", ISNA(MATCH(B2546, _xlfn._xlws.FILTER(B:B, A:A="2021-04"), 0))), "Left", "Ativo")</f>
        <v>Ativo</v>
      </c>
    </row>
    <row r="2547" spans="1:6" x14ac:dyDescent="0.25">
      <c r="A2547" t="s">
        <v>1530</v>
      </c>
      <c r="B2547" t="s">
        <v>618</v>
      </c>
      <c r="C2547" s="10" t="str" cm="1">
        <f t="array" ref="C2547">IF(AND(A2547="2020-12", ISNA(MATCH(B2547, _xlfn._xlws.FILTER(B:B, A:A="2021-01"), 0))), "Left", "Ativo")</f>
        <v>Ativo</v>
      </c>
      <c r="D2547" s="10" t="str" cm="1">
        <f t="array" ref="D2547">IF(AND(A2547="2021-01", ISNA(MATCH(B2547, _xlfn._xlws.FILTER(B:B, A:A="2021-02"), 0))), "Left", "Ativo")</f>
        <v>Ativo</v>
      </c>
      <c r="E2547" s="10" t="str" cm="1">
        <f t="array" ref="E2547">IF(AND(A2547="2021-02", ISNA(MATCH(B2547, _xlfn._xlws.FILTER(B:B, A:A="2021-03"), 0))), "Left", "Ativo")</f>
        <v>Ativo</v>
      </c>
      <c r="F2547" s="12" t="str" cm="1">
        <f t="array" ref="F2547">IF(AND(A2547="2021-03", ISNA(MATCH(B2547, _xlfn._xlws.FILTER(B:B, A:A="2021-04"), 0))), "Left", "Ativo")</f>
        <v>Ativo</v>
      </c>
    </row>
    <row r="2548" spans="1:6" x14ac:dyDescent="0.25">
      <c r="A2548" t="s">
        <v>1530</v>
      </c>
      <c r="B2548" t="s">
        <v>619</v>
      </c>
      <c r="C2548" s="10" t="str" cm="1">
        <f t="array" ref="C2548">IF(AND(A2548="2020-12", ISNA(MATCH(B2548, _xlfn._xlws.FILTER(B:B, A:A="2021-01"), 0))), "Left", "Ativo")</f>
        <v>Ativo</v>
      </c>
      <c r="D2548" s="10" t="str" cm="1">
        <f t="array" ref="D2548">IF(AND(A2548="2021-01", ISNA(MATCH(B2548, _xlfn._xlws.FILTER(B:B, A:A="2021-02"), 0))), "Left", "Ativo")</f>
        <v>Ativo</v>
      </c>
      <c r="E2548" s="10" t="str" cm="1">
        <f t="array" ref="E2548">IF(AND(A2548="2021-02", ISNA(MATCH(B2548, _xlfn._xlws.FILTER(B:B, A:A="2021-03"), 0))), "Left", "Ativo")</f>
        <v>Ativo</v>
      </c>
      <c r="F2548" s="12" t="str" cm="1">
        <f t="array" ref="F2548">IF(AND(A2548="2021-03", ISNA(MATCH(B2548, _xlfn._xlws.FILTER(B:B, A:A="2021-04"), 0))), "Left", "Ativo")</f>
        <v>Ativo</v>
      </c>
    </row>
    <row r="2549" spans="1:6" x14ac:dyDescent="0.25">
      <c r="A2549" t="s">
        <v>1530</v>
      </c>
      <c r="B2549" t="s">
        <v>620</v>
      </c>
      <c r="C2549" s="10" t="str" cm="1">
        <f t="array" ref="C2549">IF(AND(A2549="2020-12", ISNA(MATCH(B2549, _xlfn._xlws.FILTER(B:B, A:A="2021-01"), 0))), "Left", "Ativo")</f>
        <v>Ativo</v>
      </c>
      <c r="D2549" s="10" t="str" cm="1">
        <f t="array" ref="D2549">IF(AND(A2549="2021-01", ISNA(MATCH(B2549, _xlfn._xlws.FILTER(B:B, A:A="2021-02"), 0))), "Left", "Ativo")</f>
        <v>Ativo</v>
      </c>
      <c r="E2549" s="10" t="str" cm="1">
        <f t="array" ref="E2549">IF(AND(A2549="2021-02", ISNA(MATCH(B2549, _xlfn._xlws.FILTER(B:B, A:A="2021-03"), 0))), "Left", "Ativo")</f>
        <v>Ativo</v>
      </c>
      <c r="F2549" s="12" t="str" cm="1">
        <f t="array" ref="F2549">IF(AND(A2549="2021-03", ISNA(MATCH(B2549, _xlfn._xlws.FILTER(B:B, A:A="2021-04"), 0))), "Left", "Ativo")</f>
        <v>Ativo</v>
      </c>
    </row>
    <row r="2550" spans="1:6" x14ac:dyDescent="0.25">
      <c r="A2550" t="s">
        <v>1530</v>
      </c>
      <c r="B2550" t="s">
        <v>621</v>
      </c>
      <c r="C2550" s="10" t="str" cm="1">
        <f t="array" ref="C2550">IF(AND(A2550="2020-12", ISNA(MATCH(B2550, _xlfn._xlws.FILTER(B:B, A:A="2021-01"), 0))), "Left", "Ativo")</f>
        <v>Ativo</v>
      </c>
      <c r="D2550" s="10" t="str" cm="1">
        <f t="array" ref="D2550">IF(AND(A2550="2021-01", ISNA(MATCH(B2550, _xlfn._xlws.FILTER(B:B, A:A="2021-02"), 0))), "Left", "Ativo")</f>
        <v>Ativo</v>
      </c>
      <c r="E2550" s="10" t="str" cm="1">
        <f t="array" ref="E2550">IF(AND(A2550="2021-02", ISNA(MATCH(B2550, _xlfn._xlws.FILTER(B:B, A:A="2021-03"), 0))), "Left", "Ativo")</f>
        <v>Ativo</v>
      </c>
      <c r="F2550" s="12" t="str" cm="1">
        <f t="array" ref="F2550">IF(AND(A2550="2021-03", ISNA(MATCH(B2550, _xlfn._xlws.FILTER(B:B, A:A="2021-04"), 0))), "Left", "Ativo")</f>
        <v>Ativo</v>
      </c>
    </row>
    <row r="2551" spans="1:6" x14ac:dyDescent="0.25">
      <c r="A2551" t="s">
        <v>1530</v>
      </c>
      <c r="B2551" t="s">
        <v>622</v>
      </c>
      <c r="C2551" s="10" t="str" cm="1">
        <f t="array" ref="C2551">IF(AND(A2551="2020-12", ISNA(MATCH(B2551, _xlfn._xlws.FILTER(B:B, A:A="2021-01"), 0))), "Left", "Ativo")</f>
        <v>Ativo</v>
      </c>
      <c r="D2551" s="10" t="str" cm="1">
        <f t="array" ref="D2551">IF(AND(A2551="2021-01", ISNA(MATCH(B2551, _xlfn._xlws.FILTER(B:B, A:A="2021-02"), 0))), "Left", "Ativo")</f>
        <v>Ativo</v>
      </c>
      <c r="E2551" s="10" t="str" cm="1">
        <f t="array" ref="E2551">IF(AND(A2551="2021-02", ISNA(MATCH(B2551, _xlfn._xlws.FILTER(B:B, A:A="2021-03"), 0))), "Left", "Ativo")</f>
        <v>Ativo</v>
      </c>
      <c r="F2551" s="12" t="str" cm="1">
        <f t="array" ref="F2551">IF(AND(A2551="2021-03", ISNA(MATCH(B2551, _xlfn._xlws.FILTER(B:B, A:A="2021-04"), 0))), "Left", "Ativo")</f>
        <v>Ativo</v>
      </c>
    </row>
    <row r="2552" spans="1:6" x14ac:dyDescent="0.25">
      <c r="A2552" t="s">
        <v>1530</v>
      </c>
      <c r="B2552" t="s">
        <v>623</v>
      </c>
      <c r="C2552" s="10" t="str" cm="1">
        <f t="array" ref="C2552">IF(AND(A2552="2020-12", ISNA(MATCH(B2552, _xlfn._xlws.FILTER(B:B, A:A="2021-01"), 0))), "Left", "Ativo")</f>
        <v>Ativo</v>
      </c>
      <c r="D2552" s="10" t="str" cm="1">
        <f t="array" ref="D2552">IF(AND(A2552="2021-01", ISNA(MATCH(B2552, _xlfn._xlws.FILTER(B:B, A:A="2021-02"), 0))), "Left", "Ativo")</f>
        <v>Ativo</v>
      </c>
      <c r="E2552" s="10" t="str" cm="1">
        <f t="array" ref="E2552">IF(AND(A2552="2021-02", ISNA(MATCH(B2552, _xlfn._xlws.FILTER(B:B, A:A="2021-03"), 0))), "Left", "Ativo")</f>
        <v>Ativo</v>
      </c>
      <c r="F2552" s="12" t="str" cm="1">
        <f t="array" ref="F2552">IF(AND(A2552="2021-03", ISNA(MATCH(B2552, _xlfn._xlws.FILTER(B:B, A:A="2021-04"), 0))), "Left", "Ativo")</f>
        <v>Ativo</v>
      </c>
    </row>
    <row r="2553" spans="1:6" x14ac:dyDescent="0.25">
      <c r="A2553" t="s">
        <v>1530</v>
      </c>
      <c r="B2553" t="s">
        <v>624</v>
      </c>
      <c r="C2553" s="10" t="str" cm="1">
        <f t="array" ref="C2553">IF(AND(A2553="2020-12", ISNA(MATCH(B2553, _xlfn._xlws.FILTER(B:B, A:A="2021-01"), 0))), "Left", "Ativo")</f>
        <v>Ativo</v>
      </c>
      <c r="D2553" s="10" t="str" cm="1">
        <f t="array" ref="D2553">IF(AND(A2553="2021-01", ISNA(MATCH(B2553, _xlfn._xlws.FILTER(B:B, A:A="2021-02"), 0))), "Left", "Ativo")</f>
        <v>Ativo</v>
      </c>
      <c r="E2553" s="10" t="str" cm="1">
        <f t="array" ref="E2553">IF(AND(A2553="2021-02", ISNA(MATCH(B2553, _xlfn._xlws.FILTER(B:B, A:A="2021-03"), 0))), "Left", "Ativo")</f>
        <v>Ativo</v>
      </c>
      <c r="F2553" s="12" t="str" cm="1">
        <f t="array" ref="F2553">IF(AND(A2553="2021-03", ISNA(MATCH(B2553, _xlfn._xlws.FILTER(B:B, A:A="2021-04"), 0))), "Left", "Ativo")</f>
        <v>Ativo</v>
      </c>
    </row>
    <row r="2554" spans="1:6" x14ac:dyDescent="0.25">
      <c r="A2554" t="s">
        <v>1530</v>
      </c>
      <c r="B2554" t="s">
        <v>625</v>
      </c>
      <c r="C2554" s="10" t="str" cm="1">
        <f t="array" ref="C2554">IF(AND(A2554="2020-12", ISNA(MATCH(B2554, _xlfn._xlws.FILTER(B:B, A:A="2021-01"), 0))), "Left", "Ativo")</f>
        <v>Ativo</v>
      </c>
      <c r="D2554" s="10" t="str" cm="1">
        <f t="array" ref="D2554">IF(AND(A2554="2021-01", ISNA(MATCH(B2554, _xlfn._xlws.FILTER(B:B, A:A="2021-02"), 0))), "Left", "Ativo")</f>
        <v>Ativo</v>
      </c>
      <c r="E2554" s="10" t="str" cm="1">
        <f t="array" ref="E2554">IF(AND(A2554="2021-02", ISNA(MATCH(B2554, _xlfn._xlws.FILTER(B:B, A:A="2021-03"), 0))), "Left", "Ativo")</f>
        <v>Ativo</v>
      </c>
      <c r="F2554" s="12" t="str" cm="1">
        <f t="array" ref="F2554">IF(AND(A2554="2021-03", ISNA(MATCH(B2554, _xlfn._xlws.FILTER(B:B, A:A="2021-04"), 0))), "Left", "Ativo")</f>
        <v>Ativo</v>
      </c>
    </row>
    <row r="2555" spans="1:6" x14ac:dyDescent="0.25">
      <c r="A2555" t="s">
        <v>1530</v>
      </c>
      <c r="B2555" t="s">
        <v>626</v>
      </c>
      <c r="C2555" s="10" t="str" cm="1">
        <f t="array" ref="C2555">IF(AND(A2555="2020-12", ISNA(MATCH(B2555, _xlfn._xlws.FILTER(B:B, A:A="2021-01"), 0))), "Left", "Ativo")</f>
        <v>Ativo</v>
      </c>
      <c r="D2555" s="10" t="str" cm="1">
        <f t="array" ref="D2555">IF(AND(A2555="2021-01", ISNA(MATCH(B2555, _xlfn._xlws.FILTER(B:B, A:A="2021-02"), 0))), "Left", "Ativo")</f>
        <v>Ativo</v>
      </c>
      <c r="E2555" s="10" t="str" cm="1">
        <f t="array" ref="E2555">IF(AND(A2555="2021-02", ISNA(MATCH(B2555, _xlfn._xlws.FILTER(B:B, A:A="2021-03"), 0))), "Left", "Ativo")</f>
        <v>Ativo</v>
      </c>
      <c r="F2555" s="12" t="str" cm="1">
        <f t="array" ref="F2555">IF(AND(A2555="2021-03", ISNA(MATCH(B2555, _xlfn._xlws.FILTER(B:B, A:A="2021-04"), 0))), "Left", "Ativo")</f>
        <v>Ativo</v>
      </c>
    </row>
    <row r="2556" spans="1:6" x14ac:dyDescent="0.25">
      <c r="A2556" t="s">
        <v>1530</v>
      </c>
      <c r="B2556" t="s">
        <v>627</v>
      </c>
      <c r="C2556" s="10" t="str" cm="1">
        <f t="array" ref="C2556">IF(AND(A2556="2020-12", ISNA(MATCH(B2556, _xlfn._xlws.FILTER(B:B, A:A="2021-01"), 0))), "Left", "Ativo")</f>
        <v>Ativo</v>
      </c>
      <c r="D2556" s="10" t="str" cm="1">
        <f t="array" ref="D2556">IF(AND(A2556="2021-01", ISNA(MATCH(B2556, _xlfn._xlws.FILTER(B:B, A:A="2021-02"), 0))), "Left", "Ativo")</f>
        <v>Ativo</v>
      </c>
      <c r="E2556" s="10" t="str" cm="1">
        <f t="array" ref="E2556">IF(AND(A2556="2021-02", ISNA(MATCH(B2556, _xlfn._xlws.FILTER(B:B, A:A="2021-03"), 0))), "Left", "Ativo")</f>
        <v>Ativo</v>
      </c>
      <c r="F2556" s="12" t="str" cm="1">
        <f t="array" ref="F2556">IF(AND(A2556="2021-03", ISNA(MATCH(B2556, _xlfn._xlws.FILTER(B:B, A:A="2021-04"), 0))), "Left", "Ativo")</f>
        <v>Ativo</v>
      </c>
    </row>
    <row r="2557" spans="1:6" x14ac:dyDescent="0.25">
      <c r="A2557" t="s">
        <v>1530</v>
      </c>
      <c r="B2557" t="s">
        <v>628</v>
      </c>
      <c r="C2557" s="10" t="str" cm="1">
        <f t="array" ref="C2557">IF(AND(A2557="2020-12", ISNA(MATCH(B2557, _xlfn._xlws.FILTER(B:B, A:A="2021-01"), 0))), "Left", "Ativo")</f>
        <v>Ativo</v>
      </c>
      <c r="D2557" s="10" t="str" cm="1">
        <f t="array" ref="D2557">IF(AND(A2557="2021-01", ISNA(MATCH(B2557, _xlfn._xlws.FILTER(B:B, A:A="2021-02"), 0))), "Left", "Ativo")</f>
        <v>Ativo</v>
      </c>
      <c r="E2557" s="10" t="str" cm="1">
        <f t="array" ref="E2557">IF(AND(A2557="2021-02", ISNA(MATCH(B2557, _xlfn._xlws.FILTER(B:B, A:A="2021-03"), 0))), "Left", "Ativo")</f>
        <v>Left</v>
      </c>
      <c r="F2557" s="12" t="str" cm="1">
        <f t="array" ref="F2557">IF(AND(A2557="2021-03", ISNA(MATCH(B2557, _xlfn._xlws.FILTER(B:B, A:A="2021-04"), 0))), "Left", "Ativo")</f>
        <v>Ativo</v>
      </c>
    </row>
    <row r="2558" spans="1:6" x14ac:dyDescent="0.25">
      <c r="A2558" t="s">
        <v>1530</v>
      </c>
      <c r="B2558" t="s">
        <v>629</v>
      </c>
      <c r="C2558" s="10" t="str" cm="1">
        <f t="array" ref="C2558">IF(AND(A2558="2020-12", ISNA(MATCH(B2558, _xlfn._xlws.FILTER(B:B, A:A="2021-01"), 0))), "Left", "Ativo")</f>
        <v>Ativo</v>
      </c>
      <c r="D2558" s="10" t="str" cm="1">
        <f t="array" ref="D2558">IF(AND(A2558="2021-01", ISNA(MATCH(B2558, _xlfn._xlws.FILTER(B:B, A:A="2021-02"), 0))), "Left", "Ativo")</f>
        <v>Ativo</v>
      </c>
      <c r="E2558" s="10" t="str" cm="1">
        <f t="array" ref="E2558">IF(AND(A2558="2021-02", ISNA(MATCH(B2558, _xlfn._xlws.FILTER(B:B, A:A="2021-03"), 0))), "Left", "Ativo")</f>
        <v>Ativo</v>
      </c>
      <c r="F2558" s="12" t="str" cm="1">
        <f t="array" ref="F2558">IF(AND(A2558="2021-03", ISNA(MATCH(B2558, _xlfn._xlws.FILTER(B:B, A:A="2021-04"), 0))), "Left", "Ativo")</f>
        <v>Ativo</v>
      </c>
    </row>
    <row r="2559" spans="1:6" x14ac:dyDescent="0.25">
      <c r="A2559" t="s">
        <v>1530</v>
      </c>
      <c r="B2559" t="s">
        <v>630</v>
      </c>
      <c r="C2559" s="10" t="str" cm="1">
        <f t="array" ref="C2559">IF(AND(A2559="2020-12", ISNA(MATCH(B2559, _xlfn._xlws.FILTER(B:B, A:A="2021-01"), 0))), "Left", "Ativo")</f>
        <v>Ativo</v>
      </c>
      <c r="D2559" s="10" t="str" cm="1">
        <f t="array" ref="D2559">IF(AND(A2559="2021-01", ISNA(MATCH(B2559, _xlfn._xlws.FILTER(B:B, A:A="2021-02"), 0))), "Left", "Ativo")</f>
        <v>Ativo</v>
      </c>
      <c r="E2559" s="10" t="str" cm="1">
        <f t="array" ref="E2559">IF(AND(A2559="2021-02", ISNA(MATCH(B2559, _xlfn._xlws.FILTER(B:B, A:A="2021-03"), 0))), "Left", "Ativo")</f>
        <v>Ativo</v>
      </c>
      <c r="F2559" s="12" t="str" cm="1">
        <f t="array" ref="F2559">IF(AND(A2559="2021-03", ISNA(MATCH(B2559, _xlfn._xlws.FILTER(B:B, A:A="2021-04"), 0))), "Left", "Ativo")</f>
        <v>Ativo</v>
      </c>
    </row>
    <row r="2560" spans="1:6" x14ac:dyDescent="0.25">
      <c r="A2560" t="s">
        <v>1530</v>
      </c>
      <c r="B2560" t="s">
        <v>631</v>
      </c>
      <c r="C2560" s="10" t="str" cm="1">
        <f t="array" ref="C2560">IF(AND(A2560="2020-12", ISNA(MATCH(B2560, _xlfn._xlws.FILTER(B:B, A:A="2021-01"), 0))), "Left", "Ativo")</f>
        <v>Ativo</v>
      </c>
      <c r="D2560" s="10" t="str" cm="1">
        <f t="array" ref="D2560">IF(AND(A2560="2021-01", ISNA(MATCH(B2560, _xlfn._xlws.FILTER(B:B, A:A="2021-02"), 0))), "Left", "Ativo")</f>
        <v>Ativo</v>
      </c>
      <c r="E2560" s="10" t="str" cm="1">
        <f t="array" ref="E2560">IF(AND(A2560="2021-02", ISNA(MATCH(B2560, _xlfn._xlws.FILTER(B:B, A:A="2021-03"), 0))), "Left", "Ativo")</f>
        <v>Ativo</v>
      </c>
      <c r="F2560" s="12" t="str" cm="1">
        <f t="array" ref="F2560">IF(AND(A2560="2021-03", ISNA(MATCH(B2560, _xlfn._xlws.FILTER(B:B, A:A="2021-04"), 0))), "Left", "Ativo")</f>
        <v>Ativo</v>
      </c>
    </row>
    <row r="2561" spans="1:6" x14ac:dyDescent="0.25">
      <c r="A2561" t="s">
        <v>1530</v>
      </c>
      <c r="B2561" t="s">
        <v>632</v>
      </c>
      <c r="C2561" s="10" t="str" cm="1">
        <f t="array" ref="C2561">IF(AND(A2561="2020-12", ISNA(MATCH(B2561, _xlfn._xlws.FILTER(B:B, A:A="2021-01"), 0))), "Left", "Ativo")</f>
        <v>Ativo</v>
      </c>
      <c r="D2561" s="10" t="str" cm="1">
        <f t="array" ref="D2561">IF(AND(A2561="2021-01", ISNA(MATCH(B2561, _xlfn._xlws.FILTER(B:B, A:A="2021-02"), 0))), "Left", "Ativo")</f>
        <v>Ativo</v>
      </c>
      <c r="E2561" s="10" t="str" cm="1">
        <f t="array" ref="E2561">IF(AND(A2561="2021-02", ISNA(MATCH(B2561, _xlfn._xlws.FILTER(B:B, A:A="2021-03"), 0))), "Left", "Ativo")</f>
        <v>Ativo</v>
      </c>
      <c r="F2561" s="12" t="str" cm="1">
        <f t="array" ref="F2561">IF(AND(A2561="2021-03", ISNA(MATCH(B2561, _xlfn._xlws.FILTER(B:B, A:A="2021-04"), 0))), "Left", "Ativo")</f>
        <v>Ativo</v>
      </c>
    </row>
    <row r="2562" spans="1:6" x14ac:dyDescent="0.25">
      <c r="A2562" t="s">
        <v>1530</v>
      </c>
      <c r="B2562" t="s">
        <v>633</v>
      </c>
      <c r="C2562" s="10" t="str" cm="1">
        <f t="array" ref="C2562">IF(AND(A2562="2020-12", ISNA(MATCH(B2562, _xlfn._xlws.FILTER(B:B, A:A="2021-01"), 0))), "Left", "Ativo")</f>
        <v>Ativo</v>
      </c>
      <c r="D2562" s="10" t="str" cm="1">
        <f t="array" ref="D2562">IF(AND(A2562="2021-01", ISNA(MATCH(B2562, _xlfn._xlws.FILTER(B:B, A:A="2021-02"), 0))), "Left", "Ativo")</f>
        <v>Ativo</v>
      </c>
      <c r="E2562" s="10" t="str" cm="1">
        <f t="array" ref="E2562">IF(AND(A2562="2021-02", ISNA(MATCH(B2562, _xlfn._xlws.FILTER(B:B, A:A="2021-03"), 0))), "Left", "Ativo")</f>
        <v>Ativo</v>
      </c>
      <c r="F2562" s="12" t="str" cm="1">
        <f t="array" ref="F2562">IF(AND(A2562="2021-03", ISNA(MATCH(B2562, _xlfn._xlws.FILTER(B:B, A:A="2021-04"), 0))), "Left", "Ativo")</f>
        <v>Ativo</v>
      </c>
    </row>
    <row r="2563" spans="1:6" x14ac:dyDescent="0.25">
      <c r="A2563" t="s">
        <v>1530</v>
      </c>
      <c r="B2563" t="s">
        <v>634</v>
      </c>
      <c r="C2563" s="10" t="str" cm="1">
        <f t="array" ref="C2563">IF(AND(A2563="2020-12", ISNA(MATCH(B2563, _xlfn._xlws.FILTER(B:B, A:A="2021-01"), 0))), "Left", "Ativo")</f>
        <v>Ativo</v>
      </c>
      <c r="D2563" s="10" t="str" cm="1">
        <f t="array" ref="D2563">IF(AND(A2563="2021-01", ISNA(MATCH(B2563, _xlfn._xlws.FILTER(B:B, A:A="2021-02"), 0))), "Left", "Ativo")</f>
        <v>Ativo</v>
      </c>
      <c r="E2563" s="10" t="str" cm="1">
        <f t="array" ref="E2563">IF(AND(A2563="2021-02", ISNA(MATCH(B2563, _xlfn._xlws.FILTER(B:B, A:A="2021-03"), 0))), "Left", "Ativo")</f>
        <v>Ativo</v>
      </c>
      <c r="F2563" s="12" t="str" cm="1">
        <f t="array" ref="F2563">IF(AND(A2563="2021-03", ISNA(MATCH(B2563, _xlfn._xlws.FILTER(B:B, A:A="2021-04"), 0))), "Left", "Ativo")</f>
        <v>Ativo</v>
      </c>
    </row>
    <row r="2564" spans="1:6" x14ac:dyDescent="0.25">
      <c r="A2564" t="s">
        <v>1530</v>
      </c>
      <c r="B2564" t="s">
        <v>635</v>
      </c>
      <c r="C2564" s="10" t="str" cm="1">
        <f t="array" ref="C2564">IF(AND(A2564="2020-12", ISNA(MATCH(B2564, _xlfn._xlws.FILTER(B:B, A:A="2021-01"), 0))), "Left", "Ativo")</f>
        <v>Ativo</v>
      </c>
      <c r="D2564" s="10" t="str" cm="1">
        <f t="array" ref="D2564">IF(AND(A2564="2021-01", ISNA(MATCH(B2564, _xlfn._xlws.FILTER(B:B, A:A="2021-02"), 0))), "Left", "Ativo")</f>
        <v>Ativo</v>
      </c>
      <c r="E2564" s="10" t="str" cm="1">
        <f t="array" ref="E2564">IF(AND(A2564="2021-02", ISNA(MATCH(B2564, _xlfn._xlws.FILTER(B:B, A:A="2021-03"), 0))), "Left", "Ativo")</f>
        <v>Ativo</v>
      </c>
      <c r="F2564" s="12" t="str" cm="1">
        <f t="array" ref="F2564">IF(AND(A2564="2021-03", ISNA(MATCH(B2564, _xlfn._xlws.FILTER(B:B, A:A="2021-04"), 0))), "Left", "Ativo")</f>
        <v>Ativo</v>
      </c>
    </row>
    <row r="2565" spans="1:6" x14ac:dyDescent="0.25">
      <c r="A2565" t="s">
        <v>1530</v>
      </c>
      <c r="B2565" t="s">
        <v>636</v>
      </c>
      <c r="C2565" s="10" t="str" cm="1">
        <f t="array" ref="C2565">IF(AND(A2565="2020-12", ISNA(MATCH(B2565, _xlfn._xlws.FILTER(B:B, A:A="2021-01"), 0))), "Left", "Ativo")</f>
        <v>Ativo</v>
      </c>
      <c r="D2565" s="10" t="str" cm="1">
        <f t="array" ref="D2565">IF(AND(A2565="2021-01", ISNA(MATCH(B2565, _xlfn._xlws.FILTER(B:B, A:A="2021-02"), 0))), "Left", "Ativo")</f>
        <v>Ativo</v>
      </c>
      <c r="E2565" s="10" t="str" cm="1">
        <f t="array" ref="E2565">IF(AND(A2565="2021-02", ISNA(MATCH(B2565, _xlfn._xlws.FILTER(B:B, A:A="2021-03"), 0))), "Left", "Ativo")</f>
        <v>Ativo</v>
      </c>
      <c r="F2565" s="12" t="str" cm="1">
        <f t="array" ref="F2565">IF(AND(A2565="2021-03", ISNA(MATCH(B2565, _xlfn._xlws.FILTER(B:B, A:A="2021-04"), 0))), "Left", "Ativo")</f>
        <v>Ativo</v>
      </c>
    </row>
    <row r="2566" spans="1:6" x14ac:dyDescent="0.25">
      <c r="A2566" t="s">
        <v>1530</v>
      </c>
      <c r="B2566" t="s">
        <v>637</v>
      </c>
      <c r="C2566" s="10" t="str" cm="1">
        <f t="array" ref="C2566">IF(AND(A2566="2020-12", ISNA(MATCH(B2566, _xlfn._xlws.FILTER(B:B, A:A="2021-01"), 0))), "Left", "Ativo")</f>
        <v>Ativo</v>
      </c>
      <c r="D2566" s="10" t="str" cm="1">
        <f t="array" ref="D2566">IF(AND(A2566="2021-01", ISNA(MATCH(B2566, _xlfn._xlws.FILTER(B:B, A:A="2021-02"), 0))), "Left", "Ativo")</f>
        <v>Ativo</v>
      </c>
      <c r="E2566" s="10" t="str" cm="1">
        <f t="array" ref="E2566">IF(AND(A2566="2021-02", ISNA(MATCH(B2566, _xlfn._xlws.FILTER(B:B, A:A="2021-03"), 0))), "Left", "Ativo")</f>
        <v>Ativo</v>
      </c>
      <c r="F2566" s="12" t="str" cm="1">
        <f t="array" ref="F2566">IF(AND(A2566="2021-03", ISNA(MATCH(B2566, _xlfn._xlws.FILTER(B:B, A:A="2021-04"), 0))), "Left", "Ativo")</f>
        <v>Ativo</v>
      </c>
    </row>
    <row r="2567" spans="1:6" x14ac:dyDescent="0.25">
      <c r="A2567" t="s">
        <v>1530</v>
      </c>
      <c r="B2567" t="s">
        <v>638</v>
      </c>
      <c r="C2567" s="10" t="str" cm="1">
        <f t="array" ref="C2567">IF(AND(A2567="2020-12", ISNA(MATCH(B2567, _xlfn._xlws.FILTER(B:B, A:A="2021-01"), 0))), "Left", "Ativo")</f>
        <v>Ativo</v>
      </c>
      <c r="D2567" s="10" t="str" cm="1">
        <f t="array" ref="D2567">IF(AND(A2567="2021-01", ISNA(MATCH(B2567, _xlfn._xlws.FILTER(B:B, A:A="2021-02"), 0))), "Left", "Ativo")</f>
        <v>Ativo</v>
      </c>
      <c r="E2567" s="10" t="str" cm="1">
        <f t="array" ref="E2567">IF(AND(A2567="2021-02", ISNA(MATCH(B2567, _xlfn._xlws.FILTER(B:B, A:A="2021-03"), 0))), "Left", "Ativo")</f>
        <v>Ativo</v>
      </c>
      <c r="F2567" s="12" t="str" cm="1">
        <f t="array" ref="F2567">IF(AND(A2567="2021-03", ISNA(MATCH(B2567, _xlfn._xlws.FILTER(B:B, A:A="2021-04"), 0))), "Left", "Ativo")</f>
        <v>Ativo</v>
      </c>
    </row>
    <row r="2568" spans="1:6" x14ac:dyDescent="0.25">
      <c r="A2568" t="s">
        <v>1530</v>
      </c>
      <c r="B2568" t="s">
        <v>639</v>
      </c>
      <c r="C2568" s="10" t="str" cm="1">
        <f t="array" ref="C2568">IF(AND(A2568="2020-12", ISNA(MATCH(B2568, _xlfn._xlws.FILTER(B:B, A:A="2021-01"), 0))), "Left", "Ativo")</f>
        <v>Ativo</v>
      </c>
      <c r="D2568" s="10" t="str" cm="1">
        <f t="array" ref="D2568">IF(AND(A2568="2021-01", ISNA(MATCH(B2568, _xlfn._xlws.FILTER(B:B, A:A="2021-02"), 0))), "Left", "Ativo")</f>
        <v>Ativo</v>
      </c>
      <c r="E2568" s="10" t="str" cm="1">
        <f t="array" ref="E2568">IF(AND(A2568="2021-02", ISNA(MATCH(B2568, _xlfn._xlws.FILTER(B:B, A:A="2021-03"), 0))), "Left", "Ativo")</f>
        <v>Ativo</v>
      </c>
      <c r="F2568" s="12" t="str" cm="1">
        <f t="array" ref="F2568">IF(AND(A2568="2021-03", ISNA(MATCH(B2568, _xlfn._xlws.FILTER(B:B, A:A="2021-04"), 0))), "Left", "Ativo")</f>
        <v>Ativo</v>
      </c>
    </row>
    <row r="2569" spans="1:6" x14ac:dyDescent="0.25">
      <c r="A2569" t="s">
        <v>1530</v>
      </c>
      <c r="B2569" t="s">
        <v>640</v>
      </c>
      <c r="C2569" s="10" t="str" cm="1">
        <f t="array" ref="C2569">IF(AND(A2569="2020-12", ISNA(MATCH(B2569, _xlfn._xlws.FILTER(B:B, A:A="2021-01"), 0))), "Left", "Ativo")</f>
        <v>Ativo</v>
      </c>
      <c r="D2569" s="10" t="str" cm="1">
        <f t="array" ref="D2569">IF(AND(A2569="2021-01", ISNA(MATCH(B2569, _xlfn._xlws.FILTER(B:B, A:A="2021-02"), 0))), "Left", "Ativo")</f>
        <v>Ativo</v>
      </c>
      <c r="E2569" s="10" t="str" cm="1">
        <f t="array" ref="E2569">IF(AND(A2569="2021-02", ISNA(MATCH(B2569, _xlfn._xlws.FILTER(B:B, A:A="2021-03"), 0))), "Left", "Ativo")</f>
        <v>Ativo</v>
      </c>
      <c r="F2569" s="12" t="str" cm="1">
        <f t="array" ref="F2569">IF(AND(A2569="2021-03", ISNA(MATCH(B2569, _xlfn._xlws.FILTER(B:B, A:A="2021-04"), 0))), "Left", "Ativo")</f>
        <v>Ativo</v>
      </c>
    </row>
    <row r="2570" spans="1:6" x14ac:dyDescent="0.25">
      <c r="A2570" t="s">
        <v>1530</v>
      </c>
      <c r="B2570" t="s">
        <v>641</v>
      </c>
      <c r="C2570" s="10" t="str" cm="1">
        <f t="array" ref="C2570">IF(AND(A2570="2020-12", ISNA(MATCH(B2570, _xlfn._xlws.FILTER(B:B, A:A="2021-01"), 0))), "Left", "Ativo")</f>
        <v>Ativo</v>
      </c>
      <c r="D2570" s="10" t="str" cm="1">
        <f t="array" ref="D2570">IF(AND(A2570="2021-01", ISNA(MATCH(B2570, _xlfn._xlws.FILTER(B:B, A:A="2021-02"), 0))), "Left", "Ativo")</f>
        <v>Ativo</v>
      </c>
      <c r="E2570" s="10" t="str" cm="1">
        <f t="array" ref="E2570">IF(AND(A2570="2021-02", ISNA(MATCH(B2570, _xlfn._xlws.FILTER(B:B, A:A="2021-03"), 0))), "Left", "Ativo")</f>
        <v>Ativo</v>
      </c>
      <c r="F2570" s="12" t="str" cm="1">
        <f t="array" ref="F2570">IF(AND(A2570="2021-03", ISNA(MATCH(B2570, _xlfn._xlws.FILTER(B:B, A:A="2021-04"), 0))), "Left", "Ativo")</f>
        <v>Ativo</v>
      </c>
    </row>
    <row r="2571" spans="1:6" x14ac:dyDescent="0.25">
      <c r="A2571" t="s">
        <v>1530</v>
      </c>
      <c r="B2571" t="s">
        <v>642</v>
      </c>
      <c r="C2571" s="10" t="str" cm="1">
        <f t="array" ref="C2571">IF(AND(A2571="2020-12", ISNA(MATCH(B2571, _xlfn._xlws.FILTER(B:B, A:A="2021-01"), 0))), "Left", "Ativo")</f>
        <v>Ativo</v>
      </c>
      <c r="D2571" s="10" t="str" cm="1">
        <f t="array" ref="D2571">IF(AND(A2571="2021-01", ISNA(MATCH(B2571, _xlfn._xlws.FILTER(B:B, A:A="2021-02"), 0))), "Left", "Ativo")</f>
        <v>Ativo</v>
      </c>
      <c r="E2571" s="10" t="str" cm="1">
        <f t="array" ref="E2571">IF(AND(A2571="2021-02", ISNA(MATCH(B2571, _xlfn._xlws.FILTER(B:B, A:A="2021-03"), 0))), "Left", "Ativo")</f>
        <v>Ativo</v>
      </c>
      <c r="F2571" s="12" t="str" cm="1">
        <f t="array" ref="F2571">IF(AND(A2571="2021-03", ISNA(MATCH(B2571, _xlfn._xlws.FILTER(B:B, A:A="2021-04"), 0))), "Left", "Ativo")</f>
        <v>Ativo</v>
      </c>
    </row>
    <row r="2572" spans="1:6" x14ac:dyDescent="0.25">
      <c r="A2572" t="s">
        <v>1530</v>
      </c>
      <c r="B2572" t="s">
        <v>643</v>
      </c>
      <c r="C2572" s="10" t="str" cm="1">
        <f t="array" ref="C2572">IF(AND(A2572="2020-12", ISNA(MATCH(B2572, _xlfn._xlws.FILTER(B:B, A:A="2021-01"), 0))), "Left", "Ativo")</f>
        <v>Ativo</v>
      </c>
      <c r="D2572" s="10" t="str" cm="1">
        <f t="array" ref="D2572">IF(AND(A2572="2021-01", ISNA(MATCH(B2572, _xlfn._xlws.FILTER(B:B, A:A="2021-02"), 0))), "Left", "Ativo")</f>
        <v>Ativo</v>
      </c>
      <c r="E2572" s="10" t="str" cm="1">
        <f t="array" ref="E2572">IF(AND(A2572="2021-02", ISNA(MATCH(B2572, _xlfn._xlws.FILTER(B:B, A:A="2021-03"), 0))), "Left", "Ativo")</f>
        <v>Ativo</v>
      </c>
      <c r="F2572" s="12" t="str" cm="1">
        <f t="array" ref="F2572">IF(AND(A2572="2021-03", ISNA(MATCH(B2572, _xlfn._xlws.FILTER(B:B, A:A="2021-04"), 0))), "Left", "Ativo")</f>
        <v>Ativo</v>
      </c>
    </row>
    <row r="2573" spans="1:6" x14ac:dyDescent="0.25">
      <c r="A2573" t="s">
        <v>1530</v>
      </c>
      <c r="B2573" t="s">
        <v>644</v>
      </c>
      <c r="C2573" s="10" t="str" cm="1">
        <f t="array" ref="C2573">IF(AND(A2573="2020-12", ISNA(MATCH(B2573, _xlfn._xlws.FILTER(B:B, A:A="2021-01"), 0))), "Left", "Ativo")</f>
        <v>Ativo</v>
      </c>
      <c r="D2573" s="10" t="str" cm="1">
        <f t="array" ref="D2573">IF(AND(A2573="2021-01", ISNA(MATCH(B2573, _xlfn._xlws.FILTER(B:B, A:A="2021-02"), 0))), "Left", "Ativo")</f>
        <v>Ativo</v>
      </c>
      <c r="E2573" s="10" t="str" cm="1">
        <f t="array" ref="E2573">IF(AND(A2573="2021-02", ISNA(MATCH(B2573, _xlfn._xlws.FILTER(B:B, A:A="2021-03"), 0))), "Left", "Ativo")</f>
        <v>Ativo</v>
      </c>
      <c r="F2573" s="12" t="str" cm="1">
        <f t="array" ref="F2573">IF(AND(A2573="2021-03", ISNA(MATCH(B2573, _xlfn._xlws.FILTER(B:B, A:A="2021-04"), 0))), "Left", "Ativo")</f>
        <v>Ativo</v>
      </c>
    </row>
    <row r="2574" spans="1:6" x14ac:dyDescent="0.25">
      <c r="A2574" t="s">
        <v>1530</v>
      </c>
      <c r="B2574" t="s">
        <v>645</v>
      </c>
      <c r="C2574" s="10" t="str" cm="1">
        <f t="array" ref="C2574">IF(AND(A2574="2020-12", ISNA(MATCH(B2574, _xlfn._xlws.FILTER(B:B, A:A="2021-01"), 0))), "Left", "Ativo")</f>
        <v>Ativo</v>
      </c>
      <c r="D2574" s="10" t="str" cm="1">
        <f t="array" ref="D2574">IF(AND(A2574="2021-01", ISNA(MATCH(B2574, _xlfn._xlws.FILTER(B:B, A:A="2021-02"), 0))), "Left", "Ativo")</f>
        <v>Ativo</v>
      </c>
      <c r="E2574" s="10" t="str" cm="1">
        <f t="array" ref="E2574">IF(AND(A2574="2021-02", ISNA(MATCH(B2574, _xlfn._xlws.FILTER(B:B, A:A="2021-03"), 0))), "Left", "Ativo")</f>
        <v>Ativo</v>
      </c>
      <c r="F2574" s="12" t="str" cm="1">
        <f t="array" ref="F2574">IF(AND(A2574="2021-03", ISNA(MATCH(B2574, _xlfn._xlws.FILTER(B:B, A:A="2021-04"), 0))), "Left", "Ativo")</f>
        <v>Ativo</v>
      </c>
    </row>
    <row r="2575" spans="1:6" x14ac:dyDescent="0.25">
      <c r="A2575" t="s">
        <v>1530</v>
      </c>
      <c r="B2575" t="s">
        <v>646</v>
      </c>
      <c r="C2575" s="10" t="str" cm="1">
        <f t="array" ref="C2575">IF(AND(A2575="2020-12", ISNA(MATCH(B2575, _xlfn._xlws.FILTER(B:B, A:A="2021-01"), 0))), "Left", "Ativo")</f>
        <v>Ativo</v>
      </c>
      <c r="D2575" s="10" t="str" cm="1">
        <f t="array" ref="D2575">IF(AND(A2575="2021-01", ISNA(MATCH(B2575, _xlfn._xlws.FILTER(B:B, A:A="2021-02"), 0))), "Left", "Ativo")</f>
        <v>Ativo</v>
      </c>
      <c r="E2575" s="10" t="str" cm="1">
        <f t="array" ref="E2575">IF(AND(A2575="2021-02", ISNA(MATCH(B2575, _xlfn._xlws.FILTER(B:B, A:A="2021-03"), 0))), "Left", "Ativo")</f>
        <v>Ativo</v>
      </c>
      <c r="F2575" s="12" t="str" cm="1">
        <f t="array" ref="F2575">IF(AND(A2575="2021-03", ISNA(MATCH(B2575, _xlfn._xlws.FILTER(B:B, A:A="2021-04"), 0))), "Left", "Ativo")</f>
        <v>Ativo</v>
      </c>
    </row>
    <row r="2576" spans="1:6" x14ac:dyDescent="0.25">
      <c r="A2576" t="s">
        <v>1530</v>
      </c>
      <c r="B2576" t="s">
        <v>647</v>
      </c>
      <c r="C2576" s="10" t="str" cm="1">
        <f t="array" ref="C2576">IF(AND(A2576="2020-12", ISNA(MATCH(B2576, _xlfn._xlws.FILTER(B:B, A:A="2021-01"), 0))), "Left", "Ativo")</f>
        <v>Ativo</v>
      </c>
      <c r="D2576" s="10" t="str" cm="1">
        <f t="array" ref="D2576">IF(AND(A2576="2021-01", ISNA(MATCH(B2576, _xlfn._xlws.FILTER(B:B, A:A="2021-02"), 0))), "Left", "Ativo")</f>
        <v>Ativo</v>
      </c>
      <c r="E2576" s="10" t="str" cm="1">
        <f t="array" ref="E2576">IF(AND(A2576="2021-02", ISNA(MATCH(B2576, _xlfn._xlws.FILTER(B:B, A:A="2021-03"), 0))), "Left", "Ativo")</f>
        <v>Ativo</v>
      </c>
      <c r="F2576" s="12" t="str" cm="1">
        <f t="array" ref="F2576">IF(AND(A2576="2021-03", ISNA(MATCH(B2576, _xlfn._xlws.FILTER(B:B, A:A="2021-04"), 0))), "Left", "Ativo")</f>
        <v>Ativo</v>
      </c>
    </row>
    <row r="2577" spans="1:6" x14ac:dyDescent="0.25">
      <c r="A2577" t="s">
        <v>1530</v>
      </c>
      <c r="B2577" t="s">
        <v>648</v>
      </c>
      <c r="C2577" s="10" t="str" cm="1">
        <f t="array" ref="C2577">IF(AND(A2577="2020-12", ISNA(MATCH(B2577, _xlfn._xlws.FILTER(B:B, A:A="2021-01"), 0))), "Left", "Ativo")</f>
        <v>Ativo</v>
      </c>
      <c r="D2577" s="10" t="str" cm="1">
        <f t="array" ref="D2577">IF(AND(A2577="2021-01", ISNA(MATCH(B2577, _xlfn._xlws.FILTER(B:B, A:A="2021-02"), 0))), "Left", "Ativo")</f>
        <v>Ativo</v>
      </c>
      <c r="E2577" s="10" t="str" cm="1">
        <f t="array" ref="E2577">IF(AND(A2577="2021-02", ISNA(MATCH(B2577, _xlfn._xlws.FILTER(B:B, A:A="2021-03"), 0))), "Left", "Ativo")</f>
        <v>Left</v>
      </c>
      <c r="F2577" s="12" t="str" cm="1">
        <f t="array" ref="F2577">IF(AND(A2577="2021-03", ISNA(MATCH(B2577, _xlfn._xlws.FILTER(B:B, A:A="2021-04"), 0))), "Left", "Ativo")</f>
        <v>Ativo</v>
      </c>
    </row>
    <row r="2578" spans="1:6" x14ac:dyDescent="0.25">
      <c r="A2578" t="s">
        <v>1530</v>
      </c>
      <c r="B2578" t="s">
        <v>649</v>
      </c>
      <c r="C2578" s="10" t="str" cm="1">
        <f t="array" ref="C2578">IF(AND(A2578="2020-12", ISNA(MATCH(B2578, _xlfn._xlws.FILTER(B:B, A:A="2021-01"), 0))), "Left", "Ativo")</f>
        <v>Ativo</v>
      </c>
      <c r="D2578" s="10" t="str" cm="1">
        <f t="array" ref="D2578">IF(AND(A2578="2021-01", ISNA(MATCH(B2578, _xlfn._xlws.FILTER(B:B, A:A="2021-02"), 0))), "Left", "Ativo")</f>
        <v>Ativo</v>
      </c>
      <c r="E2578" s="10" t="str" cm="1">
        <f t="array" ref="E2578">IF(AND(A2578="2021-02", ISNA(MATCH(B2578, _xlfn._xlws.FILTER(B:B, A:A="2021-03"), 0))), "Left", "Ativo")</f>
        <v>Ativo</v>
      </c>
      <c r="F2578" s="12" t="str" cm="1">
        <f t="array" ref="F2578">IF(AND(A2578="2021-03", ISNA(MATCH(B2578, _xlfn._xlws.FILTER(B:B, A:A="2021-04"), 0))), "Left", "Ativo")</f>
        <v>Ativo</v>
      </c>
    </row>
    <row r="2579" spans="1:6" x14ac:dyDescent="0.25">
      <c r="A2579" t="s">
        <v>1530</v>
      </c>
      <c r="B2579" t="s">
        <v>650</v>
      </c>
      <c r="C2579" s="10" t="str" cm="1">
        <f t="array" ref="C2579">IF(AND(A2579="2020-12", ISNA(MATCH(B2579, _xlfn._xlws.FILTER(B:B, A:A="2021-01"), 0))), "Left", "Ativo")</f>
        <v>Ativo</v>
      </c>
      <c r="D2579" s="10" t="str" cm="1">
        <f t="array" ref="D2579">IF(AND(A2579="2021-01", ISNA(MATCH(B2579, _xlfn._xlws.FILTER(B:B, A:A="2021-02"), 0))), "Left", "Ativo")</f>
        <v>Ativo</v>
      </c>
      <c r="E2579" s="10" t="str" cm="1">
        <f t="array" ref="E2579">IF(AND(A2579="2021-02", ISNA(MATCH(B2579, _xlfn._xlws.FILTER(B:B, A:A="2021-03"), 0))), "Left", "Ativo")</f>
        <v>Ativo</v>
      </c>
      <c r="F2579" s="12" t="str" cm="1">
        <f t="array" ref="F2579">IF(AND(A2579="2021-03", ISNA(MATCH(B2579, _xlfn._xlws.FILTER(B:B, A:A="2021-04"), 0))), "Left", "Ativo")</f>
        <v>Ativo</v>
      </c>
    </row>
    <row r="2580" spans="1:6" x14ac:dyDescent="0.25">
      <c r="A2580" t="s">
        <v>1530</v>
      </c>
      <c r="B2580" t="s">
        <v>651</v>
      </c>
      <c r="C2580" s="10" t="str" cm="1">
        <f t="array" ref="C2580">IF(AND(A2580="2020-12", ISNA(MATCH(B2580, _xlfn._xlws.FILTER(B:B, A:A="2021-01"), 0))), "Left", "Ativo")</f>
        <v>Ativo</v>
      </c>
      <c r="D2580" s="10" t="str" cm="1">
        <f t="array" ref="D2580">IF(AND(A2580="2021-01", ISNA(MATCH(B2580, _xlfn._xlws.FILTER(B:B, A:A="2021-02"), 0))), "Left", "Ativo")</f>
        <v>Ativo</v>
      </c>
      <c r="E2580" s="10" t="str" cm="1">
        <f t="array" ref="E2580">IF(AND(A2580="2021-02", ISNA(MATCH(B2580, _xlfn._xlws.FILTER(B:B, A:A="2021-03"), 0))), "Left", "Ativo")</f>
        <v>Ativo</v>
      </c>
      <c r="F2580" s="12" t="str" cm="1">
        <f t="array" ref="F2580">IF(AND(A2580="2021-03", ISNA(MATCH(B2580, _xlfn._xlws.FILTER(B:B, A:A="2021-04"), 0))), "Left", "Ativo")</f>
        <v>Ativo</v>
      </c>
    </row>
    <row r="2581" spans="1:6" x14ac:dyDescent="0.25">
      <c r="A2581" t="s">
        <v>1530</v>
      </c>
      <c r="B2581" t="s">
        <v>652</v>
      </c>
      <c r="C2581" s="10" t="str" cm="1">
        <f t="array" ref="C2581">IF(AND(A2581="2020-12", ISNA(MATCH(B2581, _xlfn._xlws.FILTER(B:B, A:A="2021-01"), 0))), "Left", "Ativo")</f>
        <v>Ativo</v>
      </c>
      <c r="D2581" s="10" t="str" cm="1">
        <f t="array" ref="D2581">IF(AND(A2581="2021-01", ISNA(MATCH(B2581, _xlfn._xlws.FILTER(B:B, A:A="2021-02"), 0))), "Left", "Ativo")</f>
        <v>Ativo</v>
      </c>
      <c r="E2581" s="10" t="str" cm="1">
        <f t="array" ref="E2581">IF(AND(A2581="2021-02", ISNA(MATCH(B2581, _xlfn._xlws.FILTER(B:B, A:A="2021-03"), 0))), "Left", "Ativo")</f>
        <v>Ativo</v>
      </c>
      <c r="F2581" s="12" t="str" cm="1">
        <f t="array" ref="F2581">IF(AND(A2581="2021-03", ISNA(MATCH(B2581, _xlfn._xlws.FILTER(B:B, A:A="2021-04"), 0))), "Left", "Ativo")</f>
        <v>Ativo</v>
      </c>
    </row>
    <row r="2582" spans="1:6" x14ac:dyDescent="0.25">
      <c r="A2582" t="s">
        <v>1530</v>
      </c>
      <c r="B2582" t="s">
        <v>653</v>
      </c>
      <c r="C2582" s="10" t="str" cm="1">
        <f t="array" ref="C2582">IF(AND(A2582="2020-12", ISNA(MATCH(B2582, _xlfn._xlws.FILTER(B:B, A:A="2021-01"), 0))), "Left", "Ativo")</f>
        <v>Ativo</v>
      </c>
      <c r="D2582" s="10" t="str" cm="1">
        <f t="array" ref="D2582">IF(AND(A2582="2021-01", ISNA(MATCH(B2582, _xlfn._xlws.FILTER(B:B, A:A="2021-02"), 0))), "Left", "Ativo")</f>
        <v>Ativo</v>
      </c>
      <c r="E2582" s="10" t="str" cm="1">
        <f t="array" ref="E2582">IF(AND(A2582="2021-02", ISNA(MATCH(B2582, _xlfn._xlws.FILTER(B:B, A:A="2021-03"), 0))), "Left", "Ativo")</f>
        <v>Ativo</v>
      </c>
      <c r="F2582" s="12" t="str" cm="1">
        <f t="array" ref="F2582">IF(AND(A2582="2021-03", ISNA(MATCH(B2582, _xlfn._xlws.FILTER(B:B, A:A="2021-04"), 0))), "Left", "Ativo")</f>
        <v>Ativo</v>
      </c>
    </row>
    <row r="2583" spans="1:6" x14ac:dyDescent="0.25">
      <c r="A2583" t="s">
        <v>1530</v>
      </c>
      <c r="B2583" t="s">
        <v>654</v>
      </c>
      <c r="C2583" s="10" t="str" cm="1">
        <f t="array" ref="C2583">IF(AND(A2583="2020-12", ISNA(MATCH(B2583, _xlfn._xlws.FILTER(B:B, A:A="2021-01"), 0))), "Left", "Ativo")</f>
        <v>Ativo</v>
      </c>
      <c r="D2583" s="10" t="str" cm="1">
        <f t="array" ref="D2583">IF(AND(A2583="2021-01", ISNA(MATCH(B2583, _xlfn._xlws.FILTER(B:B, A:A="2021-02"), 0))), "Left", "Ativo")</f>
        <v>Ativo</v>
      </c>
      <c r="E2583" s="10" t="str" cm="1">
        <f t="array" ref="E2583">IF(AND(A2583="2021-02", ISNA(MATCH(B2583, _xlfn._xlws.FILTER(B:B, A:A="2021-03"), 0))), "Left", "Ativo")</f>
        <v>Ativo</v>
      </c>
      <c r="F2583" s="12" t="str" cm="1">
        <f t="array" ref="F2583">IF(AND(A2583="2021-03", ISNA(MATCH(B2583, _xlfn._xlws.FILTER(B:B, A:A="2021-04"), 0))), "Left", "Ativo")</f>
        <v>Ativo</v>
      </c>
    </row>
    <row r="2584" spans="1:6" x14ac:dyDescent="0.25">
      <c r="A2584" t="s">
        <v>1530</v>
      </c>
      <c r="B2584" t="s">
        <v>655</v>
      </c>
      <c r="C2584" s="10" t="str" cm="1">
        <f t="array" ref="C2584">IF(AND(A2584="2020-12", ISNA(MATCH(B2584, _xlfn._xlws.FILTER(B:B, A:A="2021-01"), 0))), "Left", "Ativo")</f>
        <v>Ativo</v>
      </c>
      <c r="D2584" s="10" t="str" cm="1">
        <f t="array" ref="D2584">IF(AND(A2584="2021-01", ISNA(MATCH(B2584, _xlfn._xlws.FILTER(B:B, A:A="2021-02"), 0))), "Left", "Ativo")</f>
        <v>Ativo</v>
      </c>
      <c r="E2584" s="10" t="str" cm="1">
        <f t="array" ref="E2584">IF(AND(A2584="2021-02", ISNA(MATCH(B2584, _xlfn._xlws.FILTER(B:B, A:A="2021-03"), 0))), "Left", "Ativo")</f>
        <v>Ativo</v>
      </c>
      <c r="F2584" s="12" t="str" cm="1">
        <f t="array" ref="F2584">IF(AND(A2584="2021-03", ISNA(MATCH(B2584, _xlfn._xlws.FILTER(B:B, A:A="2021-04"), 0))), "Left", "Ativo")</f>
        <v>Ativo</v>
      </c>
    </row>
    <row r="2585" spans="1:6" x14ac:dyDescent="0.25">
      <c r="A2585" t="s">
        <v>1530</v>
      </c>
      <c r="B2585" t="s">
        <v>656</v>
      </c>
      <c r="C2585" s="10" t="str" cm="1">
        <f t="array" ref="C2585">IF(AND(A2585="2020-12", ISNA(MATCH(B2585, _xlfn._xlws.FILTER(B:B, A:A="2021-01"), 0))), "Left", "Ativo")</f>
        <v>Ativo</v>
      </c>
      <c r="D2585" s="10" t="str" cm="1">
        <f t="array" ref="D2585">IF(AND(A2585="2021-01", ISNA(MATCH(B2585, _xlfn._xlws.FILTER(B:B, A:A="2021-02"), 0))), "Left", "Ativo")</f>
        <v>Ativo</v>
      </c>
      <c r="E2585" s="10" t="str" cm="1">
        <f t="array" ref="E2585">IF(AND(A2585="2021-02", ISNA(MATCH(B2585, _xlfn._xlws.FILTER(B:B, A:A="2021-03"), 0))), "Left", "Ativo")</f>
        <v>Ativo</v>
      </c>
      <c r="F2585" s="12" t="str" cm="1">
        <f t="array" ref="F2585">IF(AND(A2585="2021-03", ISNA(MATCH(B2585, _xlfn._xlws.FILTER(B:B, A:A="2021-04"), 0))), "Left", "Ativo")</f>
        <v>Ativo</v>
      </c>
    </row>
    <row r="2586" spans="1:6" x14ac:dyDescent="0.25">
      <c r="A2586" t="s">
        <v>1530</v>
      </c>
      <c r="B2586" t="s">
        <v>657</v>
      </c>
      <c r="C2586" s="10" t="str" cm="1">
        <f t="array" ref="C2586">IF(AND(A2586="2020-12", ISNA(MATCH(B2586, _xlfn._xlws.FILTER(B:B, A:A="2021-01"), 0))), "Left", "Ativo")</f>
        <v>Ativo</v>
      </c>
      <c r="D2586" s="10" t="str" cm="1">
        <f t="array" ref="D2586">IF(AND(A2586="2021-01", ISNA(MATCH(B2586, _xlfn._xlws.FILTER(B:B, A:A="2021-02"), 0))), "Left", "Ativo")</f>
        <v>Ativo</v>
      </c>
      <c r="E2586" s="10" t="str" cm="1">
        <f t="array" ref="E2586">IF(AND(A2586="2021-02", ISNA(MATCH(B2586, _xlfn._xlws.FILTER(B:B, A:A="2021-03"), 0))), "Left", "Ativo")</f>
        <v>Ativo</v>
      </c>
      <c r="F2586" s="12" t="str" cm="1">
        <f t="array" ref="F2586">IF(AND(A2586="2021-03", ISNA(MATCH(B2586, _xlfn._xlws.FILTER(B:B, A:A="2021-04"), 0))), "Left", "Ativo")</f>
        <v>Ativo</v>
      </c>
    </row>
    <row r="2587" spans="1:6" x14ac:dyDescent="0.25">
      <c r="A2587" t="s">
        <v>1530</v>
      </c>
      <c r="B2587" t="s">
        <v>658</v>
      </c>
      <c r="C2587" s="10" t="str" cm="1">
        <f t="array" ref="C2587">IF(AND(A2587="2020-12", ISNA(MATCH(B2587, _xlfn._xlws.FILTER(B:B, A:A="2021-01"), 0))), "Left", "Ativo")</f>
        <v>Ativo</v>
      </c>
      <c r="D2587" s="10" t="str" cm="1">
        <f t="array" ref="D2587">IF(AND(A2587="2021-01", ISNA(MATCH(B2587, _xlfn._xlws.FILTER(B:B, A:A="2021-02"), 0))), "Left", "Ativo")</f>
        <v>Ativo</v>
      </c>
      <c r="E2587" s="10" t="str" cm="1">
        <f t="array" ref="E2587">IF(AND(A2587="2021-02", ISNA(MATCH(B2587, _xlfn._xlws.FILTER(B:B, A:A="2021-03"), 0))), "Left", "Ativo")</f>
        <v>Ativo</v>
      </c>
      <c r="F2587" s="12" t="str" cm="1">
        <f t="array" ref="F2587">IF(AND(A2587="2021-03", ISNA(MATCH(B2587, _xlfn._xlws.FILTER(B:B, A:A="2021-04"), 0))), "Left", "Ativo")</f>
        <v>Ativo</v>
      </c>
    </row>
    <row r="2588" spans="1:6" x14ac:dyDescent="0.25">
      <c r="A2588" t="s">
        <v>1530</v>
      </c>
      <c r="B2588" t="s">
        <v>659</v>
      </c>
      <c r="C2588" s="10" t="str" cm="1">
        <f t="array" ref="C2588">IF(AND(A2588="2020-12", ISNA(MATCH(B2588, _xlfn._xlws.FILTER(B:B, A:A="2021-01"), 0))), "Left", "Ativo")</f>
        <v>Ativo</v>
      </c>
      <c r="D2588" s="10" t="str" cm="1">
        <f t="array" ref="D2588">IF(AND(A2588="2021-01", ISNA(MATCH(B2588, _xlfn._xlws.FILTER(B:B, A:A="2021-02"), 0))), "Left", "Ativo")</f>
        <v>Ativo</v>
      </c>
      <c r="E2588" s="10" t="str" cm="1">
        <f t="array" ref="E2588">IF(AND(A2588="2021-02", ISNA(MATCH(B2588, _xlfn._xlws.FILTER(B:B, A:A="2021-03"), 0))), "Left", "Ativo")</f>
        <v>Ativo</v>
      </c>
      <c r="F2588" s="12" t="str" cm="1">
        <f t="array" ref="F2588">IF(AND(A2588="2021-03", ISNA(MATCH(B2588, _xlfn._xlws.FILTER(B:B, A:A="2021-04"), 0))), "Left", "Ativo")</f>
        <v>Ativo</v>
      </c>
    </row>
    <row r="2589" spans="1:6" x14ac:dyDescent="0.25">
      <c r="A2589" t="s">
        <v>1530</v>
      </c>
      <c r="B2589" t="s">
        <v>660</v>
      </c>
      <c r="C2589" s="10" t="str" cm="1">
        <f t="array" ref="C2589">IF(AND(A2589="2020-12", ISNA(MATCH(B2589, _xlfn._xlws.FILTER(B:B, A:A="2021-01"), 0))), "Left", "Ativo")</f>
        <v>Ativo</v>
      </c>
      <c r="D2589" s="10" t="str" cm="1">
        <f t="array" ref="D2589">IF(AND(A2589="2021-01", ISNA(MATCH(B2589, _xlfn._xlws.FILTER(B:B, A:A="2021-02"), 0))), "Left", "Ativo")</f>
        <v>Ativo</v>
      </c>
      <c r="E2589" s="10" t="str" cm="1">
        <f t="array" ref="E2589">IF(AND(A2589="2021-02", ISNA(MATCH(B2589, _xlfn._xlws.FILTER(B:B, A:A="2021-03"), 0))), "Left", "Ativo")</f>
        <v>Ativo</v>
      </c>
      <c r="F2589" s="12" t="str" cm="1">
        <f t="array" ref="F2589">IF(AND(A2589="2021-03", ISNA(MATCH(B2589, _xlfn._xlws.FILTER(B:B, A:A="2021-04"), 0))), "Left", "Ativo")</f>
        <v>Ativo</v>
      </c>
    </row>
    <row r="2590" spans="1:6" x14ac:dyDescent="0.25">
      <c r="A2590" t="s">
        <v>1530</v>
      </c>
      <c r="B2590" t="s">
        <v>661</v>
      </c>
      <c r="C2590" s="10" t="str" cm="1">
        <f t="array" ref="C2590">IF(AND(A2590="2020-12", ISNA(MATCH(B2590, _xlfn._xlws.FILTER(B:B, A:A="2021-01"), 0))), "Left", "Ativo")</f>
        <v>Ativo</v>
      </c>
      <c r="D2590" s="10" t="str" cm="1">
        <f t="array" ref="D2590">IF(AND(A2590="2021-01", ISNA(MATCH(B2590, _xlfn._xlws.FILTER(B:B, A:A="2021-02"), 0))), "Left", "Ativo")</f>
        <v>Ativo</v>
      </c>
      <c r="E2590" s="10" t="str" cm="1">
        <f t="array" ref="E2590">IF(AND(A2590="2021-02", ISNA(MATCH(B2590, _xlfn._xlws.FILTER(B:B, A:A="2021-03"), 0))), "Left", "Ativo")</f>
        <v>Ativo</v>
      </c>
      <c r="F2590" s="12" t="str" cm="1">
        <f t="array" ref="F2590">IF(AND(A2590="2021-03", ISNA(MATCH(B2590, _xlfn._xlws.FILTER(B:B, A:A="2021-04"), 0))), "Left", "Ativo")</f>
        <v>Ativo</v>
      </c>
    </row>
    <row r="2591" spans="1:6" x14ac:dyDescent="0.25">
      <c r="A2591" t="s">
        <v>1530</v>
      </c>
      <c r="B2591" t="s">
        <v>662</v>
      </c>
      <c r="C2591" s="10" t="str" cm="1">
        <f t="array" ref="C2591">IF(AND(A2591="2020-12", ISNA(MATCH(B2591, _xlfn._xlws.FILTER(B:B, A:A="2021-01"), 0))), "Left", "Ativo")</f>
        <v>Ativo</v>
      </c>
      <c r="D2591" s="10" t="str" cm="1">
        <f t="array" ref="D2591">IF(AND(A2591="2021-01", ISNA(MATCH(B2591, _xlfn._xlws.FILTER(B:B, A:A="2021-02"), 0))), "Left", "Ativo")</f>
        <v>Ativo</v>
      </c>
      <c r="E2591" s="10" t="str" cm="1">
        <f t="array" ref="E2591">IF(AND(A2591="2021-02", ISNA(MATCH(B2591, _xlfn._xlws.FILTER(B:B, A:A="2021-03"), 0))), "Left", "Ativo")</f>
        <v>Ativo</v>
      </c>
      <c r="F2591" s="12" t="str" cm="1">
        <f t="array" ref="F2591">IF(AND(A2591="2021-03", ISNA(MATCH(B2591, _xlfn._xlws.FILTER(B:B, A:A="2021-04"), 0))), "Left", "Ativo")</f>
        <v>Ativo</v>
      </c>
    </row>
    <row r="2592" spans="1:6" x14ac:dyDescent="0.25">
      <c r="A2592" t="s">
        <v>1530</v>
      </c>
      <c r="B2592" t="s">
        <v>663</v>
      </c>
      <c r="C2592" s="10" t="str" cm="1">
        <f t="array" ref="C2592">IF(AND(A2592="2020-12", ISNA(MATCH(B2592, _xlfn._xlws.FILTER(B:B, A:A="2021-01"), 0))), "Left", "Ativo")</f>
        <v>Ativo</v>
      </c>
      <c r="D2592" s="10" t="str" cm="1">
        <f t="array" ref="D2592">IF(AND(A2592="2021-01", ISNA(MATCH(B2592, _xlfn._xlws.FILTER(B:B, A:A="2021-02"), 0))), "Left", "Ativo")</f>
        <v>Ativo</v>
      </c>
      <c r="E2592" s="10" t="str" cm="1">
        <f t="array" ref="E2592">IF(AND(A2592="2021-02", ISNA(MATCH(B2592, _xlfn._xlws.FILTER(B:B, A:A="2021-03"), 0))), "Left", "Ativo")</f>
        <v>Ativo</v>
      </c>
      <c r="F2592" s="12" t="str" cm="1">
        <f t="array" ref="F2592">IF(AND(A2592="2021-03", ISNA(MATCH(B2592, _xlfn._xlws.FILTER(B:B, A:A="2021-04"), 0))), "Left", "Ativo")</f>
        <v>Ativo</v>
      </c>
    </row>
    <row r="2593" spans="1:6" x14ac:dyDescent="0.25">
      <c r="A2593" t="s">
        <v>1530</v>
      </c>
      <c r="B2593" t="s">
        <v>664</v>
      </c>
      <c r="C2593" s="10" t="str" cm="1">
        <f t="array" ref="C2593">IF(AND(A2593="2020-12", ISNA(MATCH(B2593, _xlfn._xlws.FILTER(B:B, A:A="2021-01"), 0))), "Left", "Ativo")</f>
        <v>Ativo</v>
      </c>
      <c r="D2593" s="10" t="str" cm="1">
        <f t="array" ref="D2593">IF(AND(A2593="2021-01", ISNA(MATCH(B2593, _xlfn._xlws.FILTER(B:B, A:A="2021-02"), 0))), "Left", "Ativo")</f>
        <v>Ativo</v>
      </c>
      <c r="E2593" s="10" t="str" cm="1">
        <f t="array" ref="E2593">IF(AND(A2593="2021-02", ISNA(MATCH(B2593, _xlfn._xlws.FILTER(B:B, A:A="2021-03"), 0))), "Left", "Ativo")</f>
        <v>Ativo</v>
      </c>
      <c r="F2593" s="12" t="str" cm="1">
        <f t="array" ref="F2593">IF(AND(A2593="2021-03", ISNA(MATCH(B2593, _xlfn._xlws.FILTER(B:B, A:A="2021-04"), 0))), "Left", "Ativo")</f>
        <v>Ativo</v>
      </c>
    </row>
    <row r="2594" spans="1:6" x14ac:dyDescent="0.25">
      <c r="A2594" t="s">
        <v>1530</v>
      </c>
      <c r="B2594" t="s">
        <v>665</v>
      </c>
      <c r="C2594" s="10" t="str" cm="1">
        <f t="array" ref="C2594">IF(AND(A2594="2020-12", ISNA(MATCH(B2594, _xlfn._xlws.FILTER(B:B, A:A="2021-01"), 0))), "Left", "Ativo")</f>
        <v>Ativo</v>
      </c>
      <c r="D2594" s="10" t="str" cm="1">
        <f t="array" ref="D2594">IF(AND(A2594="2021-01", ISNA(MATCH(B2594, _xlfn._xlws.FILTER(B:B, A:A="2021-02"), 0))), "Left", "Ativo")</f>
        <v>Ativo</v>
      </c>
      <c r="E2594" s="10" t="str" cm="1">
        <f t="array" ref="E2594">IF(AND(A2594="2021-02", ISNA(MATCH(B2594, _xlfn._xlws.FILTER(B:B, A:A="2021-03"), 0))), "Left", "Ativo")</f>
        <v>Ativo</v>
      </c>
      <c r="F2594" s="12" t="str" cm="1">
        <f t="array" ref="F2594">IF(AND(A2594="2021-03", ISNA(MATCH(B2594, _xlfn._xlws.FILTER(B:B, A:A="2021-04"), 0))), "Left", "Ativo")</f>
        <v>Ativo</v>
      </c>
    </row>
    <row r="2595" spans="1:6" x14ac:dyDescent="0.25">
      <c r="A2595" t="s">
        <v>1530</v>
      </c>
      <c r="B2595" t="s">
        <v>666</v>
      </c>
      <c r="C2595" s="10" t="str" cm="1">
        <f t="array" ref="C2595">IF(AND(A2595="2020-12", ISNA(MATCH(B2595, _xlfn._xlws.FILTER(B:B, A:A="2021-01"), 0))), "Left", "Ativo")</f>
        <v>Ativo</v>
      </c>
      <c r="D2595" s="10" t="str" cm="1">
        <f t="array" ref="D2595">IF(AND(A2595="2021-01", ISNA(MATCH(B2595, _xlfn._xlws.FILTER(B:B, A:A="2021-02"), 0))), "Left", "Ativo")</f>
        <v>Ativo</v>
      </c>
      <c r="E2595" s="10" t="str" cm="1">
        <f t="array" ref="E2595">IF(AND(A2595="2021-02", ISNA(MATCH(B2595, _xlfn._xlws.FILTER(B:B, A:A="2021-03"), 0))), "Left", "Ativo")</f>
        <v>Ativo</v>
      </c>
      <c r="F2595" s="12" t="str" cm="1">
        <f t="array" ref="F2595">IF(AND(A2595="2021-03", ISNA(MATCH(B2595, _xlfn._xlws.FILTER(B:B, A:A="2021-04"), 0))), "Left", "Ativo")</f>
        <v>Ativo</v>
      </c>
    </row>
    <row r="2596" spans="1:6" x14ac:dyDescent="0.25">
      <c r="A2596" t="s">
        <v>1530</v>
      </c>
      <c r="B2596" t="s">
        <v>667</v>
      </c>
      <c r="C2596" s="10" t="str" cm="1">
        <f t="array" ref="C2596">IF(AND(A2596="2020-12", ISNA(MATCH(B2596, _xlfn._xlws.FILTER(B:B, A:A="2021-01"), 0))), "Left", "Ativo")</f>
        <v>Ativo</v>
      </c>
      <c r="D2596" s="10" t="str" cm="1">
        <f t="array" ref="D2596">IF(AND(A2596="2021-01", ISNA(MATCH(B2596, _xlfn._xlws.FILTER(B:B, A:A="2021-02"), 0))), "Left", "Ativo")</f>
        <v>Ativo</v>
      </c>
      <c r="E2596" s="10" t="str" cm="1">
        <f t="array" ref="E2596">IF(AND(A2596="2021-02", ISNA(MATCH(B2596, _xlfn._xlws.FILTER(B:B, A:A="2021-03"), 0))), "Left", "Ativo")</f>
        <v>Ativo</v>
      </c>
      <c r="F2596" s="12" t="str" cm="1">
        <f t="array" ref="F2596">IF(AND(A2596="2021-03", ISNA(MATCH(B2596, _xlfn._xlws.FILTER(B:B, A:A="2021-04"), 0))), "Left", "Ativo")</f>
        <v>Ativo</v>
      </c>
    </row>
    <row r="2597" spans="1:6" x14ac:dyDescent="0.25">
      <c r="A2597" t="s">
        <v>1530</v>
      </c>
      <c r="B2597" t="s">
        <v>668</v>
      </c>
      <c r="C2597" s="10" t="str" cm="1">
        <f t="array" ref="C2597">IF(AND(A2597="2020-12", ISNA(MATCH(B2597, _xlfn._xlws.FILTER(B:B, A:A="2021-01"), 0))), "Left", "Ativo")</f>
        <v>Ativo</v>
      </c>
      <c r="D2597" s="10" t="str" cm="1">
        <f t="array" ref="D2597">IF(AND(A2597="2021-01", ISNA(MATCH(B2597, _xlfn._xlws.FILTER(B:B, A:A="2021-02"), 0))), "Left", "Ativo")</f>
        <v>Ativo</v>
      </c>
      <c r="E2597" s="10" t="str" cm="1">
        <f t="array" ref="E2597">IF(AND(A2597="2021-02", ISNA(MATCH(B2597, _xlfn._xlws.FILTER(B:B, A:A="2021-03"), 0))), "Left", "Ativo")</f>
        <v>Ativo</v>
      </c>
      <c r="F2597" s="12" t="str" cm="1">
        <f t="array" ref="F2597">IF(AND(A2597="2021-03", ISNA(MATCH(B2597, _xlfn._xlws.FILTER(B:B, A:A="2021-04"), 0))), "Left", "Ativo")</f>
        <v>Ativo</v>
      </c>
    </row>
    <row r="2598" spans="1:6" x14ac:dyDescent="0.25">
      <c r="A2598" t="s">
        <v>1530</v>
      </c>
      <c r="B2598" t="s">
        <v>669</v>
      </c>
      <c r="C2598" s="10" t="str" cm="1">
        <f t="array" ref="C2598">IF(AND(A2598="2020-12", ISNA(MATCH(B2598, _xlfn._xlws.FILTER(B:B, A:A="2021-01"), 0))), "Left", "Ativo")</f>
        <v>Ativo</v>
      </c>
      <c r="D2598" s="10" t="str" cm="1">
        <f t="array" ref="D2598">IF(AND(A2598="2021-01", ISNA(MATCH(B2598, _xlfn._xlws.FILTER(B:B, A:A="2021-02"), 0))), "Left", "Ativo")</f>
        <v>Ativo</v>
      </c>
      <c r="E2598" s="10" t="str" cm="1">
        <f t="array" ref="E2598">IF(AND(A2598="2021-02", ISNA(MATCH(B2598, _xlfn._xlws.FILTER(B:B, A:A="2021-03"), 0))), "Left", "Ativo")</f>
        <v>Ativo</v>
      </c>
      <c r="F2598" s="12" t="str" cm="1">
        <f t="array" ref="F2598">IF(AND(A2598="2021-03", ISNA(MATCH(B2598, _xlfn._xlws.FILTER(B:B, A:A="2021-04"), 0))), "Left", "Ativo")</f>
        <v>Ativo</v>
      </c>
    </row>
    <row r="2599" spans="1:6" x14ac:dyDescent="0.25">
      <c r="A2599" t="s">
        <v>1530</v>
      </c>
      <c r="B2599" t="s">
        <v>670</v>
      </c>
      <c r="C2599" s="10" t="str" cm="1">
        <f t="array" ref="C2599">IF(AND(A2599="2020-12", ISNA(MATCH(B2599, _xlfn._xlws.FILTER(B:B, A:A="2021-01"), 0))), "Left", "Ativo")</f>
        <v>Ativo</v>
      </c>
      <c r="D2599" s="10" t="str" cm="1">
        <f t="array" ref="D2599">IF(AND(A2599="2021-01", ISNA(MATCH(B2599, _xlfn._xlws.FILTER(B:B, A:A="2021-02"), 0))), "Left", "Ativo")</f>
        <v>Ativo</v>
      </c>
      <c r="E2599" s="10" t="str" cm="1">
        <f t="array" ref="E2599">IF(AND(A2599="2021-02", ISNA(MATCH(B2599, _xlfn._xlws.FILTER(B:B, A:A="2021-03"), 0))), "Left", "Ativo")</f>
        <v>Ativo</v>
      </c>
      <c r="F2599" s="12" t="str" cm="1">
        <f t="array" ref="F2599">IF(AND(A2599="2021-03", ISNA(MATCH(B2599, _xlfn._xlws.FILTER(B:B, A:A="2021-04"), 0))), "Left", "Ativo")</f>
        <v>Ativo</v>
      </c>
    </row>
    <row r="2600" spans="1:6" x14ac:dyDescent="0.25">
      <c r="A2600" t="s">
        <v>1530</v>
      </c>
      <c r="B2600" t="s">
        <v>671</v>
      </c>
      <c r="C2600" s="10" t="str" cm="1">
        <f t="array" ref="C2600">IF(AND(A2600="2020-12", ISNA(MATCH(B2600, _xlfn._xlws.FILTER(B:B, A:A="2021-01"), 0))), "Left", "Ativo")</f>
        <v>Ativo</v>
      </c>
      <c r="D2600" s="10" t="str" cm="1">
        <f t="array" ref="D2600">IF(AND(A2600="2021-01", ISNA(MATCH(B2600, _xlfn._xlws.FILTER(B:B, A:A="2021-02"), 0))), "Left", "Ativo")</f>
        <v>Ativo</v>
      </c>
      <c r="E2600" s="10" t="str" cm="1">
        <f t="array" ref="E2600">IF(AND(A2600="2021-02", ISNA(MATCH(B2600, _xlfn._xlws.FILTER(B:B, A:A="2021-03"), 0))), "Left", "Ativo")</f>
        <v>Ativo</v>
      </c>
      <c r="F2600" s="12" t="str" cm="1">
        <f t="array" ref="F2600">IF(AND(A2600="2021-03", ISNA(MATCH(B2600, _xlfn._xlws.FILTER(B:B, A:A="2021-04"), 0))), "Left", "Ativo")</f>
        <v>Ativo</v>
      </c>
    </row>
    <row r="2601" spans="1:6" x14ac:dyDescent="0.25">
      <c r="A2601" t="s">
        <v>1530</v>
      </c>
      <c r="B2601" t="s">
        <v>672</v>
      </c>
      <c r="C2601" s="10" t="str" cm="1">
        <f t="array" ref="C2601">IF(AND(A2601="2020-12", ISNA(MATCH(B2601, _xlfn._xlws.FILTER(B:B, A:A="2021-01"), 0))), "Left", "Ativo")</f>
        <v>Ativo</v>
      </c>
      <c r="D2601" s="10" t="str" cm="1">
        <f t="array" ref="D2601">IF(AND(A2601="2021-01", ISNA(MATCH(B2601, _xlfn._xlws.FILTER(B:B, A:A="2021-02"), 0))), "Left", "Ativo")</f>
        <v>Ativo</v>
      </c>
      <c r="E2601" s="10" t="str" cm="1">
        <f t="array" ref="E2601">IF(AND(A2601="2021-02", ISNA(MATCH(B2601, _xlfn._xlws.FILTER(B:B, A:A="2021-03"), 0))), "Left", "Ativo")</f>
        <v>Ativo</v>
      </c>
      <c r="F2601" s="12" t="str" cm="1">
        <f t="array" ref="F2601">IF(AND(A2601="2021-03", ISNA(MATCH(B2601, _xlfn._xlws.FILTER(B:B, A:A="2021-04"), 0))), "Left", "Ativo")</f>
        <v>Ativo</v>
      </c>
    </row>
    <row r="2602" spans="1:6" x14ac:dyDescent="0.25">
      <c r="A2602" t="s">
        <v>1530</v>
      </c>
      <c r="B2602" t="s">
        <v>673</v>
      </c>
      <c r="C2602" s="10" t="str" cm="1">
        <f t="array" ref="C2602">IF(AND(A2602="2020-12", ISNA(MATCH(B2602, _xlfn._xlws.FILTER(B:B, A:A="2021-01"), 0))), "Left", "Ativo")</f>
        <v>Ativo</v>
      </c>
      <c r="D2602" s="10" t="str" cm="1">
        <f t="array" ref="D2602">IF(AND(A2602="2021-01", ISNA(MATCH(B2602, _xlfn._xlws.FILTER(B:B, A:A="2021-02"), 0))), "Left", "Ativo")</f>
        <v>Ativo</v>
      </c>
      <c r="E2602" s="10" t="str" cm="1">
        <f t="array" ref="E2602">IF(AND(A2602="2021-02", ISNA(MATCH(B2602, _xlfn._xlws.FILTER(B:B, A:A="2021-03"), 0))), "Left", "Ativo")</f>
        <v>Ativo</v>
      </c>
      <c r="F2602" s="12" t="str" cm="1">
        <f t="array" ref="F2602">IF(AND(A2602="2021-03", ISNA(MATCH(B2602, _xlfn._xlws.FILTER(B:B, A:A="2021-04"), 0))), "Left", "Ativo")</f>
        <v>Ativo</v>
      </c>
    </row>
    <row r="2603" spans="1:6" x14ac:dyDescent="0.25">
      <c r="A2603" t="s">
        <v>1530</v>
      </c>
      <c r="B2603" t="s">
        <v>674</v>
      </c>
      <c r="C2603" s="10" t="str" cm="1">
        <f t="array" ref="C2603">IF(AND(A2603="2020-12", ISNA(MATCH(B2603, _xlfn._xlws.FILTER(B:B, A:A="2021-01"), 0))), "Left", "Ativo")</f>
        <v>Ativo</v>
      </c>
      <c r="D2603" s="10" t="str" cm="1">
        <f t="array" ref="D2603">IF(AND(A2603="2021-01", ISNA(MATCH(B2603, _xlfn._xlws.FILTER(B:B, A:A="2021-02"), 0))), "Left", "Ativo")</f>
        <v>Ativo</v>
      </c>
      <c r="E2603" s="10" t="str" cm="1">
        <f t="array" ref="E2603">IF(AND(A2603="2021-02", ISNA(MATCH(B2603, _xlfn._xlws.FILTER(B:B, A:A="2021-03"), 0))), "Left", "Ativo")</f>
        <v>Ativo</v>
      </c>
      <c r="F2603" s="12" t="str" cm="1">
        <f t="array" ref="F2603">IF(AND(A2603="2021-03", ISNA(MATCH(B2603, _xlfn._xlws.FILTER(B:B, A:A="2021-04"), 0))), "Left", "Ativo")</f>
        <v>Ativo</v>
      </c>
    </row>
    <row r="2604" spans="1:6" x14ac:dyDescent="0.25">
      <c r="A2604" t="s">
        <v>1530</v>
      </c>
      <c r="B2604" t="s">
        <v>675</v>
      </c>
      <c r="C2604" s="10" t="str" cm="1">
        <f t="array" ref="C2604">IF(AND(A2604="2020-12", ISNA(MATCH(B2604, _xlfn._xlws.FILTER(B:B, A:A="2021-01"), 0))), "Left", "Ativo")</f>
        <v>Ativo</v>
      </c>
      <c r="D2604" s="10" t="str" cm="1">
        <f t="array" ref="D2604">IF(AND(A2604="2021-01", ISNA(MATCH(B2604, _xlfn._xlws.FILTER(B:B, A:A="2021-02"), 0))), "Left", "Ativo")</f>
        <v>Ativo</v>
      </c>
      <c r="E2604" s="10" t="str" cm="1">
        <f t="array" ref="E2604">IF(AND(A2604="2021-02", ISNA(MATCH(B2604, _xlfn._xlws.FILTER(B:B, A:A="2021-03"), 0))), "Left", "Ativo")</f>
        <v>Ativo</v>
      </c>
      <c r="F2604" s="12" t="str" cm="1">
        <f t="array" ref="F2604">IF(AND(A2604="2021-03", ISNA(MATCH(B2604, _xlfn._xlws.FILTER(B:B, A:A="2021-04"), 0))), "Left", "Ativo")</f>
        <v>Ativo</v>
      </c>
    </row>
    <row r="2605" spans="1:6" x14ac:dyDescent="0.25">
      <c r="A2605" t="s">
        <v>1530</v>
      </c>
      <c r="B2605" t="s">
        <v>676</v>
      </c>
      <c r="C2605" s="10" t="str" cm="1">
        <f t="array" ref="C2605">IF(AND(A2605="2020-12", ISNA(MATCH(B2605, _xlfn._xlws.FILTER(B:B, A:A="2021-01"), 0))), "Left", "Ativo")</f>
        <v>Ativo</v>
      </c>
      <c r="D2605" s="10" t="str" cm="1">
        <f t="array" ref="D2605">IF(AND(A2605="2021-01", ISNA(MATCH(B2605, _xlfn._xlws.FILTER(B:B, A:A="2021-02"), 0))), "Left", "Ativo")</f>
        <v>Ativo</v>
      </c>
      <c r="E2605" s="10" t="str" cm="1">
        <f t="array" ref="E2605">IF(AND(A2605="2021-02", ISNA(MATCH(B2605, _xlfn._xlws.FILTER(B:B, A:A="2021-03"), 0))), "Left", "Ativo")</f>
        <v>Ativo</v>
      </c>
      <c r="F2605" s="12" t="str" cm="1">
        <f t="array" ref="F2605">IF(AND(A2605="2021-03", ISNA(MATCH(B2605, _xlfn._xlws.FILTER(B:B, A:A="2021-04"), 0))), "Left", "Ativo")</f>
        <v>Ativo</v>
      </c>
    </row>
    <row r="2606" spans="1:6" x14ac:dyDescent="0.25">
      <c r="A2606" t="s">
        <v>1530</v>
      </c>
      <c r="B2606" t="s">
        <v>677</v>
      </c>
      <c r="C2606" s="10" t="str" cm="1">
        <f t="array" ref="C2606">IF(AND(A2606="2020-12", ISNA(MATCH(B2606, _xlfn._xlws.FILTER(B:B, A:A="2021-01"), 0))), "Left", "Ativo")</f>
        <v>Ativo</v>
      </c>
      <c r="D2606" s="10" t="str" cm="1">
        <f t="array" ref="D2606">IF(AND(A2606="2021-01", ISNA(MATCH(B2606, _xlfn._xlws.FILTER(B:B, A:A="2021-02"), 0))), "Left", "Ativo")</f>
        <v>Ativo</v>
      </c>
      <c r="E2606" s="10" t="str" cm="1">
        <f t="array" ref="E2606">IF(AND(A2606="2021-02", ISNA(MATCH(B2606, _xlfn._xlws.FILTER(B:B, A:A="2021-03"), 0))), "Left", "Ativo")</f>
        <v>Ativo</v>
      </c>
      <c r="F2606" s="12" t="str" cm="1">
        <f t="array" ref="F2606">IF(AND(A2606="2021-03", ISNA(MATCH(B2606, _xlfn._xlws.FILTER(B:B, A:A="2021-04"), 0))), "Left", "Ativo")</f>
        <v>Ativo</v>
      </c>
    </row>
    <row r="2607" spans="1:6" x14ac:dyDescent="0.25">
      <c r="A2607" t="s">
        <v>1530</v>
      </c>
      <c r="B2607" t="s">
        <v>678</v>
      </c>
      <c r="C2607" s="10" t="str" cm="1">
        <f t="array" ref="C2607">IF(AND(A2607="2020-12", ISNA(MATCH(B2607, _xlfn._xlws.FILTER(B:B, A:A="2021-01"), 0))), "Left", "Ativo")</f>
        <v>Ativo</v>
      </c>
      <c r="D2607" s="10" t="str" cm="1">
        <f t="array" ref="D2607">IF(AND(A2607="2021-01", ISNA(MATCH(B2607, _xlfn._xlws.FILTER(B:B, A:A="2021-02"), 0))), "Left", "Ativo")</f>
        <v>Ativo</v>
      </c>
      <c r="E2607" s="10" t="str" cm="1">
        <f t="array" ref="E2607">IF(AND(A2607="2021-02", ISNA(MATCH(B2607, _xlfn._xlws.FILTER(B:B, A:A="2021-03"), 0))), "Left", "Ativo")</f>
        <v>Ativo</v>
      </c>
      <c r="F2607" s="12" t="str" cm="1">
        <f t="array" ref="F2607">IF(AND(A2607="2021-03", ISNA(MATCH(B2607, _xlfn._xlws.FILTER(B:B, A:A="2021-04"), 0))), "Left", "Ativo")</f>
        <v>Ativo</v>
      </c>
    </row>
    <row r="2608" spans="1:6" x14ac:dyDescent="0.25">
      <c r="A2608" t="s">
        <v>1530</v>
      </c>
      <c r="B2608" t="s">
        <v>679</v>
      </c>
      <c r="C2608" s="10" t="str" cm="1">
        <f t="array" ref="C2608">IF(AND(A2608="2020-12", ISNA(MATCH(B2608, _xlfn._xlws.FILTER(B:B, A:A="2021-01"), 0))), "Left", "Ativo")</f>
        <v>Ativo</v>
      </c>
      <c r="D2608" s="10" t="str" cm="1">
        <f t="array" ref="D2608">IF(AND(A2608="2021-01", ISNA(MATCH(B2608, _xlfn._xlws.FILTER(B:B, A:A="2021-02"), 0))), "Left", "Ativo")</f>
        <v>Ativo</v>
      </c>
      <c r="E2608" s="10" t="str" cm="1">
        <f t="array" ref="E2608">IF(AND(A2608="2021-02", ISNA(MATCH(B2608, _xlfn._xlws.FILTER(B:B, A:A="2021-03"), 0))), "Left", "Ativo")</f>
        <v>Ativo</v>
      </c>
      <c r="F2608" s="12" t="str" cm="1">
        <f t="array" ref="F2608">IF(AND(A2608="2021-03", ISNA(MATCH(B2608, _xlfn._xlws.FILTER(B:B, A:A="2021-04"), 0))), "Left", "Ativo")</f>
        <v>Ativo</v>
      </c>
    </row>
    <row r="2609" spans="1:6" x14ac:dyDescent="0.25">
      <c r="A2609" t="s">
        <v>1530</v>
      </c>
      <c r="B2609" t="s">
        <v>680</v>
      </c>
      <c r="C2609" s="10" t="str" cm="1">
        <f t="array" ref="C2609">IF(AND(A2609="2020-12", ISNA(MATCH(B2609, _xlfn._xlws.FILTER(B:B, A:A="2021-01"), 0))), "Left", "Ativo")</f>
        <v>Ativo</v>
      </c>
      <c r="D2609" s="10" t="str" cm="1">
        <f t="array" ref="D2609">IF(AND(A2609="2021-01", ISNA(MATCH(B2609, _xlfn._xlws.FILTER(B:B, A:A="2021-02"), 0))), "Left", "Ativo")</f>
        <v>Ativo</v>
      </c>
      <c r="E2609" s="10" t="str" cm="1">
        <f t="array" ref="E2609">IF(AND(A2609="2021-02", ISNA(MATCH(B2609, _xlfn._xlws.FILTER(B:B, A:A="2021-03"), 0))), "Left", "Ativo")</f>
        <v>Left</v>
      </c>
      <c r="F2609" s="12" t="str" cm="1">
        <f t="array" ref="F2609">IF(AND(A2609="2021-03", ISNA(MATCH(B2609, _xlfn._xlws.FILTER(B:B, A:A="2021-04"), 0))), "Left", "Ativo")</f>
        <v>Ativo</v>
      </c>
    </row>
    <row r="2610" spans="1:6" x14ac:dyDescent="0.25">
      <c r="A2610" t="s">
        <v>1530</v>
      </c>
      <c r="B2610" t="s">
        <v>681</v>
      </c>
      <c r="C2610" s="10" t="str" cm="1">
        <f t="array" ref="C2610">IF(AND(A2610="2020-12", ISNA(MATCH(B2610, _xlfn._xlws.FILTER(B:B, A:A="2021-01"), 0))), "Left", "Ativo")</f>
        <v>Ativo</v>
      </c>
      <c r="D2610" s="10" t="str" cm="1">
        <f t="array" ref="D2610">IF(AND(A2610="2021-01", ISNA(MATCH(B2610, _xlfn._xlws.FILTER(B:B, A:A="2021-02"), 0))), "Left", "Ativo")</f>
        <v>Ativo</v>
      </c>
      <c r="E2610" s="10" t="str" cm="1">
        <f t="array" ref="E2610">IF(AND(A2610="2021-02", ISNA(MATCH(B2610, _xlfn._xlws.FILTER(B:B, A:A="2021-03"), 0))), "Left", "Ativo")</f>
        <v>Ativo</v>
      </c>
      <c r="F2610" s="12" t="str" cm="1">
        <f t="array" ref="F2610">IF(AND(A2610="2021-03", ISNA(MATCH(B2610, _xlfn._xlws.FILTER(B:B, A:A="2021-04"), 0))), "Left", "Ativo")</f>
        <v>Ativo</v>
      </c>
    </row>
    <row r="2611" spans="1:6" x14ac:dyDescent="0.25">
      <c r="A2611" t="s">
        <v>1530</v>
      </c>
      <c r="B2611" t="s">
        <v>682</v>
      </c>
      <c r="C2611" s="10" t="str" cm="1">
        <f t="array" ref="C2611">IF(AND(A2611="2020-12", ISNA(MATCH(B2611, _xlfn._xlws.FILTER(B:B, A:A="2021-01"), 0))), "Left", "Ativo")</f>
        <v>Ativo</v>
      </c>
      <c r="D2611" s="10" t="str" cm="1">
        <f t="array" ref="D2611">IF(AND(A2611="2021-01", ISNA(MATCH(B2611, _xlfn._xlws.FILTER(B:B, A:A="2021-02"), 0))), "Left", "Ativo")</f>
        <v>Ativo</v>
      </c>
      <c r="E2611" s="10" t="str" cm="1">
        <f t="array" ref="E2611">IF(AND(A2611="2021-02", ISNA(MATCH(B2611, _xlfn._xlws.FILTER(B:B, A:A="2021-03"), 0))), "Left", "Ativo")</f>
        <v>Ativo</v>
      </c>
      <c r="F2611" s="12" t="str" cm="1">
        <f t="array" ref="F2611">IF(AND(A2611="2021-03", ISNA(MATCH(B2611, _xlfn._xlws.FILTER(B:B, A:A="2021-04"), 0))), "Left", "Ativo")</f>
        <v>Ativo</v>
      </c>
    </row>
    <row r="2612" spans="1:6" x14ac:dyDescent="0.25">
      <c r="A2612" t="s">
        <v>1530</v>
      </c>
      <c r="B2612" t="s">
        <v>683</v>
      </c>
      <c r="C2612" s="10" t="str" cm="1">
        <f t="array" ref="C2612">IF(AND(A2612="2020-12", ISNA(MATCH(B2612, _xlfn._xlws.FILTER(B:B, A:A="2021-01"), 0))), "Left", "Ativo")</f>
        <v>Ativo</v>
      </c>
      <c r="D2612" s="10" t="str" cm="1">
        <f t="array" ref="D2612">IF(AND(A2612="2021-01", ISNA(MATCH(B2612, _xlfn._xlws.FILTER(B:B, A:A="2021-02"), 0))), "Left", "Ativo")</f>
        <v>Ativo</v>
      </c>
      <c r="E2612" s="10" t="str" cm="1">
        <f t="array" ref="E2612">IF(AND(A2612="2021-02", ISNA(MATCH(B2612, _xlfn._xlws.FILTER(B:B, A:A="2021-03"), 0))), "Left", "Ativo")</f>
        <v>Ativo</v>
      </c>
      <c r="F2612" s="12" t="str" cm="1">
        <f t="array" ref="F2612">IF(AND(A2612="2021-03", ISNA(MATCH(B2612, _xlfn._xlws.FILTER(B:B, A:A="2021-04"), 0))), "Left", "Ativo")</f>
        <v>Ativo</v>
      </c>
    </row>
    <row r="2613" spans="1:6" x14ac:dyDescent="0.25">
      <c r="A2613" t="s">
        <v>1530</v>
      </c>
      <c r="B2613" t="s">
        <v>684</v>
      </c>
      <c r="C2613" s="10" t="str" cm="1">
        <f t="array" ref="C2613">IF(AND(A2613="2020-12", ISNA(MATCH(B2613, _xlfn._xlws.FILTER(B:B, A:A="2021-01"), 0))), "Left", "Ativo")</f>
        <v>Ativo</v>
      </c>
      <c r="D2613" s="10" t="str" cm="1">
        <f t="array" ref="D2613">IF(AND(A2613="2021-01", ISNA(MATCH(B2613, _xlfn._xlws.FILTER(B:B, A:A="2021-02"), 0))), "Left", "Ativo")</f>
        <v>Ativo</v>
      </c>
      <c r="E2613" s="10" t="str" cm="1">
        <f t="array" ref="E2613">IF(AND(A2613="2021-02", ISNA(MATCH(B2613, _xlfn._xlws.FILTER(B:B, A:A="2021-03"), 0))), "Left", "Ativo")</f>
        <v>Ativo</v>
      </c>
      <c r="F2613" s="12" t="str" cm="1">
        <f t="array" ref="F2613">IF(AND(A2613="2021-03", ISNA(MATCH(B2613, _xlfn._xlws.FILTER(B:B, A:A="2021-04"), 0))), "Left", "Ativo")</f>
        <v>Ativo</v>
      </c>
    </row>
    <row r="2614" spans="1:6" x14ac:dyDescent="0.25">
      <c r="A2614" t="s">
        <v>1530</v>
      </c>
      <c r="B2614" t="s">
        <v>685</v>
      </c>
      <c r="C2614" s="10" t="str" cm="1">
        <f t="array" ref="C2614">IF(AND(A2614="2020-12", ISNA(MATCH(B2614, _xlfn._xlws.FILTER(B:B, A:A="2021-01"), 0))), "Left", "Ativo")</f>
        <v>Ativo</v>
      </c>
      <c r="D2614" s="10" t="str" cm="1">
        <f t="array" ref="D2614">IF(AND(A2614="2021-01", ISNA(MATCH(B2614, _xlfn._xlws.FILTER(B:B, A:A="2021-02"), 0))), "Left", "Ativo")</f>
        <v>Ativo</v>
      </c>
      <c r="E2614" s="10" t="str" cm="1">
        <f t="array" ref="E2614">IF(AND(A2614="2021-02", ISNA(MATCH(B2614, _xlfn._xlws.FILTER(B:B, A:A="2021-03"), 0))), "Left", "Ativo")</f>
        <v>Ativo</v>
      </c>
      <c r="F2614" s="12" t="str" cm="1">
        <f t="array" ref="F2614">IF(AND(A2614="2021-03", ISNA(MATCH(B2614, _xlfn._xlws.FILTER(B:B, A:A="2021-04"), 0))), "Left", "Ativo")</f>
        <v>Ativo</v>
      </c>
    </row>
    <row r="2615" spans="1:6" x14ac:dyDescent="0.25">
      <c r="A2615" t="s">
        <v>1530</v>
      </c>
      <c r="B2615" t="s">
        <v>686</v>
      </c>
      <c r="C2615" s="10" t="str" cm="1">
        <f t="array" ref="C2615">IF(AND(A2615="2020-12", ISNA(MATCH(B2615, _xlfn._xlws.FILTER(B:B, A:A="2021-01"), 0))), "Left", "Ativo")</f>
        <v>Ativo</v>
      </c>
      <c r="D2615" s="10" t="str" cm="1">
        <f t="array" ref="D2615">IF(AND(A2615="2021-01", ISNA(MATCH(B2615, _xlfn._xlws.FILTER(B:B, A:A="2021-02"), 0))), "Left", "Ativo")</f>
        <v>Ativo</v>
      </c>
      <c r="E2615" s="10" t="str" cm="1">
        <f t="array" ref="E2615">IF(AND(A2615="2021-02", ISNA(MATCH(B2615, _xlfn._xlws.FILTER(B:B, A:A="2021-03"), 0))), "Left", "Ativo")</f>
        <v>Ativo</v>
      </c>
      <c r="F2615" s="12" t="str" cm="1">
        <f t="array" ref="F2615">IF(AND(A2615="2021-03", ISNA(MATCH(B2615, _xlfn._xlws.FILTER(B:B, A:A="2021-04"), 0))), "Left", "Ativo")</f>
        <v>Ativo</v>
      </c>
    </row>
    <row r="2616" spans="1:6" x14ac:dyDescent="0.25">
      <c r="A2616" t="s">
        <v>1530</v>
      </c>
      <c r="B2616" t="s">
        <v>687</v>
      </c>
      <c r="C2616" s="10" t="str" cm="1">
        <f t="array" ref="C2616">IF(AND(A2616="2020-12", ISNA(MATCH(B2616, _xlfn._xlws.FILTER(B:B, A:A="2021-01"), 0))), "Left", "Ativo")</f>
        <v>Ativo</v>
      </c>
      <c r="D2616" s="10" t="str" cm="1">
        <f t="array" ref="D2616">IF(AND(A2616="2021-01", ISNA(MATCH(B2616, _xlfn._xlws.FILTER(B:B, A:A="2021-02"), 0))), "Left", "Ativo")</f>
        <v>Ativo</v>
      </c>
      <c r="E2616" s="10" t="str" cm="1">
        <f t="array" ref="E2616">IF(AND(A2616="2021-02", ISNA(MATCH(B2616, _xlfn._xlws.FILTER(B:B, A:A="2021-03"), 0))), "Left", "Ativo")</f>
        <v>Ativo</v>
      </c>
      <c r="F2616" s="12" t="str" cm="1">
        <f t="array" ref="F2616">IF(AND(A2616="2021-03", ISNA(MATCH(B2616, _xlfn._xlws.FILTER(B:B, A:A="2021-04"), 0))), "Left", "Ativo")</f>
        <v>Ativo</v>
      </c>
    </row>
    <row r="2617" spans="1:6" x14ac:dyDescent="0.25">
      <c r="A2617" t="s">
        <v>1530</v>
      </c>
      <c r="B2617" t="s">
        <v>688</v>
      </c>
      <c r="C2617" s="10" t="str" cm="1">
        <f t="array" ref="C2617">IF(AND(A2617="2020-12", ISNA(MATCH(B2617, _xlfn._xlws.FILTER(B:B, A:A="2021-01"), 0))), "Left", "Ativo")</f>
        <v>Ativo</v>
      </c>
      <c r="D2617" s="10" t="str" cm="1">
        <f t="array" ref="D2617">IF(AND(A2617="2021-01", ISNA(MATCH(B2617, _xlfn._xlws.FILTER(B:B, A:A="2021-02"), 0))), "Left", "Ativo")</f>
        <v>Ativo</v>
      </c>
      <c r="E2617" s="10" t="str" cm="1">
        <f t="array" ref="E2617">IF(AND(A2617="2021-02", ISNA(MATCH(B2617, _xlfn._xlws.FILTER(B:B, A:A="2021-03"), 0))), "Left", "Ativo")</f>
        <v>Ativo</v>
      </c>
      <c r="F2617" s="12" t="str" cm="1">
        <f t="array" ref="F2617">IF(AND(A2617="2021-03", ISNA(MATCH(B2617, _xlfn._xlws.FILTER(B:B, A:A="2021-04"), 0))), "Left", "Ativo")</f>
        <v>Ativo</v>
      </c>
    </row>
    <row r="2618" spans="1:6" x14ac:dyDescent="0.25">
      <c r="A2618" t="s">
        <v>1530</v>
      </c>
      <c r="B2618" t="s">
        <v>689</v>
      </c>
      <c r="C2618" s="10" t="str" cm="1">
        <f t="array" ref="C2618">IF(AND(A2618="2020-12", ISNA(MATCH(B2618, _xlfn._xlws.FILTER(B:B, A:A="2021-01"), 0))), "Left", "Ativo")</f>
        <v>Ativo</v>
      </c>
      <c r="D2618" s="10" t="str" cm="1">
        <f t="array" ref="D2618">IF(AND(A2618="2021-01", ISNA(MATCH(B2618, _xlfn._xlws.FILTER(B:B, A:A="2021-02"), 0))), "Left", "Ativo")</f>
        <v>Ativo</v>
      </c>
      <c r="E2618" s="10" t="str" cm="1">
        <f t="array" ref="E2618">IF(AND(A2618="2021-02", ISNA(MATCH(B2618, _xlfn._xlws.FILTER(B:B, A:A="2021-03"), 0))), "Left", "Ativo")</f>
        <v>Ativo</v>
      </c>
      <c r="F2618" s="12" t="str" cm="1">
        <f t="array" ref="F2618">IF(AND(A2618="2021-03", ISNA(MATCH(B2618, _xlfn._xlws.FILTER(B:B, A:A="2021-04"), 0))), "Left", "Ativo")</f>
        <v>Ativo</v>
      </c>
    </row>
    <row r="2619" spans="1:6" x14ac:dyDescent="0.25">
      <c r="A2619" t="s">
        <v>1530</v>
      </c>
      <c r="B2619" t="s">
        <v>690</v>
      </c>
      <c r="C2619" s="10" t="str" cm="1">
        <f t="array" ref="C2619">IF(AND(A2619="2020-12", ISNA(MATCH(B2619, _xlfn._xlws.FILTER(B:B, A:A="2021-01"), 0))), "Left", "Ativo")</f>
        <v>Ativo</v>
      </c>
      <c r="D2619" s="10" t="str" cm="1">
        <f t="array" ref="D2619">IF(AND(A2619="2021-01", ISNA(MATCH(B2619, _xlfn._xlws.FILTER(B:B, A:A="2021-02"), 0))), "Left", "Ativo")</f>
        <v>Ativo</v>
      </c>
      <c r="E2619" s="10" t="str" cm="1">
        <f t="array" ref="E2619">IF(AND(A2619="2021-02", ISNA(MATCH(B2619, _xlfn._xlws.FILTER(B:B, A:A="2021-03"), 0))), "Left", "Ativo")</f>
        <v>Ativo</v>
      </c>
      <c r="F2619" s="12" t="str" cm="1">
        <f t="array" ref="F2619">IF(AND(A2619="2021-03", ISNA(MATCH(B2619, _xlfn._xlws.FILTER(B:B, A:A="2021-04"), 0))), "Left", "Ativo")</f>
        <v>Ativo</v>
      </c>
    </row>
    <row r="2620" spans="1:6" x14ac:dyDescent="0.25">
      <c r="A2620" t="s">
        <v>1530</v>
      </c>
      <c r="B2620" t="s">
        <v>691</v>
      </c>
      <c r="C2620" s="10" t="str" cm="1">
        <f t="array" ref="C2620">IF(AND(A2620="2020-12", ISNA(MATCH(B2620, _xlfn._xlws.FILTER(B:B, A:A="2021-01"), 0))), "Left", "Ativo")</f>
        <v>Ativo</v>
      </c>
      <c r="D2620" s="10" t="str" cm="1">
        <f t="array" ref="D2620">IF(AND(A2620="2021-01", ISNA(MATCH(B2620, _xlfn._xlws.FILTER(B:B, A:A="2021-02"), 0))), "Left", "Ativo")</f>
        <v>Ativo</v>
      </c>
      <c r="E2620" s="10" t="str" cm="1">
        <f t="array" ref="E2620">IF(AND(A2620="2021-02", ISNA(MATCH(B2620, _xlfn._xlws.FILTER(B:B, A:A="2021-03"), 0))), "Left", "Ativo")</f>
        <v>Ativo</v>
      </c>
      <c r="F2620" s="12" t="str" cm="1">
        <f t="array" ref="F2620">IF(AND(A2620="2021-03", ISNA(MATCH(B2620, _xlfn._xlws.FILTER(B:B, A:A="2021-04"), 0))), "Left", "Ativo")</f>
        <v>Ativo</v>
      </c>
    </row>
    <row r="2621" spans="1:6" x14ac:dyDescent="0.25">
      <c r="A2621" t="s">
        <v>1530</v>
      </c>
      <c r="B2621" t="s">
        <v>692</v>
      </c>
      <c r="C2621" s="10" t="str" cm="1">
        <f t="array" ref="C2621">IF(AND(A2621="2020-12", ISNA(MATCH(B2621, _xlfn._xlws.FILTER(B:B, A:A="2021-01"), 0))), "Left", "Ativo")</f>
        <v>Ativo</v>
      </c>
      <c r="D2621" s="10" t="str" cm="1">
        <f t="array" ref="D2621">IF(AND(A2621="2021-01", ISNA(MATCH(B2621, _xlfn._xlws.FILTER(B:B, A:A="2021-02"), 0))), "Left", "Ativo")</f>
        <v>Ativo</v>
      </c>
      <c r="E2621" s="10" t="str" cm="1">
        <f t="array" ref="E2621">IF(AND(A2621="2021-02", ISNA(MATCH(B2621, _xlfn._xlws.FILTER(B:B, A:A="2021-03"), 0))), "Left", "Ativo")</f>
        <v>Ativo</v>
      </c>
      <c r="F2621" s="12" t="str" cm="1">
        <f t="array" ref="F2621">IF(AND(A2621="2021-03", ISNA(MATCH(B2621, _xlfn._xlws.FILTER(B:B, A:A="2021-04"), 0))), "Left", "Ativo")</f>
        <v>Ativo</v>
      </c>
    </row>
    <row r="2622" spans="1:6" x14ac:dyDescent="0.25">
      <c r="A2622" t="s">
        <v>1530</v>
      </c>
      <c r="B2622" t="s">
        <v>693</v>
      </c>
      <c r="C2622" s="10" t="str" cm="1">
        <f t="array" ref="C2622">IF(AND(A2622="2020-12", ISNA(MATCH(B2622, _xlfn._xlws.FILTER(B:B, A:A="2021-01"), 0))), "Left", "Ativo")</f>
        <v>Ativo</v>
      </c>
      <c r="D2622" s="10" t="str" cm="1">
        <f t="array" ref="D2622">IF(AND(A2622="2021-01", ISNA(MATCH(B2622, _xlfn._xlws.FILTER(B:B, A:A="2021-02"), 0))), "Left", "Ativo")</f>
        <v>Ativo</v>
      </c>
      <c r="E2622" s="10" t="str" cm="1">
        <f t="array" ref="E2622">IF(AND(A2622="2021-02", ISNA(MATCH(B2622, _xlfn._xlws.FILTER(B:B, A:A="2021-03"), 0))), "Left", "Ativo")</f>
        <v>Ativo</v>
      </c>
      <c r="F2622" s="12" t="str" cm="1">
        <f t="array" ref="F2622">IF(AND(A2622="2021-03", ISNA(MATCH(B2622, _xlfn._xlws.FILTER(B:B, A:A="2021-04"), 0))), "Left", "Ativo")</f>
        <v>Ativo</v>
      </c>
    </row>
    <row r="2623" spans="1:6" x14ac:dyDescent="0.25">
      <c r="A2623" t="s">
        <v>1530</v>
      </c>
      <c r="B2623" t="s">
        <v>694</v>
      </c>
      <c r="C2623" s="10" t="str" cm="1">
        <f t="array" ref="C2623">IF(AND(A2623="2020-12", ISNA(MATCH(B2623, _xlfn._xlws.FILTER(B:B, A:A="2021-01"), 0))), "Left", "Ativo")</f>
        <v>Ativo</v>
      </c>
      <c r="D2623" s="10" t="str" cm="1">
        <f t="array" ref="D2623">IF(AND(A2623="2021-01", ISNA(MATCH(B2623, _xlfn._xlws.FILTER(B:B, A:A="2021-02"), 0))), "Left", "Ativo")</f>
        <v>Ativo</v>
      </c>
      <c r="E2623" s="10" t="str" cm="1">
        <f t="array" ref="E2623">IF(AND(A2623="2021-02", ISNA(MATCH(B2623, _xlfn._xlws.FILTER(B:B, A:A="2021-03"), 0))), "Left", "Ativo")</f>
        <v>Ativo</v>
      </c>
      <c r="F2623" s="12" t="str" cm="1">
        <f t="array" ref="F2623">IF(AND(A2623="2021-03", ISNA(MATCH(B2623, _xlfn._xlws.FILTER(B:B, A:A="2021-04"), 0))), "Left", "Ativo")</f>
        <v>Ativo</v>
      </c>
    </row>
    <row r="2624" spans="1:6" x14ac:dyDescent="0.25">
      <c r="A2624" t="s">
        <v>1530</v>
      </c>
      <c r="B2624" t="s">
        <v>695</v>
      </c>
      <c r="C2624" s="10" t="str" cm="1">
        <f t="array" ref="C2624">IF(AND(A2624="2020-12", ISNA(MATCH(B2624, _xlfn._xlws.FILTER(B:B, A:A="2021-01"), 0))), "Left", "Ativo")</f>
        <v>Ativo</v>
      </c>
      <c r="D2624" s="10" t="str" cm="1">
        <f t="array" ref="D2624">IF(AND(A2624="2021-01", ISNA(MATCH(B2624, _xlfn._xlws.FILTER(B:B, A:A="2021-02"), 0))), "Left", "Ativo")</f>
        <v>Ativo</v>
      </c>
      <c r="E2624" s="10" t="str" cm="1">
        <f t="array" ref="E2624">IF(AND(A2624="2021-02", ISNA(MATCH(B2624, _xlfn._xlws.FILTER(B:B, A:A="2021-03"), 0))), "Left", "Ativo")</f>
        <v>Ativo</v>
      </c>
      <c r="F2624" s="12" t="str" cm="1">
        <f t="array" ref="F2624">IF(AND(A2624="2021-03", ISNA(MATCH(B2624, _xlfn._xlws.FILTER(B:B, A:A="2021-04"), 0))), "Left", "Ativo")</f>
        <v>Ativo</v>
      </c>
    </row>
    <row r="2625" spans="1:6" x14ac:dyDescent="0.25">
      <c r="A2625" t="s">
        <v>1530</v>
      </c>
      <c r="B2625" t="s">
        <v>696</v>
      </c>
      <c r="C2625" s="10" t="str" cm="1">
        <f t="array" ref="C2625">IF(AND(A2625="2020-12", ISNA(MATCH(B2625, _xlfn._xlws.FILTER(B:B, A:A="2021-01"), 0))), "Left", "Ativo")</f>
        <v>Ativo</v>
      </c>
      <c r="D2625" s="10" t="str" cm="1">
        <f t="array" ref="D2625">IF(AND(A2625="2021-01", ISNA(MATCH(B2625, _xlfn._xlws.FILTER(B:B, A:A="2021-02"), 0))), "Left", "Ativo")</f>
        <v>Ativo</v>
      </c>
      <c r="E2625" s="10" t="str" cm="1">
        <f t="array" ref="E2625">IF(AND(A2625="2021-02", ISNA(MATCH(B2625, _xlfn._xlws.FILTER(B:B, A:A="2021-03"), 0))), "Left", "Ativo")</f>
        <v>Ativo</v>
      </c>
      <c r="F2625" s="12" t="str" cm="1">
        <f t="array" ref="F2625">IF(AND(A2625="2021-03", ISNA(MATCH(B2625, _xlfn._xlws.FILTER(B:B, A:A="2021-04"), 0))), "Left", "Ativo")</f>
        <v>Ativo</v>
      </c>
    </row>
    <row r="2626" spans="1:6" x14ac:dyDescent="0.25">
      <c r="A2626" t="s">
        <v>1530</v>
      </c>
      <c r="B2626" t="s">
        <v>697</v>
      </c>
      <c r="C2626" s="10" t="str" cm="1">
        <f t="array" ref="C2626">IF(AND(A2626="2020-12", ISNA(MATCH(B2626, _xlfn._xlws.FILTER(B:B, A:A="2021-01"), 0))), "Left", "Ativo")</f>
        <v>Ativo</v>
      </c>
      <c r="D2626" s="10" t="str" cm="1">
        <f t="array" ref="D2626">IF(AND(A2626="2021-01", ISNA(MATCH(B2626, _xlfn._xlws.FILTER(B:B, A:A="2021-02"), 0))), "Left", "Ativo")</f>
        <v>Ativo</v>
      </c>
      <c r="E2626" s="10" t="str" cm="1">
        <f t="array" ref="E2626">IF(AND(A2626="2021-02", ISNA(MATCH(B2626, _xlfn._xlws.FILTER(B:B, A:A="2021-03"), 0))), "Left", "Ativo")</f>
        <v>Ativo</v>
      </c>
      <c r="F2626" s="12" t="str" cm="1">
        <f t="array" ref="F2626">IF(AND(A2626="2021-03", ISNA(MATCH(B2626, _xlfn._xlws.FILTER(B:B, A:A="2021-04"), 0))), "Left", "Ativo")</f>
        <v>Ativo</v>
      </c>
    </row>
    <row r="2627" spans="1:6" x14ac:dyDescent="0.25">
      <c r="A2627" t="s">
        <v>1530</v>
      </c>
      <c r="B2627" t="s">
        <v>698</v>
      </c>
      <c r="C2627" s="10" t="str" cm="1">
        <f t="array" ref="C2627">IF(AND(A2627="2020-12", ISNA(MATCH(B2627, _xlfn._xlws.FILTER(B:B, A:A="2021-01"), 0))), "Left", "Ativo")</f>
        <v>Ativo</v>
      </c>
      <c r="D2627" s="10" t="str" cm="1">
        <f t="array" ref="D2627">IF(AND(A2627="2021-01", ISNA(MATCH(B2627, _xlfn._xlws.FILTER(B:B, A:A="2021-02"), 0))), "Left", "Ativo")</f>
        <v>Ativo</v>
      </c>
      <c r="E2627" s="10" t="str" cm="1">
        <f t="array" ref="E2627">IF(AND(A2627="2021-02", ISNA(MATCH(B2627, _xlfn._xlws.FILTER(B:B, A:A="2021-03"), 0))), "Left", "Ativo")</f>
        <v>Ativo</v>
      </c>
      <c r="F2627" s="12" t="str" cm="1">
        <f t="array" ref="F2627">IF(AND(A2627="2021-03", ISNA(MATCH(B2627, _xlfn._xlws.FILTER(B:B, A:A="2021-04"), 0))), "Left", "Ativo")</f>
        <v>Ativo</v>
      </c>
    </row>
    <row r="2628" spans="1:6" x14ac:dyDescent="0.25">
      <c r="A2628" t="s">
        <v>1530</v>
      </c>
      <c r="B2628" t="s">
        <v>699</v>
      </c>
      <c r="C2628" s="10" t="str" cm="1">
        <f t="array" ref="C2628">IF(AND(A2628="2020-12", ISNA(MATCH(B2628, _xlfn._xlws.FILTER(B:B, A:A="2021-01"), 0))), "Left", "Ativo")</f>
        <v>Ativo</v>
      </c>
      <c r="D2628" s="10" t="str" cm="1">
        <f t="array" ref="D2628">IF(AND(A2628="2021-01", ISNA(MATCH(B2628, _xlfn._xlws.FILTER(B:B, A:A="2021-02"), 0))), "Left", "Ativo")</f>
        <v>Ativo</v>
      </c>
      <c r="E2628" s="10" t="str" cm="1">
        <f t="array" ref="E2628">IF(AND(A2628="2021-02", ISNA(MATCH(B2628, _xlfn._xlws.FILTER(B:B, A:A="2021-03"), 0))), "Left", "Ativo")</f>
        <v>Ativo</v>
      </c>
      <c r="F2628" s="12" t="str" cm="1">
        <f t="array" ref="F2628">IF(AND(A2628="2021-03", ISNA(MATCH(B2628, _xlfn._xlws.FILTER(B:B, A:A="2021-04"), 0))), "Left", "Ativo")</f>
        <v>Ativo</v>
      </c>
    </row>
    <row r="2629" spans="1:6" x14ac:dyDescent="0.25">
      <c r="A2629" t="s">
        <v>1530</v>
      </c>
      <c r="B2629" t="s">
        <v>700</v>
      </c>
      <c r="C2629" s="10" t="str" cm="1">
        <f t="array" ref="C2629">IF(AND(A2629="2020-12", ISNA(MATCH(B2629, _xlfn._xlws.FILTER(B:B, A:A="2021-01"), 0))), "Left", "Ativo")</f>
        <v>Ativo</v>
      </c>
      <c r="D2629" s="10" t="str" cm="1">
        <f t="array" ref="D2629">IF(AND(A2629="2021-01", ISNA(MATCH(B2629, _xlfn._xlws.FILTER(B:B, A:A="2021-02"), 0))), "Left", "Ativo")</f>
        <v>Ativo</v>
      </c>
      <c r="E2629" s="10" t="str" cm="1">
        <f t="array" ref="E2629">IF(AND(A2629="2021-02", ISNA(MATCH(B2629, _xlfn._xlws.FILTER(B:B, A:A="2021-03"), 0))), "Left", "Ativo")</f>
        <v>Ativo</v>
      </c>
      <c r="F2629" s="12" t="str" cm="1">
        <f t="array" ref="F2629">IF(AND(A2629="2021-03", ISNA(MATCH(B2629, _xlfn._xlws.FILTER(B:B, A:A="2021-04"), 0))), "Left", "Ativo")</f>
        <v>Ativo</v>
      </c>
    </row>
    <row r="2630" spans="1:6" x14ac:dyDescent="0.25">
      <c r="A2630" t="s">
        <v>1530</v>
      </c>
      <c r="B2630" t="s">
        <v>701</v>
      </c>
      <c r="C2630" s="10" t="str" cm="1">
        <f t="array" ref="C2630">IF(AND(A2630="2020-12", ISNA(MATCH(B2630, _xlfn._xlws.FILTER(B:B, A:A="2021-01"), 0))), "Left", "Ativo")</f>
        <v>Ativo</v>
      </c>
      <c r="D2630" s="10" t="str" cm="1">
        <f t="array" ref="D2630">IF(AND(A2630="2021-01", ISNA(MATCH(B2630, _xlfn._xlws.FILTER(B:B, A:A="2021-02"), 0))), "Left", "Ativo")</f>
        <v>Ativo</v>
      </c>
      <c r="E2630" s="10" t="str" cm="1">
        <f t="array" ref="E2630">IF(AND(A2630="2021-02", ISNA(MATCH(B2630, _xlfn._xlws.FILTER(B:B, A:A="2021-03"), 0))), "Left", "Ativo")</f>
        <v>Ativo</v>
      </c>
      <c r="F2630" s="12" t="str" cm="1">
        <f t="array" ref="F2630">IF(AND(A2630="2021-03", ISNA(MATCH(B2630, _xlfn._xlws.FILTER(B:B, A:A="2021-04"), 0))), "Left", "Ativo")</f>
        <v>Ativo</v>
      </c>
    </row>
    <row r="2631" spans="1:6" x14ac:dyDescent="0.25">
      <c r="A2631" t="s">
        <v>1530</v>
      </c>
      <c r="B2631" t="s">
        <v>702</v>
      </c>
      <c r="C2631" s="10" t="str" cm="1">
        <f t="array" ref="C2631">IF(AND(A2631="2020-12", ISNA(MATCH(B2631, _xlfn._xlws.FILTER(B:B, A:A="2021-01"), 0))), "Left", "Ativo")</f>
        <v>Ativo</v>
      </c>
      <c r="D2631" s="10" t="str" cm="1">
        <f t="array" ref="D2631">IF(AND(A2631="2021-01", ISNA(MATCH(B2631, _xlfn._xlws.FILTER(B:B, A:A="2021-02"), 0))), "Left", "Ativo")</f>
        <v>Ativo</v>
      </c>
      <c r="E2631" s="10" t="str" cm="1">
        <f t="array" ref="E2631">IF(AND(A2631="2021-02", ISNA(MATCH(B2631, _xlfn._xlws.FILTER(B:B, A:A="2021-03"), 0))), "Left", "Ativo")</f>
        <v>Ativo</v>
      </c>
      <c r="F2631" s="12" t="str" cm="1">
        <f t="array" ref="F2631">IF(AND(A2631="2021-03", ISNA(MATCH(B2631, _xlfn._xlws.FILTER(B:B, A:A="2021-04"), 0))), "Left", "Ativo")</f>
        <v>Ativo</v>
      </c>
    </row>
    <row r="2632" spans="1:6" x14ac:dyDescent="0.25">
      <c r="A2632" t="s">
        <v>1530</v>
      </c>
      <c r="B2632" t="s">
        <v>703</v>
      </c>
      <c r="C2632" s="10" t="str" cm="1">
        <f t="array" ref="C2632">IF(AND(A2632="2020-12", ISNA(MATCH(B2632, _xlfn._xlws.FILTER(B:B, A:A="2021-01"), 0))), "Left", "Ativo")</f>
        <v>Ativo</v>
      </c>
      <c r="D2632" s="10" t="str" cm="1">
        <f t="array" ref="D2632">IF(AND(A2632="2021-01", ISNA(MATCH(B2632, _xlfn._xlws.FILTER(B:B, A:A="2021-02"), 0))), "Left", "Ativo")</f>
        <v>Ativo</v>
      </c>
      <c r="E2632" s="10" t="str" cm="1">
        <f t="array" ref="E2632">IF(AND(A2632="2021-02", ISNA(MATCH(B2632, _xlfn._xlws.FILTER(B:B, A:A="2021-03"), 0))), "Left", "Ativo")</f>
        <v>Ativo</v>
      </c>
      <c r="F2632" s="12" t="str" cm="1">
        <f t="array" ref="F2632">IF(AND(A2632="2021-03", ISNA(MATCH(B2632, _xlfn._xlws.FILTER(B:B, A:A="2021-04"), 0))), "Left", "Ativo")</f>
        <v>Ativo</v>
      </c>
    </row>
    <row r="2633" spans="1:6" x14ac:dyDescent="0.25">
      <c r="A2633" t="s">
        <v>1530</v>
      </c>
      <c r="B2633" t="s">
        <v>704</v>
      </c>
      <c r="C2633" s="10" t="str" cm="1">
        <f t="array" ref="C2633">IF(AND(A2633="2020-12", ISNA(MATCH(B2633, _xlfn._xlws.FILTER(B:B, A:A="2021-01"), 0))), "Left", "Ativo")</f>
        <v>Ativo</v>
      </c>
      <c r="D2633" s="10" t="str" cm="1">
        <f t="array" ref="D2633">IF(AND(A2633="2021-01", ISNA(MATCH(B2633, _xlfn._xlws.FILTER(B:B, A:A="2021-02"), 0))), "Left", "Ativo")</f>
        <v>Ativo</v>
      </c>
      <c r="E2633" s="10" t="str" cm="1">
        <f t="array" ref="E2633">IF(AND(A2633="2021-02", ISNA(MATCH(B2633, _xlfn._xlws.FILTER(B:B, A:A="2021-03"), 0))), "Left", "Ativo")</f>
        <v>Ativo</v>
      </c>
      <c r="F2633" s="12" t="str" cm="1">
        <f t="array" ref="F2633">IF(AND(A2633="2021-03", ISNA(MATCH(B2633, _xlfn._xlws.FILTER(B:B, A:A="2021-04"), 0))), "Left", "Ativo")</f>
        <v>Ativo</v>
      </c>
    </row>
    <row r="2634" spans="1:6" x14ac:dyDescent="0.25">
      <c r="A2634" t="s">
        <v>1530</v>
      </c>
      <c r="B2634" t="s">
        <v>705</v>
      </c>
      <c r="C2634" s="10" t="str" cm="1">
        <f t="array" ref="C2634">IF(AND(A2634="2020-12", ISNA(MATCH(B2634, _xlfn._xlws.FILTER(B:B, A:A="2021-01"), 0))), "Left", "Ativo")</f>
        <v>Ativo</v>
      </c>
      <c r="D2634" s="10" t="str" cm="1">
        <f t="array" ref="D2634">IF(AND(A2634="2021-01", ISNA(MATCH(B2634, _xlfn._xlws.FILTER(B:B, A:A="2021-02"), 0))), "Left", "Ativo")</f>
        <v>Ativo</v>
      </c>
      <c r="E2634" s="10" t="str" cm="1">
        <f t="array" ref="E2634">IF(AND(A2634="2021-02", ISNA(MATCH(B2634, _xlfn._xlws.FILTER(B:B, A:A="2021-03"), 0))), "Left", "Ativo")</f>
        <v>Ativo</v>
      </c>
      <c r="F2634" s="12" t="str" cm="1">
        <f t="array" ref="F2634">IF(AND(A2634="2021-03", ISNA(MATCH(B2634, _xlfn._xlws.FILTER(B:B, A:A="2021-04"), 0))), "Left", "Ativo")</f>
        <v>Ativo</v>
      </c>
    </row>
    <row r="2635" spans="1:6" x14ac:dyDescent="0.25">
      <c r="A2635" t="s">
        <v>1530</v>
      </c>
      <c r="B2635" t="s">
        <v>706</v>
      </c>
      <c r="C2635" s="10" t="str" cm="1">
        <f t="array" ref="C2635">IF(AND(A2635="2020-12", ISNA(MATCH(B2635, _xlfn._xlws.FILTER(B:B, A:A="2021-01"), 0))), "Left", "Ativo")</f>
        <v>Ativo</v>
      </c>
      <c r="D2635" s="10" t="str" cm="1">
        <f t="array" ref="D2635">IF(AND(A2635="2021-01", ISNA(MATCH(B2635, _xlfn._xlws.FILTER(B:B, A:A="2021-02"), 0))), "Left", "Ativo")</f>
        <v>Ativo</v>
      </c>
      <c r="E2635" s="10" t="str" cm="1">
        <f t="array" ref="E2635">IF(AND(A2635="2021-02", ISNA(MATCH(B2635, _xlfn._xlws.FILTER(B:B, A:A="2021-03"), 0))), "Left", "Ativo")</f>
        <v>Ativo</v>
      </c>
      <c r="F2635" s="12" t="str" cm="1">
        <f t="array" ref="F2635">IF(AND(A2635="2021-03", ISNA(MATCH(B2635, _xlfn._xlws.FILTER(B:B, A:A="2021-04"), 0))), "Left", "Ativo")</f>
        <v>Ativo</v>
      </c>
    </row>
    <row r="2636" spans="1:6" x14ac:dyDescent="0.25">
      <c r="A2636" t="s">
        <v>1530</v>
      </c>
      <c r="B2636" t="s">
        <v>707</v>
      </c>
      <c r="C2636" s="10" t="str" cm="1">
        <f t="array" ref="C2636">IF(AND(A2636="2020-12", ISNA(MATCH(B2636, _xlfn._xlws.FILTER(B:B, A:A="2021-01"), 0))), "Left", "Ativo")</f>
        <v>Ativo</v>
      </c>
      <c r="D2636" s="10" t="str" cm="1">
        <f t="array" ref="D2636">IF(AND(A2636="2021-01", ISNA(MATCH(B2636, _xlfn._xlws.FILTER(B:B, A:A="2021-02"), 0))), "Left", "Ativo")</f>
        <v>Ativo</v>
      </c>
      <c r="E2636" s="10" t="str" cm="1">
        <f t="array" ref="E2636">IF(AND(A2636="2021-02", ISNA(MATCH(B2636, _xlfn._xlws.FILTER(B:B, A:A="2021-03"), 0))), "Left", "Ativo")</f>
        <v>Ativo</v>
      </c>
      <c r="F2636" s="12" t="str" cm="1">
        <f t="array" ref="F2636">IF(AND(A2636="2021-03", ISNA(MATCH(B2636, _xlfn._xlws.FILTER(B:B, A:A="2021-04"), 0))), "Left", "Ativo")</f>
        <v>Ativo</v>
      </c>
    </row>
    <row r="2637" spans="1:6" x14ac:dyDescent="0.25">
      <c r="A2637" t="s">
        <v>1530</v>
      </c>
      <c r="B2637" t="s">
        <v>708</v>
      </c>
      <c r="C2637" s="10" t="str" cm="1">
        <f t="array" ref="C2637">IF(AND(A2637="2020-12", ISNA(MATCH(B2637, _xlfn._xlws.FILTER(B:B, A:A="2021-01"), 0))), "Left", "Ativo")</f>
        <v>Ativo</v>
      </c>
      <c r="D2637" s="10" t="str" cm="1">
        <f t="array" ref="D2637">IF(AND(A2637="2021-01", ISNA(MATCH(B2637, _xlfn._xlws.FILTER(B:B, A:A="2021-02"), 0))), "Left", "Ativo")</f>
        <v>Ativo</v>
      </c>
      <c r="E2637" s="10" t="str" cm="1">
        <f t="array" ref="E2637">IF(AND(A2637="2021-02", ISNA(MATCH(B2637, _xlfn._xlws.FILTER(B:B, A:A="2021-03"), 0))), "Left", "Ativo")</f>
        <v>Ativo</v>
      </c>
      <c r="F2637" s="12" t="str" cm="1">
        <f t="array" ref="F2637">IF(AND(A2637="2021-03", ISNA(MATCH(B2637, _xlfn._xlws.FILTER(B:B, A:A="2021-04"), 0))), "Left", "Ativo")</f>
        <v>Ativo</v>
      </c>
    </row>
    <row r="2638" spans="1:6" x14ac:dyDescent="0.25">
      <c r="A2638" t="s">
        <v>1530</v>
      </c>
      <c r="B2638" t="s">
        <v>709</v>
      </c>
      <c r="C2638" s="10" t="str" cm="1">
        <f t="array" ref="C2638">IF(AND(A2638="2020-12", ISNA(MATCH(B2638, _xlfn._xlws.FILTER(B:B, A:A="2021-01"), 0))), "Left", "Ativo")</f>
        <v>Ativo</v>
      </c>
      <c r="D2638" s="10" t="str" cm="1">
        <f t="array" ref="D2638">IF(AND(A2638="2021-01", ISNA(MATCH(B2638, _xlfn._xlws.FILTER(B:B, A:A="2021-02"), 0))), "Left", "Ativo")</f>
        <v>Ativo</v>
      </c>
      <c r="E2638" s="10" t="str" cm="1">
        <f t="array" ref="E2638">IF(AND(A2638="2021-02", ISNA(MATCH(B2638, _xlfn._xlws.FILTER(B:B, A:A="2021-03"), 0))), "Left", "Ativo")</f>
        <v>Ativo</v>
      </c>
      <c r="F2638" s="12" t="str" cm="1">
        <f t="array" ref="F2638">IF(AND(A2638="2021-03", ISNA(MATCH(B2638, _xlfn._xlws.FILTER(B:B, A:A="2021-04"), 0))), "Left", "Ativo")</f>
        <v>Ativo</v>
      </c>
    </row>
    <row r="2639" spans="1:6" x14ac:dyDescent="0.25">
      <c r="A2639" t="s">
        <v>1530</v>
      </c>
      <c r="B2639" t="s">
        <v>710</v>
      </c>
      <c r="C2639" s="10" t="str" cm="1">
        <f t="array" ref="C2639">IF(AND(A2639="2020-12", ISNA(MATCH(B2639, _xlfn._xlws.FILTER(B:B, A:A="2021-01"), 0))), "Left", "Ativo")</f>
        <v>Ativo</v>
      </c>
      <c r="D2639" s="10" t="str" cm="1">
        <f t="array" ref="D2639">IF(AND(A2639="2021-01", ISNA(MATCH(B2639, _xlfn._xlws.FILTER(B:B, A:A="2021-02"), 0))), "Left", "Ativo")</f>
        <v>Ativo</v>
      </c>
      <c r="E2639" s="10" t="str" cm="1">
        <f t="array" ref="E2639">IF(AND(A2639="2021-02", ISNA(MATCH(B2639, _xlfn._xlws.FILTER(B:B, A:A="2021-03"), 0))), "Left", "Ativo")</f>
        <v>Ativo</v>
      </c>
      <c r="F2639" s="12" t="str" cm="1">
        <f t="array" ref="F2639">IF(AND(A2639="2021-03", ISNA(MATCH(B2639, _xlfn._xlws.FILTER(B:B, A:A="2021-04"), 0))), "Left", "Ativo")</f>
        <v>Ativo</v>
      </c>
    </row>
    <row r="2640" spans="1:6" x14ac:dyDescent="0.25">
      <c r="A2640" t="s">
        <v>1530</v>
      </c>
      <c r="B2640" t="s">
        <v>711</v>
      </c>
      <c r="C2640" s="10" t="str" cm="1">
        <f t="array" ref="C2640">IF(AND(A2640="2020-12", ISNA(MATCH(B2640, _xlfn._xlws.FILTER(B:B, A:A="2021-01"), 0))), "Left", "Ativo")</f>
        <v>Ativo</v>
      </c>
      <c r="D2640" s="10" t="str" cm="1">
        <f t="array" ref="D2640">IF(AND(A2640="2021-01", ISNA(MATCH(B2640, _xlfn._xlws.FILTER(B:B, A:A="2021-02"), 0))), "Left", "Ativo")</f>
        <v>Ativo</v>
      </c>
      <c r="E2640" s="10" t="str" cm="1">
        <f t="array" ref="E2640">IF(AND(A2640="2021-02", ISNA(MATCH(B2640, _xlfn._xlws.FILTER(B:B, A:A="2021-03"), 0))), "Left", "Ativo")</f>
        <v>Ativo</v>
      </c>
      <c r="F2640" s="12" t="str" cm="1">
        <f t="array" ref="F2640">IF(AND(A2640="2021-03", ISNA(MATCH(B2640, _xlfn._xlws.FILTER(B:B, A:A="2021-04"), 0))), "Left", "Ativo")</f>
        <v>Ativo</v>
      </c>
    </row>
    <row r="2641" spans="1:6" x14ac:dyDescent="0.25">
      <c r="A2641" t="s">
        <v>1530</v>
      </c>
      <c r="B2641" t="s">
        <v>712</v>
      </c>
      <c r="C2641" s="10" t="str" cm="1">
        <f t="array" ref="C2641">IF(AND(A2641="2020-12", ISNA(MATCH(B2641, _xlfn._xlws.FILTER(B:B, A:A="2021-01"), 0))), "Left", "Ativo")</f>
        <v>Ativo</v>
      </c>
      <c r="D2641" s="10" t="str" cm="1">
        <f t="array" ref="D2641">IF(AND(A2641="2021-01", ISNA(MATCH(B2641, _xlfn._xlws.FILTER(B:B, A:A="2021-02"), 0))), "Left", "Ativo")</f>
        <v>Ativo</v>
      </c>
      <c r="E2641" s="10" t="str" cm="1">
        <f t="array" ref="E2641">IF(AND(A2641="2021-02", ISNA(MATCH(B2641, _xlfn._xlws.FILTER(B:B, A:A="2021-03"), 0))), "Left", "Ativo")</f>
        <v>Ativo</v>
      </c>
      <c r="F2641" s="12" t="str" cm="1">
        <f t="array" ref="F2641">IF(AND(A2641="2021-03", ISNA(MATCH(B2641, _xlfn._xlws.FILTER(B:B, A:A="2021-04"), 0))), "Left", "Ativo")</f>
        <v>Ativo</v>
      </c>
    </row>
    <row r="2642" spans="1:6" x14ac:dyDescent="0.25">
      <c r="A2642" t="s">
        <v>1530</v>
      </c>
      <c r="B2642" t="s">
        <v>713</v>
      </c>
      <c r="C2642" s="10" t="str" cm="1">
        <f t="array" ref="C2642">IF(AND(A2642="2020-12", ISNA(MATCH(B2642, _xlfn._xlws.FILTER(B:B, A:A="2021-01"), 0))), "Left", "Ativo")</f>
        <v>Ativo</v>
      </c>
      <c r="D2642" s="10" t="str" cm="1">
        <f t="array" ref="D2642">IF(AND(A2642="2021-01", ISNA(MATCH(B2642, _xlfn._xlws.FILTER(B:B, A:A="2021-02"), 0))), "Left", "Ativo")</f>
        <v>Ativo</v>
      </c>
      <c r="E2642" s="10" t="str" cm="1">
        <f t="array" ref="E2642">IF(AND(A2642="2021-02", ISNA(MATCH(B2642, _xlfn._xlws.FILTER(B:B, A:A="2021-03"), 0))), "Left", "Ativo")</f>
        <v>Ativo</v>
      </c>
      <c r="F2642" s="12" t="str" cm="1">
        <f t="array" ref="F2642">IF(AND(A2642="2021-03", ISNA(MATCH(B2642, _xlfn._xlws.FILTER(B:B, A:A="2021-04"), 0))), "Left", "Ativo")</f>
        <v>Ativo</v>
      </c>
    </row>
    <row r="2643" spans="1:6" x14ac:dyDescent="0.25">
      <c r="A2643" t="s">
        <v>1530</v>
      </c>
      <c r="B2643" t="s">
        <v>714</v>
      </c>
      <c r="C2643" s="10" t="str" cm="1">
        <f t="array" ref="C2643">IF(AND(A2643="2020-12", ISNA(MATCH(B2643, _xlfn._xlws.FILTER(B:B, A:A="2021-01"), 0))), "Left", "Ativo")</f>
        <v>Ativo</v>
      </c>
      <c r="D2643" s="10" t="str" cm="1">
        <f t="array" ref="D2643">IF(AND(A2643="2021-01", ISNA(MATCH(B2643, _xlfn._xlws.FILTER(B:B, A:A="2021-02"), 0))), "Left", "Ativo")</f>
        <v>Ativo</v>
      </c>
      <c r="E2643" s="10" t="str" cm="1">
        <f t="array" ref="E2643">IF(AND(A2643="2021-02", ISNA(MATCH(B2643, _xlfn._xlws.FILTER(B:B, A:A="2021-03"), 0))), "Left", "Ativo")</f>
        <v>Ativo</v>
      </c>
      <c r="F2643" s="12" t="str" cm="1">
        <f t="array" ref="F2643">IF(AND(A2643="2021-03", ISNA(MATCH(B2643, _xlfn._xlws.FILTER(B:B, A:A="2021-04"), 0))), "Left", "Ativo")</f>
        <v>Ativo</v>
      </c>
    </row>
    <row r="2644" spans="1:6" x14ac:dyDescent="0.25">
      <c r="A2644" t="s">
        <v>1530</v>
      </c>
      <c r="B2644" t="s">
        <v>715</v>
      </c>
      <c r="C2644" s="10" t="str" cm="1">
        <f t="array" ref="C2644">IF(AND(A2644="2020-12", ISNA(MATCH(B2644, _xlfn._xlws.FILTER(B:B, A:A="2021-01"), 0))), "Left", "Ativo")</f>
        <v>Ativo</v>
      </c>
      <c r="D2644" s="10" t="str" cm="1">
        <f t="array" ref="D2644">IF(AND(A2644="2021-01", ISNA(MATCH(B2644, _xlfn._xlws.FILTER(B:B, A:A="2021-02"), 0))), "Left", "Ativo")</f>
        <v>Ativo</v>
      </c>
      <c r="E2644" s="10" t="str" cm="1">
        <f t="array" ref="E2644">IF(AND(A2644="2021-02", ISNA(MATCH(B2644, _xlfn._xlws.FILTER(B:B, A:A="2021-03"), 0))), "Left", "Ativo")</f>
        <v>Ativo</v>
      </c>
      <c r="F2644" s="12" t="str" cm="1">
        <f t="array" ref="F2644">IF(AND(A2644="2021-03", ISNA(MATCH(B2644, _xlfn._xlws.FILTER(B:B, A:A="2021-04"), 0))), "Left", "Ativo")</f>
        <v>Ativo</v>
      </c>
    </row>
    <row r="2645" spans="1:6" x14ac:dyDescent="0.25">
      <c r="A2645" t="s">
        <v>1530</v>
      </c>
      <c r="B2645" t="s">
        <v>716</v>
      </c>
      <c r="C2645" s="10" t="str" cm="1">
        <f t="array" ref="C2645">IF(AND(A2645="2020-12", ISNA(MATCH(B2645, _xlfn._xlws.FILTER(B:B, A:A="2021-01"), 0))), "Left", "Ativo")</f>
        <v>Ativo</v>
      </c>
      <c r="D2645" s="10" t="str" cm="1">
        <f t="array" ref="D2645">IF(AND(A2645="2021-01", ISNA(MATCH(B2645, _xlfn._xlws.FILTER(B:B, A:A="2021-02"), 0))), "Left", "Ativo")</f>
        <v>Ativo</v>
      </c>
      <c r="E2645" s="10" t="str" cm="1">
        <f t="array" ref="E2645">IF(AND(A2645="2021-02", ISNA(MATCH(B2645, _xlfn._xlws.FILTER(B:B, A:A="2021-03"), 0))), "Left", "Ativo")</f>
        <v>Ativo</v>
      </c>
      <c r="F2645" s="12" t="str" cm="1">
        <f t="array" ref="F2645">IF(AND(A2645="2021-03", ISNA(MATCH(B2645, _xlfn._xlws.FILTER(B:B, A:A="2021-04"), 0))), "Left", "Ativo")</f>
        <v>Ativo</v>
      </c>
    </row>
    <row r="2646" spans="1:6" x14ac:dyDescent="0.25">
      <c r="A2646" t="s">
        <v>1530</v>
      </c>
      <c r="B2646" t="s">
        <v>717</v>
      </c>
      <c r="C2646" s="10" t="str" cm="1">
        <f t="array" ref="C2646">IF(AND(A2646="2020-12", ISNA(MATCH(B2646, _xlfn._xlws.FILTER(B:B, A:A="2021-01"), 0))), "Left", "Ativo")</f>
        <v>Ativo</v>
      </c>
      <c r="D2646" s="10" t="str" cm="1">
        <f t="array" ref="D2646">IF(AND(A2646="2021-01", ISNA(MATCH(B2646, _xlfn._xlws.FILTER(B:B, A:A="2021-02"), 0))), "Left", "Ativo")</f>
        <v>Ativo</v>
      </c>
      <c r="E2646" s="10" t="str" cm="1">
        <f t="array" ref="E2646">IF(AND(A2646="2021-02", ISNA(MATCH(B2646, _xlfn._xlws.FILTER(B:B, A:A="2021-03"), 0))), "Left", "Ativo")</f>
        <v>Ativo</v>
      </c>
      <c r="F2646" s="12" t="str" cm="1">
        <f t="array" ref="F2646">IF(AND(A2646="2021-03", ISNA(MATCH(B2646, _xlfn._xlws.FILTER(B:B, A:A="2021-04"), 0))), "Left", "Ativo")</f>
        <v>Ativo</v>
      </c>
    </row>
    <row r="2647" spans="1:6" x14ac:dyDescent="0.25">
      <c r="A2647" t="s">
        <v>1530</v>
      </c>
      <c r="B2647" t="s">
        <v>718</v>
      </c>
      <c r="C2647" s="10" t="str" cm="1">
        <f t="array" ref="C2647">IF(AND(A2647="2020-12", ISNA(MATCH(B2647, _xlfn._xlws.FILTER(B:B, A:A="2021-01"), 0))), "Left", "Ativo")</f>
        <v>Ativo</v>
      </c>
      <c r="D2647" s="10" t="str" cm="1">
        <f t="array" ref="D2647">IF(AND(A2647="2021-01", ISNA(MATCH(B2647, _xlfn._xlws.FILTER(B:B, A:A="2021-02"), 0))), "Left", "Ativo")</f>
        <v>Ativo</v>
      </c>
      <c r="E2647" s="10" t="str" cm="1">
        <f t="array" ref="E2647">IF(AND(A2647="2021-02", ISNA(MATCH(B2647, _xlfn._xlws.FILTER(B:B, A:A="2021-03"), 0))), "Left", "Ativo")</f>
        <v>Ativo</v>
      </c>
      <c r="F2647" s="12" t="str" cm="1">
        <f t="array" ref="F2647">IF(AND(A2647="2021-03", ISNA(MATCH(B2647, _xlfn._xlws.FILTER(B:B, A:A="2021-04"), 0))), "Left", "Ativo")</f>
        <v>Ativo</v>
      </c>
    </row>
    <row r="2648" spans="1:6" x14ac:dyDescent="0.25">
      <c r="A2648" t="s">
        <v>1530</v>
      </c>
      <c r="B2648" t="s">
        <v>719</v>
      </c>
      <c r="C2648" s="10" t="str" cm="1">
        <f t="array" ref="C2648">IF(AND(A2648="2020-12", ISNA(MATCH(B2648, _xlfn._xlws.FILTER(B:B, A:A="2021-01"), 0))), "Left", "Ativo")</f>
        <v>Ativo</v>
      </c>
      <c r="D2648" s="10" t="str" cm="1">
        <f t="array" ref="D2648">IF(AND(A2648="2021-01", ISNA(MATCH(B2648, _xlfn._xlws.FILTER(B:B, A:A="2021-02"), 0))), "Left", "Ativo")</f>
        <v>Ativo</v>
      </c>
      <c r="E2648" s="10" t="str" cm="1">
        <f t="array" ref="E2648">IF(AND(A2648="2021-02", ISNA(MATCH(B2648, _xlfn._xlws.FILTER(B:B, A:A="2021-03"), 0))), "Left", "Ativo")</f>
        <v>Ativo</v>
      </c>
      <c r="F2648" s="12" t="str" cm="1">
        <f t="array" ref="F2648">IF(AND(A2648="2021-03", ISNA(MATCH(B2648, _xlfn._xlws.FILTER(B:B, A:A="2021-04"), 0))), "Left", "Ativo")</f>
        <v>Ativo</v>
      </c>
    </row>
    <row r="2649" spans="1:6" x14ac:dyDescent="0.25">
      <c r="A2649" t="s">
        <v>1530</v>
      </c>
      <c r="B2649" t="s">
        <v>720</v>
      </c>
      <c r="C2649" s="10" t="str" cm="1">
        <f t="array" ref="C2649">IF(AND(A2649="2020-12", ISNA(MATCH(B2649, _xlfn._xlws.FILTER(B:B, A:A="2021-01"), 0))), "Left", "Ativo")</f>
        <v>Ativo</v>
      </c>
      <c r="D2649" s="10" t="str" cm="1">
        <f t="array" ref="D2649">IF(AND(A2649="2021-01", ISNA(MATCH(B2649, _xlfn._xlws.FILTER(B:B, A:A="2021-02"), 0))), "Left", "Ativo")</f>
        <v>Ativo</v>
      </c>
      <c r="E2649" s="10" t="str" cm="1">
        <f t="array" ref="E2649">IF(AND(A2649="2021-02", ISNA(MATCH(B2649, _xlfn._xlws.FILTER(B:B, A:A="2021-03"), 0))), "Left", "Ativo")</f>
        <v>Ativo</v>
      </c>
      <c r="F2649" s="12" t="str" cm="1">
        <f t="array" ref="F2649">IF(AND(A2649="2021-03", ISNA(MATCH(B2649, _xlfn._xlws.FILTER(B:B, A:A="2021-04"), 0))), "Left", "Ativo")</f>
        <v>Ativo</v>
      </c>
    </row>
    <row r="2650" spans="1:6" x14ac:dyDescent="0.25">
      <c r="A2650" t="s">
        <v>1530</v>
      </c>
      <c r="B2650" t="s">
        <v>721</v>
      </c>
      <c r="C2650" s="10" t="str" cm="1">
        <f t="array" ref="C2650">IF(AND(A2650="2020-12", ISNA(MATCH(B2650, _xlfn._xlws.FILTER(B:B, A:A="2021-01"), 0))), "Left", "Ativo")</f>
        <v>Ativo</v>
      </c>
      <c r="D2650" s="10" t="str" cm="1">
        <f t="array" ref="D2650">IF(AND(A2650="2021-01", ISNA(MATCH(B2650, _xlfn._xlws.FILTER(B:B, A:A="2021-02"), 0))), "Left", "Ativo")</f>
        <v>Ativo</v>
      </c>
      <c r="E2650" s="10" t="str" cm="1">
        <f t="array" ref="E2650">IF(AND(A2650="2021-02", ISNA(MATCH(B2650, _xlfn._xlws.FILTER(B:B, A:A="2021-03"), 0))), "Left", "Ativo")</f>
        <v>Ativo</v>
      </c>
      <c r="F2650" s="12" t="str" cm="1">
        <f t="array" ref="F2650">IF(AND(A2650="2021-03", ISNA(MATCH(B2650, _xlfn._xlws.FILTER(B:B, A:A="2021-04"), 0))), "Left", "Ativo")</f>
        <v>Ativo</v>
      </c>
    </row>
    <row r="2651" spans="1:6" x14ac:dyDescent="0.25">
      <c r="A2651" t="s">
        <v>1530</v>
      </c>
      <c r="B2651" t="s">
        <v>722</v>
      </c>
      <c r="C2651" s="10" t="str" cm="1">
        <f t="array" ref="C2651">IF(AND(A2651="2020-12", ISNA(MATCH(B2651, _xlfn._xlws.FILTER(B:B, A:A="2021-01"), 0))), "Left", "Ativo")</f>
        <v>Ativo</v>
      </c>
      <c r="D2651" s="10" t="str" cm="1">
        <f t="array" ref="D2651">IF(AND(A2651="2021-01", ISNA(MATCH(B2651, _xlfn._xlws.FILTER(B:B, A:A="2021-02"), 0))), "Left", "Ativo")</f>
        <v>Ativo</v>
      </c>
      <c r="E2651" s="10" t="str" cm="1">
        <f t="array" ref="E2651">IF(AND(A2651="2021-02", ISNA(MATCH(B2651, _xlfn._xlws.FILTER(B:B, A:A="2021-03"), 0))), "Left", "Ativo")</f>
        <v>Ativo</v>
      </c>
      <c r="F2651" s="12" t="str" cm="1">
        <f t="array" ref="F2651">IF(AND(A2651="2021-03", ISNA(MATCH(B2651, _xlfn._xlws.FILTER(B:B, A:A="2021-04"), 0))), "Left", "Ativo")</f>
        <v>Ativo</v>
      </c>
    </row>
    <row r="2652" spans="1:6" x14ac:dyDescent="0.25">
      <c r="A2652" t="s">
        <v>1530</v>
      </c>
      <c r="B2652" t="s">
        <v>723</v>
      </c>
      <c r="C2652" s="10" t="str" cm="1">
        <f t="array" ref="C2652">IF(AND(A2652="2020-12", ISNA(MATCH(B2652, _xlfn._xlws.FILTER(B:B, A:A="2021-01"), 0))), "Left", "Ativo")</f>
        <v>Ativo</v>
      </c>
      <c r="D2652" s="10" t="str" cm="1">
        <f t="array" ref="D2652">IF(AND(A2652="2021-01", ISNA(MATCH(B2652, _xlfn._xlws.FILTER(B:B, A:A="2021-02"), 0))), "Left", "Ativo")</f>
        <v>Ativo</v>
      </c>
      <c r="E2652" s="10" t="str" cm="1">
        <f t="array" ref="E2652">IF(AND(A2652="2021-02", ISNA(MATCH(B2652, _xlfn._xlws.FILTER(B:B, A:A="2021-03"), 0))), "Left", "Ativo")</f>
        <v>Ativo</v>
      </c>
      <c r="F2652" s="12" t="str" cm="1">
        <f t="array" ref="F2652">IF(AND(A2652="2021-03", ISNA(MATCH(B2652, _xlfn._xlws.FILTER(B:B, A:A="2021-04"), 0))), "Left", "Ativo")</f>
        <v>Ativo</v>
      </c>
    </row>
    <row r="2653" spans="1:6" x14ac:dyDescent="0.25">
      <c r="A2653" t="s">
        <v>1530</v>
      </c>
      <c r="B2653" t="s">
        <v>724</v>
      </c>
      <c r="C2653" s="10" t="str" cm="1">
        <f t="array" ref="C2653">IF(AND(A2653="2020-12", ISNA(MATCH(B2653, _xlfn._xlws.FILTER(B:B, A:A="2021-01"), 0))), "Left", "Ativo")</f>
        <v>Ativo</v>
      </c>
      <c r="D2653" s="10" t="str" cm="1">
        <f t="array" ref="D2653">IF(AND(A2653="2021-01", ISNA(MATCH(B2653, _xlfn._xlws.FILTER(B:B, A:A="2021-02"), 0))), "Left", "Ativo")</f>
        <v>Ativo</v>
      </c>
      <c r="E2653" s="10" t="str" cm="1">
        <f t="array" ref="E2653">IF(AND(A2653="2021-02", ISNA(MATCH(B2653, _xlfn._xlws.FILTER(B:B, A:A="2021-03"), 0))), "Left", "Ativo")</f>
        <v>Ativo</v>
      </c>
      <c r="F2653" s="12" t="str" cm="1">
        <f t="array" ref="F2653">IF(AND(A2653="2021-03", ISNA(MATCH(B2653, _xlfn._xlws.FILTER(B:B, A:A="2021-04"), 0))), "Left", "Ativo")</f>
        <v>Ativo</v>
      </c>
    </row>
    <row r="2654" spans="1:6" x14ac:dyDescent="0.25">
      <c r="A2654" t="s">
        <v>1530</v>
      </c>
      <c r="B2654" t="s">
        <v>725</v>
      </c>
      <c r="C2654" s="10" t="str" cm="1">
        <f t="array" ref="C2654">IF(AND(A2654="2020-12", ISNA(MATCH(B2654, _xlfn._xlws.FILTER(B:B, A:A="2021-01"), 0))), "Left", "Ativo")</f>
        <v>Ativo</v>
      </c>
      <c r="D2654" s="10" t="str" cm="1">
        <f t="array" ref="D2654">IF(AND(A2654="2021-01", ISNA(MATCH(B2654, _xlfn._xlws.FILTER(B:B, A:A="2021-02"), 0))), "Left", "Ativo")</f>
        <v>Ativo</v>
      </c>
      <c r="E2654" s="10" t="str" cm="1">
        <f t="array" ref="E2654">IF(AND(A2654="2021-02", ISNA(MATCH(B2654, _xlfn._xlws.FILTER(B:B, A:A="2021-03"), 0))), "Left", "Ativo")</f>
        <v>Ativo</v>
      </c>
      <c r="F2654" s="12" t="str" cm="1">
        <f t="array" ref="F2654">IF(AND(A2654="2021-03", ISNA(MATCH(B2654, _xlfn._xlws.FILTER(B:B, A:A="2021-04"), 0))), "Left", "Ativo")</f>
        <v>Ativo</v>
      </c>
    </row>
    <row r="2655" spans="1:6" x14ac:dyDescent="0.25">
      <c r="A2655" t="s">
        <v>1530</v>
      </c>
      <c r="B2655" t="s">
        <v>726</v>
      </c>
      <c r="C2655" s="10" t="str" cm="1">
        <f t="array" ref="C2655">IF(AND(A2655="2020-12", ISNA(MATCH(B2655, _xlfn._xlws.FILTER(B:B, A:A="2021-01"), 0))), "Left", "Ativo")</f>
        <v>Ativo</v>
      </c>
      <c r="D2655" s="10" t="str" cm="1">
        <f t="array" ref="D2655">IF(AND(A2655="2021-01", ISNA(MATCH(B2655, _xlfn._xlws.FILTER(B:B, A:A="2021-02"), 0))), "Left", "Ativo")</f>
        <v>Ativo</v>
      </c>
      <c r="E2655" s="10" t="str" cm="1">
        <f t="array" ref="E2655">IF(AND(A2655="2021-02", ISNA(MATCH(B2655, _xlfn._xlws.FILTER(B:B, A:A="2021-03"), 0))), "Left", "Ativo")</f>
        <v>Ativo</v>
      </c>
      <c r="F2655" s="12" t="str" cm="1">
        <f t="array" ref="F2655">IF(AND(A2655="2021-03", ISNA(MATCH(B2655, _xlfn._xlws.FILTER(B:B, A:A="2021-04"), 0))), "Left", "Ativo")</f>
        <v>Ativo</v>
      </c>
    </row>
    <row r="2656" spans="1:6" x14ac:dyDescent="0.25">
      <c r="A2656" t="s">
        <v>1530</v>
      </c>
      <c r="B2656" t="s">
        <v>727</v>
      </c>
      <c r="C2656" s="10" t="str" cm="1">
        <f t="array" ref="C2656">IF(AND(A2656="2020-12", ISNA(MATCH(B2656, _xlfn._xlws.FILTER(B:B, A:A="2021-01"), 0))), "Left", "Ativo")</f>
        <v>Ativo</v>
      </c>
      <c r="D2656" s="10" t="str" cm="1">
        <f t="array" ref="D2656">IF(AND(A2656="2021-01", ISNA(MATCH(B2656, _xlfn._xlws.FILTER(B:B, A:A="2021-02"), 0))), "Left", "Ativo")</f>
        <v>Ativo</v>
      </c>
      <c r="E2656" s="10" t="str" cm="1">
        <f t="array" ref="E2656">IF(AND(A2656="2021-02", ISNA(MATCH(B2656, _xlfn._xlws.FILTER(B:B, A:A="2021-03"), 0))), "Left", "Ativo")</f>
        <v>Ativo</v>
      </c>
      <c r="F2656" s="12" t="str" cm="1">
        <f t="array" ref="F2656">IF(AND(A2656="2021-03", ISNA(MATCH(B2656, _xlfn._xlws.FILTER(B:B, A:A="2021-04"), 0))), "Left", "Ativo")</f>
        <v>Ativo</v>
      </c>
    </row>
    <row r="2657" spans="1:6" x14ac:dyDescent="0.25">
      <c r="A2657" t="s">
        <v>1530</v>
      </c>
      <c r="B2657" t="s">
        <v>728</v>
      </c>
      <c r="C2657" s="10" t="str" cm="1">
        <f t="array" ref="C2657">IF(AND(A2657="2020-12", ISNA(MATCH(B2657, _xlfn._xlws.FILTER(B:B, A:A="2021-01"), 0))), "Left", "Ativo")</f>
        <v>Ativo</v>
      </c>
      <c r="D2657" s="10" t="str" cm="1">
        <f t="array" ref="D2657">IF(AND(A2657="2021-01", ISNA(MATCH(B2657, _xlfn._xlws.FILTER(B:B, A:A="2021-02"), 0))), "Left", "Ativo")</f>
        <v>Ativo</v>
      </c>
      <c r="E2657" s="10" t="str" cm="1">
        <f t="array" ref="E2657">IF(AND(A2657="2021-02", ISNA(MATCH(B2657, _xlfn._xlws.FILTER(B:B, A:A="2021-03"), 0))), "Left", "Ativo")</f>
        <v>Ativo</v>
      </c>
      <c r="F2657" s="12" t="str" cm="1">
        <f t="array" ref="F2657">IF(AND(A2657="2021-03", ISNA(MATCH(B2657, _xlfn._xlws.FILTER(B:B, A:A="2021-04"), 0))), "Left", "Ativo")</f>
        <v>Ativo</v>
      </c>
    </row>
    <row r="2658" spans="1:6" x14ac:dyDescent="0.25">
      <c r="A2658" t="s">
        <v>1530</v>
      </c>
      <c r="B2658" t="s">
        <v>729</v>
      </c>
      <c r="C2658" s="10" t="str" cm="1">
        <f t="array" ref="C2658">IF(AND(A2658="2020-12", ISNA(MATCH(B2658, _xlfn._xlws.FILTER(B:B, A:A="2021-01"), 0))), "Left", "Ativo")</f>
        <v>Ativo</v>
      </c>
      <c r="D2658" s="10" t="str" cm="1">
        <f t="array" ref="D2658">IF(AND(A2658="2021-01", ISNA(MATCH(B2658, _xlfn._xlws.FILTER(B:B, A:A="2021-02"), 0))), "Left", "Ativo")</f>
        <v>Ativo</v>
      </c>
      <c r="E2658" s="10" t="str" cm="1">
        <f t="array" ref="E2658">IF(AND(A2658="2021-02", ISNA(MATCH(B2658, _xlfn._xlws.FILTER(B:B, A:A="2021-03"), 0))), "Left", "Ativo")</f>
        <v>Ativo</v>
      </c>
      <c r="F2658" s="12" t="str" cm="1">
        <f t="array" ref="F2658">IF(AND(A2658="2021-03", ISNA(MATCH(B2658, _xlfn._xlws.FILTER(B:B, A:A="2021-04"), 0))), "Left", "Ativo")</f>
        <v>Ativo</v>
      </c>
    </row>
    <row r="2659" spans="1:6" x14ac:dyDescent="0.25">
      <c r="A2659" t="s">
        <v>1530</v>
      </c>
      <c r="B2659" t="s">
        <v>730</v>
      </c>
      <c r="C2659" s="10" t="str" cm="1">
        <f t="array" ref="C2659">IF(AND(A2659="2020-12", ISNA(MATCH(B2659, _xlfn._xlws.FILTER(B:B, A:A="2021-01"), 0))), "Left", "Ativo")</f>
        <v>Ativo</v>
      </c>
      <c r="D2659" s="10" t="str" cm="1">
        <f t="array" ref="D2659">IF(AND(A2659="2021-01", ISNA(MATCH(B2659, _xlfn._xlws.FILTER(B:B, A:A="2021-02"), 0))), "Left", "Ativo")</f>
        <v>Ativo</v>
      </c>
      <c r="E2659" s="10" t="str" cm="1">
        <f t="array" ref="E2659">IF(AND(A2659="2021-02", ISNA(MATCH(B2659, _xlfn._xlws.FILTER(B:B, A:A="2021-03"), 0))), "Left", "Ativo")</f>
        <v>Ativo</v>
      </c>
      <c r="F2659" s="12" t="str" cm="1">
        <f t="array" ref="F2659">IF(AND(A2659="2021-03", ISNA(MATCH(B2659, _xlfn._xlws.FILTER(B:B, A:A="2021-04"), 0))), "Left", "Ativo")</f>
        <v>Ativo</v>
      </c>
    </row>
    <row r="2660" spans="1:6" x14ac:dyDescent="0.25">
      <c r="A2660" t="s">
        <v>1530</v>
      </c>
      <c r="B2660" t="s">
        <v>731</v>
      </c>
      <c r="C2660" s="10" t="str" cm="1">
        <f t="array" ref="C2660">IF(AND(A2660="2020-12", ISNA(MATCH(B2660, _xlfn._xlws.FILTER(B:B, A:A="2021-01"), 0))), "Left", "Ativo")</f>
        <v>Ativo</v>
      </c>
      <c r="D2660" s="10" t="str" cm="1">
        <f t="array" ref="D2660">IF(AND(A2660="2021-01", ISNA(MATCH(B2660, _xlfn._xlws.FILTER(B:B, A:A="2021-02"), 0))), "Left", "Ativo")</f>
        <v>Ativo</v>
      </c>
      <c r="E2660" s="10" t="str" cm="1">
        <f t="array" ref="E2660">IF(AND(A2660="2021-02", ISNA(MATCH(B2660, _xlfn._xlws.FILTER(B:B, A:A="2021-03"), 0))), "Left", "Ativo")</f>
        <v>Ativo</v>
      </c>
      <c r="F2660" s="12" t="str" cm="1">
        <f t="array" ref="F2660">IF(AND(A2660="2021-03", ISNA(MATCH(B2660, _xlfn._xlws.FILTER(B:B, A:A="2021-04"), 0))), "Left", "Ativo")</f>
        <v>Ativo</v>
      </c>
    </row>
    <row r="2661" spans="1:6" x14ac:dyDescent="0.25">
      <c r="A2661" t="s">
        <v>1530</v>
      </c>
      <c r="B2661" t="s">
        <v>732</v>
      </c>
      <c r="C2661" s="10" t="str" cm="1">
        <f t="array" ref="C2661">IF(AND(A2661="2020-12", ISNA(MATCH(B2661, _xlfn._xlws.FILTER(B:B, A:A="2021-01"), 0))), "Left", "Ativo")</f>
        <v>Ativo</v>
      </c>
      <c r="D2661" s="10" t="str" cm="1">
        <f t="array" ref="D2661">IF(AND(A2661="2021-01", ISNA(MATCH(B2661, _xlfn._xlws.FILTER(B:B, A:A="2021-02"), 0))), "Left", "Ativo")</f>
        <v>Ativo</v>
      </c>
      <c r="E2661" s="10" t="str" cm="1">
        <f t="array" ref="E2661">IF(AND(A2661="2021-02", ISNA(MATCH(B2661, _xlfn._xlws.FILTER(B:B, A:A="2021-03"), 0))), "Left", "Ativo")</f>
        <v>Ativo</v>
      </c>
      <c r="F2661" s="12" t="str" cm="1">
        <f t="array" ref="F2661">IF(AND(A2661="2021-03", ISNA(MATCH(B2661, _xlfn._xlws.FILTER(B:B, A:A="2021-04"), 0))), "Left", "Ativo")</f>
        <v>Ativo</v>
      </c>
    </row>
    <row r="2662" spans="1:6" x14ac:dyDescent="0.25">
      <c r="A2662" t="s">
        <v>1530</v>
      </c>
      <c r="B2662" t="s">
        <v>733</v>
      </c>
      <c r="C2662" s="10" t="str" cm="1">
        <f t="array" ref="C2662">IF(AND(A2662="2020-12", ISNA(MATCH(B2662, _xlfn._xlws.FILTER(B:B, A:A="2021-01"), 0))), "Left", "Ativo")</f>
        <v>Ativo</v>
      </c>
      <c r="D2662" s="10" t="str" cm="1">
        <f t="array" ref="D2662">IF(AND(A2662="2021-01", ISNA(MATCH(B2662, _xlfn._xlws.FILTER(B:B, A:A="2021-02"), 0))), "Left", "Ativo")</f>
        <v>Ativo</v>
      </c>
      <c r="E2662" s="10" t="str" cm="1">
        <f t="array" ref="E2662">IF(AND(A2662="2021-02", ISNA(MATCH(B2662, _xlfn._xlws.FILTER(B:B, A:A="2021-03"), 0))), "Left", "Ativo")</f>
        <v>Ativo</v>
      </c>
      <c r="F2662" s="12" t="str" cm="1">
        <f t="array" ref="F2662">IF(AND(A2662="2021-03", ISNA(MATCH(B2662, _xlfn._xlws.FILTER(B:B, A:A="2021-04"), 0))), "Left", "Ativo")</f>
        <v>Ativo</v>
      </c>
    </row>
    <row r="2663" spans="1:6" x14ac:dyDescent="0.25">
      <c r="A2663" t="s">
        <v>1530</v>
      </c>
      <c r="B2663" t="s">
        <v>734</v>
      </c>
      <c r="C2663" s="10" t="str" cm="1">
        <f t="array" ref="C2663">IF(AND(A2663="2020-12", ISNA(MATCH(B2663, _xlfn._xlws.FILTER(B:B, A:A="2021-01"), 0))), "Left", "Ativo")</f>
        <v>Ativo</v>
      </c>
      <c r="D2663" s="10" t="str" cm="1">
        <f t="array" ref="D2663">IF(AND(A2663="2021-01", ISNA(MATCH(B2663, _xlfn._xlws.FILTER(B:B, A:A="2021-02"), 0))), "Left", "Ativo")</f>
        <v>Ativo</v>
      </c>
      <c r="E2663" s="10" t="str" cm="1">
        <f t="array" ref="E2663">IF(AND(A2663="2021-02", ISNA(MATCH(B2663, _xlfn._xlws.FILTER(B:B, A:A="2021-03"), 0))), "Left", "Ativo")</f>
        <v>Ativo</v>
      </c>
      <c r="F2663" s="12" t="str" cm="1">
        <f t="array" ref="F2663">IF(AND(A2663="2021-03", ISNA(MATCH(B2663, _xlfn._xlws.FILTER(B:B, A:A="2021-04"), 0))), "Left", "Ativo")</f>
        <v>Ativo</v>
      </c>
    </row>
    <row r="2664" spans="1:6" x14ac:dyDescent="0.25">
      <c r="A2664" t="s">
        <v>1530</v>
      </c>
      <c r="B2664" t="s">
        <v>735</v>
      </c>
      <c r="C2664" s="10" t="str" cm="1">
        <f t="array" ref="C2664">IF(AND(A2664="2020-12", ISNA(MATCH(B2664, _xlfn._xlws.FILTER(B:B, A:A="2021-01"), 0))), "Left", "Ativo")</f>
        <v>Ativo</v>
      </c>
      <c r="D2664" s="10" t="str" cm="1">
        <f t="array" ref="D2664">IF(AND(A2664="2021-01", ISNA(MATCH(B2664, _xlfn._xlws.FILTER(B:B, A:A="2021-02"), 0))), "Left", "Ativo")</f>
        <v>Ativo</v>
      </c>
      <c r="E2664" s="10" t="str" cm="1">
        <f t="array" ref="E2664">IF(AND(A2664="2021-02", ISNA(MATCH(B2664, _xlfn._xlws.FILTER(B:B, A:A="2021-03"), 0))), "Left", "Ativo")</f>
        <v>Ativo</v>
      </c>
      <c r="F2664" s="12" t="str" cm="1">
        <f t="array" ref="F2664">IF(AND(A2664="2021-03", ISNA(MATCH(B2664, _xlfn._xlws.FILTER(B:B, A:A="2021-04"), 0))), "Left", "Ativo")</f>
        <v>Ativo</v>
      </c>
    </row>
    <row r="2665" spans="1:6" x14ac:dyDescent="0.25">
      <c r="A2665" t="s">
        <v>1530</v>
      </c>
      <c r="B2665" t="s">
        <v>736</v>
      </c>
      <c r="C2665" s="10" t="str" cm="1">
        <f t="array" ref="C2665">IF(AND(A2665="2020-12", ISNA(MATCH(B2665, _xlfn._xlws.FILTER(B:B, A:A="2021-01"), 0))), "Left", "Ativo")</f>
        <v>Ativo</v>
      </c>
      <c r="D2665" s="10" t="str" cm="1">
        <f t="array" ref="D2665">IF(AND(A2665="2021-01", ISNA(MATCH(B2665, _xlfn._xlws.FILTER(B:B, A:A="2021-02"), 0))), "Left", "Ativo")</f>
        <v>Ativo</v>
      </c>
      <c r="E2665" s="10" t="str" cm="1">
        <f t="array" ref="E2665">IF(AND(A2665="2021-02", ISNA(MATCH(B2665, _xlfn._xlws.FILTER(B:B, A:A="2021-03"), 0))), "Left", "Ativo")</f>
        <v>Ativo</v>
      </c>
      <c r="F2665" s="12" t="str" cm="1">
        <f t="array" ref="F2665">IF(AND(A2665="2021-03", ISNA(MATCH(B2665, _xlfn._xlws.FILTER(B:B, A:A="2021-04"), 0))), "Left", "Ativo")</f>
        <v>Ativo</v>
      </c>
    </row>
    <row r="2666" spans="1:6" x14ac:dyDescent="0.25">
      <c r="A2666" t="s">
        <v>1530</v>
      </c>
      <c r="B2666" t="s">
        <v>737</v>
      </c>
      <c r="C2666" s="10" t="str" cm="1">
        <f t="array" ref="C2666">IF(AND(A2666="2020-12", ISNA(MATCH(B2666, _xlfn._xlws.FILTER(B:B, A:A="2021-01"), 0))), "Left", "Ativo")</f>
        <v>Ativo</v>
      </c>
      <c r="D2666" s="10" t="str" cm="1">
        <f t="array" ref="D2666">IF(AND(A2666="2021-01", ISNA(MATCH(B2666, _xlfn._xlws.FILTER(B:B, A:A="2021-02"), 0))), "Left", "Ativo")</f>
        <v>Ativo</v>
      </c>
      <c r="E2666" s="10" t="str" cm="1">
        <f t="array" ref="E2666">IF(AND(A2666="2021-02", ISNA(MATCH(B2666, _xlfn._xlws.FILTER(B:B, A:A="2021-03"), 0))), "Left", "Ativo")</f>
        <v>Ativo</v>
      </c>
      <c r="F2666" s="12" t="str" cm="1">
        <f t="array" ref="F2666">IF(AND(A2666="2021-03", ISNA(MATCH(B2666, _xlfn._xlws.FILTER(B:B, A:A="2021-04"), 0))), "Left", "Ativo")</f>
        <v>Ativo</v>
      </c>
    </row>
    <row r="2667" spans="1:6" x14ac:dyDescent="0.25">
      <c r="A2667" t="s">
        <v>1530</v>
      </c>
      <c r="B2667" t="s">
        <v>738</v>
      </c>
      <c r="C2667" s="10" t="str" cm="1">
        <f t="array" ref="C2667">IF(AND(A2667="2020-12", ISNA(MATCH(B2667, _xlfn._xlws.FILTER(B:B, A:A="2021-01"), 0))), "Left", "Ativo")</f>
        <v>Ativo</v>
      </c>
      <c r="D2667" s="10" t="str" cm="1">
        <f t="array" ref="D2667">IF(AND(A2667="2021-01", ISNA(MATCH(B2667, _xlfn._xlws.FILTER(B:B, A:A="2021-02"), 0))), "Left", "Ativo")</f>
        <v>Ativo</v>
      </c>
      <c r="E2667" s="10" t="str" cm="1">
        <f t="array" ref="E2667">IF(AND(A2667="2021-02", ISNA(MATCH(B2667, _xlfn._xlws.FILTER(B:B, A:A="2021-03"), 0))), "Left", "Ativo")</f>
        <v>Ativo</v>
      </c>
      <c r="F2667" s="12" t="str" cm="1">
        <f t="array" ref="F2667">IF(AND(A2667="2021-03", ISNA(MATCH(B2667, _xlfn._xlws.FILTER(B:B, A:A="2021-04"), 0))), "Left", "Ativo")</f>
        <v>Ativo</v>
      </c>
    </row>
    <row r="2668" spans="1:6" x14ac:dyDescent="0.25">
      <c r="A2668" t="s">
        <v>1530</v>
      </c>
      <c r="B2668" t="s">
        <v>739</v>
      </c>
      <c r="C2668" s="10" t="str" cm="1">
        <f t="array" ref="C2668">IF(AND(A2668="2020-12", ISNA(MATCH(B2668, _xlfn._xlws.FILTER(B:B, A:A="2021-01"), 0))), "Left", "Ativo")</f>
        <v>Ativo</v>
      </c>
      <c r="D2668" s="10" t="str" cm="1">
        <f t="array" ref="D2668">IF(AND(A2668="2021-01", ISNA(MATCH(B2668, _xlfn._xlws.FILTER(B:B, A:A="2021-02"), 0))), "Left", "Ativo")</f>
        <v>Ativo</v>
      </c>
      <c r="E2668" s="10" t="str" cm="1">
        <f t="array" ref="E2668">IF(AND(A2668="2021-02", ISNA(MATCH(B2668, _xlfn._xlws.FILTER(B:B, A:A="2021-03"), 0))), "Left", "Ativo")</f>
        <v>Ativo</v>
      </c>
      <c r="F2668" s="12" t="str" cm="1">
        <f t="array" ref="F2668">IF(AND(A2668="2021-03", ISNA(MATCH(B2668, _xlfn._xlws.FILTER(B:B, A:A="2021-04"), 0))), "Left", "Ativo")</f>
        <v>Ativo</v>
      </c>
    </row>
    <row r="2669" spans="1:6" x14ac:dyDescent="0.25">
      <c r="A2669" t="s">
        <v>1530</v>
      </c>
      <c r="B2669" t="s">
        <v>740</v>
      </c>
      <c r="C2669" s="10" t="str" cm="1">
        <f t="array" ref="C2669">IF(AND(A2669="2020-12", ISNA(MATCH(B2669, _xlfn._xlws.FILTER(B:B, A:A="2021-01"), 0))), "Left", "Ativo")</f>
        <v>Ativo</v>
      </c>
      <c r="D2669" s="10" t="str" cm="1">
        <f t="array" ref="D2669">IF(AND(A2669="2021-01", ISNA(MATCH(B2669, _xlfn._xlws.FILTER(B:B, A:A="2021-02"), 0))), "Left", "Ativo")</f>
        <v>Ativo</v>
      </c>
      <c r="E2669" s="10" t="str" cm="1">
        <f t="array" ref="E2669">IF(AND(A2669="2021-02", ISNA(MATCH(B2669, _xlfn._xlws.FILTER(B:B, A:A="2021-03"), 0))), "Left", "Ativo")</f>
        <v>Ativo</v>
      </c>
      <c r="F2669" s="12" t="str" cm="1">
        <f t="array" ref="F2669">IF(AND(A2669="2021-03", ISNA(MATCH(B2669, _xlfn._xlws.FILTER(B:B, A:A="2021-04"), 0))), "Left", "Ativo")</f>
        <v>Ativo</v>
      </c>
    </row>
    <row r="2670" spans="1:6" x14ac:dyDescent="0.25">
      <c r="A2670" t="s">
        <v>1530</v>
      </c>
      <c r="B2670" t="s">
        <v>741</v>
      </c>
      <c r="C2670" s="10" t="str" cm="1">
        <f t="array" ref="C2670">IF(AND(A2670="2020-12", ISNA(MATCH(B2670, _xlfn._xlws.FILTER(B:B, A:A="2021-01"), 0))), "Left", "Ativo")</f>
        <v>Ativo</v>
      </c>
      <c r="D2670" s="10" t="str" cm="1">
        <f t="array" ref="D2670">IF(AND(A2670="2021-01", ISNA(MATCH(B2670, _xlfn._xlws.FILTER(B:B, A:A="2021-02"), 0))), "Left", "Ativo")</f>
        <v>Ativo</v>
      </c>
      <c r="E2670" s="10" t="str" cm="1">
        <f t="array" ref="E2670">IF(AND(A2670="2021-02", ISNA(MATCH(B2670, _xlfn._xlws.FILTER(B:B, A:A="2021-03"), 0))), "Left", "Ativo")</f>
        <v>Ativo</v>
      </c>
      <c r="F2670" s="12" t="str" cm="1">
        <f t="array" ref="F2670">IF(AND(A2670="2021-03", ISNA(MATCH(B2670, _xlfn._xlws.FILTER(B:B, A:A="2021-04"), 0))), "Left", "Ativo")</f>
        <v>Ativo</v>
      </c>
    </row>
    <row r="2671" spans="1:6" x14ac:dyDescent="0.25">
      <c r="A2671" t="s">
        <v>1530</v>
      </c>
      <c r="B2671" t="s">
        <v>742</v>
      </c>
      <c r="C2671" s="10" t="str" cm="1">
        <f t="array" ref="C2671">IF(AND(A2671="2020-12", ISNA(MATCH(B2671, _xlfn._xlws.FILTER(B:B, A:A="2021-01"), 0))), "Left", "Ativo")</f>
        <v>Ativo</v>
      </c>
      <c r="D2671" s="10" t="str" cm="1">
        <f t="array" ref="D2671">IF(AND(A2671="2021-01", ISNA(MATCH(B2671, _xlfn._xlws.FILTER(B:B, A:A="2021-02"), 0))), "Left", "Ativo")</f>
        <v>Ativo</v>
      </c>
      <c r="E2671" s="10" t="str" cm="1">
        <f t="array" ref="E2671">IF(AND(A2671="2021-02", ISNA(MATCH(B2671, _xlfn._xlws.FILTER(B:B, A:A="2021-03"), 0))), "Left", "Ativo")</f>
        <v>Ativo</v>
      </c>
      <c r="F2671" s="12" t="str" cm="1">
        <f t="array" ref="F2671">IF(AND(A2671="2021-03", ISNA(MATCH(B2671, _xlfn._xlws.FILTER(B:B, A:A="2021-04"), 0))), "Left", "Ativo")</f>
        <v>Ativo</v>
      </c>
    </row>
    <row r="2672" spans="1:6" x14ac:dyDescent="0.25">
      <c r="A2672" t="s">
        <v>1530</v>
      </c>
      <c r="B2672" t="s">
        <v>743</v>
      </c>
      <c r="C2672" s="10" t="str" cm="1">
        <f t="array" ref="C2672">IF(AND(A2672="2020-12", ISNA(MATCH(B2672, _xlfn._xlws.FILTER(B:B, A:A="2021-01"), 0))), "Left", "Ativo")</f>
        <v>Ativo</v>
      </c>
      <c r="D2672" s="10" t="str" cm="1">
        <f t="array" ref="D2672">IF(AND(A2672="2021-01", ISNA(MATCH(B2672, _xlfn._xlws.FILTER(B:B, A:A="2021-02"), 0))), "Left", "Ativo")</f>
        <v>Ativo</v>
      </c>
      <c r="E2672" s="10" t="str" cm="1">
        <f t="array" ref="E2672">IF(AND(A2672="2021-02", ISNA(MATCH(B2672, _xlfn._xlws.FILTER(B:B, A:A="2021-03"), 0))), "Left", "Ativo")</f>
        <v>Ativo</v>
      </c>
      <c r="F2672" s="12" t="str" cm="1">
        <f t="array" ref="F2672">IF(AND(A2672="2021-03", ISNA(MATCH(B2672, _xlfn._xlws.FILTER(B:B, A:A="2021-04"), 0))), "Left", "Ativo")</f>
        <v>Ativo</v>
      </c>
    </row>
    <row r="2673" spans="1:6" x14ac:dyDescent="0.25">
      <c r="A2673" t="s">
        <v>1530</v>
      </c>
      <c r="B2673" t="s">
        <v>744</v>
      </c>
      <c r="C2673" s="10" t="str" cm="1">
        <f t="array" ref="C2673">IF(AND(A2673="2020-12", ISNA(MATCH(B2673, _xlfn._xlws.FILTER(B:B, A:A="2021-01"), 0))), "Left", "Ativo")</f>
        <v>Ativo</v>
      </c>
      <c r="D2673" s="10" t="str" cm="1">
        <f t="array" ref="D2673">IF(AND(A2673="2021-01", ISNA(MATCH(B2673, _xlfn._xlws.FILTER(B:B, A:A="2021-02"), 0))), "Left", "Ativo")</f>
        <v>Ativo</v>
      </c>
      <c r="E2673" s="10" t="str" cm="1">
        <f t="array" ref="E2673">IF(AND(A2673="2021-02", ISNA(MATCH(B2673, _xlfn._xlws.FILTER(B:B, A:A="2021-03"), 0))), "Left", "Ativo")</f>
        <v>Ativo</v>
      </c>
      <c r="F2673" s="12" t="str" cm="1">
        <f t="array" ref="F2673">IF(AND(A2673="2021-03", ISNA(MATCH(B2673, _xlfn._xlws.FILTER(B:B, A:A="2021-04"), 0))), "Left", "Ativo")</f>
        <v>Ativo</v>
      </c>
    </row>
    <row r="2674" spans="1:6" x14ac:dyDescent="0.25">
      <c r="A2674" t="s">
        <v>1530</v>
      </c>
      <c r="B2674" t="s">
        <v>745</v>
      </c>
      <c r="C2674" s="10" t="str" cm="1">
        <f t="array" ref="C2674">IF(AND(A2674="2020-12", ISNA(MATCH(B2674, _xlfn._xlws.FILTER(B:B, A:A="2021-01"), 0))), "Left", "Ativo")</f>
        <v>Ativo</v>
      </c>
      <c r="D2674" s="10" t="str" cm="1">
        <f t="array" ref="D2674">IF(AND(A2674="2021-01", ISNA(MATCH(B2674, _xlfn._xlws.FILTER(B:B, A:A="2021-02"), 0))), "Left", "Ativo")</f>
        <v>Ativo</v>
      </c>
      <c r="E2674" s="10" t="str" cm="1">
        <f t="array" ref="E2674">IF(AND(A2674="2021-02", ISNA(MATCH(B2674, _xlfn._xlws.FILTER(B:B, A:A="2021-03"), 0))), "Left", "Ativo")</f>
        <v>Ativo</v>
      </c>
      <c r="F2674" s="12" t="str" cm="1">
        <f t="array" ref="F2674">IF(AND(A2674="2021-03", ISNA(MATCH(B2674, _xlfn._xlws.FILTER(B:B, A:A="2021-04"), 0))), "Left", "Ativo")</f>
        <v>Ativo</v>
      </c>
    </row>
    <row r="2675" spans="1:6" x14ac:dyDescent="0.25">
      <c r="A2675" t="s">
        <v>1530</v>
      </c>
      <c r="B2675" t="s">
        <v>746</v>
      </c>
      <c r="C2675" s="10" t="str" cm="1">
        <f t="array" ref="C2675">IF(AND(A2675="2020-12", ISNA(MATCH(B2675, _xlfn._xlws.FILTER(B:B, A:A="2021-01"), 0))), "Left", "Ativo")</f>
        <v>Ativo</v>
      </c>
      <c r="D2675" s="10" t="str" cm="1">
        <f t="array" ref="D2675">IF(AND(A2675="2021-01", ISNA(MATCH(B2675, _xlfn._xlws.FILTER(B:B, A:A="2021-02"), 0))), "Left", "Ativo")</f>
        <v>Ativo</v>
      </c>
      <c r="E2675" s="10" t="str" cm="1">
        <f t="array" ref="E2675">IF(AND(A2675="2021-02", ISNA(MATCH(B2675, _xlfn._xlws.FILTER(B:B, A:A="2021-03"), 0))), "Left", "Ativo")</f>
        <v>Ativo</v>
      </c>
      <c r="F2675" s="12" t="str" cm="1">
        <f t="array" ref="F2675">IF(AND(A2675="2021-03", ISNA(MATCH(B2675, _xlfn._xlws.FILTER(B:B, A:A="2021-04"), 0))), "Left", "Ativo")</f>
        <v>Ativo</v>
      </c>
    </row>
    <row r="2676" spans="1:6" x14ac:dyDescent="0.25">
      <c r="A2676" t="s">
        <v>1530</v>
      </c>
      <c r="B2676" t="s">
        <v>747</v>
      </c>
      <c r="C2676" s="10" t="str" cm="1">
        <f t="array" ref="C2676">IF(AND(A2676="2020-12", ISNA(MATCH(B2676, _xlfn._xlws.FILTER(B:B, A:A="2021-01"), 0))), "Left", "Ativo")</f>
        <v>Ativo</v>
      </c>
      <c r="D2676" s="10" t="str" cm="1">
        <f t="array" ref="D2676">IF(AND(A2676="2021-01", ISNA(MATCH(B2676, _xlfn._xlws.FILTER(B:B, A:A="2021-02"), 0))), "Left", "Ativo")</f>
        <v>Ativo</v>
      </c>
      <c r="E2676" s="10" t="str" cm="1">
        <f t="array" ref="E2676">IF(AND(A2676="2021-02", ISNA(MATCH(B2676, _xlfn._xlws.FILTER(B:B, A:A="2021-03"), 0))), "Left", "Ativo")</f>
        <v>Ativo</v>
      </c>
      <c r="F2676" s="12" t="str" cm="1">
        <f t="array" ref="F2676">IF(AND(A2676="2021-03", ISNA(MATCH(B2676, _xlfn._xlws.FILTER(B:B, A:A="2021-04"), 0))), "Left", "Ativo")</f>
        <v>Ativo</v>
      </c>
    </row>
    <row r="2677" spans="1:6" x14ac:dyDescent="0.25">
      <c r="A2677" t="s">
        <v>1530</v>
      </c>
      <c r="B2677" t="s">
        <v>748</v>
      </c>
      <c r="C2677" s="10" t="str" cm="1">
        <f t="array" ref="C2677">IF(AND(A2677="2020-12", ISNA(MATCH(B2677, _xlfn._xlws.FILTER(B:B, A:A="2021-01"), 0))), "Left", "Ativo")</f>
        <v>Ativo</v>
      </c>
      <c r="D2677" s="10" t="str" cm="1">
        <f t="array" ref="D2677">IF(AND(A2677="2021-01", ISNA(MATCH(B2677, _xlfn._xlws.FILTER(B:B, A:A="2021-02"), 0))), "Left", "Ativo")</f>
        <v>Ativo</v>
      </c>
      <c r="E2677" s="10" t="str" cm="1">
        <f t="array" ref="E2677">IF(AND(A2677="2021-02", ISNA(MATCH(B2677, _xlfn._xlws.FILTER(B:B, A:A="2021-03"), 0))), "Left", "Ativo")</f>
        <v>Ativo</v>
      </c>
      <c r="F2677" s="12" t="str" cm="1">
        <f t="array" ref="F2677">IF(AND(A2677="2021-03", ISNA(MATCH(B2677, _xlfn._xlws.FILTER(B:B, A:A="2021-04"), 0))), "Left", "Ativo")</f>
        <v>Ativo</v>
      </c>
    </row>
    <row r="2678" spans="1:6" x14ac:dyDescent="0.25">
      <c r="A2678" t="s">
        <v>1530</v>
      </c>
      <c r="B2678" t="s">
        <v>749</v>
      </c>
      <c r="C2678" s="10" t="str" cm="1">
        <f t="array" ref="C2678">IF(AND(A2678="2020-12", ISNA(MATCH(B2678, _xlfn._xlws.FILTER(B:B, A:A="2021-01"), 0))), "Left", "Ativo")</f>
        <v>Ativo</v>
      </c>
      <c r="D2678" s="10" t="str" cm="1">
        <f t="array" ref="D2678">IF(AND(A2678="2021-01", ISNA(MATCH(B2678, _xlfn._xlws.FILTER(B:B, A:A="2021-02"), 0))), "Left", "Ativo")</f>
        <v>Ativo</v>
      </c>
      <c r="E2678" s="10" t="str" cm="1">
        <f t="array" ref="E2678">IF(AND(A2678="2021-02", ISNA(MATCH(B2678, _xlfn._xlws.FILTER(B:B, A:A="2021-03"), 0))), "Left", "Ativo")</f>
        <v>Ativo</v>
      </c>
      <c r="F2678" s="12" t="str" cm="1">
        <f t="array" ref="F2678">IF(AND(A2678="2021-03", ISNA(MATCH(B2678, _xlfn._xlws.FILTER(B:B, A:A="2021-04"), 0))), "Left", "Ativo")</f>
        <v>Ativo</v>
      </c>
    </row>
    <row r="2679" spans="1:6" x14ac:dyDescent="0.25">
      <c r="A2679" t="s">
        <v>1530</v>
      </c>
      <c r="B2679" t="s">
        <v>750</v>
      </c>
      <c r="C2679" s="10" t="str" cm="1">
        <f t="array" ref="C2679">IF(AND(A2679="2020-12", ISNA(MATCH(B2679, _xlfn._xlws.FILTER(B:B, A:A="2021-01"), 0))), "Left", "Ativo")</f>
        <v>Ativo</v>
      </c>
      <c r="D2679" s="10" t="str" cm="1">
        <f t="array" ref="D2679">IF(AND(A2679="2021-01", ISNA(MATCH(B2679, _xlfn._xlws.FILTER(B:B, A:A="2021-02"), 0))), "Left", "Ativo")</f>
        <v>Ativo</v>
      </c>
      <c r="E2679" s="10" t="str" cm="1">
        <f t="array" ref="E2679">IF(AND(A2679="2021-02", ISNA(MATCH(B2679, _xlfn._xlws.FILTER(B:B, A:A="2021-03"), 0))), "Left", "Ativo")</f>
        <v>Ativo</v>
      </c>
      <c r="F2679" s="12" t="str" cm="1">
        <f t="array" ref="F2679">IF(AND(A2679="2021-03", ISNA(MATCH(B2679, _xlfn._xlws.FILTER(B:B, A:A="2021-04"), 0))), "Left", "Ativo")</f>
        <v>Ativo</v>
      </c>
    </row>
    <row r="2680" spans="1:6" x14ac:dyDescent="0.25">
      <c r="A2680" t="s">
        <v>1530</v>
      </c>
      <c r="B2680" t="s">
        <v>751</v>
      </c>
      <c r="C2680" s="10" t="str" cm="1">
        <f t="array" ref="C2680">IF(AND(A2680="2020-12", ISNA(MATCH(B2680, _xlfn._xlws.FILTER(B:B, A:A="2021-01"), 0))), "Left", "Ativo")</f>
        <v>Ativo</v>
      </c>
      <c r="D2680" s="10" t="str" cm="1">
        <f t="array" ref="D2680">IF(AND(A2680="2021-01", ISNA(MATCH(B2680, _xlfn._xlws.FILTER(B:B, A:A="2021-02"), 0))), "Left", "Ativo")</f>
        <v>Ativo</v>
      </c>
      <c r="E2680" s="10" t="str" cm="1">
        <f t="array" ref="E2680">IF(AND(A2680="2021-02", ISNA(MATCH(B2680, _xlfn._xlws.FILTER(B:B, A:A="2021-03"), 0))), "Left", "Ativo")</f>
        <v>Ativo</v>
      </c>
      <c r="F2680" s="12" t="str" cm="1">
        <f t="array" ref="F2680">IF(AND(A2680="2021-03", ISNA(MATCH(B2680, _xlfn._xlws.FILTER(B:B, A:A="2021-04"), 0))), "Left", "Ativo")</f>
        <v>Ativo</v>
      </c>
    </row>
    <row r="2681" spans="1:6" x14ac:dyDescent="0.25">
      <c r="A2681" t="s">
        <v>1530</v>
      </c>
      <c r="B2681" t="s">
        <v>752</v>
      </c>
      <c r="C2681" s="10" t="str" cm="1">
        <f t="array" ref="C2681">IF(AND(A2681="2020-12", ISNA(MATCH(B2681, _xlfn._xlws.FILTER(B:B, A:A="2021-01"), 0))), "Left", "Ativo")</f>
        <v>Ativo</v>
      </c>
      <c r="D2681" s="10" t="str" cm="1">
        <f t="array" ref="D2681">IF(AND(A2681="2021-01", ISNA(MATCH(B2681, _xlfn._xlws.FILTER(B:B, A:A="2021-02"), 0))), "Left", "Ativo")</f>
        <v>Ativo</v>
      </c>
      <c r="E2681" s="10" t="str" cm="1">
        <f t="array" ref="E2681">IF(AND(A2681="2021-02", ISNA(MATCH(B2681, _xlfn._xlws.FILTER(B:B, A:A="2021-03"), 0))), "Left", "Ativo")</f>
        <v>Ativo</v>
      </c>
      <c r="F2681" s="12" t="str" cm="1">
        <f t="array" ref="F2681">IF(AND(A2681="2021-03", ISNA(MATCH(B2681, _xlfn._xlws.FILTER(B:B, A:A="2021-04"), 0))), "Left", "Ativo")</f>
        <v>Ativo</v>
      </c>
    </row>
    <row r="2682" spans="1:6" x14ac:dyDescent="0.25">
      <c r="A2682" t="s">
        <v>1530</v>
      </c>
      <c r="B2682" t="s">
        <v>1049</v>
      </c>
      <c r="C2682" s="10" t="str" cm="1">
        <f t="array" ref="C2682">IF(AND(A2682="2020-12", ISNA(MATCH(B2682, _xlfn._xlws.FILTER(B:B, A:A="2021-01"), 0))), "Left", "Ativo")</f>
        <v>Ativo</v>
      </c>
      <c r="D2682" s="10" t="str" cm="1">
        <f t="array" ref="D2682">IF(AND(A2682="2021-01", ISNA(MATCH(B2682, _xlfn._xlws.FILTER(B:B, A:A="2021-02"), 0))), "Left", "Ativo")</f>
        <v>Ativo</v>
      </c>
      <c r="E2682" s="10" t="str" cm="1">
        <f t="array" ref="E2682">IF(AND(A2682="2021-02", ISNA(MATCH(B2682, _xlfn._xlws.FILTER(B:B, A:A="2021-03"), 0))), "Left", "Ativo")</f>
        <v>Ativo</v>
      </c>
      <c r="F2682" s="12" t="str" cm="1">
        <f t="array" ref="F2682">IF(AND(A2682="2021-03", ISNA(MATCH(B2682, _xlfn._xlws.FILTER(B:B, A:A="2021-04"), 0))), "Left", "Ativo")</f>
        <v>Ativo</v>
      </c>
    </row>
    <row r="2683" spans="1:6" x14ac:dyDescent="0.25">
      <c r="A2683" t="s">
        <v>1530</v>
      </c>
      <c r="B2683" t="s">
        <v>1050</v>
      </c>
      <c r="C2683" s="10" t="str" cm="1">
        <f t="array" ref="C2683">IF(AND(A2683="2020-12", ISNA(MATCH(B2683, _xlfn._xlws.FILTER(B:B, A:A="2021-01"), 0))), "Left", "Ativo")</f>
        <v>Ativo</v>
      </c>
      <c r="D2683" s="10" t="str" cm="1">
        <f t="array" ref="D2683">IF(AND(A2683="2021-01", ISNA(MATCH(B2683, _xlfn._xlws.FILTER(B:B, A:A="2021-02"), 0))), "Left", "Ativo")</f>
        <v>Ativo</v>
      </c>
      <c r="E2683" s="10" t="str" cm="1">
        <f t="array" ref="E2683">IF(AND(A2683="2021-02", ISNA(MATCH(B2683, _xlfn._xlws.FILTER(B:B, A:A="2021-03"), 0))), "Left", "Ativo")</f>
        <v>Ativo</v>
      </c>
      <c r="F2683" s="12" t="str" cm="1">
        <f t="array" ref="F2683">IF(AND(A2683="2021-03", ISNA(MATCH(B2683, _xlfn._xlws.FILTER(B:B, A:A="2021-04"), 0))), "Left", "Ativo")</f>
        <v>Ativo</v>
      </c>
    </row>
    <row r="2684" spans="1:6" x14ac:dyDescent="0.25">
      <c r="A2684" t="s">
        <v>1530</v>
      </c>
      <c r="B2684" t="s">
        <v>1051</v>
      </c>
      <c r="C2684" s="10" t="str" cm="1">
        <f t="array" ref="C2684">IF(AND(A2684="2020-12", ISNA(MATCH(B2684, _xlfn._xlws.FILTER(B:B, A:A="2021-01"), 0))), "Left", "Ativo")</f>
        <v>Ativo</v>
      </c>
      <c r="D2684" s="10" t="str" cm="1">
        <f t="array" ref="D2684">IF(AND(A2684="2021-01", ISNA(MATCH(B2684, _xlfn._xlws.FILTER(B:B, A:A="2021-02"), 0))), "Left", "Ativo")</f>
        <v>Ativo</v>
      </c>
      <c r="E2684" s="10" t="str" cm="1">
        <f t="array" ref="E2684">IF(AND(A2684="2021-02", ISNA(MATCH(B2684, _xlfn._xlws.FILTER(B:B, A:A="2021-03"), 0))), "Left", "Ativo")</f>
        <v>Ativo</v>
      </c>
      <c r="F2684" s="12" t="str" cm="1">
        <f t="array" ref="F2684">IF(AND(A2684="2021-03", ISNA(MATCH(B2684, _xlfn._xlws.FILTER(B:B, A:A="2021-04"), 0))), "Left", "Ativo")</f>
        <v>Ativo</v>
      </c>
    </row>
    <row r="2685" spans="1:6" x14ac:dyDescent="0.25">
      <c r="A2685" t="s">
        <v>1530</v>
      </c>
      <c r="B2685" t="s">
        <v>1052</v>
      </c>
      <c r="C2685" s="10" t="str" cm="1">
        <f t="array" ref="C2685">IF(AND(A2685="2020-12", ISNA(MATCH(B2685, _xlfn._xlws.FILTER(B:B, A:A="2021-01"), 0))), "Left", "Ativo")</f>
        <v>Ativo</v>
      </c>
      <c r="D2685" s="10" t="str" cm="1">
        <f t="array" ref="D2685">IF(AND(A2685="2021-01", ISNA(MATCH(B2685, _xlfn._xlws.FILTER(B:B, A:A="2021-02"), 0))), "Left", "Ativo")</f>
        <v>Ativo</v>
      </c>
      <c r="E2685" s="10" t="str" cm="1">
        <f t="array" ref="E2685">IF(AND(A2685="2021-02", ISNA(MATCH(B2685, _xlfn._xlws.FILTER(B:B, A:A="2021-03"), 0))), "Left", "Ativo")</f>
        <v>Ativo</v>
      </c>
      <c r="F2685" s="12" t="str" cm="1">
        <f t="array" ref="F2685">IF(AND(A2685="2021-03", ISNA(MATCH(B2685, _xlfn._xlws.FILTER(B:B, A:A="2021-04"), 0))), "Left", "Ativo")</f>
        <v>Ativo</v>
      </c>
    </row>
    <row r="2686" spans="1:6" x14ac:dyDescent="0.25">
      <c r="A2686" t="s">
        <v>1530</v>
      </c>
      <c r="B2686" t="s">
        <v>1053</v>
      </c>
      <c r="C2686" s="10" t="str" cm="1">
        <f t="array" ref="C2686">IF(AND(A2686="2020-12", ISNA(MATCH(B2686, _xlfn._xlws.FILTER(B:B, A:A="2021-01"), 0))), "Left", "Ativo")</f>
        <v>Ativo</v>
      </c>
      <c r="D2686" s="10" t="str" cm="1">
        <f t="array" ref="D2686">IF(AND(A2686="2021-01", ISNA(MATCH(B2686, _xlfn._xlws.FILTER(B:B, A:A="2021-02"), 0))), "Left", "Ativo")</f>
        <v>Ativo</v>
      </c>
      <c r="E2686" s="10" t="str" cm="1">
        <f t="array" ref="E2686">IF(AND(A2686="2021-02", ISNA(MATCH(B2686, _xlfn._xlws.FILTER(B:B, A:A="2021-03"), 0))), "Left", "Ativo")</f>
        <v>Ativo</v>
      </c>
      <c r="F2686" s="12" t="str" cm="1">
        <f t="array" ref="F2686">IF(AND(A2686="2021-03", ISNA(MATCH(B2686, _xlfn._xlws.FILTER(B:B, A:A="2021-04"), 0))), "Left", "Ativo")</f>
        <v>Ativo</v>
      </c>
    </row>
    <row r="2687" spans="1:6" x14ac:dyDescent="0.25">
      <c r="A2687" t="s">
        <v>1530</v>
      </c>
      <c r="B2687" t="s">
        <v>1054</v>
      </c>
      <c r="C2687" s="10" t="str" cm="1">
        <f t="array" ref="C2687">IF(AND(A2687="2020-12", ISNA(MATCH(B2687, _xlfn._xlws.FILTER(B:B, A:A="2021-01"), 0))), "Left", "Ativo")</f>
        <v>Ativo</v>
      </c>
      <c r="D2687" s="10" t="str" cm="1">
        <f t="array" ref="D2687">IF(AND(A2687="2021-01", ISNA(MATCH(B2687, _xlfn._xlws.FILTER(B:B, A:A="2021-02"), 0))), "Left", "Ativo")</f>
        <v>Ativo</v>
      </c>
      <c r="E2687" s="10" t="str" cm="1">
        <f t="array" ref="E2687">IF(AND(A2687="2021-02", ISNA(MATCH(B2687, _xlfn._xlws.FILTER(B:B, A:A="2021-03"), 0))), "Left", "Ativo")</f>
        <v>Ativo</v>
      </c>
      <c r="F2687" s="12" t="str" cm="1">
        <f t="array" ref="F2687">IF(AND(A2687="2021-03", ISNA(MATCH(B2687, _xlfn._xlws.FILTER(B:B, A:A="2021-04"), 0))), "Left", "Ativo")</f>
        <v>Ativo</v>
      </c>
    </row>
    <row r="2688" spans="1:6" x14ac:dyDescent="0.25">
      <c r="A2688" t="s">
        <v>1530</v>
      </c>
      <c r="B2688" t="s">
        <v>1055</v>
      </c>
      <c r="C2688" s="10" t="str" cm="1">
        <f t="array" ref="C2688">IF(AND(A2688="2020-12", ISNA(MATCH(B2688, _xlfn._xlws.FILTER(B:B, A:A="2021-01"), 0))), "Left", "Ativo")</f>
        <v>Ativo</v>
      </c>
      <c r="D2688" s="10" t="str" cm="1">
        <f t="array" ref="D2688">IF(AND(A2688="2021-01", ISNA(MATCH(B2688, _xlfn._xlws.FILTER(B:B, A:A="2021-02"), 0))), "Left", "Ativo")</f>
        <v>Ativo</v>
      </c>
      <c r="E2688" s="10" t="str" cm="1">
        <f t="array" ref="E2688">IF(AND(A2688="2021-02", ISNA(MATCH(B2688, _xlfn._xlws.FILTER(B:B, A:A="2021-03"), 0))), "Left", "Ativo")</f>
        <v>Ativo</v>
      </c>
      <c r="F2688" s="12" t="str" cm="1">
        <f t="array" ref="F2688">IF(AND(A2688="2021-03", ISNA(MATCH(B2688, _xlfn._xlws.FILTER(B:B, A:A="2021-04"), 0))), "Left", "Ativo")</f>
        <v>Ativo</v>
      </c>
    </row>
    <row r="2689" spans="1:6" x14ac:dyDescent="0.25">
      <c r="A2689" t="s">
        <v>1530</v>
      </c>
      <c r="B2689" t="s">
        <v>1056</v>
      </c>
      <c r="C2689" s="10" t="str" cm="1">
        <f t="array" ref="C2689">IF(AND(A2689="2020-12", ISNA(MATCH(B2689, _xlfn._xlws.FILTER(B:B, A:A="2021-01"), 0))), "Left", "Ativo")</f>
        <v>Ativo</v>
      </c>
      <c r="D2689" s="10" t="str" cm="1">
        <f t="array" ref="D2689">IF(AND(A2689="2021-01", ISNA(MATCH(B2689, _xlfn._xlws.FILTER(B:B, A:A="2021-02"), 0))), "Left", "Ativo")</f>
        <v>Ativo</v>
      </c>
      <c r="E2689" s="10" t="str" cm="1">
        <f t="array" ref="E2689">IF(AND(A2689="2021-02", ISNA(MATCH(B2689, _xlfn._xlws.FILTER(B:B, A:A="2021-03"), 0))), "Left", "Ativo")</f>
        <v>Ativo</v>
      </c>
      <c r="F2689" s="12" t="str" cm="1">
        <f t="array" ref="F2689">IF(AND(A2689="2021-03", ISNA(MATCH(B2689, _xlfn._xlws.FILTER(B:B, A:A="2021-04"), 0))), "Left", "Ativo")</f>
        <v>Ativo</v>
      </c>
    </row>
    <row r="2690" spans="1:6" x14ac:dyDescent="0.25">
      <c r="A2690" t="s">
        <v>1530</v>
      </c>
      <c r="B2690" t="s">
        <v>1057</v>
      </c>
      <c r="C2690" s="10" t="str" cm="1">
        <f t="array" ref="C2690">IF(AND(A2690="2020-12", ISNA(MATCH(B2690, _xlfn._xlws.FILTER(B:B, A:A="2021-01"), 0))), "Left", "Ativo")</f>
        <v>Ativo</v>
      </c>
      <c r="D2690" s="10" t="str" cm="1">
        <f t="array" ref="D2690">IF(AND(A2690="2021-01", ISNA(MATCH(B2690, _xlfn._xlws.FILTER(B:B, A:A="2021-02"), 0))), "Left", "Ativo")</f>
        <v>Ativo</v>
      </c>
      <c r="E2690" s="10" t="str" cm="1">
        <f t="array" ref="E2690">IF(AND(A2690="2021-02", ISNA(MATCH(B2690, _xlfn._xlws.FILTER(B:B, A:A="2021-03"), 0))), "Left", "Ativo")</f>
        <v>Ativo</v>
      </c>
      <c r="F2690" s="12" t="str" cm="1">
        <f t="array" ref="F2690">IF(AND(A2690="2021-03", ISNA(MATCH(B2690, _xlfn._xlws.FILTER(B:B, A:A="2021-04"), 0))), "Left", "Ativo")</f>
        <v>Ativo</v>
      </c>
    </row>
    <row r="2691" spans="1:6" x14ac:dyDescent="0.25">
      <c r="A2691" t="s">
        <v>1530</v>
      </c>
      <c r="B2691" t="s">
        <v>1058</v>
      </c>
      <c r="C2691" s="10" t="str" cm="1">
        <f t="array" ref="C2691">IF(AND(A2691="2020-12", ISNA(MATCH(B2691, _xlfn._xlws.FILTER(B:B, A:A="2021-01"), 0))), "Left", "Ativo")</f>
        <v>Ativo</v>
      </c>
      <c r="D2691" s="10" t="str" cm="1">
        <f t="array" ref="D2691">IF(AND(A2691="2021-01", ISNA(MATCH(B2691, _xlfn._xlws.FILTER(B:B, A:A="2021-02"), 0))), "Left", "Ativo")</f>
        <v>Ativo</v>
      </c>
      <c r="E2691" s="10" t="str" cm="1">
        <f t="array" ref="E2691">IF(AND(A2691="2021-02", ISNA(MATCH(B2691, _xlfn._xlws.FILTER(B:B, A:A="2021-03"), 0))), "Left", "Ativo")</f>
        <v>Ativo</v>
      </c>
      <c r="F2691" s="12" t="str" cm="1">
        <f t="array" ref="F2691">IF(AND(A2691="2021-03", ISNA(MATCH(B2691, _xlfn._xlws.FILTER(B:B, A:A="2021-04"), 0))), "Left", "Ativo")</f>
        <v>Ativo</v>
      </c>
    </row>
    <row r="2692" spans="1:6" x14ac:dyDescent="0.25">
      <c r="A2692" t="s">
        <v>1530</v>
      </c>
      <c r="B2692" t="s">
        <v>1059</v>
      </c>
      <c r="C2692" s="10" t="str" cm="1">
        <f t="array" ref="C2692">IF(AND(A2692="2020-12", ISNA(MATCH(B2692, _xlfn._xlws.FILTER(B:B, A:A="2021-01"), 0))), "Left", "Ativo")</f>
        <v>Ativo</v>
      </c>
      <c r="D2692" s="10" t="str" cm="1">
        <f t="array" ref="D2692">IF(AND(A2692="2021-01", ISNA(MATCH(B2692, _xlfn._xlws.FILTER(B:B, A:A="2021-02"), 0))), "Left", "Ativo")</f>
        <v>Ativo</v>
      </c>
      <c r="E2692" s="10" t="str" cm="1">
        <f t="array" ref="E2692">IF(AND(A2692="2021-02", ISNA(MATCH(B2692, _xlfn._xlws.FILTER(B:B, A:A="2021-03"), 0))), "Left", "Ativo")</f>
        <v>Ativo</v>
      </c>
      <c r="F2692" s="12" t="str" cm="1">
        <f t="array" ref="F2692">IF(AND(A2692="2021-03", ISNA(MATCH(B2692, _xlfn._xlws.FILTER(B:B, A:A="2021-04"), 0))), "Left", "Ativo")</f>
        <v>Ativo</v>
      </c>
    </row>
    <row r="2693" spans="1:6" x14ac:dyDescent="0.25">
      <c r="A2693" t="s">
        <v>1530</v>
      </c>
      <c r="B2693" t="s">
        <v>1060</v>
      </c>
      <c r="C2693" s="10" t="str" cm="1">
        <f t="array" ref="C2693">IF(AND(A2693="2020-12", ISNA(MATCH(B2693, _xlfn._xlws.FILTER(B:B, A:A="2021-01"), 0))), "Left", "Ativo")</f>
        <v>Ativo</v>
      </c>
      <c r="D2693" s="10" t="str" cm="1">
        <f t="array" ref="D2693">IF(AND(A2693="2021-01", ISNA(MATCH(B2693, _xlfn._xlws.FILTER(B:B, A:A="2021-02"), 0))), "Left", "Ativo")</f>
        <v>Ativo</v>
      </c>
      <c r="E2693" s="10" t="str" cm="1">
        <f t="array" ref="E2693">IF(AND(A2693="2021-02", ISNA(MATCH(B2693, _xlfn._xlws.FILTER(B:B, A:A="2021-03"), 0))), "Left", "Ativo")</f>
        <v>Ativo</v>
      </c>
      <c r="F2693" s="12" t="str" cm="1">
        <f t="array" ref="F2693">IF(AND(A2693="2021-03", ISNA(MATCH(B2693, _xlfn._xlws.FILTER(B:B, A:A="2021-04"), 0))), "Left", "Ativo")</f>
        <v>Ativo</v>
      </c>
    </row>
    <row r="2694" spans="1:6" x14ac:dyDescent="0.25">
      <c r="A2694" t="s">
        <v>1530</v>
      </c>
      <c r="B2694" t="s">
        <v>1061</v>
      </c>
      <c r="C2694" s="10" t="str" cm="1">
        <f t="array" ref="C2694">IF(AND(A2694="2020-12", ISNA(MATCH(B2694, _xlfn._xlws.FILTER(B:B, A:A="2021-01"), 0))), "Left", "Ativo")</f>
        <v>Ativo</v>
      </c>
      <c r="D2694" s="10" t="str" cm="1">
        <f t="array" ref="D2694">IF(AND(A2694="2021-01", ISNA(MATCH(B2694, _xlfn._xlws.FILTER(B:B, A:A="2021-02"), 0))), "Left", "Ativo")</f>
        <v>Ativo</v>
      </c>
      <c r="E2694" s="10" t="str" cm="1">
        <f t="array" ref="E2694">IF(AND(A2694="2021-02", ISNA(MATCH(B2694, _xlfn._xlws.FILTER(B:B, A:A="2021-03"), 0))), "Left", "Ativo")</f>
        <v>Ativo</v>
      </c>
      <c r="F2694" s="12" t="str" cm="1">
        <f t="array" ref="F2694">IF(AND(A2694="2021-03", ISNA(MATCH(B2694, _xlfn._xlws.FILTER(B:B, A:A="2021-04"), 0))), "Left", "Ativo")</f>
        <v>Ativo</v>
      </c>
    </row>
    <row r="2695" spans="1:6" x14ac:dyDescent="0.25">
      <c r="A2695" t="s">
        <v>1530</v>
      </c>
      <c r="B2695" t="s">
        <v>1062</v>
      </c>
      <c r="C2695" s="10" t="str" cm="1">
        <f t="array" ref="C2695">IF(AND(A2695="2020-12", ISNA(MATCH(B2695, _xlfn._xlws.FILTER(B:B, A:A="2021-01"), 0))), "Left", "Ativo")</f>
        <v>Ativo</v>
      </c>
      <c r="D2695" s="10" t="str" cm="1">
        <f t="array" ref="D2695">IF(AND(A2695="2021-01", ISNA(MATCH(B2695, _xlfn._xlws.FILTER(B:B, A:A="2021-02"), 0))), "Left", "Ativo")</f>
        <v>Ativo</v>
      </c>
      <c r="E2695" s="10" t="str" cm="1">
        <f t="array" ref="E2695">IF(AND(A2695="2021-02", ISNA(MATCH(B2695, _xlfn._xlws.FILTER(B:B, A:A="2021-03"), 0))), "Left", "Ativo")</f>
        <v>Ativo</v>
      </c>
      <c r="F2695" s="12" t="str" cm="1">
        <f t="array" ref="F2695">IF(AND(A2695="2021-03", ISNA(MATCH(B2695, _xlfn._xlws.FILTER(B:B, A:A="2021-04"), 0))), "Left", "Ativo")</f>
        <v>Ativo</v>
      </c>
    </row>
    <row r="2696" spans="1:6" x14ac:dyDescent="0.25">
      <c r="A2696" t="s">
        <v>1530</v>
      </c>
      <c r="B2696" t="s">
        <v>1063</v>
      </c>
      <c r="C2696" s="10" t="str" cm="1">
        <f t="array" ref="C2696">IF(AND(A2696="2020-12", ISNA(MATCH(B2696, _xlfn._xlws.FILTER(B:B, A:A="2021-01"), 0))), "Left", "Ativo")</f>
        <v>Ativo</v>
      </c>
      <c r="D2696" s="10" t="str" cm="1">
        <f t="array" ref="D2696">IF(AND(A2696="2021-01", ISNA(MATCH(B2696, _xlfn._xlws.FILTER(B:B, A:A="2021-02"), 0))), "Left", "Ativo")</f>
        <v>Ativo</v>
      </c>
      <c r="E2696" s="10" t="str" cm="1">
        <f t="array" ref="E2696">IF(AND(A2696="2021-02", ISNA(MATCH(B2696, _xlfn._xlws.FILTER(B:B, A:A="2021-03"), 0))), "Left", "Ativo")</f>
        <v>Ativo</v>
      </c>
      <c r="F2696" s="12" t="str" cm="1">
        <f t="array" ref="F2696">IF(AND(A2696="2021-03", ISNA(MATCH(B2696, _xlfn._xlws.FILTER(B:B, A:A="2021-04"), 0))), "Left", "Ativo")</f>
        <v>Ativo</v>
      </c>
    </row>
    <row r="2697" spans="1:6" x14ac:dyDescent="0.25">
      <c r="A2697" t="s">
        <v>1530</v>
      </c>
      <c r="B2697" t="s">
        <v>1064</v>
      </c>
      <c r="C2697" s="10" t="str" cm="1">
        <f t="array" ref="C2697">IF(AND(A2697="2020-12", ISNA(MATCH(B2697, _xlfn._xlws.FILTER(B:B, A:A="2021-01"), 0))), "Left", "Ativo")</f>
        <v>Ativo</v>
      </c>
      <c r="D2697" s="10" t="str" cm="1">
        <f t="array" ref="D2697">IF(AND(A2697="2021-01", ISNA(MATCH(B2697, _xlfn._xlws.FILTER(B:B, A:A="2021-02"), 0))), "Left", "Ativo")</f>
        <v>Ativo</v>
      </c>
      <c r="E2697" s="10" t="str" cm="1">
        <f t="array" ref="E2697">IF(AND(A2697="2021-02", ISNA(MATCH(B2697, _xlfn._xlws.FILTER(B:B, A:A="2021-03"), 0))), "Left", "Ativo")</f>
        <v>Ativo</v>
      </c>
      <c r="F2697" s="12" t="str" cm="1">
        <f t="array" ref="F2697">IF(AND(A2697="2021-03", ISNA(MATCH(B2697, _xlfn._xlws.FILTER(B:B, A:A="2021-04"), 0))), "Left", "Ativo")</f>
        <v>Ativo</v>
      </c>
    </row>
    <row r="2698" spans="1:6" x14ac:dyDescent="0.25">
      <c r="A2698" t="s">
        <v>1530</v>
      </c>
      <c r="B2698" t="s">
        <v>1065</v>
      </c>
      <c r="C2698" s="10" t="str" cm="1">
        <f t="array" ref="C2698">IF(AND(A2698="2020-12", ISNA(MATCH(B2698, _xlfn._xlws.FILTER(B:B, A:A="2021-01"), 0))), "Left", "Ativo")</f>
        <v>Ativo</v>
      </c>
      <c r="D2698" s="10" t="str" cm="1">
        <f t="array" ref="D2698">IF(AND(A2698="2021-01", ISNA(MATCH(B2698, _xlfn._xlws.FILTER(B:B, A:A="2021-02"), 0))), "Left", "Ativo")</f>
        <v>Ativo</v>
      </c>
      <c r="E2698" s="10" t="str" cm="1">
        <f t="array" ref="E2698">IF(AND(A2698="2021-02", ISNA(MATCH(B2698, _xlfn._xlws.FILTER(B:B, A:A="2021-03"), 0))), "Left", "Ativo")</f>
        <v>Ativo</v>
      </c>
      <c r="F2698" s="12" t="str" cm="1">
        <f t="array" ref="F2698">IF(AND(A2698="2021-03", ISNA(MATCH(B2698, _xlfn._xlws.FILTER(B:B, A:A="2021-04"), 0))), "Left", "Ativo")</f>
        <v>Ativo</v>
      </c>
    </row>
    <row r="2699" spans="1:6" x14ac:dyDescent="0.25">
      <c r="A2699" t="s">
        <v>1530</v>
      </c>
      <c r="B2699" t="s">
        <v>1066</v>
      </c>
      <c r="C2699" s="10" t="str" cm="1">
        <f t="array" ref="C2699">IF(AND(A2699="2020-12", ISNA(MATCH(B2699, _xlfn._xlws.FILTER(B:B, A:A="2021-01"), 0))), "Left", "Ativo")</f>
        <v>Ativo</v>
      </c>
      <c r="D2699" s="10" t="str" cm="1">
        <f t="array" ref="D2699">IF(AND(A2699="2021-01", ISNA(MATCH(B2699, _xlfn._xlws.FILTER(B:B, A:A="2021-02"), 0))), "Left", "Ativo")</f>
        <v>Ativo</v>
      </c>
      <c r="E2699" s="10" t="str" cm="1">
        <f t="array" ref="E2699">IF(AND(A2699="2021-02", ISNA(MATCH(B2699, _xlfn._xlws.FILTER(B:B, A:A="2021-03"), 0))), "Left", "Ativo")</f>
        <v>Ativo</v>
      </c>
      <c r="F2699" s="12" t="str" cm="1">
        <f t="array" ref="F2699">IF(AND(A2699="2021-03", ISNA(MATCH(B2699, _xlfn._xlws.FILTER(B:B, A:A="2021-04"), 0))), "Left", "Ativo")</f>
        <v>Ativo</v>
      </c>
    </row>
    <row r="2700" spans="1:6" x14ac:dyDescent="0.25">
      <c r="A2700" t="s">
        <v>1530</v>
      </c>
      <c r="B2700" t="s">
        <v>1067</v>
      </c>
      <c r="C2700" s="10" t="str" cm="1">
        <f t="array" ref="C2700">IF(AND(A2700="2020-12", ISNA(MATCH(B2700, _xlfn._xlws.FILTER(B:B, A:A="2021-01"), 0))), "Left", "Ativo")</f>
        <v>Ativo</v>
      </c>
      <c r="D2700" s="10" t="str" cm="1">
        <f t="array" ref="D2700">IF(AND(A2700="2021-01", ISNA(MATCH(B2700, _xlfn._xlws.FILTER(B:B, A:A="2021-02"), 0))), "Left", "Ativo")</f>
        <v>Ativo</v>
      </c>
      <c r="E2700" s="10" t="str" cm="1">
        <f t="array" ref="E2700">IF(AND(A2700="2021-02", ISNA(MATCH(B2700, _xlfn._xlws.FILTER(B:B, A:A="2021-03"), 0))), "Left", "Ativo")</f>
        <v>Ativo</v>
      </c>
      <c r="F2700" s="12" t="str" cm="1">
        <f t="array" ref="F2700">IF(AND(A2700="2021-03", ISNA(MATCH(B2700, _xlfn._xlws.FILTER(B:B, A:A="2021-04"), 0))), "Left", "Ativo")</f>
        <v>Ativo</v>
      </c>
    </row>
    <row r="2701" spans="1:6" x14ac:dyDescent="0.25">
      <c r="A2701" t="s">
        <v>1530</v>
      </c>
      <c r="B2701" t="s">
        <v>1068</v>
      </c>
      <c r="C2701" s="10" t="str" cm="1">
        <f t="array" ref="C2701">IF(AND(A2701="2020-12", ISNA(MATCH(B2701, _xlfn._xlws.FILTER(B:B, A:A="2021-01"), 0))), "Left", "Ativo")</f>
        <v>Ativo</v>
      </c>
      <c r="D2701" s="10" t="str" cm="1">
        <f t="array" ref="D2701">IF(AND(A2701="2021-01", ISNA(MATCH(B2701, _xlfn._xlws.FILTER(B:B, A:A="2021-02"), 0))), "Left", "Ativo")</f>
        <v>Ativo</v>
      </c>
      <c r="E2701" s="10" t="str" cm="1">
        <f t="array" ref="E2701">IF(AND(A2701="2021-02", ISNA(MATCH(B2701, _xlfn._xlws.FILTER(B:B, A:A="2021-03"), 0))), "Left", "Ativo")</f>
        <v>Ativo</v>
      </c>
      <c r="F2701" s="12" t="str" cm="1">
        <f t="array" ref="F2701">IF(AND(A2701="2021-03", ISNA(MATCH(B2701, _xlfn._xlws.FILTER(B:B, A:A="2021-04"), 0))), "Left", "Ativo")</f>
        <v>Ativo</v>
      </c>
    </row>
    <row r="2702" spans="1:6" x14ac:dyDescent="0.25">
      <c r="A2702" t="s">
        <v>1530</v>
      </c>
      <c r="B2702" t="s">
        <v>1069</v>
      </c>
      <c r="C2702" s="10" t="str" cm="1">
        <f t="array" ref="C2702">IF(AND(A2702="2020-12", ISNA(MATCH(B2702, _xlfn._xlws.FILTER(B:B, A:A="2021-01"), 0))), "Left", "Ativo")</f>
        <v>Ativo</v>
      </c>
      <c r="D2702" s="10" t="str" cm="1">
        <f t="array" ref="D2702">IF(AND(A2702="2021-01", ISNA(MATCH(B2702, _xlfn._xlws.FILTER(B:B, A:A="2021-02"), 0))), "Left", "Ativo")</f>
        <v>Ativo</v>
      </c>
      <c r="E2702" s="10" t="str" cm="1">
        <f t="array" ref="E2702">IF(AND(A2702="2021-02", ISNA(MATCH(B2702, _xlfn._xlws.FILTER(B:B, A:A="2021-03"), 0))), "Left", "Ativo")</f>
        <v>Ativo</v>
      </c>
      <c r="F2702" s="12" t="str" cm="1">
        <f t="array" ref="F2702">IF(AND(A2702="2021-03", ISNA(MATCH(B2702, _xlfn._xlws.FILTER(B:B, A:A="2021-04"), 0))), "Left", "Ativo")</f>
        <v>Ativo</v>
      </c>
    </row>
    <row r="2703" spans="1:6" x14ac:dyDescent="0.25">
      <c r="A2703" t="s">
        <v>1530</v>
      </c>
      <c r="B2703" t="s">
        <v>763</v>
      </c>
      <c r="C2703" s="10" t="str" cm="1">
        <f t="array" ref="C2703">IF(AND(A2703="2020-12", ISNA(MATCH(B2703, _xlfn._xlws.FILTER(B:B, A:A="2021-01"), 0))), "Left", "Ativo")</f>
        <v>Ativo</v>
      </c>
      <c r="D2703" s="10" t="str" cm="1">
        <f t="array" ref="D2703">IF(AND(A2703="2021-01", ISNA(MATCH(B2703, _xlfn._xlws.FILTER(B:B, A:A="2021-02"), 0))), "Left", "Ativo")</f>
        <v>Ativo</v>
      </c>
      <c r="E2703" s="10" t="str" cm="1">
        <f t="array" ref="E2703">IF(AND(A2703="2021-02", ISNA(MATCH(B2703, _xlfn._xlws.FILTER(B:B, A:A="2021-03"), 0))), "Left", "Ativo")</f>
        <v>Ativo</v>
      </c>
      <c r="F2703" s="12" t="str" cm="1">
        <f t="array" ref="F2703">IF(AND(A2703="2021-03", ISNA(MATCH(B2703, _xlfn._xlws.FILTER(B:B, A:A="2021-04"), 0))), "Left", "Ativo")</f>
        <v>Ativo</v>
      </c>
    </row>
    <row r="2704" spans="1:6" x14ac:dyDescent="0.25">
      <c r="A2704" t="s">
        <v>1530</v>
      </c>
      <c r="B2704" t="s">
        <v>764</v>
      </c>
      <c r="C2704" s="10" t="str" cm="1">
        <f t="array" ref="C2704">IF(AND(A2704="2020-12", ISNA(MATCH(B2704, _xlfn._xlws.FILTER(B:B, A:A="2021-01"), 0))), "Left", "Ativo")</f>
        <v>Ativo</v>
      </c>
      <c r="D2704" s="10" t="str" cm="1">
        <f t="array" ref="D2704">IF(AND(A2704="2021-01", ISNA(MATCH(B2704, _xlfn._xlws.FILTER(B:B, A:A="2021-02"), 0))), "Left", "Ativo")</f>
        <v>Ativo</v>
      </c>
      <c r="E2704" s="10" t="str" cm="1">
        <f t="array" ref="E2704">IF(AND(A2704="2021-02", ISNA(MATCH(B2704, _xlfn._xlws.FILTER(B:B, A:A="2021-03"), 0))), "Left", "Ativo")</f>
        <v>Ativo</v>
      </c>
      <c r="F2704" s="12" t="str" cm="1">
        <f t="array" ref="F2704">IF(AND(A2704="2021-03", ISNA(MATCH(B2704, _xlfn._xlws.FILTER(B:B, A:A="2021-04"), 0))), "Left", "Ativo")</f>
        <v>Ativo</v>
      </c>
    </row>
    <row r="2705" spans="1:6" x14ac:dyDescent="0.25">
      <c r="A2705" t="s">
        <v>1530</v>
      </c>
      <c r="B2705" t="s">
        <v>765</v>
      </c>
      <c r="C2705" s="10" t="str" cm="1">
        <f t="array" ref="C2705">IF(AND(A2705="2020-12", ISNA(MATCH(B2705, _xlfn._xlws.FILTER(B:B, A:A="2021-01"), 0))), "Left", "Ativo")</f>
        <v>Ativo</v>
      </c>
      <c r="D2705" s="10" t="str" cm="1">
        <f t="array" ref="D2705">IF(AND(A2705="2021-01", ISNA(MATCH(B2705, _xlfn._xlws.FILTER(B:B, A:A="2021-02"), 0))), "Left", "Ativo")</f>
        <v>Ativo</v>
      </c>
      <c r="E2705" s="10" t="str" cm="1">
        <f t="array" ref="E2705">IF(AND(A2705="2021-02", ISNA(MATCH(B2705, _xlfn._xlws.FILTER(B:B, A:A="2021-03"), 0))), "Left", "Ativo")</f>
        <v>Ativo</v>
      </c>
      <c r="F2705" s="12" t="str" cm="1">
        <f t="array" ref="F2705">IF(AND(A2705="2021-03", ISNA(MATCH(B2705, _xlfn._xlws.FILTER(B:B, A:A="2021-04"), 0))), "Left", "Ativo")</f>
        <v>Ativo</v>
      </c>
    </row>
    <row r="2706" spans="1:6" x14ac:dyDescent="0.25">
      <c r="A2706" t="s">
        <v>1530</v>
      </c>
      <c r="B2706" t="s">
        <v>766</v>
      </c>
      <c r="C2706" s="10" t="str" cm="1">
        <f t="array" ref="C2706">IF(AND(A2706="2020-12", ISNA(MATCH(B2706, _xlfn._xlws.FILTER(B:B, A:A="2021-01"), 0))), "Left", "Ativo")</f>
        <v>Ativo</v>
      </c>
      <c r="D2706" s="10" t="str" cm="1">
        <f t="array" ref="D2706">IF(AND(A2706="2021-01", ISNA(MATCH(B2706, _xlfn._xlws.FILTER(B:B, A:A="2021-02"), 0))), "Left", "Ativo")</f>
        <v>Ativo</v>
      </c>
      <c r="E2706" s="10" t="str" cm="1">
        <f t="array" ref="E2706">IF(AND(A2706="2021-02", ISNA(MATCH(B2706, _xlfn._xlws.FILTER(B:B, A:A="2021-03"), 0))), "Left", "Ativo")</f>
        <v>Left</v>
      </c>
      <c r="F2706" s="12" t="str" cm="1">
        <f t="array" ref="F2706">IF(AND(A2706="2021-03", ISNA(MATCH(B2706, _xlfn._xlws.FILTER(B:B, A:A="2021-04"), 0))), "Left", "Ativo")</f>
        <v>Ativo</v>
      </c>
    </row>
    <row r="2707" spans="1:6" x14ac:dyDescent="0.25">
      <c r="A2707" t="s">
        <v>1530</v>
      </c>
      <c r="B2707" t="s">
        <v>767</v>
      </c>
      <c r="C2707" s="10" t="str" cm="1">
        <f t="array" ref="C2707">IF(AND(A2707="2020-12", ISNA(MATCH(B2707, _xlfn._xlws.FILTER(B:B, A:A="2021-01"), 0))), "Left", "Ativo")</f>
        <v>Ativo</v>
      </c>
      <c r="D2707" s="10" t="str" cm="1">
        <f t="array" ref="D2707">IF(AND(A2707="2021-01", ISNA(MATCH(B2707, _xlfn._xlws.FILTER(B:B, A:A="2021-02"), 0))), "Left", "Ativo")</f>
        <v>Ativo</v>
      </c>
      <c r="E2707" s="10" t="str" cm="1">
        <f t="array" ref="E2707">IF(AND(A2707="2021-02", ISNA(MATCH(B2707, _xlfn._xlws.FILTER(B:B, A:A="2021-03"), 0))), "Left", "Ativo")</f>
        <v>Left</v>
      </c>
      <c r="F2707" s="12" t="str" cm="1">
        <f t="array" ref="F2707">IF(AND(A2707="2021-03", ISNA(MATCH(B2707, _xlfn._xlws.FILTER(B:B, A:A="2021-04"), 0))), "Left", "Ativo")</f>
        <v>Ativo</v>
      </c>
    </row>
    <row r="2708" spans="1:6" x14ac:dyDescent="0.25">
      <c r="A2708" t="s">
        <v>1530</v>
      </c>
      <c r="B2708" t="s">
        <v>768</v>
      </c>
      <c r="C2708" s="10" t="str" cm="1">
        <f t="array" ref="C2708">IF(AND(A2708="2020-12", ISNA(MATCH(B2708, _xlfn._xlws.FILTER(B:B, A:A="2021-01"), 0))), "Left", "Ativo")</f>
        <v>Ativo</v>
      </c>
      <c r="D2708" s="10" t="str" cm="1">
        <f t="array" ref="D2708">IF(AND(A2708="2021-01", ISNA(MATCH(B2708, _xlfn._xlws.FILTER(B:B, A:A="2021-02"), 0))), "Left", "Ativo")</f>
        <v>Ativo</v>
      </c>
      <c r="E2708" s="10" t="str" cm="1">
        <f t="array" ref="E2708">IF(AND(A2708="2021-02", ISNA(MATCH(B2708, _xlfn._xlws.FILTER(B:B, A:A="2021-03"), 0))), "Left", "Ativo")</f>
        <v>Left</v>
      </c>
      <c r="F2708" s="12" t="str" cm="1">
        <f t="array" ref="F2708">IF(AND(A2708="2021-03", ISNA(MATCH(B2708, _xlfn._xlws.FILTER(B:B, A:A="2021-04"), 0))), "Left", "Ativo")</f>
        <v>Ativo</v>
      </c>
    </row>
    <row r="2709" spans="1:6" x14ac:dyDescent="0.25">
      <c r="A2709" t="s">
        <v>1530</v>
      </c>
      <c r="B2709" t="s">
        <v>769</v>
      </c>
      <c r="C2709" s="10" t="str" cm="1">
        <f t="array" ref="C2709">IF(AND(A2709="2020-12", ISNA(MATCH(B2709, _xlfn._xlws.FILTER(B:B, A:A="2021-01"), 0))), "Left", "Ativo")</f>
        <v>Ativo</v>
      </c>
      <c r="D2709" s="10" t="str" cm="1">
        <f t="array" ref="D2709">IF(AND(A2709="2021-01", ISNA(MATCH(B2709, _xlfn._xlws.FILTER(B:B, A:A="2021-02"), 0))), "Left", "Ativo")</f>
        <v>Ativo</v>
      </c>
      <c r="E2709" s="10" t="str" cm="1">
        <f t="array" ref="E2709">IF(AND(A2709="2021-02", ISNA(MATCH(B2709, _xlfn._xlws.FILTER(B:B, A:A="2021-03"), 0))), "Left", "Ativo")</f>
        <v>Left</v>
      </c>
      <c r="F2709" s="12" t="str" cm="1">
        <f t="array" ref="F2709">IF(AND(A2709="2021-03", ISNA(MATCH(B2709, _xlfn._xlws.FILTER(B:B, A:A="2021-04"), 0))), "Left", "Ativo")</f>
        <v>Ativo</v>
      </c>
    </row>
    <row r="2710" spans="1:6" x14ac:dyDescent="0.25">
      <c r="A2710" t="s">
        <v>1530</v>
      </c>
      <c r="B2710" t="s">
        <v>770</v>
      </c>
      <c r="C2710" s="10" t="str" cm="1">
        <f t="array" ref="C2710">IF(AND(A2710="2020-12", ISNA(MATCH(B2710, _xlfn._xlws.FILTER(B:B, A:A="2021-01"), 0))), "Left", "Ativo")</f>
        <v>Ativo</v>
      </c>
      <c r="D2710" s="10" t="str" cm="1">
        <f t="array" ref="D2710">IF(AND(A2710="2021-01", ISNA(MATCH(B2710, _xlfn._xlws.FILTER(B:B, A:A="2021-02"), 0))), "Left", "Ativo")</f>
        <v>Ativo</v>
      </c>
      <c r="E2710" s="10" t="str" cm="1">
        <f t="array" ref="E2710">IF(AND(A2710="2021-02", ISNA(MATCH(B2710, _xlfn._xlws.FILTER(B:B, A:A="2021-03"), 0))), "Left", "Ativo")</f>
        <v>Ativo</v>
      </c>
      <c r="F2710" s="12" t="str" cm="1">
        <f t="array" ref="F2710">IF(AND(A2710="2021-03", ISNA(MATCH(B2710, _xlfn._xlws.FILTER(B:B, A:A="2021-04"), 0))), "Left", "Ativo")</f>
        <v>Ativo</v>
      </c>
    </row>
    <row r="2711" spans="1:6" x14ac:dyDescent="0.25">
      <c r="A2711" t="s">
        <v>1530</v>
      </c>
      <c r="B2711" t="s">
        <v>771</v>
      </c>
      <c r="C2711" s="10" t="str" cm="1">
        <f t="array" ref="C2711">IF(AND(A2711="2020-12", ISNA(MATCH(B2711, _xlfn._xlws.FILTER(B:B, A:A="2021-01"), 0))), "Left", "Ativo")</f>
        <v>Ativo</v>
      </c>
      <c r="D2711" s="10" t="str" cm="1">
        <f t="array" ref="D2711">IF(AND(A2711="2021-01", ISNA(MATCH(B2711, _xlfn._xlws.FILTER(B:B, A:A="2021-02"), 0))), "Left", "Ativo")</f>
        <v>Ativo</v>
      </c>
      <c r="E2711" s="10" t="str" cm="1">
        <f t="array" ref="E2711">IF(AND(A2711="2021-02", ISNA(MATCH(B2711, _xlfn._xlws.FILTER(B:B, A:A="2021-03"), 0))), "Left", "Ativo")</f>
        <v>Ativo</v>
      </c>
      <c r="F2711" s="12" t="str" cm="1">
        <f t="array" ref="F2711">IF(AND(A2711="2021-03", ISNA(MATCH(B2711, _xlfn._xlws.FILTER(B:B, A:A="2021-04"), 0))), "Left", "Ativo")</f>
        <v>Ativo</v>
      </c>
    </row>
    <row r="2712" spans="1:6" x14ac:dyDescent="0.25">
      <c r="A2712" t="s">
        <v>1530</v>
      </c>
      <c r="B2712" t="s">
        <v>772</v>
      </c>
      <c r="C2712" s="10" t="str" cm="1">
        <f t="array" ref="C2712">IF(AND(A2712="2020-12", ISNA(MATCH(B2712, _xlfn._xlws.FILTER(B:B, A:A="2021-01"), 0))), "Left", "Ativo")</f>
        <v>Ativo</v>
      </c>
      <c r="D2712" s="10" t="str" cm="1">
        <f t="array" ref="D2712">IF(AND(A2712="2021-01", ISNA(MATCH(B2712, _xlfn._xlws.FILTER(B:B, A:A="2021-02"), 0))), "Left", "Ativo")</f>
        <v>Ativo</v>
      </c>
      <c r="E2712" s="10" t="str" cm="1">
        <f t="array" ref="E2712">IF(AND(A2712="2021-02", ISNA(MATCH(B2712, _xlfn._xlws.FILTER(B:B, A:A="2021-03"), 0))), "Left", "Ativo")</f>
        <v>Ativo</v>
      </c>
      <c r="F2712" s="12" t="str" cm="1">
        <f t="array" ref="F2712">IF(AND(A2712="2021-03", ISNA(MATCH(B2712, _xlfn._xlws.FILTER(B:B, A:A="2021-04"), 0))), "Left", "Ativo")</f>
        <v>Ativo</v>
      </c>
    </row>
    <row r="2713" spans="1:6" x14ac:dyDescent="0.25">
      <c r="A2713" t="s">
        <v>1530</v>
      </c>
      <c r="B2713" t="s">
        <v>773</v>
      </c>
      <c r="C2713" s="10" t="str" cm="1">
        <f t="array" ref="C2713">IF(AND(A2713="2020-12", ISNA(MATCH(B2713, _xlfn._xlws.FILTER(B:B, A:A="2021-01"), 0))), "Left", "Ativo")</f>
        <v>Ativo</v>
      </c>
      <c r="D2713" s="10" t="str" cm="1">
        <f t="array" ref="D2713">IF(AND(A2713="2021-01", ISNA(MATCH(B2713, _xlfn._xlws.FILTER(B:B, A:A="2021-02"), 0))), "Left", "Ativo")</f>
        <v>Ativo</v>
      </c>
      <c r="E2713" s="10" t="str" cm="1">
        <f t="array" ref="E2713">IF(AND(A2713="2021-02", ISNA(MATCH(B2713, _xlfn._xlws.FILTER(B:B, A:A="2021-03"), 0))), "Left", "Ativo")</f>
        <v>Ativo</v>
      </c>
      <c r="F2713" s="12" t="str" cm="1">
        <f t="array" ref="F2713">IF(AND(A2713="2021-03", ISNA(MATCH(B2713, _xlfn._xlws.FILTER(B:B, A:A="2021-04"), 0))), "Left", "Ativo")</f>
        <v>Ativo</v>
      </c>
    </row>
    <row r="2714" spans="1:6" x14ac:dyDescent="0.25">
      <c r="A2714" t="s">
        <v>1530</v>
      </c>
      <c r="B2714" t="s">
        <v>774</v>
      </c>
      <c r="C2714" s="10" t="str" cm="1">
        <f t="array" ref="C2714">IF(AND(A2714="2020-12", ISNA(MATCH(B2714, _xlfn._xlws.FILTER(B:B, A:A="2021-01"), 0))), "Left", "Ativo")</f>
        <v>Ativo</v>
      </c>
      <c r="D2714" s="10" t="str" cm="1">
        <f t="array" ref="D2714">IF(AND(A2714="2021-01", ISNA(MATCH(B2714, _xlfn._xlws.FILTER(B:B, A:A="2021-02"), 0))), "Left", "Ativo")</f>
        <v>Ativo</v>
      </c>
      <c r="E2714" s="10" t="str" cm="1">
        <f t="array" ref="E2714">IF(AND(A2714="2021-02", ISNA(MATCH(B2714, _xlfn._xlws.FILTER(B:B, A:A="2021-03"), 0))), "Left", "Ativo")</f>
        <v>Ativo</v>
      </c>
      <c r="F2714" s="12" t="str" cm="1">
        <f t="array" ref="F2714">IF(AND(A2714="2021-03", ISNA(MATCH(B2714, _xlfn._xlws.FILTER(B:B, A:A="2021-04"), 0))), "Left", "Ativo")</f>
        <v>Ativo</v>
      </c>
    </row>
    <row r="2715" spans="1:6" x14ac:dyDescent="0.25">
      <c r="A2715" t="s">
        <v>1530</v>
      </c>
      <c r="B2715" t="s">
        <v>775</v>
      </c>
      <c r="C2715" s="10" t="str" cm="1">
        <f t="array" ref="C2715">IF(AND(A2715="2020-12", ISNA(MATCH(B2715, _xlfn._xlws.FILTER(B:B, A:A="2021-01"), 0))), "Left", "Ativo")</f>
        <v>Ativo</v>
      </c>
      <c r="D2715" s="10" t="str" cm="1">
        <f t="array" ref="D2715">IF(AND(A2715="2021-01", ISNA(MATCH(B2715, _xlfn._xlws.FILTER(B:B, A:A="2021-02"), 0))), "Left", "Ativo")</f>
        <v>Ativo</v>
      </c>
      <c r="E2715" s="10" t="str" cm="1">
        <f t="array" ref="E2715">IF(AND(A2715="2021-02", ISNA(MATCH(B2715, _xlfn._xlws.FILTER(B:B, A:A="2021-03"), 0))), "Left", "Ativo")</f>
        <v>Ativo</v>
      </c>
      <c r="F2715" s="12" t="str" cm="1">
        <f t="array" ref="F2715">IF(AND(A2715="2021-03", ISNA(MATCH(B2715, _xlfn._xlws.FILTER(B:B, A:A="2021-04"), 0))), "Left", "Ativo")</f>
        <v>Ativo</v>
      </c>
    </row>
    <row r="2716" spans="1:6" x14ac:dyDescent="0.25">
      <c r="A2716" t="s">
        <v>1530</v>
      </c>
      <c r="B2716" t="s">
        <v>776</v>
      </c>
      <c r="C2716" s="10" t="str" cm="1">
        <f t="array" ref="C2716">IF(AND(A2716="2020-12", ISNA(MATCH(B2716, _xlfn._xlws.FILTER(B:B, A:A="2021-01"), 0))), "Left", "Ativo")</f>
        <v>Ativo</v>
      </c>
      <c r="D2716" s="10" t="str" cm="1">
        <f t="array" ref="D2716">IF(AND(A2716="2021-01", ISNA(MATCH(B2716, _xlfn._xlws.FILTER(B:B, A:A="2021-02"), 0))), "Left", "Ativo")</f>
        <v>Ativo</v>
      </c>
      <c r="E2716" s="10" t="str" cm="1">
        <f t="array" ref="E2716">IF(AND(A2716="2021-02", ISNA(MATCH(B2716, _xlfn._xlws.FILTER(B:B, A:A="2021-03"), 0))), "Left", "Ativo")</f>
        <v>Ativo</v>
      </c>
      <c r="F2716" s="12" t="str" cm="1">
        <f t="array" ref="F2716">IF(AND(A2716="2021-03", ISNA(MATCH(B2716, _xlfn._xlws.FILTER(B:B, A:A="2021-04"), 0))), "Left", "Ativo")</f>
        <v>Ativo</v>
      </c>
    </row>
    <row r="2717" spans="1:6" x14ac:dyDescent="0.25">
      <c r="A2717" t="s">
        <v>1530</v>
      </c>
      <c r="B2717" t="s">
        <v>777</v>
      </c>
      <c r="C2717" s="10" t="str" cm="1">
        <f t="array" ref="C2717">IF(AND(A2717="2020-12", ISNA(MATCH(B2717, _xlfn._xlws.FILTER(B:B, A:A="2021-01"), 0))), "Left", "Ativo")</f>
        <v>Ativo</v>
      </c>
      <c r="D2717" s="10" t="str" cm="1">
        <f t="array" ref="D2717">IF(AND(A2717="2021-01", ISNA(MATCH(B2717, _xlfn._xlws.FILTER(B:B, A:A="2021-02"), 0))), "Left", "Ativo")</f>
        <v>Ativo</v>
      </c>
      <c r="E2717" s="10" t="str" cm="1">
        <f t="array" ref="E2717">IF(AND(A2717="2021-02", ISNA(MATCH(B2717, _xlfn._xlws.FILTER(B:B, A:A="2021-03"), 0))), "Left", "Ativo")</f>
        <v>Ativo</v>
      </c>
      <c r="F2717" s="12" t="str" cm="1">
        <f t="array" ref="F2717">IF(AND(A2717="2021-03", ISNA(MATCH(B2717, _xlfn._xlws.FILTER(B:B, A:A="2021-04"), 0))), "Left", "Ativo")</f>
        <v>Ativo</v>
      </c>
    </row>
    <row r="2718" spans="1:6" x14ac:dyDescent="0.25">
      <c r="A2718" t="s">
        <v>1530</v>
      </c>
      <c r="B2718" t="s">
        <v>778</v>
      </c>
      <c r="C2718" s="10" t="str" cm="1">
        <f t="array" ref="C2718">IF(AND(A2718="2020-12", ISNA(MATCH(B2718, _xlfn._xlws.FILTER(B:B, A:A="2021-01"), 0))), "Left", "Ativo")</f>
        <v>Ativo</v>
      </c>
      <c r="D2718" s="10" t="str" cm="1">
        <f t="array" ref="D2718">IF(AND(A2718="2021-01", ISNA(MATCH(B2718, _xlfn._xlws.FILTER(B:B, A:A="2021-02"), 0))), "Left", "Ativo")</f>
        <v>Ativo</v>
      </c>
      <c r="E2718" s="10" t="str" cm="1">
        <f t="array" ref="E2718">IF(AND(A2718="2021-02", ISNA(MATCH(B2718, _xlfn._xlws.FILTER(B:B, A:A="2021-03"), 0))), "Left", "Ativo")</f>
        <v>Ativo</v>
      </c>
      <c r="F2718" s="12" t="str" cm="1">
        <f t="array" ref="F2718">IF(AND(A2718="2021-03", ISNA(MATCH(B2718, _xlfn._xlws.FILTER(B:B, A:A="2021-04"), 0))), "Left", "Ativo")</f>
        <v>Ativo</v>
      </c>
    </row>
    <row r="2719" spans="1:6" x14ac:dyDescent="0.25">
      <c r="A2719" t="s">
        <v>1530</v>
      </c>
      <c r="B2719" t="s">
        <v>779</v>
      </c>
      <c r="C2719" s="10" t="str" cm="1">
        <f t="array" ref="C2719">IF(AND(A2719="2020-12", ISNA(MATCH(B2719, _xlfn._xlws.FILTER(B:B, A:A="2021-01"), 0))), "Left", "Ativo")</f>
        <v>Ativo</v>
      </c>
      <c r="D2719" s="10" t="str" cm="1">
        <f t="array" ref="D2719">IF(AND(A2719="2021-01", ISNA(MATCH(B2719, _xlfn._xlws.FILTER(B:B, A:A="2021-02"), 0))), "Left", "Ativo")</f>
        <v>Ativo</v>
      </c>
      <c r="E2719" s="10" t="str" cm="1">
        <f t="array" ref="E2719">IF(AND(A2719="2021-02", ISNA(MATCH(B2719, _xlfn._xlws.FILTER(B:B, A:A="2021-03"), 0))), "Left", "Ativo")</f>
        <v>Ativo</v>
      </c>
      <c r="F2719" s="12" t="str" cm="1">
        <f t="array" ref="F2719">IF(AND(A2719="2021-03", ISNA(MATCH(B2719, _xlfn._xlws.FILTER(B:B, A:A="2021-04"), 0))), "Left", "Ativo")</f>
        <v>Ativo</v>
      </c>
    </row>
    <row r="2720" spans="1:6" x14ac:dyDescent="0.25">
      <c r="A2720" t="s">
        <v>1530</v>
      </c>
      <c r="B2720" t="s">
        <v>780</v>
      </c>
      <c r="C2720" s="10" t="str" cm="1">
        <f t="array" ref="C2720">IF(AND(A2720="2020-12", ISNA(MATCH(B2720, _xlfn._xlws.FILTER(B:B, A:A="2021-01"), 0))), "Left", "Ativo")</f>
        <v>Ativo</v>
      </c>
      <c r="D2720" s="10" t="str" cm="1">
        <f t="array" ref="D2720">IF(AND(A2720="2021-01", ISNA(MATCH(B2720, _xlfn._xlws.FILTER(B:B, A:A="2021-02"), 0))), "Left", "Ativo")</f>
        <v>Ativo</v>
      </c>
      <c r="E2720" s="10" t="str" cm="1">
        <f t="array" ref="E2720">IF(AND(A2720="2021-02", ISNA(MATCH(B2720, _xlfn._xlws.FILTER(B:B, A:A="2021-03"), 0))), "Left", "Ativo")</f>
        <v>Ativo</v>
      </c>
      <c r="F2720" s="12" t="str" cm="1">
        <f t="array" ref="F2720">IF(AND(A2720="2021-03", ISNA(MATCH(B2720, _xlfn._xlws.FILTER(B:B, A:A="2021-04"), 0))), "Left", "Ativo")</f>
        <v>Ativo</v>
      </c>
    </row>
    <row r="2721" spans="1:6" x14ac:dyDescent="0.25">
      <c r="A2721" t="s">
        <v>1530</v>
      </c>
      <c r="B2721" t="s">
        <v>781</v>
      </c>
      <c r="C2721" s="10" t="str" cm="1">
        <f t="array" ref="C2721">IF(AND(A2721="2020-12", ISNA(MATCH(B2721, _xlfn._xlws.FILTER(B:B, A:A="2021-01"), 0))), "Left", "Ativo")</f>
        <v>Ativo</v>
      </c>
      <c r="D2721" s="10" t="str" cm="1">
        <f t="array" ref="D2721">IF(AND(A2721="2021-01", ISNA(MATCH(B2721, _xlfn._xlws.FILTER(B:B, A:A="2021-02"), 0))), "Left", "Ativo")</f>
        <v>Ativo</v>
      </c>
      <c r="E2721" s="10" t="str" cm="1">
        <f t="array" ref="E2721">IF(AND(A2721="2021-02", ISNA(MATCH(B2721, _xlfn._xlws.FILTER(B:B, A:A="2021-03"), 0))), "Left", "Ativo")</f>
        <v>Ativo</v>
      </c>
      <c r="F2721" s="12" t="str" cm="1">
        <f t="array" ref="F2721">IF(AND(A2721="2021-03", ISNA(MATCH(B2721, _xlfn._xlws.FILTER(B:B, A:A="2021-04"), 0))), "Left", "Ativo")</f>
        <v>Ativo</v>
      </c>
    </row>
    <row r="2722" spans="1:6" x14ac:dyDescent="0.25">
      <c r="A2722" t="s">
        <v>1530</v>
      </c>
      <c r="B2722" t="s">
        <v>782</v>
      </c>
      <c r="C2722" s="10" t="str" cm="1">
        <f t="array" ref="C2722">IF(AND(A2722="2020-12", ISNA(MATCH(B2722, _xlfn._xlws.FILTER(B:B, A:A="2021-01"), 0))), "Left", "Ativo")</f>
        <v>Ativo</v>
      </c>
      <c r="D2722" s="10" t="str" cm="1">
        <f t="array" ref="D2722">IF(AND(A2722="2021-01", ISNA(MATCH(B2722, _xlfn._xlws.FILTER(B:B, A:A="2021-02"), 0))), "Left", "Ativo")</f>
        <v>Ativo</v>
      </c>
      <c r="E2722" s="10" t="str" cm="1">
        <f t="array" ref="E2722">IF(AND(A2722="2021-02", ISNA(MATCH(B2722, _xlfn._xlws.FILTER(B:B, A:A="2021-03"), 0))), "Left", "Ativo")</f>
        <v>Ativo</v>
      </c>
      <c r="F2722" s="12" t="str" cm="1">
        <f t="array" ref="F2722">IF(AND(A2722="2021-03", ISNA(MATCH(B2722, _xlfn._xlws.FILTER(B:B, A:A="2021-04"), 0))), "Left", "Ativo")</f>
        <v>Ativo</v>
      </c>
    </row>
    <row r="2723" spans="1:6" x14ac:dyDescent="0.25">
      <c r="A2723" t="s">
        <v>1530</v>
      </c>
      <c r="B2723" t="s">
        <v>783</v>
      </c>
      <c r="C2723" s="10" t="str" cm="1">
        <f t="array" ref="C2723">IF(AND(A2723="2020-12", ISNA(MATCH(B2723, _xlfn._xlws.FILTER(B:B, A:A="2021-01"), 0))), "Left", "Ativo")</f>
        <v>Ativo</v>
      </c>
      <c r="D2723" s="10" t="str" cm="1">
        <f t="array" ref="D2723">IF(AND(A2723="2021-01", ISNA(MATCH(B2723, _xlfn._xlws.FILTER(B:B, A:A="2021-02"), 0))), "Left", "Ativo")</f>
        <v>Ativo</v>
      </c>
      <c r="E2723" s="10" t="str" cm="1">
        <f t="array" ref="E2723">IF(AND(A2723="2021-02", ISNA(MATCH(B2723, _xlfn._xlws.FILTER(B:B, A:A="2021-03"), 0))), "Left", "Ativo")</f>
        <v>Ativo</v>
      </c>
      <c r="F2723" s="12" t="str" cm="1">
        <f t="array" ref="F2723">IF(AND(A2723="2021-03", ISNA(MATCH(B2723, _xlfn._xlws.FILTER(B:B, A:A="2021-04"), 0))), "Left", "Ativo")</f>
        <v>Ativo</v>
      </c>
    </row>
    <row r="2724" spans="1:6" x14ac:dyDescent="0.25">
      <c r="A2724" t="s">
        <v>1530</v>
      </c>
      <c r="B2724" t="s">
        <v>784</v>
      </c>
      <c r="C2724" s="10" t="str" cm="1">
        <f t="array" ref="C2724">IF(AND(A2724="2020-12", ISNA(MATCH(B2724, _xlfn._xlws.FILTER(B:B, A:A="2021-01"), 0))), "Left", "Ativo")</f>
        <v>Ativo</v>
      </c>
      <c r="D2724" s="10" t="str" cm="1">
        <f t="array" ref="D2724">IF(AND(A2724="2021-01", ISNA(MATCH(B2724, _xlfn._xlws.FILTER(B:B, A:A="2021-02"), 0))), "Left", "Ativo")</f>
        <v>Ativo</v>
      </c>
      <c r="E2724" s="10" t="str" cm="1">
        <f t="array" ref="E2724">IF(AND(A2724="2021-02", ISNA(MATCH(B2724, _xlfn._xlws.FILTER(B:B, A:A="2021-03"), 0))), "Left", "Ativo")</f>
        <v>Ativo</v>
      </c>
      <c r="F2724" s="12" t="str" cm="1">
        <f t="array" ref="F2724">IF(AND(A2724="2021-03", ISNA(MATCH(B2724, _xlfn._xlws.FILTER(B:B, A:A="2021-04"), 0))), "Left", "Ativo")</f>
        <v>Ativo</v>
      </c>
    </row>
    <row r="2725" spans="1:6" x14ac:dyDescent="0.25">
      <c r="A2725" t="s">
        <v>1530</v>
      </c>
      <c r="B2725" t="s">
        <v>785</v>
      </c>
      <c r="C2725" s="10" t="str" cm="1">
        <f t="array" ref="C2725">IF(AND(A2725="2020-12", ISNA(MATCH(B2725, _xlfn._xlws.FILTER(B:B, A:A="2021-01"), 0))), "Left", "Ativo")</f>
        <v>Ativo</v>
      </c>
      <c r="D2725" s="10" t="str" cm="1">
        <f t="array" ref="D2725">IF(AND(A2725="2021-01", ISNA(MATCH(B2725, _xlfn._xlws.FILTER(B:B, A:A="2021-02"), 0))), "Left", "Ativo")</f>
        <v>Ativo</v>
      </c>
      <c r="E2725" s="10" t="str" cm="1">
        <f t="array" ref="E2725">IF(AND(A2725="2021-02", ISNA(MATCH(B2725, _xlfn._xlws.FILTER(B:B, A:A="2021-03"), 0))), "Left", "Ativo")</f>
        <v>Ativo</v>
      </c>
      <c r="F2725" s="12" t="str" cm="1">
        <f t="array" ref="F2725">IF(AND(A2725="2021-03", ISNA(MATCH(B2725, _xlfn._xlws.FILTER(B:B, A:A="2021-04"), 0))), "Left", "Ativo")</f>
        <v>Ativo</v>
      </c>
    </row>
    <row r="2726" spans="1:6" x14ac:dyDescent="0.25">
      <c r="A2726" t="s">
        <v>1530</v>
      </c>
      <c r="B2726" t="s">
        <v>786</v>
      </c>
      <c r="C2726" s="10" t="str" cm="1">
        <f t="array" ref="C2726">IF(AND(A2726="2020-12", ISNA(MATCH(B2726, _xlfn._xlws.FILTER(B:B, A:A="2021-01"), 0))), "Left", "Ativo")</f>
        <v>Ativo</v>
      </c>
      <c r="D2726" s="10" t="str" cm="1">
        <f t="array" ref="D2726">IF(AND(A2726="2021-01", ISNA(MATCH(B2726, _xlfn._xlws.FILTER(B:B, A:A="2021-02"), 0))), "Left", "Ativo")</f>
        <v>Ativo</v>
      </c>
      <c r="E2726" s="10" t="str" cm="1">
        <f t="array" ref="E2726">IF(AND(A2726="2021-02", ISNA(MATCH(B2726, _xlfn._xlws.FILTER(B:B, A:A="2021-03"), 0))), "Left", "Ativo")</f>
        <v>Ativo</v>
      </c>
      <c r="F2726" s="12" t="str" cm="1">
        <f t="array" ref="F2726">IF(AND(A2726="2021-03", ISNA(MATCH(B2726, _xlfn._xlws.FILTER(B:B, A:A="2021-04"), 0))), "Left", "Ativo")</f>
        <v>Ativo</v>
      </c>
    </row>
    <row r="2727" spans="1:6" x14ac:dyDescent="0.25">
      <c r="A2727" t="s">
        <v>1530</v>
      </c>
      <c r="B2727" t="s">
        <v>787</v>
      </c>
      <c r="C2727" s="10" t="str" cm="1">
        <f t="array" ref="C2727">IF(AND(A2727="2020-12", ISNA(MATCH(B2727, _xlfn._xlws.FILTER(B:B, A:A="2021-01"), 0))), "Left", "Ativo")</f>
        <v>Ativo</v>
      </c>
      <c r="D2727" s="10" t="str" cm="1">
        <f t="array" ref="D2727">IF(AND(A2727="2021-01", ISNA(MATCH(B2727, _xlfn._xlws.FILTER(B:B, A:A="2021-02"), 0))), "Left", "Ativo")</f>
        <v>Ativo</v>
      </c>
      <c r="E2727" s="10" t="str" cm="1">
        <f t="array" ref="E2727">IF(AND(A2727="2021-02", ISNA(MATCH(B2727, _xlfn._xlws.FILTER(B:B, A:A="2021-03"), 0))), "Left", "Ativo")</f>
        <v>Ativo</v>
      </c>
      <c r="F2727" s="12" t="str" cm="1">
        <f t="array" ref="F2727">IF(AND(A2727="2021-03", ISNA(MATCH(B2727, _xlfn._xlws.FILTER(B:B, A:A="2021-04"), 0))), "Left", "Ativo")</f>
        <v>Ativo</v>
      </c>
    </row>
    <row r="2728" spans="1:6" x14ac:dyDescent="0.25">
      <c r="A2728" t="s">
        <v>1530</v>
      </c>
      <c r="B2728" t="s">
        <v>788</v>
      </c>
      <c r="C2728" s="10" t="str" cm="1">
        <f t="array" ref="C2728">IF(AND(A2728="2020-12", ISNA(MATCH(B2728, _xlfn._xlws.FILTER(B:B, A:A="2021-01"), 0))), "Left", "Ativo")</f>
        <v>Ativo</v>
      </c>
      <c r="D2728" s="10" t="str" cm="1">
        <f t="array" ref="D2728">IF(AND(A2728="2021-01", ISNA(MATCH(B2728, _xlfn._xlws.FILTER(B:B, A:A="2021-02"), 0))), "Left", "Ativo")</f>
        <v>Ativo</v>
      </c>
      <c r="E2728" s="10" t="str" cm="1">
        <f t="array" ref="E2728">IF(AND(A2728="2021-02", ISNA(MATCH(B2728, _xlfn._xlws.FILTER(B:B, A:A="2021-03"), 0))), "Left", "Ativo")</f>
        <v>Ativo</v>
      </c>
      <c r="F2728" s="12" t="str" cm="1">
        <f t="array" ref="F2728">IF(AND(A2728="2021-03", ISNA(MATCH(B2728, _xlfn._xlws.FILTER(B:B, A:A="2021-04"), 0))), "Left", "Ativo")</f>
        <v>Ativo</v>
      </c>
    </row>
    <row r="2729" spans="1:6" x14ac:dyDescent="0.25">
      <c r="A2729" t="s">
        <v>1530</v>
      </c>
      <c r="B2729" t="s">
        <v>789</v>
      </c>
      <c r="C2729" s="10" t="str" cm="1">
        <f t="array" ref="C2729">IF(AND(A2729="2020-12", ISNA(MATCH(B2729, _xlfn._xlws.FILTER(B:B, A:A="2021-01"), 0))), "Left", "Ativo")</f>
        <v>Ativo</v>
      </c>
      <c r="D2729" s="10" t="str" cm="1">
        <f t="array" ref="D2729">IF(AND(A2729="2021-01", ISNA(MATCH(B2729, _xlfn._xlws.FILTER(B:B, A:A="2021-02"), 0))), "Left", "Ativo")</f>
        <v>Ativo</v>
      </c>
      <c r="E2729" s="10" t="str" cm="1">
        <f t="array" ref="E2729">IF(AND(A2729="2021-02", ISNA(MATCH(B2729, _xlfn._xlws.FILTER(B:B, A:A="2021-03"), 0))), "Left", "Ativo")</f>
        <v>Ativo</v>
      </c>
      <c r="F2729" s="12" t="str" cm="1">
        <f t="array" ref="F2729">IF(AND(A2729="2021-03", ISNA(MATCH(B2729, _xlfn._xlws.FILTER(B:B, A:A="2021-04"), 0))), "Left", "Ativo")</f>
        <v>Ativo</v>
      </c>
    </row>
    <row r="2730" spans="1:6" x14ac:dyDescent="0.25">
      <c r="A2730" t="s">
        <v>1530</v>
      </c>
      <c r="B2730" t="s">
        <v>790</v>
      </c>
      <c r="C2730" s="10" t="str" cm="1">
        <f t="array" ref="C2730">IF(AND(A2730="2020-12", ISNA(MATCH(B2730, _xlfn._xlws.FILTER(B:B, A:A="2021-01"), 0))), "Left", "Ativo")</f>
        <v>Ativo</v>
      </c>
      <c r="D2730" s="10" t="str" cm="1">
        <f t="array" ref="D2730">IF(AND(A2730="2021-01", ISNA(MATCH(B2730, _xlfn._xlws.FILTER(B:B, A:A="2021-02"), 0))), "Left", "Ativo")</f>
        <v>Ativo</v>
      </c>
      <c r="E2730" s="10" t="str" cm="1">
        <f t="array" ref="E2730">IF(AND(A2730="2021-02", ISNA(MATCH(B2730, _xlfn._xlws.FILTER(B:B, A:A="2021-03"), 0))), "Left", "Ativo")</f>
        <v>Ativo</v>
      </c>
      <c r="F2730" s="12" t="str" cm="1">
        <f t="array" ref="F2730">IF(AND(A2730="2021-03", ISNA(MATCH(B2730, _xlfn._xlws.FILTER(B:B, A:A="2021-04"), 0))), "Left", "Ativo")</f>
        <v>Ativo</v>
      </c>
    </row>
    <row r="2731" spans="1:6" x14ac:dyDescent="0.25">
      <c r="A2731" t="s">
        <v>1530</v>
      </c>
      <c r="B2731" t="s">
        <v>791</v>
      </c>
      <c r="C2731" s="10" t="str" cm="1">
        <f t="array" ref="C2731">IF(AND(A2731="2020-12", ISNA(MATCH(B2731, _xlfn._xlws.FILTER(B:B, A:A="2021-01"), 0))), "Left", "Ativo")</f>
        <v>Ativo</v>
      </c>
      <c r="D2731" s="10" t="str" cm="1">
        <f t="array" ref="D2731">IF(AND(A2731="2021-01", ISNA(MATCH(B2731, _xlfn._xlws.FILTER(B:B, A:A="2021-02"), 0))), "Left", "Ativo")</f>
        <v>Ativo</v>
      </c>
      <c r="E2731" s="10" t="str" cm="1">
        <f t="array" ref="E2731">IF(AND(A2731="2021-02", ISNA(MATCH(B2731, _xlfn._xlws.FILTER(B:B, A:A="2021-03"), 0))), "Left", "Ativo")</f>
        <v>Ativo</v>
      </c>
      <c r="F2731" s="12" t="str" cm="1">
        <f t="array" ref="F2731">IF(AND(A2731="2021-03", ISNA(MATCH(B2731, _xlfn._xlws.FILTER(B:B, A:A="2021-04"), 0))), "Left", "Ativo")</f>
        <v>Ativo</v>
      </c>
    </row>
    <row r="2732" spans="1:6" x14ac:dyDescent="0.25">
      <c r="A2732" t="s">
        <v>1530</v>
      </c>
      <c r="B2732" t="s">
        <v>792</v>
      </c>
      <c r="C2732" s="10" t="str" cm="1">
        <f t="array" ref="C2732">IF(AND(A2732="2020-12", ISNA(MATCH(B2732, _xlfn._xlws.FILTER(B:B, A:A="2021-01"), 0))), "Left", "Ativo")</f>
        <v>Ativo</v>
      </c>
      <c r="D2732" s="10" t="str" cm="1">
        <f t="array" ref="D2732">IF(AND(A2732="2021-01", ISNA(MATCH(B2732, _xlfn._xlws.FILTER(B:B, A:A="2021-02"), 0))), "Left", "Ativo")</f>
        <v>Ativo</v>
      </c>
      <c r="E2732" s="10" t="str" cm="1">
        <f t="array" ref="E2732">IF(AND(A2732="2021-02", ISNA(MATCH(B2732, _xlfn._xlws.FILTER(B:B, A:A="2021-03"), 0))), "Left", "Ativo")</f>
        <v>Ativo</v>
      </c>
      <c r="F2732" s="12" t="str" cm="1">
        <f t="array" ref="F2732">IF(AND(A2732="2021-03", ISNA(MATCH(B2732, _xlfn._xlws.FILTER(B:B, A:A="2021-04"), 0))), "Left", "Ativo")</f>
        <v>Ativo</v>
      </c>
    </row>
    <row r="2733" spans="1:6" x14ac:dyDescent="0.25">
      <c r="A2733" t="s">
        <v>1530</v>
      </c>
      <c r="B2733" t="s">
        <v>793</v>
      </c>
      <c r="C2733" s="10" t="str" cm="1">
        <f t="array" ref="C2733">IF(AND(A2733="2020-12", ISNA(MATCH(B2733, _xlfn._xlws.FILTER(B:B, A:A="2021-01"), 0))), "Left", "Ativo")</f>
        <v>Ativo</v>
      </c>
      <c r="D2733" s="10" t="str" cm="1">
        <f t="array" ref="D2733">IF(AND(A2733="2021-01", ISNA(MATCH(B2733, _xlfn._xlws.FILTER(B:B, A:A="2021-02"), 0))), "Left", "Ativo")</f>
        <v>Ativo</v>
      </c>
      <c r="E2733" s="10" t="str" cm="1">
        <f t="array" ref="E2733">IF(AND(A2733="2021-02", ISNA(MATCH(B2733, _xlfn._xlws.FILTER(B:B, A:A="2021-03"), 0))), "Left", "Ativo")</f>
        <v>Ativo</v>
      </c>
      <c r="F2733" s="12" t="str" cm="1">
        <f t="array" ref="F2733">IF(AND(A2733="2021-03", ISNA(MATCH(B2733, _xlfn._xlws.FILTER(B:B, A:A="2021-04"), 0))), "Left", "Ativo")</f>
        <v>Ativo</v>
      </c>
    </row>
    <row r="2734" spans="1:6" x14ac:dyDescent="0.25">
      <c r="A2734" t="s">
        <v>1530</v>
      </c>
      <c r="B2734" t="s">
        <v>794</v>
      </c>
      <c r="C2734" s="10" t="str" cm="1">
        <f t="array" ref="C2734">IF(AND(A2734="2020-12", ISNA(MATCH(B2734, _xlfn._xlws.FILTER(B:B, A:A="2021-01"), 0))), "Left", "Ativo")</f>
        <v>Ativo</v>
      </c>
      <c r="D2734" s="10" t="str" cm="1">
        <f t="array" ref="D2734">IF(AND(A2734="2021-01", ISNA(MATCH(B2734, _xlfn._xlws.FILTER(B:B, A:A="2021-02"), 0))), "Left", "Ativo")</f>
        <v>Ativo</v>
      </c>
      <c r="E2734" s="10" t="str" cm="1">
        <f t="array" ref="E2734">IF(AND(A2734="2021-02", ISNA(MATCH(B2734, _xlfn._xlws.FILTER(B:B, A:A="2021-03"), 0))), "Left", "Ativo")</f>
        <v>Ativo</v>
      </c>
      <c r="F2734" s="12" t="str" cm="1">
        <f t="array" ref="F2734">IF(AND(A2734="2021-03", ISNA(MATCH(B2734, _xlfn._xlws.FILTER(B:B, A:A="2021-04"), 0))), "Left", "Ativo")</f>
        <v>Ativo</v>
      </c>
    </row>
    <row r="2735" spans="1:6" x14ac:dyDescent="0.25">
      <c r="A2735" t="s">
        <v>1530</v>
      </c>
      <c r="B2735" t="s">
        <v>795</v>
      </c>
      <c r="C2735" s="10" t="str" cm="1">
        <f t="array" ref="C2735">IF(AND(A2735="2020-12", ISNA(MATCH(B2735, _xlfn._xlws.FILTER(B:B, A:A="2021-01"), 0))), "Left", "Ativo")</f>
        <v>Ativo</v>
      </c>
      <c r="D2735" s="10" t="str" cm="1">
        <f t="array" ref="D2735">IF(AND(A2735="2021-01", ISNA(MATCH(B2735, _xlfn._xlws.FILTER(B:B, A:A="2021-02"), 0))), "Left", "Ativo")</f>
        <v>Ativo</v>
      </c>
      <c r="E2735" s="10" t="str" cm="1">
        <f t="array" ref="E2735">IF(AND(A2735="2021-02", ISNA(MATCH(B2735, _xlfn._xlws.FILTER(B:B, A:A="2021-03"), 0))), "Left", "Ativo")</f>
        <v>Ativo</v>
      </c>
      <c r="F2735" s="12" t="str" cm="1">
        <f t="array" ref="F2735">IF(AND(A2735="2021-03", ISNA(MATCH(B2735, _xlfn._xlws.FILTER(B:B, A:A="2021-04"), 0))), "Left", "Ativo")</f>
        <v>Ativo</v>
      </c>
    </row>
    <row r="2736" spans="1:6" x14ac:dyDescent="0.25">
      <c r="A2736" t="s">
        <v>1530</v>
      </c>
      <c r="B2736" t="s">
        <v>796</v>
      </c>
      <c r="C2736" s="10" t="str" cm="1">
        <f t="array" ref="C2736">IF(AND(A2736="2020-12", ISNA(MATCH(B2736, _xlfn._xlws.FILTER(B:B, A:A="2021-01"), 0))), "Left", "Ativo")</f>
        <v>Ativo</v>
      </c>
      <c r="D2736" s="10" t="str" cm="1">
        <f t="array" ref="D2736">IF(AND(A2736="2021-01", ISNA(MATCH(B2736, _xlfn._xlws.FILTER(B:B, A:A="2021-02"), 0))), "Left", "Ativo")</f>
        <v>Ativo</v>
      </c>
      <c r="E2736" s="10" t="str" cm="1">
        <f t="array" ref="E2736">IF(AND(A2736="2021-02", ISNA(MATCH(B2736, _xlfn._xlws.FILTER(B:B, A:A="2021-03"), 0))), "Left", "Ativo")</f>
        <v>Ativo</v>
      </c>
      <c r="F2736" s="12" t="str" cm="1">
        <f t="array" ref="F2736">IF(AND(A2736="2021-03", ISNA(MATCH(B2736, _xlfn._xlws.FILTER(B:B, A:A="2021-04"), 0))), "Left", "Ativo")</f>
        <v>Ativo</v>
      </c>
    </row>
    <row r="2737" spans="1:6" x14ac:dyDescent="0.25">
      <c r="A2737" t="s">
        <v>1530</v>
      </c>
      <c r="B2737" t="s">
        <v>797</v>
      </c>
      <c r="C2737" s="10" t="str" cm="1">
        <f t="array" ref="C2737">IF(AND(A2737="2020-12", ISNA(MATCH(B2737, _xlfn._xlws.FILTER(B:B, A:A="2021-01"), 0))), "Left", "Ativo")</f>
        <v>Ativo</v>
      </c>
      <c r="D2737" s="10" t="str" cm="1">
        <f t="array" ref="D2737">IF(AND(A2737="2021-01", ISNA(MATCH(B2737, _xlfn._xlws.FILTER(B:B, A:A="2021-02"), 0))), "Left", "Ativo")</f>
        <v>Ativo</v>
      </c>
      <c r="E2737" s="10" t="str" cm="1">
        <f t="array" ref="E2737">IF(AND(A2737="2021-02", ISNA(MATCH(B2737, _xlfn._xlws.FILTER(B:B, A:A="2021-03"), 0))), "Left", "Ativo")</f>
        <v>Ativo</v>
      </c>
      <c r="F2737" s="12" t="str" cm="1">
        <f t="array" ref="F2737">IF(AND(A2737="2021-03", ISNA(MATCH(B2737, _xlfn._xlws.FILTER(B:B, A:A="2021-04"), 0))), "Left", "Ativo")</f>
        <v>Ativo</v>
      </c>
    </row>
    <row r="2738" spans="1:6" x14ac:dyDescent="0.25">
      <c r="A2738" t="s">
        <v>1530</v>
      </c>
      <c r="B2738" t="s">
        <v>798</v>
      </c>
      <c r="C2738" s="10" t="str" cm="1">
        <f t="array" ref="C2738">IF(AND(A2738="2020-12", ISNA(MATCH(B2738, _xlfn._xlws.FILTER(B:B, A:A="2021-01"), 0))), "Left", "Ativo")</f>
        <v>Ativo</v>
      </c>
      <c r="D2738" s="10" t="str" cm="1">
        <f t="array" ref="D2738">IF(AND(A2738="2021-01", ISNA(MATCH(B2738, _xlfn._xlws.FILTER(B:B, A:A="2021-02"), 0))), "Left", "Ativo")</f>
        <v>Ativo</v>
      </c>
      <c r="E2738" s="10" t="str" cm="1">
        <f t="array" ref="E2738">IF(AND(A2738="2021-02", ISNA(MATCH(B2738, _xlfn._xlws.FILTER(B:B, A:A="2021-03"), 0))), "Left", "Ativo")</f>
        <v>Left</v>
      </c>
      <c r="F2738" s="12" t="str" cm="1">
        <f t="array" ref="F2738">IF(AND(A2738="2021-03", ISNA(MATCH(B2738, _xlfn._xlws.FILTER(B:B, A:A="2021-04"), 0))), "Left", "Ativo")</f>
        <v>Ativo</v>
      </c>
    </row>
    <row r="2739" spans="1:6" x14ac:dyDescent="0.25">
      <c r="A2739" t="s">
        <v>1530</v>
      </c>
      <c r="B2739" t="s">
        <v>799</v>
      </c>
      <c r="C2739" s="10" t="str" cm="1">
        <f t="array" ref="C2739">IF(AND(A2739="2020-12", ISNA(MATCH(B2739, _xlfn._xlws.FILTER(B:B, A:A="2021-01"), 0))), "Left", "Ativo")</f>
        <v>Ativo</v>
      </c>
      <c r="D2739" s="10" t="str" cm="1">
        <f t="array" ref="D2739">IF(AND(A2739="2021-01", ISNA(MATCH(B2739, _xlfn._xlws.FILTER(B:B, A:A="2021-02"), 0))), "Left", "Ativo")</f>
        <v>Ativo</v>
      </c>
      <c r="E2739" s="10" t="str" cm="1">
        <f t="array" ref="E2739">IF(AND(A2739="2021-02", ISNA(MATCH(B2739, _xlfn._xlws.FILTER(B:B, A:A="2021-03"), 0))), "Left", "Ativo")</f>
        <v>Ativo</v>
      </c>
      <c r="F2739" s="12" t="str" cm="1">
        <f t="array" ref="F2739">IF(AND(A2739="2021-03", ISNA(MATCH(B2739, _xlfn._xlws.FILTER(B:B, A:A="2021-04"), 0))), "Left", "Ativo")</f>
        <v>Ativo</v>
      </c>
    </row>
    <row r="2740" spans="1:6" x14ac:dyDescent="0.25">
      <c r="A2740" t="s">
        <v>1530</v>
      </c>
      <c r="B2740" t="s">
        <v>800</v>
      </c>
      <c r="C2740" s="10" t="str" cm="1">
        <f t="array" ref="C2740">IF(AND(A2740="2020-12", ISNA(MATCH(B2740, _xlfn._xlws.FILTER(B:B, A:A="2021-01"), 0))), "Left", "Ativo")</f>
        <v>Ativo</v>
      </c>
      <c r="D2740" s="10" t="str" cm="1">
        <f t="array" ref="D2740">IF(AND(A2740="2021-01", ISNA(MATCH(B2740, _xlfn._xlws.FILTER(B:B, A:A="2021-02"), 0))), "Left", "Ativo")</f>
        <v>Ativo</v>
      </c>
      <c r="E2740" s="10" t="str" cm="1">
        <f t="array" ref="E2740">IF(AND(A2740="2021-02", ISNA(MATCH(B2740, _xlfn._xlws.FILTER(B:B, A:A="2021-03"), 0))), "Left", "Ativo")</f>
        <v>Ativo</v>
      </c>
      <c r="F2740" s="12" t="str" cm="1">
        <f t="array" ref="F2740">IF(AND(A2740="2021-03", ISNA(MATCH(B2740, _xlfn._xlws.FILTER(B:B, A:A="2021-04"), 0))), "Left", "Ativo")</f>
        <v>Ativo</v>
      </c>
    </row>
    <row r="2741" spans="1:6" x14ac:dyDescent="0.25">
      <c r="A2741" t="s">
        <v>1530</v>
      </c>
      <c r="B2741" t="s">
        <v>801</v>
      </c>
      <c r="C2741" s="10" t="str" cm="1">
        <f t="array" ref="C2741">IF(AND(A2741="2020-12", ISNA(MATCH(B2741, _xlfn._xlws.FILTER(B:B, A:A="2021-01"), 0))), "Left", "Ativo")</f>
        <v>Ativo</v>
      </c>
      <c r="D2741" s="10" t="str" cm="1">
        <f t="array" ref="D2741">IF(AND(A2741="2021-01", ISNA(MATCH(B2741, _xlfn._xlws.FILTER(B:B, A:A="2021-02"), 0))), "Left", "Ativo")</f>
        <v>Ativo</v>
      </c>
      <c r="E2741" s="10" t="str" cm="1">
        <f t="array" ref="E2741">IF(AND(A2741="2021-02", ISNA(MATCH(B2741, _xlfn._xlws.FILTER(B:B, A:A="2021-03"), 0))), "Left", "Ativo")</f>
        <v>Left</v>
      </c>
      <c r="F2741" s="12" t="str" cm="1">
        <f t="array" ref="F2741">IF(AND(A2741="2021-03", ISNA(MATCH(B2741, _xlfn._xlws.FILTER(B:B, A:A="2021-04"), 0))), "Left", "Ativo")</f>
        <v>Ativo</v>
      </c>
    </row>
    <row r="2742" spans="1:6" x14ac:dyDescent="0.25">
      <c r="A2742" t="s">
        <v>1530</v>
      </c>
      <c r="B2742" t="s">
        <v>802</v>
      </c>
      <c r="C2742" s="10" t="str" cm="1">
        <f t="array" ref="C2742">IF(AND(A2742="2020-12", ISNA(MATCH(B2742, _xlfn._xlws.FILTER(B:B, A:A="2021-01"), 0))), "Left", "Ativo")</f>
        <v>Ativo</v>
      </c>
      <c r="D2742" s="10" t="str" cm="1">
        <f t="array" ref="D2742">IF(AND(A2742="2021-01", ISNA(MATCH(B2742, _xlfn._xlws.FILTER(B:B, A:A="2021-02"), 0))), "Left", "Ativo")</f>
        <v>Ativo</v>
      </c>
      <c r="E2742" s="10" t="str" cm="1">
        <f t="array" ref="E2742">IF(AND(A2742="2021-02", ISNA(MATCH(B2742, _xlfn._xlws.FILTER(B:B, A:A="2021-03"), 0))), "Left", "Ativo")</f>
        <v>Left</v>
      </c>
      <c r="F2742" s="12" t="str" cm="1">
        <f t="array" ref="F2742">IF(AND(A2742="2021-03", ISNA(MATCH(B2742, _xlfn._xlws.FILTER(B:B, A:A="2021-04"), 0))), "Left", "Ativo")</f>
        <v>Ativo</v>
      </c>
    </row>
    <row r="2743" spans="1:6" x14ac:dyDescent="0.25">
      <c r="A2743" t="s">
        <v>1530</v>
      </c>
      <c r="B2743" t="s">
        <v>803</v>
      </c>
      <c r="C2743" s="10" t="str" cm="1">
        <f t="array" ref="C2743">IF(AND(A2743="2020-12", ISNA(MATCH(B2743, _xlfn._xlws.FILTER(B:B, A:A="2021-01"), 0))), "Left", "Ativo")</f>
        <v>Ativo</v>
      </c>
      <c r="D2743" s="10" t="str" cm="1">
        <f t="array" ref="D2743">IF(AND(A2743="2021-01", ISNA(MATCH(B2743, _xlfn._xlws.FILTER(B:B, A:A="2021-02"), 0))), "Left", "Ativo")</f>
        <v>Ativo</v>
      </c>
      <c r="E2743" s="10" t="str" cm="1">
        <f t="array" ref="E2743">IF(AND(A2743="2021-02", ISNA(MATCH(B2743, _xlfn._xlws.FILTER(B:B, A:A="2021-03"), 0))), "Left", "Ativo")</f>
        <v>Ativo</v>
      </c>
      <c r="F2743" s="12" t="str" cm="1">
        <f t="array" ref="F2743">IF(AND(A2743="2021-03", ISNA(MATCH(B2743, _xlfn._xlws.FILTER(B:B, A:A="2021-04"), 0))), "Left", "Ativo")</f>
        <v>Ativo</v>
      </c>
    </row>
    <row r="2744" spans="1:6" x14ac:dyDescent="0.25">
      <c r="A2744" t="s">
        <v>1530</v>
      </c>
      <c r="B2744" t="s">
        <v>804</v>
      </c>
      <c r="C2744" s="10" t="str" cm="1">
        <f t="array" ref="C2744">IF(AND(A2744="2020-12", ISNA(MATCH(B2744, _xlfn._xlws.FILTER(B:B, A:A="2021-01"), 0))), "Left", "Ativo")</f>
        <v>Ativo</v>
      </c>
      <c r="D2744" s="10" t="str" cm="1">
        <f t="array" ref="D2744">IF(AND(A2744="2021-01", ISNA(MATCH(B2744, _xlfn._xlws.FILTER(B:B, A:A="2021-02"), 0))), "Left", "Ativo")</f>
        <v>Ativo</v>
      </c>
      <c r="E2744" s="10" t="str" cm="1">
        <f t="array" ref="E2744">IF(AND(A2744="2021-02", ISNA(MATCH(B2744, _xlfn._xlws.FILTER(B:B, A:A="2021-03"), 0))), "Left", "Ativo")</f>
        <v>Ativo</v>
      </c>
      <c r="F2744" s="12" t="str" cm="1">
        <f t="array" ref="F2744">IF(AND(A2744="2021-03", ISNA(MATCH(B2744, _xlfn._xlws.FILTER(B:B, A:A="2021-04"), 0))), "Left", "Ativo")</f>
        <v>Ativo</v>
      </c>
    </row>
    <row r="2745" spans="1:6" x14ac:dyDescent="0.25">
      <c r="A2745" t="s">
        <v>1530</v>
      </c>
      <c r="B2745" t="s">
        <v>805</v>
      </c>
      <c r="C2745" s="10" t="str" cm="1">
        <f t="array" ref="C2745">IF(AND(A2745="2020-12", ISNA(MATCH(B2745, _xlfn._xlws.FILTER(B:B, A:A="2021-01"), 0))), "Left", "Ativo")</f>
        <v>Ativo</v>
      </c>
      <c r="D2745" s="10" t="str" cm="1">
        <f t="array" ref="D2745">IF(AND(A2745="2021-01", ISNA(MATCH(B2745, _xlfn._xlws.FILTER(B:B, A:A="2021-02"), 0))), "Left", "Ativo")</f>
        <v>Ativo</v>
      </c>
      <c r="E2745" s="10" t="str" cm="1">
        <f t="array" ref="E2745">IF(AND(A2745="2021-02", ISNA(MATCH(B2745, _xlfn._xlws.FILTER(B:B, A:A="2021-03"), 0))), "Left", "Ativo")</f>
        <v>Ativo</v>
      </c>
      <c r="F2745" s="12" t="str" cm="1">
        <f t="array" ref="F2745">IF(AND(A2745="2021-03", ISNA(MATCH(B2745, _xlfn._xlws.FILTER(B:B, A:A="2021-04"), 0))), "Left", "Ativo")</f>
        <v>Ativo</v>
      </c>
    </row>
    <row r="2746" spans="1:6" x14ac:dyDescent="0.25">
      <c r="A2746" t="s">
        <v>1530</v>
      </c>
      <c r="B2746" t="s">
        <v>806</v>
      </c>
      <c r="C2746" s="10" t="str" cm="1">
        <f t="array" ref="C2746">IF(AND(A2746="2020-12", ISNA(MATCH(B2746, _xlfn._xlws.FILTER(B:B, A:A="2021-01"), 0))), "Left", "Ativo")</f>
        <v>Ativo</v>
      </c>
      <c r="D2746" s="10" t="str" cm="1">
        <f t="array" ref="D2746">IF(AND(A2746="2021-01", ISNA(MATCH(B2746, _xlfn._xlws.FILTER(B:B, A:A="2021-02"), 0))), "Left", "Ativo")</f>
        <v>Ativo</v>
      </c>
      <c r="E2746" s="10" t="str" cm="1">
        <f t="array" ref="E2746">IF(AND(A2746="2021-02", ISNA(MATCH(B2746, _xlfn._xlws.FILTER(B:B, A:A="2021-03"), 0))), "Left", "Ativo")</f>
        <v>Ativo</v>
      </c>
      <c r="F2746" s="12" t="str" cm="1">
        <f t="array" ref="F2746">IF(AND(A2746="2021-03", ISNA(MATCH(B2746, _xlfn._xlws.FILTER(B:B, A:A="2021-04"), 0))), "Left", "Ativo")</f>
        <v>Ativo</v>
      </c>
    </row>
    <row r="2747" spans="1:6" x14ac:dyDescent="0.25">
      <c r="A2747" t="s">
        <v>1530</v>
      </c>
      <c r="B2747" t="s">
        <v>807</v>
      </c>
      <c r="C2747" s="10" t="str" cm="1">
        <f t="array" ref="C2747">IF(AND(A2747="2020-12", ISNA(MATCH(B2747, _xlfn._xlws.FILTER(B:B, A:A="2021-01"), 0))), "Left", "Ativo")</f>
        <v>Ativo</v>
      </c>
      <c r="D2747" s="10" t="str" cm="1">
        <f t="array" ref="D2747">IF(AND(A2747="2021-01", ISNA(MATCH(B2747, _xlfn._xlws.FILTER(B:B, A:A="2021-02"), 0))), "Left", "Ativo")</f>
        <v>Ativo</v>
      </c>
      <c r="E2747" s="10" t="str" cm="1">
        <f t="array" ref="E2747">IF(AND(A2747="2021-02", ISNA(MATCH(B2747, _xlfn._xlws.FILTER(B:B, A:A="2021-03"), 0))), "Left", "Ativo")</f>
        <v>Ativo</v>
      </c>
      <c r="F2747" s="12" t="str" cm="1">
        <f t="array" ref="F2747">IF(AND(A2747="2021-03", ISNA(MATCH(B2747, _xlfn._xlws.FILTER(B:B, A:A="2021-04"), 0))), "Left", "Ativo")</f>
        <v>Ativo</v>
      </c>
    </row>
    <row r="2748" spans="1:6" x14ac:dyDescent="0.25">
      <c r="A2748" t="s">
        <v>1530</v>
      </c>
      <c r="B2748" t="s">
        <v>808</v>
      </c>
      <c r="C2748" s="10" t="str" cm="1">
        <f t="array" ref="C2748">IF(AND(A2748="2020-12", ISNA(MATCH(B2748, _xlfn._xlws.FILTER(B:B, A:A="2021-01"), 0))), "Left", "Ativo")</f>
        <v>Ativo</v>
      </c>
      <c r="D2748" s="10" t="str" cm="1">
        <f t="array" ref="D2748">IF(AND(A2748="2021-01", ISNA(MATCH(B2748, _xlfn._xlws.FILTER(B:B, A:A="2021-02"), 0))), "Left", "Ativo")</f>
        <v>Ativo</v>
      </c>
      <c r="E2748" s="10" t="str" cm="1">
        <f t="array" ref="E2748">IF(AND(A2748="2021-02", ISNA(MATCH(B2748, _xlfn._xlws.FILTER(B:B, A:A="2021-03"), 0))), "Left", "Ativo")</f>
        <v>Ativo</v>
      </c>
      <c r="F2748" s="12" t="str" cm="1">
        <f t="array" ref="F2748">IF(AND(A2748="2021-03", ISNA(MATCH(B2748, _xlfn._xlws.FILTER(B:B, A:A="2021-04"), 0))), "Left", "Ativo")</f>
        <v>Ativo</v>
      </c>
    </row>
    <row r="2749" spans="1:6" x14ac:dyDescent="0.25">
      <c r="A2749" t="s">
        <v>1530</v>
      </c>
      <c r="B2749" t="s">
        <v>809</v>
      </c>
      <c r="C2749" s="10" t="str" cm="1">
        <f t="array" ref="C2749">IF(AND(A2749="2020-12", ISNA(MATCH(B2749, _xlfn._xlws.FILTER(B:B, A:A="2021-01"), 0))), "Left", "Ativo")</f>
        <v>Ativo</v>
      </c>
      <c r="D2749" s="10" t="str" cm="1">
        <f t="array" ref="D2749">IF(AND(A2749="2021-01", ISNA(MATCH(B2749, _xlfn._xlws.FILTER(B:B, A:A="2021-02"), 0))), "Left", "Ativo")</f>
        <v>Ativo</v>
      </c>
      <c r="E2749" s="10" t="str" cm="1">
        <f t="array" ref="E2749">IF(AND(A2749="2021-02", ISNA(MATCH(B2749, _xlfn._xlws.FILTER(B:B, A:A="2021-03"), 0))), "Left", "Ativo")</f>
        <v>Ativo</v>
      </c>
      <c r="F2749" s="12" t="str" cm="1">
        <f t="array" ref="F2749">IF(AND(A2749="2021-03", ISNA(MATCH(B2749, _xlfn._xlws.FILTER(B:B, A:A="2021-04"), 0))), "Left", "Ativo")</f>
        <v>Ativo</v>
      </c>
    </row>
    <row r="2750" spans="1:6" x14ac:dyDescent="0.25">
      <c r="A2750" t="s">
        <v>1530</v>
      </c>
      <c r="B2750" t="s">
        <v>810</v>
      </c>
      <c r="C2750" s="10" t="str" cm="1">
        <f t="array" ref="C2750">IF(AND(A2750="2020-12", ISNA(MATCH(B2750, _xlfn._xlws.FILTER(B:B, A:A="2021-01"), 0))), "Left", "Ativo")</f>
        <v>Ativo</v>
      </c>
      <c r="D2750" s="10" t="str" cm="1">
        <f t="array" ref="D2750">IF(AND(A2750="2021-01", ISNA(MATCH(B2750, _xlfn._xlws.FILTER(B:B, A:A="2021-02"), 0))), "Left", "Ativo")</f>
        <v>Ativo</v>
      </c>
      <c r="E2750" s="10" t="str" cm="1">
        <f t="array" ref="E2750">IF(AND(A2750="2021-02", ISNA(MATCH(B2750, _xlfn._xlws.FILTER(B:B, A:A="2021-03"), 0))), "Left", "Ativo")</f>
        <v>Ativo</v>
      </c>
      <c r="F2750" s="12" t="str" cm="1">
        <f t="array" ref="F2750">IF(AND(A2750="2021-03", ISNA(MATCH(B2750, _xlfn._xlws.FILTER(B:B, A:A="2021-04"), 0))), "Left", "Ativo")</f>
        <v>Ativo</v>
      </c>
    </row>
    <row r="2751" spans="1:6" x14ac:dyDescent="0.25">
      <c r="A2751" t="s">
        <v>1530</v>
      </c>
      <c r="B2751" t="s">
        <v>811</v>
      </c>
      <c r="C2751" s="10" t="str" cm="1">
        <f t="array" ref="C2751">IF(AND(A2751="2020-12", ISNA(MATCH(B2751, _xlfn._xlws.FILTER(B:B, A:A="2021-01"), 0))), "Left", "Ativo")</f>
        <v>Ativo</v>
      </c>
      <c r="D2751" s="10" t="str" cm="1">
        <f t="array" ref="D2751">IF(AND(A2751="2021-01", ISNA(MATCH(B2751, _xlfn._xlws.FILTER(B:B, A:A="2021-02"), 0))), "Left", "Ativo")</f>
        <v>Ativo</v>
      </c>
      <c r="E2751" s="10" t="str" cm="1">
        <f t="array" ref="E2751">IF(AND(A2751="2021-02", ISNA(MATCH(B2751, _xlfn._xlws.FILTER(B:B, A:A="2021-03"), 0))), "Left", "Ativo")</f>
        <v>Ativo</v>
      </c>
      <c r="F2751" s="12" t="str" cm="1">
        <f t="array" ref="F2751">IF(AND(A2751="2021-03", ISNA(MATCH(B2751, _xlfn._xlws.FILTER(B:B, A:A="2021-04"), 0))), "Left", "Ativo")</f>
        <v>Ativo</v>
      </c>
    </row>
    <row r="2752" spans="1:6" x14ac:dyDescent="0.25">
      <c r="A2752" t="s">
        <v>1530</v>
      </c>
      <c r="B2752" t="s">
        <v>812</v>
      </c>
      <c r="C2752" s="10" t="str" cm="1">
        <f t="array" ref="C2752">IF(AND(A2752="2020-12", ISNA(MATCH(B2752, _xlfn._xlws.FILTER(B:B, A:A="2021-01"), 0))), "Left", "Ativo")</f>
        <v>Ativo</v>
      </c>
      <c r="D2752" s="10" t="str" cm="1">
        <f t="array" ref="D2752">IF(AND(A2752="2021-01", ISNA(MATCH(B2752, _xlfn._xlws.FILTER(B:B, A:A="2021-02"), 0))), "Left", "Ativo")</f>
        <v>Ativo</v>
      </c>
      <c r="E2752" s="10" t="str" cm="1">
        <f t="array" ref="E2752">IF(AND(A2752="2021-02", ISNA(MATCH(B2752, _xlfn._xlws.FILTER(B:B, A:A="2021-03"), 0))), "Left", "Ativo")</f>
        <v>Ativo</v>
      </c>
      <c r="F2752" s="12" t="str" cm="1">
        <f t="array" ref="F2752">IF(AND(A2752="2021-03", ISNA(MATCH(B2752, _xlfn._xlws.FILTER(B:B, A:A="2021-04"), 0))), "Left", "Ativo")</f>
        <v>Ativo</v>
      </c>
    </row>
    <row r="2753" spans="1:6" x14ac:dyDescent="0.25">
      <c r="A2753" t="s">
        <v>1530</v>
      </c>
      <c r="B2753" t="s">
        <v>813</v>
      </c>
      <c r="C2753" s="10" t="str" cm="1">
        <f t="array" ref="C2753">IF(AND(A2753="2020-12", ISNA(MATCH(B2753, _xlfn._xlws.FILTER(B:B, A:A="2021-01"), 0))), "Left", "Ativo")</f>
        <v>Ativo</v>
      </c>
      <c r="D2753" s="10" t="str" cm="1">
        <f t="array" ref="D2753">IF(AND(A2753="2021-01", ISNA(MATCH(B2753, _xlfn._xlws.FILTER(B:B, A:A="2021-02"), 0))), "Left", "Ativo")</f>
        <v>Ativo</v>
      </c>
      <c r="E2753" s="10" t="str" cm="1">
        <f t="array" ref="E2753">IF(AND(A2753="2021-02", ISNA(MATCH(B2753, _xlfn._xlws.FILTER(B:B, A:A="2021-03"), 0))), "Left", "Ativo")</f>
        <v>Ativo</v>
      </c>
      <c r="F2753" s="12" t="str" cm="1">
        <f t="array" ref="F2753">IF(AND(A2753="2021-03", ISNA(MATCH(B2753, _xlfn._xlws.FILTER(B:B, A:A="2021-04"), 0))), "Left", "Ativo")</f>
        <v>Ativo</v>
      </c>
    </row>
    <row r="2754" spans="1:6" x14ac:dyDescent="0.25">
      <c r="A2754" t="s">
        <v>1530</v>
      </c>
      <c r="B2754" t="s">
        <v>814</v>
      </c>
      <c r="C2754" s="10" t="str" cm="1">
        <f t="array" ref="C2754">IF(AND(A2754="2020-12", ISNA(MATCH(B2754, _xlfn._xlws.FILTER(B:B, A:A="2021-01"), 0))), "Left", "Ativo")</f>
        <v>Ativo</v>
      </c>
      <c r="D2754" s="10" t="str" cm="1">
        <f t="array" ref="D2754">IF(AND(A2754="2021-01", ISNA(MATCH(B2754, _xlfn._xlws.FILTER(B:B, A:A="2021-02"), 0))), "Left", "Ativo")</f>
        <v>Ativo</v>
      </c>
      <c r="E2754" s="10" t="str" cm="1">
        <f t="array" ref="E2754">IF(AND(A2754="2021-02", ISNA(MATCH(B2754, _xlfn._xlws.FILTER(B:B, A:A="2021-03"), 0))), "Left", "Ativo")</f>
        <v>Ativo</v>
      </c>
      <c r="F2754" s="12" t="str" cm="1">
        <f t="array" ref="F2754">IF(AND(A2754="2021-03", ISNA(MATCH(B2754, _xlfn._xlws.FILTER(B:B, A:A="2021-04"), 0))), "Left", "Ativo")</f>
        <v>Ativo</v>
      </c>
    </row>
    <row r="2755" spans="1:6" x14ac:dyDescent="0.25">
      <c r="A2755" t="s">
        <v>1530</v>
      </c>
      <c r="B2755" t="s">
        <v>815</v>
      </c>
      <c r="C2755" s="10" t="str" cm="1">
        <f t="array" ref="C2755">IF(AND(A2755="2020-12", ISNA(MATCH(B2755, _xlfn._xlws.FILTER(B:B, A:A="2021-01"), 0))), "Left", "Ativo")</f>
        <v>Ativo</v>
      </c>
      <c r="D2755" s="10" t="str" cm="1">
        <f t="array" ref="D2755">IF(AND(A2755="2021-01", ISNA(MATCH(B2755, _xlfn._xlws.FILTER(B:B, A:A="2021-02"), 0))), "Left", "Ativo")</f>
        <v>Ativo</v>
      </c>
      <c r="E2755" s="10" t="str" cm="1">
        <f t="array" ref="E2755">IF(AND(A2755="2021-02", ISNA(MATCH(B2755, _xlfn._xlws.FILTER(B:B, A:A="2021-03"), 0))), "Left", "Ativo")</f>
        <v>Ativo</v>
      </c>
      <c r="F2755" s="12" t="str" cm="1">
        <f t="array" ref="F2755">IF(AND(A2755="2021-03", ISNA(MATCH(B2755, _xlfn._xlws.FILTER(B:B, A:A="2021-04"), 0))), "Left", "Ativo")</f>
        <v>Ativo</v>
      </c>
    </row>
    <row r="2756" spans="1:6" x14ac:dyDescent="0.25">
      <c r="A2756" t="s">
        <v>1530</v>
      </c>
      <c r="B2756" t="s">
        <v>816</v>
      </c>
      <c r="C2756" s="10" t="str" cm="1">
        <f t="array" ref="C2756">IF(AND(A2756="2020-12", ISNA(MATCH(B2756, _xlfn._xlws.FILTER(B:B, A:A="2021-01"), 0))), "Left", "Ativo")</f>
        <v>Ativo</v>
      </c>
      <c r="D2756" s="10" t="str" cm="1">
        <f t="array" ref="D2756">IF(AND(A2756="2021-01", ISNA(MATCH(B2756, _xlfn._xlws.FILTER(B:B, A:A="2021-02"), 0))), "Left", "Ativo")</f>
        <v>Ativo</v>
      </c>
      <c r="E2756" s="10" t="str" cm="1">
        <f t="array" ref="E2756">IF(AND(A2756="2021-02", ISNA(MATCH(B2756, _xlfn._xlws.FILTER(B:B, A:A="2021-03"), 0))), "Left", "Ativo")</f>
        <v>Left</v>
      </c>
      <c r="F2756" s="12" t="str" cm="1">
        <f t="array" ref="F2756">IF(AND(A2756="2021-03", ISNA(MATCH(B2756, _xlfn._xlws.FILTER(B:B, A:A="2021-04"), 0))), "Left", "Ativo")</f>
        <v>Ativo</v>
      </c>
    </row>
    <row r="2757" spans="1:6" x14ac:dyDescent="0.25">
      <c r="A2757" t="s">
        <v>1530</v>
      </c>
      <c r="B2757" t="s">
        <v>817</v>
      </c>
      <c r="C2757" s="10" t="str" cm="1">
        <f t="array" ref="C2757">IF(AND(A2757="2020-12", ISNA(MATCH(B2757, _xlfn._xlws.FILTER(B:B, A:A="2021-01"), 0))), "Left", "Ativo")</f>
        <v>Ativo</v>
      </c>
      <c r="D2757" s="10" t="str" cm="1">
        <f t="array" ref="D2757">IF(AND(A2757="2021-01", ISNA(MATCH(B2757, _xlfn._xlws.FILTER(B:B, A:A="2021-02"), 0))), "Left", "Ativo")</f>
        <v>Ativo</v>
      </c>
      <c r="E2757" s="10" t="str" cm="1">
        <f t="array" ref="E2757">IF(AND(A2757="2021-02", ISNA(MATCH(B2757, _xlfn._xlws.FILTER(B:B, A:A="2021-03"), 0))), "Left", "Ativo")</f>
        <v>Ativo</v>
      </c>
      <c r="F2757" s="12" t="str" cm="1">
        <f t="array" ref="F2757">IF(AND(A2757="2021-03", ISNA(MATCH(B2757, _xlfn._xlws.FILTER(B:B, A:A="2021-04"), 0))), "Left", "Ativo")</f>
        <v>Ativo</v>
      </c>
    </row>
    <row r="2758" spans="1:6" x14ac:dyDescent="0.25">
      <c r="A2758" t="s">
        <v>1530</v>
      </c>
      <c r="B2758" t="s">
        <v>818</v>
      </c>
      <c r="C2758" s="10" t="str" cm="1">
        <f t="array" ref="C2758">IF(AND(A2758="2020-12", ISNA(MATCH(B2758, _xlfn._xlws.FILTER(B:B, A:A="2021-01"), 0))), "Left", "Ativo")</f>
        <v>Ativo</v>
      </c>
      <c r="D2758" s="10" t="str" cm="1">
        <f t="array" ref="D2758">IF(AND(A2758="2021-01", ISNA(MATCH(B2758, _xlfn._xlws.FILTER(B:B, A:A="2021-02"), 0))), "Left", "Ativo")</f>
        <v>Ativo</v>
      </c>
      <c r="E2758" s="10" t="str" cm="1">
        <f t="array" ref="E2758">IF(AND(A2758="2021-02", ISNA(MATCH(B2758, _xlfn._xlws.FILTER(B:B, A:A="2021-03"), 0))), "Left", "Ativo")</f>
        <v>Ativo</v>
      </c>
      <c r="F2758" s="12" t="str" cm="1">
        <f t="array" ref="F2758">IF(AND(A2758="2021-03", ISNA(MATCH(B2758, _xlfn._xlws.FILTER(B:B, A:A="2021-04"), 0))), "Left", "Ativo")</f>
        <v>Ativo</v>
      </c>
    </row>
    <row r="2759" spans="1:6" x14ac:dyDescent="0.25">
      <c r="A2759" t="s">
        <v>1530</v>
      </c>
      <c r="B2759" t="s">
        <v>819</v>
      </c>
      <c r="C2759" s="10" t="str" cm="1">
        <f t="array" ref="C2759">IF(AND(A2759="2020-12", ISNA(MATCH(B2759, _xlfn._xlws.FILTER(B:B, A:A="2021-01"), 0))), "Left", "Ativo")</f>
        <v>Ativo</v>
      </c>
      <c r="D2759" s="10" t="str" cm="1">
        <f t="array" ref="D2759">IF(AND(A2759="2021-01", ISNA(MATCH(B2759, _xlfn._xlws.FILTER(B:B, A:A="2021-02"), 0))), "Left", "Ativo")</f>
        <v>Ativo</v>
      </c>
      <c r="E2759" s="10" t="str" cm="1">
        <f t="array" ref="E2759">IF(AND(A2759="2021-02", ISNA(MATCH(B2759, _xlfn._xlws.FILTER(B:B, A:A="2021-03"), 0))), "Left", "Ativo")</f>
        <v>Ativo</v>
      </c>
      <c r="F2759" s="12" t="str" cm="1">
        <f t="array" ref="F2759">IF(AND(A2759="2021-03", ISNA(MATCH(B2759, _xlfn._xlws.FILTER(B:B, A:A="2021-04"), 0))), "Left", "Ativo")</f>
        <v>Ativo</v>
      </c>
    </row>
    <row r="2760" spans="1:6" x14ac:dyDescent="0.25">
      <c r="A2760" t="s">
        <v>1530</v>
      </c>
      <c r="B2760" t="s">
        <v>820</v>
      </c>
      <c r="C2760" s="10" t="str" cm="1">
        <f t="array" ref="C2760">IF(AND(A2760="2020-12", ISNA(MATCH(B2760, _xlfn._xlws.FILTER(B:B, A:A="2021-01"), 0))), "Left", "Ativo")</f>
        <v>Ativo</v>
      </c>
      <c r="D2760" s="10" t="str" cm="1">
        <f t="array" ref="D2760">IF(AND(A2760="2021-01", ISNA(MATCH(B2760, _xlfn._xlws.FILTER(B:B, A:A="2021-02"), 0))), "Left", "Ativo")</f>
        <v>Ativo</v>
      </c>
      <c r="E2760" s="10" t="str" cm="1">
        <f t="array" ref="E2760">IF(AND(A2760="2021-02", ISNA(MATCH(B2760, _xlfn._xlws.FILTER(B:B, A:A="2021-03"), 0))), "Left", "Ativo")</f>
        <v>Ativo</v>
      </c>
      <c r="F2760" s="12" t="str" cm="1">
        <f t="array" ref="F2760">IF(AND(A2760="2021-03", ISNA(MATCH(B2760, _xlfn._xlws.FILTER(B:B, A:A="2021-04"), 0))), "Left", "Ativo")</f>
        <v>Ativo</v>
      </c>
    </row>
    <row r="2761" spans="1:6" x14ac:dyDescent="0.25">
      <c r="A2761" t="s">
        <v>1530</v>
      </c>
      <c r="B2761" t="s">
        <v>821</v>
      </c>
      <c r="C2761" s="10" t="str" cm="1">
        <f t="array" ref="C2761">IF(AND(A2761="2020-12", ISNA(MATCH(B2761, _xlfn._xlws.FILTER(B:B, A:A="2021-01"), 0))), "Left", "Ativo")</f>
        <v>Ativo</v>
      </c>
      <c r="D2761" s="10" t="str" cm="1">
        <f t="array" ref="D2761">IF(AND(A2761="2021-01", ISNA(MATCH(B2761, _xlfn._xlws.FILTER(B:B, A:A="2021-02"), 0))), "Left", "Ativo")</f>
        <v>Ativo</v>
      </c>
      <c r="E2761" s="10" t="str" cm="1">
        <f t="array" ref="E2761">IF(AND(A2761="2021-02", ISNA(MATCH(B2761, _xlfn._xlws.FILTER(B:B, A:A="2021-03"), 0))), "Left", "Ativo")</f>
        <v>Ativo</v>
      </c>
      <c r="F2761" s="12" t="str" cm="1">
        <f t="array" ref="F2761">IF(AND(A2761="2021-03", ISNA(MATCH(B2761, _xlfn._xlws.FILTER(B:B, A:A="2021-04"), 0))), "Left", "Ativo")</f>
        <v>Ativo</v>
      </c>
    </row>
    <row r="2762" spans="1:6" x14ac:dyDescent="0.25">
      <c r="A2762" t="s">
        <v>1530</v>
      </c>
      <c r="B2762" t="s">
        <v>822</v>
      </c>
      <c r="C2762" s="10" t="str" cm="1">
        <f t="array" ref="C2762">IF(AND(A2762="2020-12", ISNA(MATCH(B2762, _xlfn._xlws.FILTER(B:B, A:A="2021-01"), 0))), "Left", "Ativo")</f>
        <v>Ativo</v>
      </c>
      <c r="D2762" s="10" t="str" cm="1">
        <f t="array" ref="D2762">IF(AND(A2762="2021-01", ISNA(MATCH(B2762, _xlfn._xlws.FILTER(B:B, A:A="2021-02"), 0))), "Left", "Ativo")</f>
        <v>Ativo</v>
      </c>
      <c r="E2762" s="10" t="str" cm="1">
        <f t="array" ref="E2762">IF(AND(A2762="2021-02", ISNA(MATCH(B2762, _xlfn._xlws.FILTER(B:B, A:A="2021-03"), 0))), "Left", "Ativo")</f>
        <v>Ativo</v>
      </c>
      <c r="F2762" s="12" t="str" cm="1">
        <f t="array" ref="F2762">IF(AND(A2762="2021-03", ISNA(MATCH(B2762, _xlfn._xlws.FILTER(B:B, A:A="2021-04"), 0))), "Left", "Ativo")</f>
        <v>Ativo</v>
      </c>
    </row>
    <row r="2763" spans="1:6" x14ac:dyDescent="0.25">
      <c r="A2763" t="s">
        <v>1530</v>
      </c>
      <c r="B2763" t="s">
        <v>823</v>
      </c>
      <c r="C2763" s="10" t="str" cm="1">
        <f t="array" ref="C2763">IF(AND(A2763="2020-12", ISNA(MATCH(B2763, _xlfn._xlws.FILTER(B:B, A:A="2021-01"), 0))), "Left", "Ativo")</f>
        <v>Ativo</v>
      </c>
      <c r="D2763" s="10" t="str" cm="1">
        <f t="array" ref="D2763">IF(AND(A2763="2021-01", ISNA(MATCH(B2763, _xlfn._xlws.FILTER(B:B, A:A="2021-02"), 0))), "Left", "Ativo")</f>
        <v>Ativo</v>
      </c>
      <c r="E2763" s="10" t="str" cm="1">
        <f t="array" ref="E2763">IF(AND(A2763="2021-02", ISNA(MATCH(B2763, _xlfn._xlws.FILTER(B:B, A:A="2021-03"), 0))), "Left", "Ativo")</f>
        <v>Ativo</v>
      </c>
      <c r="F2763" s="12" t="str" cm="1">
        <f t="array" ref="F2763">IF(AND(A2763="2021-03", ISNA(MATCH(B2763, _xlfn._xlws.FILTER(B:B, A:A="2021-04"), 0))), "Left", "Ativo")</f>
        <v>Ativo</v>
      </c>
    </row>
    <row r="2764" spans="1:6" x14ac:dyDescent="0.25">
      <c r="A2764" t="s">
        <v>1530</v>
      </c>
      <c r="B2764" t="s">
        <v>824</v>
      </c>
      <c r="C2764" s="10" t="str" cm="1">
        <f t="array" ref="C2764">IF(AND(A2764="2020-12", ISNA(MATCH(B2764, _xlfn._xlws.FILTER(B:B, A:A="2021-01"), 0))), "Left", "Ativo")</f>
        <v>Ativo</v>
      </c>
      <c r="D2764" s="10" t="str" cm="1">
        <f t="array" ref="D2764">IF(AND(A2764="2021-01", ISNA(MATCH(B2764, _xlfn._xlws.FILTER(B:B, A:A="2021-02"), 0))), "Left", "Ativo")</f>
        <v>Ativo</v>
      </c>
      <c r="E2764" s="10" t="str" cm="1">
        <f t="array" ref="E2764">IF(AND(A2764="2021-02", ISNA(MATCH(B2764, _xlfn._xlws.FILTER(B:B, A:A="2021-03"), 0))), "Left", "Ativo")</f>
        <v>Ativo</v>
      </c>
      <c r="F2764" s="12" t="str" cm="1">
        <f t="array" ref="F2764">IF(AND(A2764="2021-03", ISNA(MATCH(B2764, _xlfn._xlws.FILTER(B:B, A:A="2021-04"), 0))), "Left", "Ativo")</f>
        <v>Ativo</v>
      </c>
    </row>
    <row r="2765" spans="1:6" x14ac:dyDescent="0.25">
      <c r="A2765" t="s">
        <v>1530</v>
      </c>
      <c r="B2765" t="s">
        <v>825</v>
      </c>
      <c r="C2765" s="10" t="str" cm="1">
        <f t="array" ref="C2765">IF(AND(A2765="2020-12", ISNA(MATCH(B2765, _xlfn._xlws.FILTER(B:B, A:A="2021-01"), 0))), "Left", "Ativo")</f>
        <v>Ativo</v>
      </c>
      <c r="D2765" s="10" t="str" cm="1">
        <f t="array" ref="D2765">IF(AND(A2765="2021-01", ISNA(MATCH(B2765, _xlfn._xlws.FILTER(B:B, A:A="2021-02"), 0))), "Left", "Ativo")</f>
        <v>Ativo</v>
      </c>
      <c r="E2765" s="10" t="str" cm="1">
        <f t="array" ref="E2765">IF(AND(A2765="2021-02", ISNA(MATCH(B2765, _xlfn._xlws.FILTER(B:B, A:A="2021-03"), 0))), "Left", "Ativo")</f>
        <v>Ativo</v>
      </c>
      <c r="F2765" s="12" t="str" cm="1">
        <f t="array" ref="F2765">IF(AND(A2765="2021-03", ISNA(MATCH(B2765, _xlfn._xlws.FILTER(B:B, A:A="2021-04"), 0))), "Left", "Ativo")</f>
        <v>Ativo</v>
      </c>
    </row>
    <row r="2766" spans="1:6" x14ac:dyDescent="0.25">
      <c r="A2766" t="s">
        <v>1530</v>
      </c>
      <c r="B2766" t="s">
        <v>826</v>
      </c>
      <c r="C2766" s="10" t="str" cm="1">
        <f t="array" ref="C2766">IF(AND(A2766="2020-12", ISNA(MATCH(B2766, _xlfn._xlws.FILTER(B:B, A:A="2021-01"), 0))), "Left", "Ativo")</f>
        <v>Ativo</v>
      </c>
      <c r="D2766" s="10" t="str" cm="1">
        <f t="array" ref="D2766">IF(AND(A2766="2021-01", ISNA(MATCH(B2766, _xlfn._xlws.FILTER(B:B, A:A="2021-02"), 0))), "Left", "Ativo")</f>
        <v>Ativo</v>
      </c>
      <c r="E2766" s="10" t="str" cm="1">
        <f t="array" ref="E2766">IF(AND(A2766="2021-02", ISNA(MATCH(B2766, _xlfn._xlws.FILTER(B:B, A:A="2021-03"), 0))), "Left", "Ativo")</f>
        <v>Ativo</v>
      </c>
      <c r="F2766" s="12" t="str" cm="1">
        <f t="array" ref="F2766">IF(AND(A2766="2021-03", ISNA(MATCH(B2766, _xlfn._xlws.FILTER(B:B, A:A="2021-04"), 0))), "Left", "Ativo")</f>
        <v>Ativo</v>
      </c>
    </row>
    <row r="2767" spans="1:6" x14ac:dyDescent="0.25">
      <c r="A2767" t="s">
        <v>1530</v>
      </c>
      <c r="B2767" t="s">
        <v>827</v>
      </c>
      <c r="C2767" s="10" t="str" cm="1">
        <f t="array" ref="C2767">IF(AND(A2767="2020-12", ISNA(MATCH(B2767, _xlfn._xlws.FILTER(B:B, A:A="2021-01"), 0))), "Left", "Ativo")</f>
        <v>Ativo</v>
      </c>
      <c r="D2767" s="10" t="str" cm="1">
        <f t="array" ref="D2767">IF(AND(A2767="2021-01", ISNA(MATCH(B2767, _xlfn._xlws.FILTER(B:B, A:A="2021-02"), 0))), "Left", "Ativo")</f>
        <v>Ativo</v>
      </c>
      <c r="E2767" s="10" t="str" cm="1">
        <f t="array" ref="E2767">IF(AND(A2767="2021-02", ISNA(MATCH(B2767, _xlfn._xlws.FILTER(B:B, A:A="2021-03"), 0))), "Left", "Ativo")</f>
        <v>Ativo</v>
      </c>
      <c r="F2767" s="12" t="str" cm="1">
        <f t="array" ref="F2767">IF(AND(A2767="2021-03", ISNA(MATCH(B2767, _xlfn._xlws.FILTER(B:B, A:A="2021-04"), 0))), "Left", "Ativo")</f>
        <v>Ativo</v>
      </c>
    </row>
    <row r="2768" spans="1:6" x14ac:dyDescent="0.25">
      <c r="A2768" t="s">
        <v>1530</v>
      </c>
      <c r="B2768" t="s">
        <v>828</v>
      </c>
      <c r="C2768" s="10" t="str" cm="1">
        <f t="array" ref="C2768">IF(AND(A2768="2020-12", ISNA(MATCH(B2768, _xlfn._xlws.FILTER(B:B, A:A="2021-01"), 0))), "Left", "Ativo")</f>
        <v>Ativo</v>
      </c>
      <c r="D2768" s="10" t="str" cm="1">
        <f t="array" ref="D2768">IF(AND(A2768="2021-01", ISNA(MATCH(B2768, _xlfn._xlws.FILTER(B:B, A:A="2021-02"), 0))), "Left", "Ativo")</f>
        <v>Ativo</v>
      </c>
      <c r="E2768" s="10" t="str" cm="1">
        <f t="array" ref="E2768">IF(AND(A2768="2021-02", ISNA(MATCH(B2768, _xlfn._xlws.FILTER(B:B, A:A="2021-03"), 0))), "Left", "Ativo")</f>
        <v>Ativo</v>
      </c>
      <c r="F2768" s="12" t="str" cm="1">
        <f t="array" ref="F2768">IF(AND(A2768="2021-03", ISNA(MATCH(B2768, _xlfn._xlws.FILTER(B:B, A:A="2021-04"), 0))), "Left", "Ativo")</f>
        <v>Ativo</v>
      </c>
    </row>
    <row r="2769" spans="1:6" x14ac:dyDescent="0.25">
      <c r="A2769" t="s">
        <v>1530</v>
      </c>
      <c r="B2769" t="s">
        <v>829</v>
      </c>
      <c r="C2769" s="10" t="str" cm="1">
        <f t="array" ref="C2769">IF(AND(A2769="2020-12", ISNA(MATCH(B2769, _xlfn._xlws.FILTER(B:B, A:A="2021-01"), 0))), "Left", "Ativo")</f>
        <v>Ativo</v>
      </c>
      <c r="D2769" s="10" t="str" cm="1">
        <f t="array" ref="D2769">IF(AND(A2769="2021-01", ISNA(MATCH(B2769, _xlfn._xlws.FILTER(B:B, A:A="2021-02"), 0))), "Left", "Ativo")</f>
        <v>Ativo</v>
      </c>
      <c r="E2769" s="10" t="str" cm="1">
        <f t="array" ref="E2769">IF(AND(A2769="2021-02", ISNA(MATCH(B2769, _xlfn._xlws.FILTER(B:B, A:A="2021-03"), 0))), "Left", "Ativo")</f>
        <v>Ativo</v>
      </c>
      <c r="F2769" s="12" t="str" cm="1">
        <f t="array" ref="F2769">IF(AND(A2769="2021-03", ISNA(MATCH(B2769, _xlfn._xlws.FILTER(B:B, A:A="2021-04"), 0))), "Left", "Ativo")</f>
        <v>Ativo</v>
      </c>
    </row>
    <row r="2770" spans="1:6" x14ac:dyDescent="0.25">
      <c r="A2770" t="s">
        <v>1530</v>
      </c>
      <c r="B2770" t="s">
        <v>830</v>
      </c>
      <c r="C2770" s="10" t="str" cm="1">
        <f t="array" ref="C2770">IF(AND(A2770="2020-12", ISNA(MATCH(B2770, _xlfn._xlws.FILTER(B:B, A:A="2021-01"), 0))), "Left", "Ativo")</f>
        <v>Ativo</v>
      </c>
      <c r="D2770" s="10" t="str" cm="1">
        <f t="array" ref="D2770">IF(AND(A2770="2021-01", ISNA(MATCH(B2770, _xlfn._xlws.FILTER(B:B, A:A="2021-02"), 0))), "Left", "Ativo")</f>
        <v>Ativo</v>
      </c>
      <c r="E2770" s="10" t="str" cm="1">
        <f t="array" ref="E2770">IF(AND(A2770="2021-02", ISNA(MATCH(B2770, _xlfn._xlws.FILTER(B:B, A:A="2021-03"), 0))), "Left", "Ativo")</f>
        <v>Ativo</v>
      </c>
      <c r="F2770" s="12" t="str" cm="1">
        <f t="array" ref="F2770">IF(AND(A2770="2021-03", ISNA(MATCH(B2770, _xlfn._xlws.FILTER(B:B, A:A="2021-04"), 0))), "Left", "Ativo")</f>
        <v>Ativo</v>
      </c>
    </row>
    <row r="2771" spans="1:6" x14ac:dyDescent="0.25">
      <c r="A2771" t="s">
        <v>1530</v>
      </c>
      <c r="B2771" t="s">
        <v>831</v>
      </c>
      <c r="C2771" s="10" t="str" cm="1">
        <f t="array" ref="C2771">IF(AND(A2771="2020-12", ISNA(MATCH(B2771, _xlfn._xlws.FILTER(B:B, A:A="2021-01"), 0))), "Left", "Ativo")</f>
        <v>Ativo</v>
      </c>
      <c r="D2771" s="10" t="str" cm="1">
        <f t="array" ref="D2771">IF(AND(A2771="2021-01", ISNA(MATCH(B2771, _xlfn._xlws.FILTER(B:B, A:A="2021-02"), 0))), "Left", "Ativo")</f>
        <v>Ativo</v>
      </c>
      <c r="E2771" s="10" t="str" cm="1">
        <f t="array" ref="E2771">IF(AND(A2771="2021-02", ISNA(MATCH(B2771, _xlfn._xlws.FILTER(B:B, A:A="2021-03"), 0))), "Left", "Ativo")</f>
        <v>Ativo</v>
      </c>
      <c r="F2771" s="12" t="str" cm="1">
        <f t="array" ref="F2771">IF(AND(A2771="2021-03", ISNA(MATCH(B2771, _xlfn._xlws.FILTER(B:B, A:A="2021-04"), 0))), "Left", "Ativo")</f>
        <v>Ativo</v>
      </c>
    </row>
    <row r="2772" spans="1:6" x14ac:dyDescent="0.25">
      <c r="A2772" t="s">
        <v>1530</v>
      </c>
      <c r="B2772" t="s">
        <v>832</v>
      </c>
      <c r="C2772" s="10" t="str" cm="1">
        <f t="array" ref="C2772">IF(AND(A2772="2020-12", ISNA(MATCH(B2772, _xlfn._xlws.FILTER(B:B, A:A="2021-01"), 0))), "Left", "Ativo")</f>
        <v>Ativo</v>
      </c>
      <c r="D2772" s="10" t="str" cm="1">
        <f t="array" ref="D2772">IF(AND(A2772="2021-01", ISNA(MATCH(B2772, _xlfn._xlws.FILTER(B:B, A:A="2021-02"), 0))), "Left", "Ativo")</f>
        <v>Ativo</v>
      </c>
      <c r="E2772" s="10" t="str" cm="1">
        <f t="array" ref="E2772">IF(AND(A2772="2021-02", ISNA(MATCH(B2772, _xlfn._xlws.FILTER(B:B, A:A="2021-03"), 0))), "Left", "Ativo")</f>
        <v>Ativo</v>
      </c>
      <c r="F2772" s="12" t="str" cm="1">
        <f t="array" ref="F2772">IF(AND(A2772="2021-03", ISNA(MATCH(B2772, _xlfn._xlws.FILTER(B:B, A:A="2021-04"), 0))), "Left", "Ativo")</f>
        <v>Ativo</v>
      </c>
    </row>
    <row r="2773" spans="1:6" x14ac:dyDescent="0.25">
      <c r="A2773" t="s">
        <v>1530</v>
      </c>
      <c r="B2773" t="s">
        <v>833</v>
      </c>
      <c r="C2773" s="10" t="str" cm="1">
        <f t="array" ref="C2773">IF(AND(A2773="2020-12", ISNA(MATCH(B2773, _xlfn._xlws.FILTER(B:B, A:A="2021-01"), 0))), "Left", "Ativo")</f>
        <v>Ativo</v>
      </c>
      <c r="D2773" s="10" t="str" cm="1">
        <f t="array" ref="D2773">IF(AND(A2773="2021-01", ISNA(MATCH(B2773, _xlfn._xlws.FILTER(B:B, A:A="2021-02"), 0))), "Left", "Ativo")</f>
        <v>Ativo</v>
      </c>
      <c r="E2773" s="10" t="str" cm="1">
        <f t="array" ref="E2773">IF(AND(A2773="2021-02", ISNA(MATCH(B2773, _xlfn._xlws.FILTER(B:B, A:A="2021-03"), 0))), "Left", "Ativo")</f>
        <v>Ativo</v>
      </c>
      <c r="F2773" s="12" t="str" cm="1">
        <f t="array" ref="F2773">IF(AND(A2773="2021-03", ISNA(MATCH(B2773, _xlfn._xlws.FILTER(B:B, A:A="2021-04"), 0))), "Left", "Ativo")</f>
        <v>Ativo</v>
      </c>
    </row>
    <row r="2774" spans="1:6" x14ac:dyDescent="0.25">
      <c r="A2774" t="s">
        <v>1530</v>
      </c>
      <c r="B2774" t="s">
        <v>834</v>
      </c>
      <c r="C2774" s="10" t="str" cm="1">
        <f t="array" ref="C2774">IF(AND(A2774="2020-12", ISNA(MATCH(B2774, _xlfn._xlws.FILTER(B:B, A:A="2021-01"), 0))), "Left", "Ativo")</f>
        <v>Ativo</v>
      </c>
      <c r="D2774" s="10" t="str" cm="1">
        <f t="array" ref="D2774">IF(AND(A2774="2021-01", ISNA(MATCH(B2774, _xlfn._xlws.FILTER(B:B, A:A="2021-02"), 0))), "Left", "Ativo")</f>
        <v>Ativo</v>
      </c>
      <c r="E2774" s="10" t="str" cm="1">
        <f t="array" ref="E2774">IF(AND(A2774="2021-02", ISNA(MATCH(B2774, _xlfn._xlws.FILTER(B:B, A:A="2021-03"), 0))), "Left", "Ativo")</f>
        <v>Ativo</v>
      </c>
      <c r="F2774" s="12" t="str" cm="1">
        <f t="array" ref="F2774">IF(AND(A2774="2021-03", ISNA(MATCH(B2774, _xlfn._xlws.FILTER(B:B, A:A="2021-04"), 0))), "Left", "Ativo")</f>
        <v>Ativo</v>
      </c>
    </row>
    <row r="2775" spans="1:6" x14ac:dyDescent="0.25">
      <c r="A2775" t="s">
        <v>1530</v>
      </c>
      <c r="B2775" t="s">
        <v>835</v>
      </c>
      <c r="C2775" s="10" t="str" cm="1">
        <f t="array" ref="C2775">IF(AND(A2775="2020-12", ISNA(MATCH(B2775, _xlfn._xlws.FILTER(B:B, A:A="2021-01"), 0))), "Left", "Ativo")</f>
        <v>Ativo</v>
      </c>
      <c r="D2775" s="10" t="str" cm="1">
        <f t="array" ref="D2775">IF(AND(A2775="2021-01", ISNA(MATCH(B2775, _xlfn._xlws.FILTER(B:B, A:A="2021-02"), 0))), "Left", "Ativo")</f>
        <v>Ativo</v>
      </c>
      <c r="E2775" s="10" t="str" cm="1">
        <f t="array" ref="E2775">IF(AND(A2775="2021-02", ISNA(MATCH(B2775, _xlfn._xlws.FILTER(B:B, A:A="2021-03"), 0))), "Left", "Ativo")</f>
        <v>Ativo</v>
      </c>
      <c r="F2775" s="12" t="str" cm="1">
        <f t="array" ref="F2775">IF(AND(A2775="2021-03", ISNA(MATCH(B2775, _xlfn._xlws.FILTER(B:B, A:A="2021-04"), 0))), "Left", "Ativo")</f>
        <v>Ativo</v>
      </c>
    </row>
    <row r="2776" spans="1:6" x14ac:dyDescent="0.25">
      <c r="A2776" t="s">
        <v>1530</v>
      </c>
      <c r="B2776" t="s">
        <v>836</v>
      </c>
      <c r="C2776" s="10" t="str" cm="1">
        <f t="array" ref="C2776">IF(AND(A2776="2020-12", ISNA(MATCH(B2776, _xlfn._xlws.FILTER(B:B, A:A="2021-01"), 0))), "Left", "Ativo")</f>
        <v>Ativo</v>
      </c>
      <c r="D2776" s="10" t="str" cm="1">
        <f t="array" ref="D2776">IF(AND(A2776="2021-01", ISNA(MATCH(B2776, _xlfn._xlws.FILTER(B:B, A:A="2021-02"), 0))), "Left", "Ativo")</f>
        <v>Ativo</v>
      </c>
      <c r="E2776" s="10" t="str" cm="1">
        <f t="array" ref="E2776">IF(AND(A2776="2021-02", ISNA(MATCH(B2776, _xlfn._xlws.FILTER(B:B, A:A="2021-03"), 0))), "Left", "Ativo")</f>
        <v>Left</v>
      </c>
      <c r="F2776" s="12" t="str" cm="1">
        <f t="array" ref="F2776">IF(AND(A2776="2021-03", ISNA(MATCH(B2776, _xlfn._xlws.FILTER(B:B, A:A="2021-04"), 0))), "Left", "Ativo")</f>
        <v>Ativo</v>
      </c>
    </row>
    <row r="2777" spans="1:6" x14ac:dyDescent="0.25">
      <c r="A2777" t="s">
        <v>1530</v>
      </c>
      <c r="B2777" t="s">
        <v>837</v>
      </c>
      <c r="C2777" s="10" t="str" cm="1">
        <f t="array" ref="C2777">IF(AND(A2777="2020-12", ISNA(MATCH(B2777, _xlfn._xlws.FILTER(B:B, A:A="2021-01"), 0))), "Left", "Ativo")</f>
        <v>Ativo</v>
      </c>
      <c r="D2777" s="10" t="str" cm="1">
        <f t="array" ref="D2777">IF(AND(A2777="2021-01", ISNA(MATCH(B2777, _xlfn._xlws.FILTER(B:B, A:A="2021-02"), 0))), "Left", "Ativo")</f>
        <v>Ativo</v>
      </c>
      <c r="E2777" s="10" t="str" cm="1">
        <f t="array" ref="E2777">IF(AND(A2777="2021-02", ISNA(MATCH(B2777, _xlfn._xlws.FILTER(B:B, A:A="2021-03"), 0))), "Left", "Ativo")</f>
        <v>Ativo</v>
      </c>
      <c r="F2777" s="12" t="str" cm="1">
        <f t="array" ref="F2777">IF(AND(A2777="2021-03", ISNA(MATCH(B2777, _xlfn._xlws.FILTER(B:B, A:A="2021-04"), 0))), "Left", "Ativo")</f>
        <v>Ativo</v>
      </c>
    </row>
    <row r="2778" spans="1:6" x14ac:dyDescent="0.25">
      <c r="A2778" t="s">
        <v>1530</v>
      </c>
      <c r="B2778" t="s">
        <v>838</v>
      </c>
      <c r="C2778" s="10" t="str" cm="1">
        <f t="array" ref="C2778">IF(AND(A2778="2020-12", ISNA(MATCH(B2778, _xlfn._xlws.FILTER(B:B, A:A="2021-01"), 0))), "Left", "Ativo")</f>
        <v>Ativo</v>
      </c>
      <c r="D2778" s="10" t="str" cm="1">
        <f t="array" ref="D2778">IF(AND(A2778="2021-01", ISNA(MATCH(B2778, _xlfn._xlws.FILTER(B:B, A:A="2021-02"), 0))), "Left", "Ativo")</f>
        <v>Ativo</v>
      </c>
      <c r="E2778" s="10" t="str" cm="1">
        <f t="array" ref="E2778">IF(AND(A2778="2021-02", ISNA(MATCH(B2778, _xlfn._xlws.FILTER(B:B, A:A="2021-03"), 0))), "Left", "Ativo")</f>
        <v>Ativo</v>
      </c>
      <c r="F2778" s="12" t="str" cm="1">
        <f t="array" ref="F2778">IF(AND(A2778="2021-03", ISNA(MATCH(B2778, _xlfn._xlws.FILTER(B:B, A:A="2021-04"), 0))), "Left", "Ativo")</f>
        <v>Ativo</v>
      </c>
    </row>
    <row r="2779" spans="1:6" x14ac:dyDescent="0.25">
      <c r="A2779" t="s">
        <v>1530</v>
      </c>
      <c r="B2779" t="s">
        <v>839</v>
      </c>
      <c r="C2779" s="10" t="str" cm="1">
        <f t="array" ref="C2779">IF(AND(A2779="2020-12", ISNA(MATCH(B2779, _xlfn._xlws.FILTER(B:B, A:A="2021-01"), 0))), "Left", "Ativo")</f>
        <v>Ativo</v>
      </c>
      <c r="D2779" s="10" t="str" cm="1">
        <f t="array" ref="D2779">IF(AND(A2779="2021-01", ISNA(MATCH(B2779, _xlfn._xlws.FILTER(B:B, A:A="2021-02"), 0))), "Left", "Ativo")</f>
        <v>Ativo</v>
      </c>
      <c r="E2779" s="10" t="str" cm="1">
        <f t="array" ref="E2779">IF(AND(A2779="2021-02", ISNA(MATCH(B2779, _xlfn._xlws.FILTER(B:B, A:A="2021-03"), 0))), "Left", "Ativo")</f>
        <v>Ativo</v>
      </c>
      <c r="F2779" s="12" t="str" cm="1">
        <f t="array" ref="F2779">IF(AND(A2779="2021-03", ISNA(MATCH(B2779, _xlfn._xlws.FILTER(B:B, A:A="2021-04"), 0))), "Left", "Ativo")</f>
        <v>Ativo</v>
      </c>
    </row>
    <row r="2780" spans="1:6" x14ac:dyDescent="0.25">
      <c r="A2780" t="s">
        <v>1530</v>
      </c>
      <c r="B2780" t="s">
        <v>840</v>
      </c>
      <c r="C2780" s="10" t="str" cm="1">
        <f t="array" ref="C2780">IF(AND(A2780="2020-12", ISNA(MATCH(B2780, _xlfn._xlws.FILTER(B:B, A:A="2021-01"), 0))), "Left", "Ativo")</f>
        <v>Ativo</v>
      </c>
      <c r="D2780" s="10" t="str" cm="1">
        <f t="array" ref="D2780">IF(AND(A2780="2021-01", ISNA(MATCH(B2780, _xlfn._xlws.FILTER(B:B, A:A="2021-02"), 0))), "Left", "Ativo")</f>
        <v>Ativo</v>
      </c>
      <c r="E2780" s="10" t="str" cm="1">
        <f t="array" ref="E2780">IF(AND(A2780="2021-02", ISNA(MATCH(B2780, _xlfn._xlws.FILTER(B:B, A:A="2021-03"), 0))), "Left", "Ativo")</f>
        <v>Ativo</v>
      </c>
      <c r="F2780" s="12" t="str" cm="1">
        <f t="array" ref="F2780">IF(AND(A2780="2021-03", ISNA(MATCH(B2780, _xlfn._xlws.FILTER(B:B, A:A="2021-04"), 0))), "Left", "Ativo")</f>
        <v>Ativo</v>
      </c>
    </row>
    <row r="2781" spans="1:6" x14ac:dyDescent="0.25">
      <c r="A2781" t="s">
        <v>1530</v>
      </c>
      <c r="B2781" t="s">
        <v>841</v>
      </c>
      <c r="C2781" s="10" t="str" cm="1">
        <f t="array" ref="C2781">IF(AND(A2781="2020-12", ISNA(MATCH(B2781, _xlfn._xlws.FILTER(B:B, A:A="2021-01"), 0))), "Left", "Ativo")</f>
        <v>Ativo</v>
      </c>
      <c r="D2781" s="10" t="str" cm="1">
        <f t="array" ref="D2781">IF(AND(A2781="2021-01", ISNA(MATCH(B2781, _xlfn._xlws.FILTER(B:B, A:A="2021-02"), 0))), "Left", "Ativo")</f>
        <v>Ativo</v>
      </c>
      <c r="E2781" s="10" t="str" cm="1">
        <f t="array" ref="E2781">IF(AND(A2781="2021-02", ISNA(MATCH(B2781, _xlfn._xlws.FILTER(B:B, A:A="2021-03"), 0))), "Left", "Ativo")</f>
        <v>Ativo</v>
      </c>
      <c r="F2781" s="12" t="str" cm="1">
        <f t="array" ref="F2781">IF(AND(A2781="2021-03", ISNA(MATCH(B2781, _xlfn._xlws.FILTER(B:B, A:A="2021-04"), 0))), "Left", "Ativo")</f>
        <v>Ativo</v>
      </c>
    </row>
    <row r="2782" spans="1:6" x14ac:dyDescent="0.25">
      <c r="A2782" t="s">
        <v>1530</v>
      </c>
      <c r="B2782" t="s">
        <v>842</v>
      </c>
      <c r="C2782" s="10" t="str" cm="1">
        <f t="array" ref="C2782">IF(AND(A2782="2020-12", ISNA(MATCH(B2782, _xlfn._xlws.FILTER(B:B, A:A="2021-01"), 0))), "Left", "Ativo")</f>
        <v>Ativo</v>
      </c>
      <c r="D2782" s="10" t="str" cm="1">
        <f t="array" ref="D2782">IF(AND(A2782="2021-01", ISNA(MATCH(B2782, _xlfn._xlws.FILTER(B:B, A:A="2021-02"), 0))), "Left", "Ativo")</f>
        <v>Ativo</v>
      </c>
      <c r="E2782" s="10" t="str" cm="1">
        <f t="array" ref="E2782">IF(AND(A2782="2021-02", ISNA(MATCH(B2782, _xlfn._xlws.FILTER(B:B, A:A="2021-03"), 0))), "Left", "Ativo")</f>
        <v>Ativo</v>
      </c>
      <c r="F2782" s="12" t="str" cm="1">
        <f t="array" ref="F2782">IF(AND(A2782="2021-03", ISNA(MATCH(B2782, _xlfn._xlws.FILTER(B:B, A:A="2021-04"), 0))), "Left", "Ativo")</f>
        <v>Ativo</v>
      </c>
    </row>
    <row r="2783" spans="1:6" x14ac:dyDescent="0.25">
      <c r="A2783" t="s">
        <v>1530</v>
      </c>
      <c r="B2783" t="s">
        <v>843</v>
      </c>
      <c r="C2783" s="10" t="str" cm="1">
        <f t="array" ref="C2783">IF(AND(A2783="2020-12", ISNA(MATCH(B2783, _xlfn._xlws.FILTER(B:B, A:A="2021-01"), 0))), "Left", "Ativo")</f>
        <v>Ativo</v>
      </c>
      <c r="D2783" s="10" t="str" cm="1">
        <f t="array" ref="D2783">IF(AND(A2783="2021-01", ISNA(MATCH(B2783, _xlfn._xlws.FILTER(B:B, A:A="2021-02"), 0))), "Left", "Ativo")</f>
        <v>Ativo</v>
      </c>
      <c r="E2783" s="10" t="str" cm="1">
        <f t="array" ref="E2783">IF(AND(A2783="2021-02", ISNA(MATCH(B2783, _xlfn._xlws.FILTER(B:B, A:A="2021-03"), 0))), "Left", "Ativo")</f>
        <v>Ativo</v>
      </c>
      <c r="F2783" s="12" t="str" cm="1">
        <f t="array" ref="F2783">IF(AND(A2783="2021-03", ISNA(MATCH(B2783, _xlfn._xlws.FILTER(B:B, A:A="2021-04"), 0))), "Left", "Ativo")</f>
        <v>Ativo</v>
      </c>
    </row>
    <row r="2784" spans="1:6" x14ac:dyDescent="0.25">
      <c r="A2784" t="s">
        <v>1530</v>
      </c>
      <c r="B2784" t="s">
        <v>844</v>
      </c>
      <c r="C2784" s="10" t="str" cm="1">
        <f t="array" ref="C2784">IF(AND(A2784="2020-12", ISNA(MATCH(B2784, _xlfn._xlws.FILTER(B:B, A:A="2021-01"), 0))), "Left", "Ativo")</f>
        <v>Ativo</v>
      </c>
      <c r="D2784" s="10" t="str" cm="1">
        <f t="array" ref="D2784">IF(AND(A2784="2021-01", ISNA(MATCH(B2784, _xlfn._xlws.FILTER(B:B, A:A="2021-02"), 0))), "Left", "Ativo")</f>
        <v>Ativo</v>
      </c>
      <c r="E2784" s="10" t="str" cm="1">
        <f t="array" ref="E2784">IF(AND(A2784="2021-02", ISNA(MATCH(B2784, _xlfn._xlws.FILTER(B:B, A:A="2021-03"), 0))), "Left", "Ativo")</f>
        <v>Ativo</v>
      </c>
      <c r="F2784" s="12" t="str" cm="1">
        <f t="array" ref="F2784">IF(AND(A2784="2021-03", ISNA(MATCH(B2784, _xlfn._xlws.FILTER(B:B, A:A="2021-04"), 0))), "Left", "Ativo")</f>
        <v>Ativo</v>
      </c>
    </row>
    <row r="2785" spans="1:6" x14ac:dyDescent="0.25">
      <c r="A2785" t="s">
        <v>1530</v>
      </c>
      <c r="B2785" t="s">
        <v>845</v>
      </c>
      <c r="C2785" s="10" t="str" cm="1">
        <f t="array" ref="C2785">IF(AND(A2785="2020-12", ISNA(MATCH(B2785, _xlfn._xlws.FILTER(B:B, A:A="2021-01"), 0))), "Left", "Ativo")</f>
        <v>Ativo</v>
      </c>
      <c r="D2785" s="10" t="str" cm="1">
        <f t="array" ref="D2785">IF(AND(A2785="2021-01", ISNA(MATCH(B2785, _xlfn._xlws.FILTER(B:B, A:A="2021-02"), 0))), "Left", "Ativo")</f>
        <v>Ativo</v>
      </c>
      <c r="E2785" s="10" t="str" cm="1">
        <f t="array" ref="E2785">IF(AND(A2785="2021-02", ISNA(MATCH(B2785, _xlfn._xlws.FILTER(B:B, A:A="2021-03"), 0))), "Left", "Ativo")</f>
        <v>Ativo</v>
      </c>
      <c r="F2785" s="12" t="str" cm="1">
        <f t="array" ref="F2785">IF(AND(A2785="2021-03", ISNA(MATCH(B2785, _xlfn._xlws.FILTER(B:B, A:A="2021-04"), 0))), "Left", "Ativo")</f>
        <v>Ativo</v>
      </c>
    </row>
    <row r="2786" spans="1:6" x14ac:dyDescent="0.25">
      <c r="A2786" t="s">
        <v>1530</v>
      </c>
      <c r="B2786" t="s">
        <v>846</v>
      </c>
      <c r="C2786" s="10" t="str" cm="1">
        <f t="array" ref="C2786">IF(AND(A2786="2020-12", ISNA(MATCH(B2786, _xlfn._xlws.FILTER(B:B, A:A="2021-01"), 0))), "Left", "Ativo")</f>
        <v>Ativo</v>
      </c>
      <c r="D2786" s="10" t="str" cm="1">
        <f t="array" ref="D2786">IF(AND(A2786="2021-01", ISNA(MATCH(B2786, _xlfn._xlws.FILTER(B:B, A:A="2021-02"), 0))), "Left", "Ativo")</f>
        <v>Ativo</v>
      </c>
      <c r="E2786" s="10" t="str" cm="1">
        <f t="array" ref="E2786">IF(AND(A2786="2021-02", ISNA(MATCH(B2786, _xlfn._xlws.FILTER(B:B, A:A="2021-03"), 0))), "Left", "Ativo")</f>
        <v>Ativo</v>
      </c>
      <c r="F2786" s="12" t="str" cm="1">
        <f t="array" ref="F2786">IF(AND(A2786="2021-03", ISNA(MATCH(B2786, _xlfn._xlws.FILTER(B:B, A:A="2021-04"), 0))), "Left", "Ativo")</f>
        <v>Ativo</v>
      </c>
    </row>
    <row r="2787" spans="1:6" x14ac:dyDescent="0.25">
      <c r="A2787" t="s">
        <v>1530</v>
      </c>
      <c r="B2787" t="s">
        <v>847</v>
      </c>
      <c r="C2787" s="10" t="str" cm="1">
        <f t="array" ref="C2787">IF(AND(A2787="2020-12", ISNA(MATCH(B2787, _xlfn._xlws.FILTER(B:B, A:A="2021-01"), 0))), "Left", "Ativo")</f>
        <v>Ativo</v>
      </c>
      <c r="D2787" s="10" t="str" cm="1">
        <f t="array" ref="D2787">IF(AND(A2787="2021-01", ISNA(MATCH(B2787, _xlfn._xlws.FILTER(B:B, A:A="2021-02"), 0))), "Left", "Ativo")</f>
        <v>Ativo</v>
      </c>
      <c r="E2787" s="10" t="str" cm="1">
        <f t="array" ref="E2787">IF(AND(A2787="2021-02", ISNA(MATCH(B2787, _xlfn._xlws.FILTER(B:B, A:A="2021-03"), 0))), "Left", "Ativo")</f>
        <v>Ativo</v>
      </c>
      <c r="F2787" s="12" t="str" cm="1">
        <f t="array" ref="F2787">IF(AND(A2787="2021-03", ISNA(MATCH(B2787, _xlfn._xlws.FILTER(B:B, A:A="2021-04"), 0))), "Left", "Ativo")</f>
        <v>Ativo</v>
      </c>
    </row>
    <row r="2788" spans="1:6" x14ac:dyDescent="0.25">
      <c r="A2788" t="s">
        <v>1530</v>
      </c>
      <c r="B2788" t="s">
        <v>848</v>
      </c>
      <c r="C2788" s="10" t="str" cm="1">
        <f t="array" ref="C2788">IF(AND(A2788="2020-12", ISNA(MATCH(B2788, _xlfn._xlws.FILTER(B:B, A:A="2021-01"), 0))), "Left", "Ativo")</f>
        <v>Ativo</v>
      </c>
      <c r="D2788" s="10" t="str" cm="1">
        <f t="array" ref="D2788">IF(AND(A2788="2021-01", ISNA(MATCH(B2788, _xlfn._xlws.FILTER(B:B, A:A="2021-02"), 0))), "Left", "Ativo")</f>
        <v>Ativo</v>
      </c>
      <c r="E2788" s="10" t="str" cm="1">
        <f t="array" ref="E2788">IF(AND(A2788="2021-02", ISNA(MATCH(B2788, _xlfn._xlws.FILTER(B:B, A:A="2021-03"), 0))), "Left", "Ativo")</f>
        <v>Ativo</v>
      </c>
      <c r="F2788" s="12" t="str" cm="1">
        <f t="array" ref="F2788">IF(AND(A2788="2021-03", ISNA(MATCH(B2788, _xlfn._xlws.FILTER(B:B, A:A="2021-04"), 0))), "Left", "Ativo")</f>
        <v>Ativo</v>
      </c>
    </row>
    <row r="2789" spans="1:6" x14ac:dyDescent="0.25">
      <c r="A2789" t="s">
        <v>1530</v>
      </c>
      <c r="B2789" t="s">
        <v>849</v>
      </c>
      <c r="C2789" s="10" t="str" cm="1">
        <f t="array" ref="C2789">IF(AND(A2789="2020-12", ISNA(MATCH(B2789, _xlfn._xlws.FILTER(B:B, A:A="2021-01"), 0))), "Left", "Ativo")</f>
        <v>Ativo</v>
      </c>
      <c r="D2789" s="10" t="str" cm="1">
        <f t="array" ref="D2789">IF(AND(A2789="2021-01", ISNA(MATCH(B2789, _xlfn._xlws.FILTER(B:B, A:A="2021-02"), 0))), "Left", "Ativo")</f>
        <v>Ativo</v>
      </c>
      <c r="E2789" s="10" t="str" cm="1">
        <f t="array" ref="E2789">IF(AND(A2789="2021-02", ISNA(MATCH(B2789, _xlfn._xlws.FILTER(B:B, A:A="2021-03"), 0))), "Left", "Ativo")</f>
        <v>Ativo</v>
      </c>
      <c r="F2789" s="12" t="str" cm="1">
        <f t="array" ref="F2789">IF(AND(A2789="2021-03", ISNA(MATCH(B2789, _xlfn._xlws.FILTER(B:B, A:A="2021-04"), 0))), "Left", "Ativo")</f>
        <v>Ativo</v>
      </c>
    </row>
    <row r="2790" spans="1:6" x14ac:dyDescent="0.25">
      <c r="A2790" t="s">
        <v>1530</v>
      </c>
      <c r="B2790" t="s">
        <v>850</v>
      </c>
      <c r="C2790" s="10" t="str" cm="1">
        <f t="array" ref="C2790">IF(AND(A2790="2020-12", ISNA(MATCH(B2790, _xlfn._xlws.FILTER(B:B, A:A="2021-01"), 0))), "Left", "Ativo")</f>
        <v>Ativo</v>
      </c>
      <c r="D2790" s="10" t="str" cm="1">
        <f t="array" ref="D2790">IF(AND(A2790="2021-01", ISNA(MATCH(B2790, _xlfn._xlws.FILTER(B:B, A:A="2021-02"), 0))), "Left", "Ativo")</f>
        <v>Ativo</v>
      </c>
      <c r="E2790" s="10" t="str" cm="1">
        <f t="array" ref="E2790">IF(AND(A2790="2021-02", ISNA(MATCH(B2790, _xlfn._xlws.FILTER(B:B, A:A="2021-03"), 0))), "Left", "Ativo")</f>
        <v>Ativo</v>
      </c>
      <c r="F2790" s="12" t="str" cm="1">
        <f t="array" ref="F2790">IF(AND(A2790="2021-03", ISNA(MATCH(B2790, _xlfn._xlws.FILTER(B:B, A:A="2021-04"), 0))), "Left", "Ativo")</f>
        <v>Ativo</v>
      </c>
    </row>
    <row r="2791" spans="1:6" x14ac:dyDescent="0.25">
      <c r="A2791" t="s">
        <v>1530</v>
      </c>
      <c r="B2791" t="s">
        <v>851</v>
      </c>
      <c r="C2791" s="10" t="str" cm="1">
        <f t="array" ref="C2791">IF(AND(A2791="2020-12", ISNA(MATCH(B2791, _xlfn._xlws.FILTER(B:B, A:A="2021-01"), 0))), "Left", "Ativo")</f>
        <v>Ativo</v>
      </c>
      <c r="D2791" s="10" t="str" cm="1">
        <f t="array" ref="D2791">IF(AND(A2791="2021-01", ISNA(MATCH(B2791, _xlfn._xlws.FILTER(B:B, A:A="2021-02"), 0))), "Left", "Ativo")</f>
        <v>Ativo</v>
      </c>
      <c r="E2791" s="10" t="str" cm="1">
        <f t="array" ref="E2791">IF(AND(A2791="2021-02", ISNA(MATCH(B2791, _xlfn._xlws.FILTER(B:B, A:A="2021-03"), 0))), "Left", "Ativo")</f>
        <v>Ativo</v>
      </c>
      <c r="F2791" s="12" t="str" cm="1">
        <f t="array" ref="F2791">IF(AND(A2791="2021-03", ISNA(MATCH(B2791, _xlfn._xlws.FILTER(B:B, A:A="2021-04"), 0))), "Left", "Ativo")</f>
        <v>Ativo</v>
      </c>
    </row>
    <row r="2792" spans="1:6" x14ac:dyDescent="0.25">
      <c r="A2792" t="s">
        <v>1530</v>
      </c>
      <c r="B2792" t="s">
        <v>852</v>
      </c>
      <c r="C2792" s="10" t="str" cm="1">
        <f t="array" ref="C2792">IF(AND(A2792="2020-12", ISNA(MATCH(B2792, _xlfn._xlws.FILTER(B:B, A:A="2021-01"), 0))), "Left", "Ativo")</f>
        <v>Ativo</v>
      </c>
      <c r="D2792" s="10" t="str" cm="1">
        <f t="array" ref="D2792">IF(AND(A2792="2021-01", ISNA(MATCH(B2792, _xlfn._xlws.FILTER(B:B, A:A="2021-02"), 0))), "Left", "Ativo")</f>
        <v>Ativo</v>
      </c>
      <c r="E2792" s="10" t="str" cm="1">
        <f t="array" ref="E2792">IF(AND(A2792="2021-02", ISNA(MATCH(B2792, _xlfn._xlws.FILTER(B:B, A:A="2021-03"), 0))), "Left", "Ativo")</f>
        <v>Ativo</v>
      </c>
      <c r="F2792" s="12" t="str" cm="1">
        <f t="array" ref="F2792">IF(AND(A2792="2021-03", ISNA(MATCH(B2792, _xlfn._xlws.FILTER(B:B, A:A="2021-04"), 0))), "Left", "Ativo")</f>
        <v>Ativo</v>
      </c>
    </row>
    <row r="2793" spans="1:6" x14ac:dyDescent="0.25">
      <c r="A2793" t="s">
        <v>1530</v>
      </c>
      <c r="B2793" t="s">
        <v>853</v>
      </c>
      <c r="C2793" s="10" t="str" cm="1">
        <f t="array" ref="C2793">IF(AND(A2793="2020-12", ISNA(MATCH(B2793, _xlfn._xlws.FILTER(B:B, A:A="2021-01"), 0))), "Left", "Ativo")</f>
        <v>Ativo</v>
      </c>
      <c r="D2793" s="10" t="str" cm="1">
        <f t="array" ref="D2793">IF(AND(A2793="2021-01", ISNA(MATCH(B2793, _xlfn._xlws.FILTER(B:B, A:A="2021-02"), 0))), "Left", "Ativo")</f>
        <v>Ativo</v>
      </c>
      <c r="E2793" s="10" t="str" cm="1">
        <f t="array" ref="E2793">IF(AND(A2793="2021-02", ISNA(MATCH(B2793, _xlfn._xlws.FILTER(B:B, A:A="2021-03"), 0))), "Left", "Ativo")</f>
        <v>Ativo</v>
      </c>
      <c r="F2793" s="12" t="str" cm="1">
        <f t="array" ref="F2793">IF(AND(A2793="2021-03", ISNA(MATCH(B2793, _xlfn._xlws.FILTER(B:B, A:A="2021-04"), 0))), "Left", "Ativo")</f>
        <v>Ativo</v>
      </c>
    </row>
    <row r="2794" spans="1:6" x14ac:dyDescent="0.25">
      <c r="A2794" t="s">
        <v>1530</v>
      </c>
      <c r="B2794" t="s">
        <v>854</v>
      </c>
      <c r="C2794" s="10" t="str" cm="1">
        <f t="array" ref="C2794">IF(AND(A2794="2020-12", ISNA(MATCH(B2794, _xlfn._xlws.FILTER(B:B, A:A="2021-01"), 0))), "Left", "Ativo")</f>
        <v>Ativo</v>
      </c>
      <c r="D2794" s="10" t="str" cm="1">
        <f t="array" ref="D2794">IF(AND(A2794="2021-01", ISNA(MATCH(B2794, _xlfn._xlws.FILTER(B:B, A:A="2021-02"), 0))), "Left", "Ativo")</f>
        <v>Ativo</v>
      </c>
      <c r="E2794" s="10" t="str" cm="1">
        <f t="array" ref="E2794">IF(AND(A2794="2021-02", ISNA(MATCH(B2794, _xlfn._xlws.FILTER(B:B, A:A="2021-03"), 0))), "Left", "Ativo")</f>
        <v>Ativo</v>
      </c>
      <c r="F2794" s="12" t="str" cm="1">
        <f t="array" ref="F2794">IF(AND(A2794="2021-03", ISNA(MATCH(B2794, _xlfn._xlws.FILTER(B:B, A:A="2021-04"), 0))), "Left", "Ativo")</f>
        <v>Ativo</v>
      </c>
    </row>
    <row r="2795" spans="1:6" x14ac:dyDescent="0.25">
      <c r="A2795" t="s">
        <v>1530</v>
      </c>
      <c r="B2795" t="s">
        <v>855</v>
      </c>
      <c r="C2795" s="10" t="str" cm="1">
        <f t="array" ref="C2795">IF(AND(A2795="2020-12", ISNA(MATCH(B2795, _xlfn._xlws.FILTER(B:B, A:A="2021-01"), 0))), "Left", "Ativo")</f>
        <v>Ativo</v>
      </c>
      <c r="D2795" s="10" t="str" cm="1">
        <f t="array" ref="D2795">IF(AND(A2795="2021-01", ISNA(MATCH(B2795, _xlfn._xlws.FILTER(B:B, A:A="2021-02"), 0))), "Left", "Ativo")</f>
        <v>Ativo</v>
      </c>
      <c r="E2795" s="10" t="str" cm="1">
        <f t="array" ref="E2795">IF(AND(A2795="2021-02", ISNA(MATCH(B2795, _xlfn._xlws.FILTER(B:B, A:A="2021-03"), 0))), "Left", "Ativo")</f>
        <v>Ativo</v>
      </c>
      <c r="F2795" s="12" t="str" cm="1">
        <f t="array" ref="F2795">IF(AND(A2795="2021-03", ISNA(MATCH(B2795, _xlfn._xlws.FILTER(B:B, A:A="2021-04"), 0))), "Left", "Ativo")</f>
        <v>Ativo</v>
      </c>
    </row>
    <row r="2796" spans="1:6" x14ac:dyDescent="0.25">
      <c r="A2796" t="s">
        <v>1530</v>
      </c>
      <c r="B2796" t="s">
        <v>856</v>
      </c>
      <c r="C2796" s="10" t="str" cm="1">
        <f t="array" ref="C2796">IF(AND(A2796="2020-12", ISNA(MATCH(B2796, _xlfn._xlws.FILTER(B:B, A:A="2021-01"), 0))), "Left", "Ativo")</f>
        <v>Ativo</v>
      </c>
      <c r="D2796" s="10" t="str" cm="1">
        <f t="array" ref="D2796">IF(AND(A2796="2021-01", ISNA(MATCH(B2796, _xlfn._xlws.FILTER(B:B, A:A="2021-02"), 0))), "Left", "Ativo")</f>
        <v>Ativo</v>
      </c>
      <c r="E2796" s="10" t="str" cm="1">
        <f t="array" ref="E2796">IF(AND(A2796="2021-02", ISNA(MATCH(B2796, _xlfn._xlws.FILTER(B:B, A:A="2021-03"), 0))), "Left", "Ativo")</f>
        <v>Ativo</v>
      </c>
      <c r="F2796" s="12" t="str" cm="1">
        <f t="array" ref="F2796">IF(AND(A2796="2021-03", ISNA(MATCH(B2796, _xlfn._xlws.FILTER(B:B, A:A="2021-04"), 0))), "Left", "Ativo")</f>
        <v>Ativo</v>
      </c>
    </row>
    <row r="2797" spans="1:6" x14ac:dyDescent="0.25">
      <c r="A2797" t="s">
        <v>1530</v>
      </c>
      <c r="B2797" t="s">
        <v>857</v>
      </c>
      <c r="C2797" s="10" t="str" cm="1">
        <f t="array" ref="C2797">IF(AND(A2797="2020-12", ISNA(MATCH(B2797, _xlfn._xlws.FILTER(B:B, A:A="2021-01"), 0))), "Left", "Ativo")</f>
        <v>Ativo</v>
      </c>
      <c r="D2797" s="10" t="str" cm="1">
        <f t="array" ref="D2797">IF(AND(A2797="2021-01", ISNA(MATCH(B2797, _xlfn._xlws.FILTER(B:B, A:A="2021-02"), 0))), "Left", "Ativo")</f>
        <v>Ativo</v>
      </c>
      <c r="E2797" s="10" t="str" cm="1">
        <f t="array" ref="E2797">IF(AND(A2797="2021-02", ISNA(MATCH(B2797, _xlfn._xlws.FILTER(B:B, A:A="2021-03"), 0))), "Left", "Ativo")</f>
        <v>Ativo</v>
      </c>
      <c r="F2797" s="12" t="str" cm="1">
        <f t="array" ref="F2797">IF(AND(A2797="2021-03", ISNA(MATCH(B2797, _xlfn._xlws.FILTER(B:B, A:A="2021-04"), 0))), "Left", "Ativo")</f>
        <v>Ativo</v>
      </c>
    </row>
    <row r="2798" spans="1:6" x14ac:dyDescent="0.25">
      <c r="A2798" t="s">
        <v>1530</v>
      </c>
      <c r="B2798" t="s">
        <v>858</v>
      </c>
      <c r="C2798" s="10" t="str" cm="1">
        <f t="array" ref="C2798">IF(AND(A2798="2020-12", ISNA(MATCH(B2798, _xlfn._xlws.FILTER(B:B, A:A="2021-01"), 0))), "Left", "Ativo")</f>
        <v>Ativo</v>
      </c>
      <c r="D2798" s="10" t="str" cm="1">
        <f t="array" ref="D2798">IF(AND(A2798="2021-01", ISNA(MATCH(B2798, _xlfn._xlws.FILTER(B:B, A:A="2021-02"), 0))), "Left", "Ativo")</f>
        <v>Ativo</v>
      </c>
      <c r="E2798" s="10" t="str" cm="1">
        <f t="array" ref="E2798">IF(AND(A2798="2021-02", ISNA(MATCH(B2798, _xlfn._xlws.FILTER(B:B, A:A="2021-03"), 0))), "Left", "Ativo")</f>
        <v>Ativo</v>
      </c>
      <c r="F2798" s="12" t="str" cm="1">
        <f t="array" ref="F2798">IF(AND(A2798="2021-03", ISNA(MATCH(B2798, _xlfn._xlws.FILTER(B:B, A:A="2021-04"), 0))), "Left", "Ativo")</f>
        <v>Ativo</v>
      </c>
    </row>
    <row r="2799" spans="1:6" x14ac:dyDescent="0.25">
      <c r="A2799" t="s">
        <v>1530</v>
      </c>
      <c r="B2799" t="s">
        <v>859</v>
      </c>
      <c r="C2799" s="10" t="str" cm="1">
        <f t="array" ref="C2799">IF(AND(A2799="2020-12", ISNA(MATCH(B2799, _xlfn._xlws.FILTER(B:B, A:A="2021-01"), 0))), "Left", "Ativo")</f>
        <v>Ativo</v>
      </c>
      <c r="D2799" s="10" t="str" cm="1">
        <f t="array" ref="D2799">IF(AND(A2799="2021-01", ISNA(MATCH(B2799, _xlfn._xlws.FILTER(B:B, A:A="2021-02"), 0))), "Left", "Ativo")</f>
        <v>Ativo</v>
      </c>
      <c r="E2799" s="10" t="str" cm="1">
        <f t="array" ref="E2799">IF(AND(A2799="2021-02", ISNA(MATCH(B2799, _xlfn._xlws.FILTER(B:B, A:A="2021-03"), 0))), "Left", "Ativo")</f>
        <v>Ativo</v>
      </c>
      <c r="F2799" s="12" t="str" cm="1">
        <f t="array" ref="F2799">IF(AND(A2799="2021-03", ISNA(MATCH(B2799, _xlfn._xlws.FILTER(B:B, A:A="2021-04"), 0))), "Left", "Ativo")</f>
        <v>Ativo</v>
      </c>
    </row>
    <row r="2800" spans="1:6" x14ac:dyDescent="0.25">
      <c r="A2800" t="s">
        <v>1530</v>
      </c>
      <c r="B2800" t="s">
        <v>860</v>
      </c>
      <c r="C2800" s="10" t="str" cm="1">
        <f t="array" ref="C2800">IF(AND(A2800="2020-12", ISNA(MATCH(B2800, _xlfn._xlws.FILTER(B:B, A:A="2021-01"), 0))), "Left", "Ativo")</f>
        <v>Ativo</v>
      </c>
      <c r="D2800" s="10" t="str" cm="1">
        <f t="array" ref="D2800">IF(AND(A2800="2021-01", ISNA(MATCH(B2800, _xlfn._xlws.FILTER(B:B, A:A="2021-02"), 0))), "Left", "Ativo")</f>
        <v>Ativo</v>
      </c>
      <c r="E2800" s="10" t="str" cm="1">
        <f t="array" ref="E2800">IF(AND(A2800="2021-02", ISNA(MATCH(B2800, _xlfn._xlws.FILTER(B:B, A:A="2021-03"), 0))), "Left", "Ativo")</f>
        <v>Ativo</v>
      </c>
      <c r="F2800" s="12" t="str" cm="1">
        <f t="array" ref="F2800">IF(AND(A2800="2021-03", ISNA(MATCH(B2800, _xlfn._xlws.FILTER(B:B, A:A="2021-04"), 0))), "Left", "Ativo")</f>
        <v>Ativo</v>
      </c>
    </row>
    <row r="2801" spans="1:6" x14ac:dyDescent="0.25">
      <c r="A2801" t="s">
        <v>1530</v>
      </c>
      <c r="B2801" t="s">
        <v>861</v>
      </c>
      <c r="C2801" s="10" t="str" cm="1">
        <f t="array" ref="C2801">IF(AND(A2801="2020-12", ISNA(MATCH(B2801, _xlfn._xlws.FILTER(B:B, A:A="2021-01"), 0))), "Left", "Ativo")</f>
        <v>Ativo</v>
      </c>
      <c r="D2801" s="10" t="str" cm="1">
        <f t="array" ref="D2801">IF(AND(A2801="2021-01", ISNA(MATCH(B2801, _xlfn._xlws.FILTER(B:B, A:A="2021-02"), 0))), "Left", "Ativo")</f>
        <v>Ativo</v>
      </c>
      <c r="E2801" s="10" t="str" cm="1">
        <f t="array" ref="E2801">IF(AND(A2801="2021-02", ISNA(MATCH(B2801, _xlfn._xlws.FILTER(B:B, A:A="2021-03"), 0))), "Left", "Ativo")</f>
        <v>Ativo</v>
      </c>
      <c r="F2801" s="12" t="str" cm="1">
        <f t="array" ref="F2801">IF(AND(A2801="2021-03", ISNA(MATCH(B2801, _xlfn._xlws.FILTER(B:B, A:A="2021-04"), 0))), "Left", "Ativo")</f>
        <v>Ativo</v>
      </c>
    </row>
    <row r="2802" spans="1:6" x14ac:dyDescent="0.25">
      <c r="A2802" t="s">
        <v>1530</v>
      </c>
      <c r="B2802" t="s">
        <v>862</v>
      </c>
      <c r="C2802" s="10" t="str" cm="1">
        <f t="array" ref="C2802">IF(AND(A2802="2020-12", ISNA(MATCH(B2802, _xlfn._xlws.FILTER(B:B, A:A="2021-01"), 0))), "Left", "Ativo")</f>
        <v>Ativo</v>
      </c>
      <c r="D2802" s="10" t="str" cm="1">
        <f t="array" ref="D2802">IF(AND(A2802="2021-01", ISNA(MATCH(B2802, _xlfn._xlws.FILTER(B:B, A:A="2021-02"), 0))), "Left", "Ativo")</f>
        <v>Ativo</v>
      </c>
      <c r="E2802" s="10" t="str" cm="1">
        <f t="array" ref="E2802">IF(AND(A2802="2021-02", ISNA(MATCH(B2802, _xlfn._xlws.FILTER(B:B, A:A="2021-03"), 0))), "Left", "Ativo")</f>
        <v>Ativo</v>
      </c>
      <c r="F2802" s="12" t="str" cm="1">
        <f t="array" ref="F2802">IF(AND(A2802="2021-03", ISNA(MATCH(B2802, _xlfn._xlws.FILTER(B:B, A:A="2021-04"), 0))), "Left", "Ativo")</f>
        <v>Ativo</v>
      </c>
    </row>
    <row r="2803" spans="1:6" x14ac:dyDescent="0.25">
      <c r="A2803" t="s">
        <v>1530</v>
      </c>
      <c r="B2803" t="s">
        <v>863</v>
      </c>
      <c r="C2803" s="10" t="str" cm="1">
        <f t="array" ref="C2803">IF(AND(A2803="2020-12", ISNA(MATCH(B2803, _xlfn._xlws.FILTER(B:B, A:A="2021-01"), 0))), "Left", "Ativo")</f>
        <v>Ativo</v>
      </c>
      <c r="D2803" s="10" t="str" cm="1">
        <f t="array" ref="D2803">IF(AND(A2803="2021-01", ISNA(MATCH(B2803, _xlfn._xlws.FILTER(B:B, A:A="2021-02"), 0))), "Left", "Ativo")</f>
        <v>Ativo</v>
      </c>
      <c r="E2803" s="10" t="str" cm="1">
        <f t="array" ref="E2803">IF(AND(A2803="2021-02", ISNA(MATCH(B2803, _xlfn._xlws.FILTER(B:B, A:A="2021-03"), 0))), "Left", "Ativo")</f>
        <v>Ativo</v>
      </c>
      <c r="F2803" s="12" t="str" cm="1">
        <f t="array" ref="F2803">IF(AND(A2803="2021-03", ISNA(MATCH(B2803, _xlfn._xlws.FILTER(B:B, A:A="2021-04"), 0))), "Left", "Ativo")</f>
        <v>Ativo</v>
      </c>
    </row>
    <row r="2804" spans="1:6" x14ac:dyDescent="0.25">
      <c r="A2804" t="s">
        <v>1530</v>
      </c>
      <c r="B2804" t="s">
        <v>864</v>
      </c>
      <c r="C2804" s="10" t="str" cm="1">
        <f t="array" ref="C2804">IF(AND(A2804="2020-12", ISNA(MATCH(B2804, _xlfn._xlws.FILTER(B:B, A:A="2021-01"), 0))), "Left", "Ativo")</f>
        <v>Ativo</v>
      </c>
      <c r="D2804" s="10" t="str" cm="1">
        <f t="array" ref="D2804">IF(AND(A2804="2021-01", ISNA(MATCH(B2804, _xlfn._xlws.FILTER(B:B, A:A="2021-02"), 0))), "Left", "Ativo")</f>
        <v>Ativo</v>
      </c>
      <c r="E2804" s="10" t="str" cm="1">
        <f t="array" ref="E2804">IF(AND(A2804="2021-02", ISNA(MATCH(B2804, _xlfn._xlws.FILTER(B:B, A:A="2021-03"), 0))), "Left", "Ativo")</f>
        <v>Ativo</v>
      </c>
      <c r="F2804" s="12" t="str" cm="1">
        <f t="array" ref="F2804">IF(AND(A2804="2021-03", ISNA(MATCH(B2804, _xlfn._xlws.FILTER(B:B, A:A="2021-04"), 0))), "Left", "Ativo")</f>
        <v>Ativo</v>
      </c>
    </row>
    <row r="2805" spans="1:6" x14ac:dyDescent="0.25">
      <c r="A2805" t="s">
        <v>1530</v>
      </c>
      <c r="B2805" t="s">
        <v>865</v>
      </c>
      <c r="C2805" s="10" t="str" cm="1">
        <f t="array" ref="C2805">IF(AND(A2805="2020-12", ISNA(MATCH(B2805, _xlfn._xlws.FILTER(B:B, A:A="2021-01"), 0))), "Left", "Ativo")</f>
        <v>Ativo</v>
      </c>
      <c r="D2805" s="10" t="str" cm="1">
        <f t="array" ref="D2805">IF(AND(A2805="2021-01", ISNA(MATCH(B2805, _xlfn._xlws.FILTER(B:B, A:A="2021-02"), 0))), "Left", "Ativo")</f>
        <v>Ativo</v>
      </c>
      <c r="E2805" s="10" t="str" cm="1">
        <f t="array" ref="E2805">IF(AND(A2805="2021-02", ISNA(MATCH(B2805, _xlfn._xlws.FILTER(B:B, A:A="2021-03"), 0))), "Left", "Ativo")</f>
        <v>Ativo</v>
      </c>
      <c r="F2805" s="12" t="str" cm="1">
        <f t="array" ref="F2805">IF(AND(A2805="2021-03", ISNA(MATCH(B2805, _xlfn._xlws.FILTER(B:B, A:A="2021-04"), 0))), "Left", "Ativo")</f>
        <v>Ativo</v>
      </c>
    </row>
    <row r="2806" spans="1:6" x14ac:dyDescent="0.25">
      <c r="A2806" t="s">
        <v>1530</v>
      </c>
      <c r="B2806" t="s">
        <v>866</v>
      </c>
      <c r="C2806" s="10" t="str" cm="1">
        <f t="array" ref="C2806">IF(AND(A2806="2020-12", ISNA(MATCH(B2806, _xlfn._xlws.FILTER(B:B, A:A="2021-01"), 0))), "Left", "Ativo")</f>
        <v>Ativo</v>
      </c>
      <c r="D2806" s="10" t="str" cm="1">
        <f t="array" ref="D2806">IF(AND(A2806="2021-01", ISNA(MATCH(B2806, _xlfn._xlws.FILTER(B:B, A:A="2021-02"), 0))), "Left", "Ativo")</f>
        <v>Ativo</v>
      </c>
      <c r="E2806" s="10" t="str" cm="1">
        <f t="array" ref="E2806">IF(AND(A2806="2021-02", ISNA(MATCH(B2806, _xlfn._xlws.FILTER(B:B, A:A="2021-03"), 0))), "Left", "Ativo")</f>
        <v>Ativo</v>
      </c>
      <c r="F2806" s="12" t="str" cm="1">
        <f t="array" ref="F2806">IF(AND(A2806="2021-03", ISNA(MATCH(B2806, _xlfn._xlws.FILTER(B:B, A:A="2021-04"), 0))), "Left", "Ativo")</f>
        <v>Ativo</v>
      </c>
    </row>
    <row r="2807" spans="1:6" x14ac:dyDescent="0.25">
      <c r="A2807" t="s">
        <v>1530</v>
      </c>
      <c r="B2807" t="s">
        <v>867</v>
      </c>
      <c r="C2807" s="10" t="str" cm="1">
        <f t="array" ref="C2807">IF(AND(A2807="2020-12", ISNA(MATCH(B2807, _xlfn._xlws.FILTER(B:B, A:A="2021-01"), 0))), "Left", "Ativo")</f>
        <v>Ativo</v>
      </c>
      <c r="D2807" s="10" t="str" cm="1">
        <f t="array" ref="D2807">IF(AND(A2807="2021-01", ISNA(MATCH(B2807, _xlfn._xlws.FILTER(B:B, A:A="2021-02"), 0))), "Left", "Ativo")</f>
        <v>Ativo</v>
      </c>
      <c r="E2807" s="10" t="str" cm="1">
        <f t="array" ref="E2807">IF(AND(A2807="2021-02", ISNA(MATCH(B2807, _xlfn._xlws.FILTER(B:B, A:A="2021-03"), 0))), "Left", "Ativo")</f>
        <v>Ativo</v>
      </c>
      <c r="F2807" s="12" t="str" cm="1">
        <f t="array" ref="F2807">IF(AND(A2807="2021-03", ISNA(MATCH(B2807, _xlfn._xlws.FILTER(B:B, A:A="2021-04"), 0))), "Left", "Ativo")</f>
        <v>Ativo</v>
      </c>
    </row>
    <row r="2808" spans="1:6" x14ac:dyDescent="0.25">
      <c r="A2808" t="s">
        <v>1530</v>
      </c>
      <c r="B2808" t="s">
        <v>868</v>
      </c>
      <c r="C2808" s="10" t="str" cm="1">
        <f t="array" ref="C2808">IF(AND(A2808="2020-12", ISNA(MATCH(B2808, _xlfn._xlws.FILTER(B:B, A:A="2021-01"), 0))), "Left", "Ativo")</f>
        <v>Ativo</v>
      </c>
      <c r="D2808" s="10" t="str" cm="1">
        <f t="array" ref="D2808">IF(AND(A2808="2021-01", ISNA(MATCH(B2808, _xlfn._xlws.FILTER(B:B, A:A="2021-02"), 0))), "Left", "Ativo")</f>
        <v>Ativo</v>
      </c>
      <c r="E2808" s="10" t="str" cm="1">
        <f t="array" ref="E2808">IF(AND(A2808="2021-02", ISNA(MATCH(B2808, _xlfn._xlws.FILTER(B:B, A:A="2021-03"), 0))), "Left", "Ativo")</f>
        <v>Left</v>
      </c>
      <c r="F2808" s="12" t="str" cm="1">
        <f t="array" ref="F2808">IF(AND(A2808="2021-03", ISNA(MATCH(B2808, _xlfn._xlws.FILTER(B:B, A:A="2021-04"), 0))), "Left", "Ativo")</f>
        <v>Ativo</v>
      </c>
    </row>
    <row r="2809" spans="1:6" x14ac:dyDescent="0.25">
      <c r="A2809" t="s">
        <v>1530</v>
      </c>
      <c r="B2809" t="s">
        <v>869</v>
      </c>
      <c r="C2809" s="10" t="str" cm="1">
        <f t="array" ref="C2809">IF(AND(A2809="2020-12", ISNA(MATCH(B2809, _xlfn._xlws.FILTER(B:B, A:A="2021-01"), 0))), "Left", "Ativo")</f>
        <v>Ativo</v>
      </c>
      <c r="D2809" s="10" t="str" cm="1">
        <f t="array" ref="D2809">IF(AND(A2809="2021-01", ISNA(MATCH(B2809, _xlfn._xlws.FILTER(B:B, A:A="2021-02"), 0))), "Left", "Ativo")</f>
        <v>Ativo</v>
      </c>
      <c r="E2809" s="10" t="str" cm="1">
        <f t="array" ref="E2809">IF(AND(A2809="2021-02", ISNA(MATCH(B2809, _xlfn._xlws.FILTER(B:B, A:A="2021-03"), 0))), "Left", "Ativo")</f>
        <v>Ativo</v>
      </c>
      <c r="F2809" s="12" t="str" cm="1">
        <f t="array" ref="F2809">IF(AND(A2809="2021-03", ISNA(MATCH(B2809, _xlfn._xlws.FILTER(B:B, A:A="2021-04"), 0))), "Left", "Ativo")</f>
        <v>Ativo</v>
      </c>
    </row>
    <row r="2810" spans="1:6" x14ac:dyDescent="0.25">
      <c r="A2810" t="s">
        <v>1530</v>
      </c>
      <c r="B2810" t="s">
        <v>870</v>
      </c>
      <c r="C2810" s="10" t="str" cm="1">
        <f t="array" ref="C2810">IF(AND(A2810="2020-12", ISNA(MATCH(B2810, _xlfn._xlws.FILTER(B:B, A:A="2021-01"), 0))), "Left", "Ativo")</f>
        <v>Ativo</v>
      </c>
      <c r="D2810" s="10" t="str" cm="1">
        <f t="array" ref="D2810">IF(AND(A2810="2021-01", ISNA(MATCH(B2810, _xlfn._xlws.FILTER(B:B, A:A="2021-02"), 0))), "Left", "Ativo")</f>
        <v>Ativo</v>
      </c>
      <c r="E2810" s="10" t="str" cm="1">
        <f t="array" ref="E2810">IF(AND(A2810="2021-02", ISNA(MATCH(B2810, _xlfn._xlws.FILTER(B:B, A:A="2021-03"), 0))), "Left", "Ativo")</f>
        <v>Ativo</v>
      </c>
      <c r="F2810" s="12" t="str" cm="1">
        <f t="array" ref="F2810">IF(AND(A2810="2021-03", ISNA(MATCH(B2810, _xlfn._xlws.FILTER(B:B, A:A="2021-04"), 0))), "Left", "Ativo")</f>
        <v>Ativo</v>
      </c>
    </row>
    <row r="2811" spans="1:6" x14ac:dyDescent="0.25">
      <c r="A2811" t="s">
        <v>1530</v>
      </c>
      <c r="B2811" t="s">
        <v>871</v>
      </c>
      <c r="C2811" s="10" t="str" cm="1">
        <f t="array" ref="C2811">IF(AND(A2811="2020-12", ISNA(MATCH(B2811, _xlfn._xlws.FILTER(B:B, A:A="2021-01"), 0))), "Left", "Ativo")</f>
        <v>Ativo</v>
      </c>
      <c r="D2811" s="10" t="str" cm="1">
        <f t="array" ref="D2811">IF(AND(A2811="2021-01", ISNA(MATCH(B2811, _xlfn._xlws.FILTER(B:B, A:A="2021-02"), 0))), "Left", "Ativo")</f>
        <v>Ativo</v>
      </c>
      <c r="E2811" s="10" t="str" cm="1">
        <f t="array" ref="E2811">IF(AND(A2811="2021-02", ISNA(MATCH(B2811, _xlfn._xlws.FILTER(B:B, A:A="2021-03"), 0))), "Left", "Ativo")</f>
        <v>Ativo</v>
      </c>
      <c r="F2811" s="12" t="str" cm="1">
        <f t="array" ref="F2811">IF(AND(A2811="2021-03", ISNA(MATCH(B2811, _xlfn._xlws.FILTER(B:B, A:A="2021-04"), 0))), "Left", "Ativo")</f>
        <v>Ativo</v>
      </c>
    </row>
    <row r="2812" spans="1:6" x14ac:dyDescent="0.25">
      <c r="A2812" t="s">
        <v>1530</v>
      </c>
      <c r="B2812" t="s">
        <v>872</v>
      </c>
      <c r="C2812" s="10" t="str" cm="1">
        <f t="array" ref="C2812">IF(AND(A2812="2020-12", ISNA(MATCH(B2812, _xlfn._xlws.FILTER(B:B, A:A="2021-01"), 0))), "Left", "Ativo")</f>
        <v>Ativo</v>
      </c>
      <c r="D2812" s="10" t="str" cm="1">
        <f t="array" ref="D2812">IF(AND(A2812="2021-01", ISNA(MATCH(B2812, _xlfn._xlws.FILTER(B:B, A:A="2021-02"), 0))), "Left", "Ativo")</f>
        <v>Ativo</v>
      </c>
      <c r="E2812" s="10" t="str" cm="1">
        <f t="array" ref="E2812">IF(AND(A2812="2021-02", ISNA(MATCH(B2812, _xlfn._xlws.FILTER(B:B, A:A="2021-03"), 0))), "Left", "Ativo")</f>
        <v>Ativo</v>
      </c>
      <c r="F2812" s="12" t="str" cm="1">
        <f t="array" ref="F2812">IF(AND(A2812="2021-03", ISNA(MATCH(B2812, _xlfn._xlws.FILTER(B:B, A:A="2021-04"), 0))), "Left", "Ativo")</f>
        <v>Ativo</v>
      </c>
    </row>
    <row r="2813" spans="1:6" x14ac:dyDescent="0.25">
      <c r="A2813" t="s">
        <v>1530</v>
      </c>
      <c r="B2813" t="s">
        <v>873</v>
      </c>
      <c r="C2813" s="10" t="str" cm="1">
        <f t="array" ref="C2813">IF(AND(A2813="2020-12", ISNA(MATCH(B2813, _xlfn._xlws.FILTER(B:B, A:A="2021-01"), 0))), "Left", "Ativo")</f>
        <v>Ativo</v>
      </c>
      <c r="D2813" s="10" t="str" cm="1">
        <f t="array" ref="D2813">IF(AND(A2813="2021-01", ISNA(MATCH(B2813, _xlfn._xlws.FILTER(B:B, A:A="2021-02"), 0))), "Left", "Ativo")</f>
        <v>Ativo</v>
      </c>
      <c r="E2813" s="10" t="str" cm="1">
        <f t="array" ref="E2813">IF(AND(A2813="2021-02", ISNA(MATCH(B2813, _xlfn._xlws.FILTER(B:B, A:A="2021-03"), 0))), "Left", "Ativo")</f>
        <v>Ativo</v>
      </c>
      <c r="F2813" s="12" t="str" cm="1">
        <f t="array" ref="F2813">IF(AND(A2813="2021-03", ISNA(MATCH(B2813, _xlfn._xlws.FILTER(B:B, A:A="2021-04"), 0))), "Left", "Ativo")</f>
        <v>Ativo</v>
      </c>
    </row>
    <row r="2814" spans="1:6" x14ac:dyDescent="0.25">
      <c r="A2814" t="s">
        <v>1530</v>
      </c>
      <c r="B2814" t="s">
        <v>874</v>
      </c>
      <c r="C2814" s="10" t="str" cm="1">
        <f t="array" ref="C2814">IF(AND(A2814="2020-12", ISNA(MATCH(B2814, _xlfn._xlws.FILTER(B:B, A:A="2021-01"), 0))), "Left", "Ativo")</f>
        <v>Ativo</v>
      </c>
      <c r="D2814" s="10" t="str" cm="1">
        <f t="array" ref="D2814">IF(AND(A2814="2021-01", ISNA(MATCH(B2814, _xlfn._xlws.FILTER(B:B, A:A="2021-02"), 0))), "Left", "Ativo")</f>
        <v>Ativo</v>
      </c>
      <c r="E2814" s="10" t="str" cm="1">
        <f t="array" ref="E2814">IF(AND(A2814="2021-02", ISNA(MATCH(B2814, _xlfn._xlws.FILTER(B:B, A:A="2021-03"), 0))), "Left", "Ativo")</f>
        <v>Ativo</v>
      </c>
      <c r="F2814" s="12" t="str" cm="1">
        <f t="array" ref="F2814">IF(AND(A2814="2021-03", ISNA(MATCH(B2814, _xlfn._xlws.FILTER(B:B, A:A="2021-04"), 0))), "Left", "Ativo")</f>
        <v>Ativo</v>
      </c>
    </row>
    <row r="2815" spans="1:6" x14ac:dyDescent="0.25">
      <c r="A2815" t="s">
        <v>1530</v>
      </c>
      <c r="B2815" t="s">
        <v>875</v>
      </c>
      <c r="C2815" s="10" t="str" cm="1">
        <f t="array" ref="C2815">IF(AND(A2815="2020-12", ISNA(MATCH(B2815, _xlfn._xlws.FILTER(B:B, A:A="2021-01"), 0))), "Left", "Ativo")</f>
        <v>Ativo</v>
      </c>
      <c r="D2815" s="10" t="str" cm="1">
        <f t="array" ref="D2815">IF(AND(A2815="2021-01", ISNA(MATCH(B2815, _xlfn._xlws.FILTER(B:B, A:A="2021-02"), 0))), "Left", "Ativo")</f>
        <v>Ativo</v>
      </c>
      <c r="E2815" s="10" t="str" cm="1">
        <f t="array" ref="E2815">IF(AND(A2815="2021-02", ISNA(MATCH(B2815, _xlfn._xlws.FILTER(B:B, A:A="2021-03"), 0))), "Left", "Ativo")</f>
        <v>Ativo</v>
      </c>
      <c r="F2815" s="12" t="str" cm="1">
        <f t="array" ref="F2815">IF(AND(A2815="2021-03", ISNA(MATCH(B2815, _xlfn._xlws.FILTER(B:B, A:A="2021-04"), 0))), "Left", "Ativo")</f>
        <v>Ativo</v>
      </c>
    </row>
    <row r="2816" spans="1:6" x14ac:dyDescent="0.25">
      <c r="A2816" t="s">
        <v>1530</v>
      </c>
      <c r="B2816" t="s">
        <v>876</v>
      </c>
      <c r="C2816" s="10" t="str" cm="1">
        <f t="array" ref="C2816">IF(AND(A2816="2020-12", ISNA(MATCH(B2816, _xlfn._xlws.FILTER(B:B, A:A="2021-01"), 0))), "Left", "Ativo")</f>
        <v>Ativo</v>
      </c>
      <c r="D2816" s="10" t="str" cm="1">
        <f t="array" ref="D2816">IF(AND(A2816="2021-01", ISNA(MATCH(B2816, _xlfn._xlws.FILTER(B:B, A:A="2021-02"), 0))), "Left", "Ativo")</f>
        <v>Ativo</v>
      </c>
      <c r="E2816" s="10" t="str" cm="1">
        <f t="array" ref="E2816">IF(AND(A2816="2021-02", ISNA(MATCH(B2816, _xlfn._xlws.FILTER(B:B, A:A="2021-03"), 0))), "Left", "Ativo")</f>
        <v>Ativo</v>
      </c>
      <c r="F2816" s="12" t="str" cm="1">
        <f t="array" ref="F2816">IF(AND(A2816="2021-03", ISNA(MATCH(B2816, _xlfn._xlws.FILTER(B:B, A:A="2021-04"), 0))), "Left", "Ativo")</f>
        <v>Ativo</v>
      </c>
    </row>
    <row r="2817" spans="1:6" x14ac:dyDescent="0.25">
      <c r="A2817" t="s">
        <v>1530</v>
      </c>
      <c r="B2817" t="s">
        <v>877</v>
      </c>
      <c r="C2817" s="10" t="str" cm="1">
        <f t="array" ref="C2817">IF(AND(A2817="2020-12", ISNA(MATCH(B2817, _xlfn._xlws.FILTER(B:B, A:A="2021-01"), 0))), "Left", "Ativo")</f>
        <v>Ativo</v>
      </c>
      <c r="D2817" s="10" t="str" cm="1">
        <f t="array" ref="D2817">IF(AND(A2817="2021-01", ISNA(MATCH(B2817, _xlfn._xlws.FILTER(B:B, A:A="2021-02"), 0))), "Left", "Ativo")</f>
        <v>Ativo</v>
      </c>
      <c r="E2817" s="10" t="str" cm="1">
        <f t="array" ref="E2817">IF(AND(A2817="2021-02", ISNA(MATCH(B2817, _xlfn._xlws.FILTER(B:B, A:A="2021-03"), 0))), "Left", "Ativo")</f>
        <v>Ativo</v>
      </c>
      <c r="F2817" s="12" t="str" cm="1">
        <f t="array" ref="F2817">IF(AND(A2817="2021-03", ISNA(MATCH(B2817, _xlfn._xlws.FILTER(B:B, A:A="2021-04"), 0))), "Left", "Ativo")</f>
        <v>Ativo</v>
      </c>
    </row>
    <row r="2818" spans="1:6" x14ac:dyDescent="0.25">
      <c r="A2818" t="s">
        <v>1530</v>
      </c>
      <c r="B2818" t="s">
        <v>878</v>
      </c>
      <c r="C2818" s="10" t="str" cm="1">
        <f t="array" ref="C2818">IF(AND(A2818="2020-12", ISNA(MATCH(B2818, _xlfn._xlws.FILTER(B:B, A:A="2021-01"), 0))), "Left", "Ativo")</f>
        <v>Ativo</v>
      </c>
      <c r="D2818" s="10" t="str" cm="1">
        <f t="array" ref="D2818">IF(AND(A2818="2021-01", ISNA(MATCH(B2818, _xlfn._xlws.FILTER(B:B, A:A="2021-02"), 0))), "Left", "Ativo")</f>
        <v>Ativo</v>
      </c>
      <c r="E2818" s="10" t="str" cm="1">
        <f t="array" ref="E2818">IF(AND(A2818="2021-02", ISNA(MATCH(B2818, _xlfn._xlws.FILTER(B:B, A:A="2021-03"), 0))), "Left", "Ativo")</f>
        <v>Ativo</v>
      </c>
      <c r="F2818" s="12" t="str" cm="1">
        <f t="array" ref="F2818">IF(AND(A2818="2021-03", ISNA(MATCH(B2818, _xlfn._xlws.FILTER(B:B, A:A="2021-04"), 0))), "Left", "Ativo")</f>
        <v>Ativo</v>
      </c>
    </row>
    <row r="2819" spans="1:6" x14ac:dyDescent="0.25">
      <c r="A2819" t="s">
        <v>1530</v>
      </c>
      <c r="B2819" t="s">
        <v>879</v>
      </c>
      <c r="C2819" s="10" t="str" cm="1">
        <f t="array" ref="C2819">IF(AND(A2819="2020-12", ISNA(MATCH(B2819, _xlfn._xlws.FILTER(B:B, A:A="2021-01"), 0))), "Left", "Ativo")</f>
        <v>Ativo</v>
      </c>
      <c r="D2819" s="10" t="str" cm="1">
        <f t="array" ref="D2819">IF(AND(A2819="2021-01", ISNA(MATCH(B2819, _xlfn._xlws.FILTER(B:B, A:A="2021-02"), 0))), "Left", "Ativo")</f>
        <v>Ativo</v>
      </c>
      <c r="E2819" s="10" t="str" cm="1">
        <f t="array" ref="E2819">IF(AND(A2819="2021-02", ISNA(MATCH(B2819, _xlfn._xlws.FILTER(B:B, A:A="2021-03"), 0))), "Left", "Ativo")</f>
        <v>Ativo</v>
      </c>
      <c r="F2819" s="12" t="str" cm="1">
        <f t="array" ref="F2819">IF(AND(A2819="2021-03", ISNA(MATCH(B2819, _xlfn._xlws.FILTER(B:B, A:A="2021-04"), 0))), "Left", "Ativo")</f>
        <v>Ativo</v>
      </c>
    </row>
    <row r="2820" spans="1:6" x14ac:dyDescent="0.25">
      <c r="A2820" t="s">
        <v>1530</v>
      </c>
      <c r="B2820" t="s">
        <v>880</v>
      </c>
      <c r="C2820" s="10" t="str" cm="1">
        <f t="array" ref="C2820">IF(AND(A2820="2020-12", ISNA(MATCH(B2820, _xlfn._xlws.FILTER(B:B, A:A="2021-01"), 0))), "Left", "Ativo")</f>
        <v>Ativo</v>
      </c>
      <c r="D2820" s="10" t="str" cm="1">
        <f t="array" ref="D2820">IF(AND(A2820="2021-01", ISNA(MATCH(B2820, _xlfn._xlws.FILTER(B:B, A:A="2021-02"), 0))), "Left", "Ativo")</f>
        <v>Ativo</v>
      </c>
      <c r="E2820" s="10" t="str" cm="1">
        <f t="array" ref="E2820">IF(AND(A2820="2021-02", ISNA(MATCH(B2820, _xlfn._xlws.FILTER(B:B, A:A="2021-03"), 0))), "Left", "Ativo")</f>
        <v>Ativo</v>
      </c>
      <c r="F2820" s="12" t="str" cm="1">
        <f t="array" ref="F2820">IF(AND(A2820="2021-03", ISNA(MATCH(B2820, _xlfn._xlws.FILTER(B:B, A:A="2021-04"), 0))), "Left", "Ativo")</f>
        <v>Ativo</v>
      </c>
    </row>
    <row r="2821" spans="1:6" x14ac:dyDescent="0.25">
      <c r="A2821" t="s">
        <v>1530</v>
      </c>
      <c r="B2821" t="s">
        <v>881</v>
      </c>
      <c r="C2821" s="10" t="str" cm="1">
        <f t="array" ref="C2821">IF(AND(A2821="2020-12", ISNA(MATCH(B2821, _xlfn._xlws.FILTER(B:B, A:A="2021-01"), 0))), "Left", "Ativo")</f>
        <v>Ativo</v>
      </c>
      <c r="D2821" s="10" t="str" cm="1">
        <f t="array" ref="D2821">IF(AND(A2821="2021-01", ISNA(MATCH(B2821, _xlfn._xlws.FILTER(B:B, A:A="2021-02"), 0))), "Left", "Ativo")</f>
        <v>Ativo</v>
      </c>
      <c r="E2821" s="10" t="str" cm="1">
        <f t="array" ref="E2821">IF(AND(A2821="2021-02", ISNA(MATCH(B2821, _xlfn._xlws.FILTER(B:B, A:A="2021-03"), 0))), "Left", "Ativo")</f>
        <v>Ativo</v>
      </c>
      <c r="F2821" s="12" t="str" cm="1">
        <f t="array" ref="F2821">IF(AND(A2821="2021-03", ISNA(MATCH(B2821, _xlfn._xlws.FILTER(B:B, A:A="2021-04"), 0))), "Left", "Ativo")</f>
        <v>Ativo</v>
      </c>
    </row>
    <row r="2822" spans="1:6" x14ac:dyDescent="0.25">
      <c r="A2822" t="s">
        <v>1530</v>
      </c>
      <c r="B2822" t="s">
        <v>882</v>
      </c>
      <c r="C2822" s="10" t="str" cm="1">
        <f t="array" ref="C2822">IF(AND(A2822="2020-12", ISNA(MATCH(B2822, _xlfn._xlws.FILTER(B:B, A:A="2021-01"), 0))), "Left", "Ativo")</f>
        <v>Ativo</v>
      </c>
      <c r="D2822" s="10" t="str" cm="1">
        <f t="array" ref="D2822">IF(AND(A2822="2021-01", ISNA(MATCH(B2822, _xlfn._xlws.FILTER(B:B, A:A="2021-02"), 0))), "Left", "Ativo")</f>
        <v>Ativo</v>
      </c>
      <c r="E2822" s="10" t="str" cm="1">
        <f t="array" ref="E2822">IF(AND(A2822="2021-02", ISNA(MATCH(B2822, _xlfn._xlws.FILTER(B:B, A:A="2021-03"), 0))), "Left", "Ativo")</f>
        <v>Ativo</v>
      </c>
      <c r="F2822" s="12" t="str" cm="1">
        <f t="array" ref="F2822">IF(AND(A2822="2021-03", ISNA(MATCH(B2822, _xlfn._xlws.FILTER(B:B, A:A="2021-04"), 0))), "Left", "Ativo")</f>
        <v>Ativo</v>
      </c>
    </row>
    <row r="2823" spans="1:6" x14ac:dyDescent="0.25">
      <c r="A2823" t="s">
        <v>1530</v>
      </c>
      <c r="B2823" t="s">
        <v>883</v>
      </c>
      <c r="C2823" s="10" t="str" cm="1">
        <f t="array" ref="C2823">IF(AND(A2823="2020-12", ISNA(MATCH(B2823, _xlfn._xlws.FILTER(B:B, A:A="2021-01"), 0))), "Left", "Ativo")</f>
        <v>Ativo</v>
      </c>
      <c r="D2823" s="10" t="str" cm="1">
        <f t="array" ref="D2823">IF(AND(A2823="2021-01", ISNA(MATCH(B2823, _xlfn._xlws.FILTER(B:B, A:A="2021-02"), 0))), "Left", "Ativo")</f>
        <v>Ativo</v>
      </c>
      <c r="E2823" s="10" t="str" cm="1">
        <f t="array" ref="E2823">IF(AND(A2823="2021-02", ISNA(MATCH(B2823, _xlfn._xlws.FILTER(B:B, A:A="2021-03"), 0))), "Left", "Ativo")</f>
        <v>Ativo</v>
      </c>
      <c r="F2823" s="12" t="str" cm="1">
        <f t="array" ref="F2823">IF(AND(A2823="2021-03", ISNA(MATCH(B2823, _xlfn._xlws.FILTER(B:B, A:A="2021-04"), 0))), "Left", "Ativo")</f>
        <v>Ativo</v>
      </c>
    </row>
    <row r="2824" spans="1:6" x14ac:dyDescent="0.25">
      <c r="A2824" t="s">
        <v>1530</v>
      </c>
      <c r="B2824" t="s">
        <v>884</v>
      </c>
      <c r="C2824" s="10" t="str" cm="1">
        <f t="array" ref="C2824">IF(AND(A2824="2020-12", ISNA(MATCH(B2824, _xlfn._xlws.FILTER(B:B, A:A="2021-01"), 0))), "Left", "Ativo")</f>
        <v>Ativo</v>
      </c>
      <c r="D2824" s="10" t="str" cm="1">
        <f t="array" ref="D2824">IF(AND(A2824="2021-01", ISNA(MATCH(B2824, _xlfn._xlws.FILTER(B:B, A:A="2021-02"), 0))), "Left", "Ativo")</f>
        <v>Ativo</v>
      </c>
      <c r="E2824" s="10" t="str" cm="1">
        <f t="array" ref="E2824">IF(AND(A2824="2021-02", ISNA(MATCH(B2824, _xlfn._xlws.FILTER(B:B, A:A="2021-03"), 0))), "Left", "Ativo")</f>
        <v>Ativo</v>
      </c>
      <c r="F2824" s="12" t="str" cm="1">
        <f t="array" ref="F2824">IF(AND(A2824="2021-03", ISNA(MATCH(B2824, _xlfn._xlws.FILTER(B:B, A:A="2021-04"), 0))), "Left", "Ativo")</f>
        <v>Ativo</v>
      </c>
    </row>
    <row r="2825" spans="1:6" x14ac:dyDescent="0.25">
      <c r="A2825" t="s">
        <v>1530</v>
      </c>
      <c r="B2825" t="s">
        <v>885</v>
      </c>
      <c r="C2825" s="10" t="str" cm="1">
        <f t="array" ref="C2825">IF(AND(A2825="2020-12", ISNA(MATCH(B2825, _xlfn._xlws.FILTER(B:B, A:A="2021-01"), 0))), "Left", "Ativo")</f>
        <v>Ativo</v>
      </c>
      <c r="D2825" s="10" t="str" cm="1">
        <f t="array" ref="D2825">IF(AND(A2825="2021-01", ISNA(MATCH(B2825, _xlfn._xlws.FILTER(B:B, A:A="2021-02"), 0))), "Left", "Ativo")</f>
        <v>Ativo</v>
      </c>
      <c r="E2825" s="10" t="str" cm="1">
        <f t="array" ref="E2825">IF(AND(A2825="2021-02", ISNA(MATCH(B2825, _xlfn._xlws.FILTER(B:B, A:A="2021-03"), 0))), "Left", "Ativo")</f>
        <v>Ativo</v>
      </c>
      <c r="F2825" s="12" t="str" cm="1">
        <f t="array" ref="F2825">IF(AND(A2825="2021-03", ISNA(MATCH(B2825, _xlfn._xlws.FILTER(B:B, A:A="2021-04"), 0))), "Left", "Ativo")</f>
        <v>Ativo</v>
      </c>
    </row>
    <row r="2826" spans="1:6" x14ac:dyDescent="0.25">
      <c r="A2826" t="s">
        <v>1530</v>
      </c>
      <c r="B2826" t="s">
        <v>886</v>
      </c>
      <c r="C2826" s="10" t="str" cm="1">
        <f t="array" ref="C2826">IF(AND(A2826="2020-12", ISNA(MATCH(B2826, _xlfn._xlws.FILTER(B:B, A:A="2021-01"), 0))), "Left", "Ativo")</f>
        <v>Ativo</v>
      </c>
      <c r="D2826" s="10" t="str" cm="1">
        <f t="array" ref="D2826">IF(AND(A2826="2021-01", ISNA(MATCH(B2826, _xlfn._xlws.FILTER(B:B, A:A="2021-02"), 0))), "Left", "Ativo")</f>
        <v>Ativo</v>
      </c>
      <c r="E2826" s="10" t="str" cm="1">
        <f t="array" ref="E2826">IF(AND(A2826="2021-02", ISNA(MATCH(B2826, _xlfn._xlws.FILTER(B:B, A:A="2021-03"), 0))), "Left", "Ativo")</f>
        <v>Ativo</v>
      </c>
      <c r="F2826" s="12" t="str" cm="1">
        <f t="array" ref="F2826">IF(AND(A2826="2021-03", ISNA(MATCH(B2826, _xlfn._xlws.FILTER(B:B, A:A="2021-04"), 0))), "Left", "Ativo")</f>
        <v>Ativo</v>
      </c>
    </row>
    <row r="2827" spans="1:6" x14ac:dyDescent="0.25">
      <c r="A2827" t="s">
        <v>1530</v>
      </c>
      <c r="B2827" t="s">
        <v>887</v>
      </c>
      <c r="C2827" s="10" t="str" cm="1">
        <f t="array" ref="C2827">IF(AND(A2827="2020-12", ISNA(MATCH(B2827, _xlfn._xlws.FILTER(B:B, A:A="2021-01"), 0))), "Left", "Ativo")</f>
        <v>Ativo</v>
      </c>
      <c r="D2827" s="10" t="str" cm="1">
        <f t="array" ref="D2827">IF(AND(A2827="2021-01", ISNA(MATCH(B2827, _xlfn._xlws.FILTER(B:B, A:A="2021-02"), 0))), "Left", "Ativo")</f>
        <v>Ativo</v>
      </c>
      <c r="E2827" s="10" t="str" cm="1">
        <f t="array" ref="E2827">IF(AND(A2827="2021-02", ISNA(MATCH(B2827, _xlfn._xlws.FILTER(B:B, A:A="2021-03"), 0))), "Left", "Ativo")</f>
        <v>Ativo</v>
      </c>
      <c r="F2827" s="12" t="str" cm="1">
        <f t="array" ref="F2827">IF(AND(A2827="2021-03", ISNA(MATCH(B2827, _xlfn._xlws.FILTER(B:B, A:A="2021-04"), 0))), "Left", "Ativo")</f>
        <v>Ativo</v>
      </c>
    </row>
    <row r="2828" spans="1:6" x14ac:dyDescent="0.25">
      <c r="A2828" t="s">
        <v>1530</v>
      </c>
      <c r="B2828" t="s">
        <v>888</v>
      </c>
      <c r="C2828" s="10" t="str" cm="1">
        <f t="array" ref="C2828">IF(AND(A2828="2020-12", ISNA(MATCH(B2828, _xlfn._xlws.FILTER(B:B, A:A="2021-01"), 0))), "Left", "Ativo")</f>
        <v>Ativo</v>
      </c>
      <c r="D2828" s="10" t="str" cm="1">
        <f t="array" ref="D2828">IF(AND(A2828="2021-01", ISNA(MATCH(B2828, _xlfn._xlws.FILTER(B:B, A:A="2021-02"), 0))), "Left", "Ativo")</f>
        <v>Ativo</v>
      </c>
      <c r="E2828" s="10" t="str" cm="1">
        <f t="array" ref="E2828">IF(AND(A2828="2021-02", ISNA(MATCH(B2828, _xlfn._xlws.FILTER(B:B, A:A="2021-03"), 0))), "Left", "Ativo")</f>
        <v>Ativo</v>
      </c>
      <c r="F2828" s="12" t="str" cm="1">
        <f t="array" ref="F2828">IF(AND(A2828="2021-03", ISNA(MATCH(B2828, _xlfn._xlws.FILTER(B:B, A:A="2021-04"), 0))), "Left", "Ativo")</f>
        <v>Ativo</v>
      </c>
    </row>
    <row r="2829" spans="1:6" x14ac:dyDescent="0.25">
      <c r="A2829" t="s">
        <v>1530</v>
      </c>
      <c r="B2829" t="s">
        <v>889</v>
      </c>
      <c r="C2829" s="10" t="str" cm="1">
        <f t="array" ref="C2829">IF(AND(A2829="2020-12", ISNA(MATCH(B2829, _xlfn._xlws.FILTER(B:B, A:A="2021-01"), 0))), "Left", "Ativo")</f>
        <v>Ativo</v>
      </c>
      <c r="D2829" s="10" t="str" cm="1">
        <f t="array" ref="D2829">IF(AND(A2829="2021-01", ISNA(MATCH(B2829, _xlfn._xlws.FILTER(B:B, A:A="2021-02"), 0))), "Left", "Ativo")</f>
        <v>Ativo</v>
      </c>
      <c r="E2829" s="10" t="str" cm="1">
        <f t="array" ref="E2829">IF(AND(A2829="2021-02", ISNA(MATCH(B2829, _xlfn._xlws.FILTER(B:B, A:A="2021-03"), 0))), "Left", "Ativo")</f>
        <v>Ativo</v>
      </c>
      <c r="F2829" s="12" t="str" cm="1">
        <f t="array" ref="F2829">IF(AND(A2829="2021-03", ISNA(MATCH(B2829, _xlfn._xlws.FILTER(B:B, A:A="2021-04"), 0))), "Left", "Ativo")</f>
        <v>Ativo</v>
      </c>
    </row>
    <row r="2830" spans="1:6" x14ac:dyDescent="0.25">
      <c r="A2830" t="s">
        <v>1530</v>
      </c>
      <c r="B2830" t="s">
        <v>890</v>
      </c>
      <c r="C2830" s="10" t="str" cm="1">
        <f t="array" ref="C2830">IF(AND(A2830="2020-12", ISNA(MATCH(B2830, _xlfn._xlws.FILTER(B:B, A:A="2021-01"), 0))), "Left", "Ativo")</f>
        <v>Ativo</v>
      </c>
      <c r="D2830" s="10" t="str" cm="1">
        <f t="array" ref="D2830">IF(AND(A2830="2021-01", ISNA(MATCH(B2830, _xlfn._xlws.FILTER(B:B, A:A="2021-02"), 0))), "Left", "Ativo")</f>
        <v>Ativo</v>
      </c>
      <c r="E2830" s="10" t="str" cm="1">
        <f t="array" ref="E2830">IF(AND(A2830="2021-02", ISNA(MATCH(B2830, _xlfn._xlws.FILTER(B:B, A:A="2021-03"), 0))), "Left", "Ativo")</f>
        <v>Ativo</v>
      </c>
      <c r="F2830" s="12" t="str" cm="1">
        <f t="array" ref="F2830">IF(AND(A2830="2021-03", ISNA(MATCH(B2830, _xlfn._xlws.FILTER(B:B, A:A="2021-04"), 0))), "Left", "Ativo")</f>
        <v>Ativo</v>
      </c>
    </row>
    <row r="2831" spans="1:6" x14ac:dyDescent="0.25">
      <c r="A2831" t="s">
        <v>1530</v>
      </c>
      <c r="B2831" t="s">
        <v>891</v>
      </c>
      <c r="C2831" s="10" t="str" cm="1">
        <f t="array" ref="C2831">IF(AND(A2831="2020-12", ISNA(MATCH(B2831, _xlfn._xlws.FILTER(B:B, A:A="2021-01"), 0))), "Left", "Ativo")</f>
        <v>Ativo</v>
      </c>
      <c r="D2831" s="10" t="str" cm="1">
        <f t="array" ref="D2831">IF(AND(A2831="2021-01", ISNA(MATCH(B2831, _xlfn._xlws.FILTER(B:B, A:A="2021-02"), 0))), "Left", "Ativo")</f>
        <v>Ativo</v>
      </c>
      <c r="E2831" s="10" t="str" cm="1">
        <f t="array" ref="E2831">IF(AND(A2831="2021-02", ISNA(MATCH(B2831, _xlfn._xlws.FILTER(B:B, A:A="2021-03"), 0))), "Left", "Ativo")</f>
        <v>Ativo</v>
      </c>
      <c r="F2831" s="12" t="str" cm="1">
        <f t="array" ref="F2831">IF(AND(A2831="2021-03", ISNA(MATCH(B2831, _xlfn._xlws.FILTER(B:B, A:A="2021-04"), 0))), "Left", "Ativo")</f>
        <v>Ativo</v>
      </c>
    </row>
    <row r="2832" spans="1:6" x14ac:dyDescent="0.25">
      <c r="A2832" t="s">
        <v>1530</v>
      </c>
      <c r="B2832" t="s">
        <v>892</v>
      </c>
      <c r="C2832" s="10" t="str" cm="1">
        <f t="array" ref="C2832">IF(AND(A2832="2020-12", ISNA(MATCH(B2832, _xlfn._xlws.FILTER(B:B, A:A="2021-01"), 0))), "Left", "Ativo")</f>
        <v>Ativo</v>
      </c>
      <c r="D2832" s="10" t="str" cm="1">
        <f t="array" ref="D2832">IF(AND(A2832="2021-01", ISNA(MATCH(B2832, _xlfn._xlws.FILTER(B:B, A:A="2021-02"), 0))), "Left", "Ativo")</f>
        <v>Ativo</v>
      </c>
      <c r="E2832" s="10" t="str" cm="1">
        <f t="array" ref="E2832">IF(AND(A2832="2021-02", ISNA(MATCH(B2832, _xlfn._xlws.FILTER(B:B, A:A="2021-03"), 0))), "Left", "Ativo")</f>
        <v>Ativo</v>
      </c>
      <c r="F2832" s="12" t="str" cm="1">
        <f t="array" ref="F2832">IF(AND(A2832="2021-03", ISNA(MATCH(B2832, _xlfn._xlws.FILTER(B:B, A:A="2021-04"), 0))), "Left", "Ativo")</f>
        <v>Ativo</v>
      </c>
    </row>
    <row r="2833" spans="1:6" x14ac:dyDescent="0.25">
      <c r="A2833" t="s">
        <v>1530</v>
      </c>
      <c r="B2833" t="s">
        <v>893</v>
      </c>
      <c r="C2833" s="10" t="str" cm="1">
        <f t="array" ref="C2833">IF(AND(A2833="2020-12", ISNA(MATCH(B2833, _xlfn._xlws.FILTER(B:B, A:A="2021-01"), 0))), "Left", "Ativo")</f>
        <v>Ativo</v>
      </c>
      <c r="D2833" s="10" t="str" cm="1">
        <f t="array" ref="D2833">IF(AND(A2833="2021-01", ISNA(MATCH(B2833, _xlfn._xlws.FILTER(B:B, A:A="2021-02"), 0))), "Left", "Ativo")</f>
        <v>Ativo</v>
      </c>
      <c r="E2833" s="10" t="str" cm="1">
        <f t="array" ref="E2833">IF(AND(A2833="2021-02", ISNA(MATCH(B2833, _xlfn._xlws.FILTER(B:B, A:A="2021-03"), 0))), "Left", "Ativo")</f>
        <v>Ativo</v>
      </c>
      <c r="F2833" s="12" t="str" cm="1">
        <f t="array" ref="F2833">IF(AND(A2833="2021-03", ISNA(MATCH(B2833, _xlfn._xlws.FILTER(B:B, A:A="2021-04"), 0))), "Left", "Ativo")</f>
        <v>Ativo</v>
      </c>
    </row>
    <row r="2834" spans="1:6" x14ac:dyDescent="0.25">
      <c r="A2834" t="s">
        <v>1530</v>
      </c>
      <c r="B2834" t="s">
        <v>894</v>
      </c>
      <c r="C2834" s="10" t="str" cm="1">
        <f t="array" ref="C2834">IF(AND(A2834="2020-12", ISNA(MATCH(B2834, _xlfn._xlws.FILTER(B:B, A:A="2021-01"), 0))), "Left", "Ativo")</f>
        <v>Ativo</v>
      </c>
      <c r="D2834" s="10" t="str" cm="1">
        <f t="array" ref="D2834">IF(AND(A2834="2021-01", ISNA(MATCH(B2834, _xlfn._xlws.FILTER(B:B, A:A="2021-02"), 0))), "Left", "Ativo")</f>
        <v>Ativo</v>
      </c>
      <c r="E2834" s="10" t="str" cm="1">
        <f t="array" ref="E2834">IF(AND(A2834="2021-02", ISNA(MATCH(B2834, _xlfn._xlws.FILTER(B:B, A:A="2021-03"), 0))), "Left", "Ativo")</f>
        <v>Ativo</v>
      </c>
      <c r="F2834" s="12" t="str" cm="1">
        <f t="array" ref="F2834">IF(AND(A2834="2021-03", ISNA(MATCH(B2834, _xlfn._xlws.FILTER(B:B, A:A="2021-04"), 0))), "Left", "Ativo")</f>
        <v>Ativo</v>
      </c>
    </row>
    <row r="2835" spans="1:6" x14ac:dyDescent="0.25">
      <c r="A2835" t="s">
        <v>1530</v>
      </c>
      <c r="B2835" t="s">
        <v>895</v>
      </c>
      <c r="C2835" s="10" t="str" cm="1">
        <f t="array" ref="C2835">IF(AND(A2835="2020-12", ISNA(MATCH(B2835, _xlfn._xlws.FILTER(B:B, A:A="2021-01"), 0))), "Left", "Ativo")</f>
        <v>Ativo</v>
      </c>
      <c r="D2835" s="10" t="str" cm="1">
        <f t="array" ref="D2835">IF(AND(A2835="2021-01", ISNA(MATCH(B2835, _xlfn._xlws.FILTER(B:B, A:A="2021-02"), 0))), "Left", "Ativo")</f>
        <v>Ativo</v>
      </c>
      <c r="E2835" s="10" t="str" cm="1">
        <f t="array" ref="E2835">IF(AND(A2835="2021-02", ISNA(MATCH(B2835, _xlfn._xlws.FILTER(B:B, A:A="2021-03"), 0))), "Left", "Ativo")</f>
        <v>Ativo</v>
      </c>
      <c r="F2835" s="12" t="str" cm="1">
        <f t="array" ref="F2835">IF(AND(A2835="2021-03", ISNA(MATCH(B2835, _xlfn._xlws.FILTER(B:B, A:A="2021-04"), 0))), "Left", "Ativo")</f>
        <v>Ativo</v>
      </c>
    </row>
    <row r="2836" spans="1:6" x14ac:dyDescent="0.25">
      <c r="A2836" t="s">
        <v>1530</v>
      </c>
      <c r="B2836" t="s">
        <v>896</v>
      </c>
      <c r="C2836" s="10" t="str" cm="1">
        <f t="array" ref="C2836">IF(AND(A2836="2020-12", ISNA(MATCH(B2836, _xlfn._xlws.FILTER(B:B, A:A="2021-01"), 0))), "Left", "Ativo")</f>
        <v>Ativo</v>
      </c>
      <c r="D2836" s="10" t="str" cm="1">
        <f t="array" ref="D2836">IF(AND(A2836="2021-01", ISNA(MATCH(B2836, _xlfn._xlws.FILTER(B:B, A:A="2021-02"), 0))), "Left", "Ativo")</f>
        <v>Ativo</v>
      </c>
      <c r="E2836" s="10" t="str" cm="1">
        <f t="array" ref="E2836">IF(AND(A2836="2021-02", ISNA(MATCH(B2836, _xlfn._xlws.FILTER(B:B, A:A="2021-03"), 0))), "Left", "Ativo")</f>
        <v>Ativo</v>
      </c>
      <c r="F2836" s="12" t="str" cm="1">
        <f t="array" ref="F2836">IF(AND(A2836="2021-03", ISNA(MATCH(B2836, _xlfn._xlws.FILTER(B:B, A:A="2021-04"), 0))), "Left", "Ativo")</f>
        <v>Ativo</v>
      </c>
    </row>
    <row r="2837" spans="1:6" x14ac:dyDescent="0.25">
      <c r="A2837" t="s">
        <v>1530</v>
      </c>
      <c r="B2837" t="s">
        <v>897</v>
      </c>
      <c r="C2837" s="10" t="str" cm="1">
        <f t="array" ref="C2837">IF(AND(A2837="2020-12", ISNA(MATCH(B2837, _xlfn._xlws.FILTER(B:B, A:A="2021-01"), 0))), "Left", "Ativo")</f>
        <v>Ativo</v>
      </c>
      <c r="D2837" s="10" t="str" cm="1">
        <f t="array" ref="D2837">IF(AND(A2837="2021-01", ISNA(MATCH(B2837, _xlfn._xlws.FILTER(B:B, A:A="2021-02"), 0))), "Left", "Ativo")</f>
        <v>Ativo</v>
      </c>
      <c r="E2837" s="10" t="str" cm="1">
        <f t="array" ref="E2837">IF(AND(A2837="2021-02", ISNA(MATCH(B2837, _xlfn._xlws.FILTER(B:B, A:A="2021-03"), 0))), "Left", "Ativo")</f>
        <v>Ativo</v>
      </c>
      <c r="F2837" s="12" t="str" cm="1">
        <f t="array" ref="F2837">IF(AND(A2837="2021-03", ISNA(MATCH(B2837, _xlfn._xlws.FILTER(B:B, A:A="2021-04"), 0))), "Left", "Ativo")</f>
        <v>Ativo</v>
      </c>
    </row>
    <row r="2838" spans="1:6" x14ac:dyDescent="0.25">
      <c r="A2838" t="s">
        <v>1530</v>
      </c>
      <c r="B2838" t="s">
        <v>898</v>
      </c>
      <c r="C2838" s="10" t="str" cm="1">
        <f t="array" ref="C2838">IF(AND(A2838="2020-12", ISNA(MATCH(B2838, _xlfn._xlws.FILTER(B:B, A:A="2021-01"), 0))), "Left", "Ativo")</f>
        <v>Ativo</v>
      </c>
      <c r="D2838" s="10" t="str" cm="1">
        <f t="array" ref="D2838">IF(AND(A2838="2021-01", ISNA(MATCH(B2838, _xlfn._xlws.FILTER(B:B, A:A="2021-02"), 0))), "Left", "Ativo")</f>
        <v>Ativo</v>
      </c>
      <c r="E2838" s="10" t="str" cm="1">
        <f t="array" ref="E2838">IF(AND(A2838="2021-02", ISNA(MATCH(B2838, _xlfn._xlws.FILTER(B:B, A:A="2021-03"), 0))), "Left", "Ativo")</f>
        <v>Ativo</v>
      </c>
      <c r="F2838" s="12" t="str" cm="1">
        <f t="array" ref="F2838">IF(AND(A2838="2021-03", ISNA(MATCH(B2838, _xlfn._xlws.FILTER(B:B, A:A="2021-04"), 0))), "Left", "Ativo")</f>
        <v>Ativo</v>
      </c>
    </row>
    <row r="2839" spans="1:6" x14ac:dyDescent="0.25">
      <c r="A2839" t="s">
        <v>1530</v>
      </c>
      <c r="B2839" t="s">
        <v>899</v>
      </c>
      <c r="C2839" s="10" t="str" cm="1">
        <f t="array" ref="C2839">IF(AND(A2839="2020-12", ISNA(MATCH(B2839, _xlfn._xlws.FILTER(B:B, A:A="2021-01"), 0))), "Left", "Ativo")</f>
        <v>Ativo</v>
      </c>
      <c r="D2839" s="10" t="str" cm="1">
        <f t="array" ref="D2839">IF(AND(A2839="2021-01", ISNA(MATCH(B2839, _xlfn._xlws.FILTER(B:B, A:A="2021-02"), 0))), "Left", "Ativo")</f>
        <v>Ativo</v>
      </c>
      <c r="E2839" s="10" t="str" cm="1">
        <f t="array" ref="E2839">IF(AND(A2839="2021-02", ISNA(MATCH(B2839, _xlfn._xlws.FILTER(B:B, A:A="2021-03"), 0))), "Left", "Ativo")</f>
        <v>Ativo</v>
      </c>
      <c r="F2839" s="12" t="str" cm="1">
        <f t="array" ref="F2839">IF(AND(A2839="2021-03", ISNA(MATCH(B2839, _xlfn._xlws.FILTER(B:B, A:A="2021-04"), 0))), "Left", "Ativo")</f>
        <v>Ativo</v>
      </c>
    </row>
    <row r="2840" spans="1:6" x14ac:dyDescent="0.25">
      <c r="A2840" t="s">
        <v>1530</v>
      </c>
      <c r="B2840" t="s">
        <v>900</v>
      </c>
      <c r="C2840" s="10" t="str" cm="1">
        <f t="array" ref="C2840">IF(AND(A2840="2020-12", ISNA(MATCH(B2840, _xlfn._xlws.FILTER(B:B, A:A="2021-01"), 0))), "Left", "Ativo")</f>
        <v>Ativo</v>
      </c>
      <c r="D2840" s="10" t="str" cm="1">
        <f t="array" ref="D2840">IF(AND(A2840="2021-01", ISNA(MATCH(B2840, _xlfn._xlws.FILTER(B:B, A:A="2021-02"), 0))), "Left", "Ativo")</f>
        <v>Ativo</v>
      </c>
      <c r="E2840" s="10" t="str" cm="1">
        <f t="array" ref="E2840">IF(AND(A2840="2021-02", ISNA(MATCH(B2840, _xlfn._xlws.FILTER(B:B, A:A="2021-03"), 0))), "Left", "Ativo")</f>
        <v>Ativo</v>
      </c>
      <c r="F2840" s="12" t="str" cm="1">
        <f t="array" ref="F2840">IF(AND(A2840="2021-03", ISNA(MATCH(B2840, _xlfn._xlws.FILTER(B:B, A:A="2021-04"), 0))), "Left", "Ativo")</f>
        <v>Ativo</v>
      </c>
    </row>
    <row r="2841" spans="1:6" x14ac:dyDescent="0.25">
      <c r="A2841" t="s">
        <v>1530</v>
      </c>
      <c r="B2841" t="s">
        <v>901</v>
      </c>
      <c r="C2841" s="10" t="str" cm="1">
        <f t="array" ref="C2841">IF(AND(A2841="2020-12", ISNA(MATCH(B2841, _xlfn._xlws.FILTER(B:B, A:A="2021-01"), 0))), "Left", "Ativo")</f>
        <v>Ativo</v>
      </c>
      <c r="D2841" s="10" t="str" cm="1">
        <f t="array" ref="D2841">IF(AND(A2841="2021-01", ISNA(MATCH(B2841, _xlfn._xlws.FILTER(B:B, A:A="2021-02"), 0))), "Left", "Ativo")</f>
        <v>Ativo</v>
      </c>
      <c r="E2841" s="10" t="str" cm="1">
        <f t="array" ref="E2841">IF(AND(A2841="2021-02", ISNA(MATCH(B2841, _xlfn._xlws.FILTER(B:B, A:A="2021-03"), 0))), "Left", "Ativo")</f>
        <v>Ativo</v>
      </c>
      <c r="F2841" s="12" t="str" cm="1">
        <f t="array" ref="F2841">IF(AND(A2841="2021-03", ISNA(MATCH(B2841, _xlfn._xlws.FILTER(B:B, A:A="2021-04"), 0))), "Left", "Ativo")</f>
        <v>Ativo</v>
      </c>
    </row>
    <row r="2842" spans="1:6" x14ac:dyDescent="0.25">
      <c r="A2842" t="s">
        <v>1530</v>
      </c>
      <c r="B2842" t="s">
        <v>902</v>
      </c>
      <c r="C2842" s="10" t="str" cm="1">
        <f t="array" ref="C2842">IF(AND(A2842="2020-12", ISNA(MATCH(B2842, _xlfn._xlws.FILTER(B:B, A:A="2021-01"), 0))), "Left", "Ativo")</f>
        <v>Ativo</v>
      </c>
      <c r="D2842" s="10" t="str" cm="1">
        <f t="array" ref="D2842">IF(AND(A2842="2021-01", ISNA(MATCH(B2842, _xlfn._xlws.FILTER(B:B, A:A="2021-02"), 0))), "Left", "Ativo")</f>
        <v>Ativo</v>
      </c>
      <c r="E2842" s="10" t="str" cm="1">
        <f t="array" ref="E2842">IF(AND(A2842="2021-02", ISNA(MATCH(B2842, _xlfn._xlws.FILTER(B:B, A:A="2021-03"), 0))), "Left", "Ativo")</f>
        <v>Ativo</v>
      </c>
      <c r="F2842" s="12" t="str" cm="1">
        <f t="array" ref="F2842">IF(AND(A2842="2021-03", ISNA(MATCH(B2842, _xlfn._xlws.FILTER(B:B, A:A="2021-04"), 0))), "Left", "Ativo")</f>
        <v>Ativo</v>
      </c>
    </row>
    <row r="2843" spans="1:6" x14ac:dyDescent="0.25">
      <c r="A2843" t="s">
        <v>1530</v>
      </c>
      <c r="B2843" t="s">
        <v>903</v>
      </c>
      <c r="C2843" s="10" t="str" cm="1">
        <f t="array" ref="C2843">IF(AND(A2843="2020-12", ISNA(MATCH(B2843, _xlfn._xlws.FILTER(B:B, A:A="2021-01"), 0))), "Left", "Ativo")</f>
        <v>Ativo</v>
      </c>
      <c r="D2843" s="10" t="str" cm="1">
        <f t="array" ref="D2843">IF(AND(A2843="2021-01", ISNA(MATCH(B2843, _xlfn._xlws.FILTER(B:B, A:A="2021-02"), 0))), "Left", "Ativo")</f>
        <v>Ativo</v>
      </c>
      <c r="E2843" s="10" t="str" cm="1">
        <f t="array" ref="E2843">IF(AND(A2843="2021-02", ISNA(MATCH(B2843, _xlfn._xlws.FILTER(B:B, A:A="2021-03"), 0))), "Left", "Ativo")</f>
        <v>Ativo</v>
      </c>
      <c r="F2843" s="12" t="str" cm="1">
        <f t="array" ref="F2843">IF(AND(A2843="2021-03", ISNA(MATCH(B2843, _xlfn._xlws.FILTER(B:B, A:A="2021-04"), 0))), "Left", "Ativo")</f>
        <v>Ativo</v>
      </c>
    </row>
    <row r="2844" spans="1:6" x14ac:dyDescent="0.25">
      <c r="A2844" t="s">
        <v>1530</v>
      </c>
      <c r="B2844" t="s">
        <v>904</v>
      </c>
      <c r="C2844" s="10" t="str" cm="1">
        <f t="array" ref="C2844">IF(AND(A2844="2020-12", ISNA(MATCH(B2844, _xlfn._xlws.FILTER(B:B, A:A="2021-01"), 0))), "Left", "Ativo")</f>
        <v>Ativo</v>
      </c>
      <c r="D2844" s="10" t="str" cm="1">
        <f t="array" ref="D2844">IF(AND(A2844="2021-01", ISNA(MATCH(B2844, _xlfn._xlws.FILTER(B:B, A:A="2021-02"), 0))), "Left", "Ativo")</f>
        <v>Ativo</v>
      </c>
      <c r="E2844" s="10" t="str" cm="1">
        <f t="array" ref="E2844">IF(AND(A2844="2021-02", ISNA(MATCH(B2844, _xlfn._xlws.FILTER(B:B, A:A="2021-03"), 0))), "Left", "Ativo")</f>
        <v>Ativo</v>
      </c>
      <c r="F2844" s="12" t="str" cm="1">
        <f t="array" ref="F2844">IF(AND(A2844="2021-03", ISNA(MATCH(B2844, _xlfn._xlws.FILTER(B:B, A:A="2021-04"), 0))), "Left", "Ativo")</f>
        <v>Ativo</v>
      </c>
    </row>
    <row r="2845" spans="1:6" x14ac:dyDescent="0.25">
      <c r="A2845" t="s">
        <v>1530</v>
      </c>
      <c r="B2845" t="s">
        <v>905</v>
      </c>
      <c r="C2845" s="10" t="str" cm="1">
        <f t="array" ref="C2845">IF(AND(A2845="2020-12", ISNA(MATCH(B2845, _xlfn._xlws.FILTER(B:B, A:A="2021-01"), 0))), "Left", "Ativo")</f>
        <v>Ativo</v>
      </c>
      <c r="D2845" s="10" t="str" cm="1">
        <f t="array" ref="D2845">IF(AND(A2845="2021-01", ISNA(MATCH(B2845, _xlfn._xlws.FILTER(B:B, A:A="2021-02"), 0))), "Left", "Ativo")</f>
        <v>Ativo</v>
      </c>
      <c r="E2845" s="10" t="str" cm="1">
        <f t="array" ref="E2845">IF(AND(A2845="2021-02", ISNA(MATCH(B2845, _xlfn._xlws.FILTER(B:B, A:A="2021-03"), 0))), "Left", "Ativo")</f>
        <v>Ativo</v>
      </c>
      <c r="F2845" s="12" t="str" cm="1">
        <f t="array" ref="F2845">IF(AND(A2845="2021-03", ISNA(MATCH(B2845, _xlfn._xlws.FILTER(B:B, A:A="2021-04"), 0))), "Left", "Ativo")</f>
        <v>Ativo</v>
      </c>
    </row>
    <row r="2846" spans="1:6" x14ac:dyDescent="0.25">
      <c r="A2846" t="s">
        <v>1530</v>
      </c>
      <c r="B2846" t="s">
        <v>906</v>
      </c>
      <c r="C2846" s="10" t="str" cm="1">
        <f t="array" ref="C2846">IF(AND(A2846="2020-12", ISNA(MATCH(B2846, _xlfn._xlws.FILTER(B:B, A:A="2021-01"), 0))), "Left", "Ativo")</f>
        <v>Ativo</v>
      </c>
      <c r="D2846" s="10" t="str" cm="1">
        <f t="array" ref="D2846">IF(AND(A2846="2021-01", ISNA(MATCH(B2846, _xlfn._xlws.FILTER(B:B, A:A="2021-02"), 0))), "Left", "Ativo")</f>
        <v>Ativo</v>
      </c>
      <c r="E2846" s="10" t="str" cm="1">
        <f t="array" ref="E2846">IF(AND(A2846="2021-02", ISNA(MATCH(B2846, _xlfn._xlws.FILTER(B:B, A:A="2021-03"), 0))), "Left", "Ativo")</f>
        <v>Ativo</v>
      </c>
      <c r="F2846" s="12" t="str" cm="1">
        <f t="array" ref="F2846">IF(AND(A2846="2021-03", ISNA(MATCH(B2846, _xlfn._xlws.FILTER(B:B, A:A="2021-04"), 0))), "Left", "Ativo")</f>
        <v>Ativo</v>
      </c>
    </row>
    <row r="2847" spans="1:6" x14ac:dyDescent="0.25">
      <c r="A2847" t="s">
        <v>1530</v>
      </c>
      <c r="B2847" t="s">
        <v>907</v>
      </c>
      <c r="C2847" s="10" t="str" cm="1">
        <f t="array" ref="C2847">IF(AND(A2847="2020-12", ISNA(MATCH(B2847, _xlfn._xlws.FILTER(B:B, A:A="2021-01"), 0))), "Left", "Ativo")</f>
        <v>Ativo</v>
      </c>
      <c r="D2847" s="10" t="str" cm="1">
        <f t="array" ref="D2847">IF(AND(A2847="2021-01", ISNA(MATCH(B2847, _xlfn._xlws.FILTER(B:B, A:A="2021-02"), 0))), "Left", "Ativo")</f>
        <v>Ativo</v>
      </c>
      <c r="E2847" s="10" t="str" cm="1">
        <f t="array" ref="E2847">IF(AND(A2847="2021-02", ISNA(MATCH(B2847, _xlfn._xlws.FILTER(B:B, A:A="2021-03"), 0))), "Left", "Ativo")</f>
        <v>Ativo</v>
      </c>
      <c r="F2847" s="12" t="str" cm="1">
        <f t="array" ref="F2847">IF(AND(A2847="2021-03", ISNA(MATCH(B2847, _xlfn._xlws.FILTER(B:B, A:A="2021-04"), 0))), "Left", "Ativo")</f>
        <v>Ativo</v>
      </c>
    </row>
    <row r="2848" spans="1:6" x14ac:dyDescent="0.25">
      <c r="A2848" t="s">
        <v>1530</v>
      </c>
      <c r="B2848" t="s">
        <v>908</v>
      </c>
      <c r="C2848" s="10" t="str" cm="1">
        <f t="array" ref="C2848">IF(AND(A2848="2020-12", ISNA(MATCH(B2848, _xlfn._xlws.FILTER(B:B, A:A="2021-01"), 0))), "Left", "Ativo")</f>
        <v>Ativo</v>
      </c>
      <c r="D2848" s="10" t="str" cm="1">
        <f t="array" ref="D2848">IF(AND(A2848="2021-01", ISNA(MATCH(B2848, _xlfn._xlws.FILTER(B:B, A:A="2021-02"), 0))), "Left", "Ativo")</f>
        <v>Ativo</v>
      </c>
      <c r="E2848" s="10" t="str" cm="1">
        <f t="array" ref="E2848">IF(AND(A2848="2021-02", ISNA(MATCH(B2848, _xlfn._xlws.FILTER(B:B, A:A="2021-03"), 0))), "Left", "Ativo")</f>
        <v>Ativo</v>
      </c>
      <c r="F2848" s="12" t="str" cm="1">
        <f t="array" ref="F2848">IF(AND(A2848="2021-03", ISNA(MATCH(B2848, _xlfn._xlws.FILTER(B:B, A:A="2021-04"), 0))), "Left", "Ativo")</f>
        <v>Ativo</v>
      </c>
    </row>
    <row r="2849" spans="1:6" x14ac:dyDescent="0.25">
      <c r="A2849" t="s">
        <v>1530</v>
      </c>
      <c r="B2849" t="s">
        <v>909</v>
      </c>
      <c r="C2849" s="10" t="str" cm="1">
        <f t="array" ref="C2849">IF(AND(A2849="2020-12", ISNA(MATCH(B2849, _xlfn._xlws.FILTER(B:B, A:A="2021-01"), 0))), "Left", "Ativo")</f>
        <v>Ativo</v>
      </c>
      <c r="D2849" s="10" t="str" cm="1">
        <f t="array" ref="D2849">IF(AND(A2849="2021-01", ISNA(MATCH(B2849, _xlfn._xlws.FILTER(B:B, A:A="2021-02"), 0))), "Left", "Ativo")</f>
        <v>Ativo</v>
      </c>
      <c r="E2849" s="10" t="str" cm="1">
        <f t="array" ref="E2849">IF(AND(A2849="2021-02", ISNA(MATCH(B2849, _xlfn._xlws.FILTER(B:B, A:A="2021-03"), 0))), "Left", "Ativo")</f>
        <v>Ativo</v>
      </c>
      <c r="F2849" s="12" t="str" cm="1">
        <f t="array" ref="F2849">IF(AND(A2849="2021-03", ISNA(MATCH(B2849, _xlfn._xlws.FILTER(B:B, A:A="2021-04"), 0))), "Left", "Ativo")</f>
        <v>Ativo</v>
      </c>
    </row>
    <row r="2850" spans="1:6" x14ac:dyDescent="0.25">
      <c r="A2850" t="s">
        <v>1530</v>
      </c>
      <c r="B2850" t="s">
        <v>910</v>
      </c>
      <c r="C2850" s="10" t="str" cm="1">
        <f t="array" ref="C2850">IF(AND(A2850="2020-12", ISNA(MATCH(B2850, _xlfn._xlws.FILTER(B:B, A:A="2021-01"), 0))), "Left", "Ativo")</f>
        <v>Ativo</v>
      </c>
      <c r="D2850" s="10" t="str" cm="1">
        <f t="array" ref="D2850">IF(AND(A2850="2021-01", ISNA(MATCH(B2850, _xlfn._xlws.FILTER(B:B, A:A="2021-02"), 0))), "Left", "Ativo")</f>
        <v>Ativo</v>
      </c>
      <c r="E2850" s="10" t="str" cm="1">
        <f t="array" ref="E2850">IF(AND(A2850="2021-02", ISNA(MATCH(B2850, _xlfn._xlws.FILTER(B:B, A:A="2021-03"), 0))), "Left", "Ativo")</f>
        <v>Ativo</v>
      </c>
      <c r="F2850" s="12" t="str" cm="1">
        <f t="array" ref="F2850">IF(AND(A2850="2021-03", ISNA(MATCH(B2850, _xlfn._xlws.FILTER(B:B, A:A="2021-04"), 0))), "Left", "Ativo")</f>
        <v>Ativo</v>
      </c>
    </row>
    <row r="2851" spans="1:6" x14ac:dyDescent="0.25">
      <c r="A2851" t="s">
        <v>1530</v>
      </c>
      <c r="B2851" t="s">
        <v>911</v>
      </c>
      <c r="C2851" s="10" t="str" cm="1">
        <f t="array" ref="C2851">IF(AND(A2851="2020-12", ISNA(MATCH(B2851, _xlfn._xlws.FILTER(B:B, A:A="2021-01"), 0))), "Left", "Ativo")</f>
        <v>Ativo</v>
      </c>
      <c r="D2851" s="10" t="str" cm="1">
        <f t="array" ref="D2851">IF(AND(A2851="2021-01", ISNA(MATCH(B2851, _xlfn._xlws.FILTER(B:B, A:A="2021-02"), 0))), "Left", "Ativo")</f>
        <v>Ativo</v>
      </c>
      <c r="E2851" s="10" t="str" cm="1">
        <f t="array" ref="E2851">IF(AND(A2851="2021-02", ISNA(MATCH(B2851, _xlfn._xlws.FILTER(B:B, A:A="2021-03"), 0))), "Left", "Ativo")</f>
        <v>Ativo</v>
      </c>
      <c r="F2851" s="12" t="str" cm="1">
        <f t="array" ref="F2851">IF(AND(A2851="2021-03", ISNA(MATCH(B2851, _xlfn._xlws.FILTER(B:B, A:A="2021-04"), 0))), "Left", "Ativo")</f>
        <v>Ativo</v>
      </c>
    </row>
    <row r="2852" spans="1:6" x14ac:dyDescent="0.25">
      <c r="A2852" t="s">
        <v>1530</v>
      </c>
      <c r="B2852" t="s">
        <v>912</v>
      </c>
      <c r="C2852" s="10" t="str" cm="1">
        <f t="array" ref="C2852">IF(AND(A2852="2020-12", ISNA(MATCH(B2852, _xlfn._xlws.FILTER(B:B, A:A="2021-01"), 0))), "Left", "Ativo")</f>
        <v>Ativo</v>
      </c>
      <c r="D2852" s="10" t="str" cm="1">
        <f t="array" ref="D2852">IF(AND(A2852="2021-01", ISNA(MATCH(B2852, _xlfn._xlws.FILTER(B:B, A:A="2021-02"), 0))), "Left", "Ativo")</f>
        <v>Ativo</v>
      </c>
      <c r="E2852" s="10" t="str" cm="1">
        <f t="array" ref="E2852">IF(AND(A2852="2021-02", ISNA(MATCH(B2852, _xlfn._xlws.FILTER(B:B, A:A="2021-03"), 0))), "Left", "Ativo")</f>
        <v>Ativo</v>
      </c>
      <c r="F2852" s="12" t="str" cm="1">
        <f t="array" ref="F2852">IF(AND(A2852="2021-03", ISNA(MATCH(B2852, _xlfn._xlws.FILTER(B:B, A:A="2021-04"), 0))), "Left", "Ativo")</f>
        <v>Ativo</v>
      </c>
    </row>
    <row r="2853" spans="1:6" x14ac:dyDescent="0.25">
      <c r="A2853" t="s">
        <v>1530</v>
      </c>
      <c r="B2853" t="s">
        <v>913</v>
      </c>
      <c r="C2853" s="10" t="str" cm="1">
        <f t="array" ref="C2853">IF(AND(A2853="2020-12", ISNA(MATCH(B2853, _xlfn._xlws.FILTER(B:B, A:A="2021-01"), 0))), "Left", "Ativo")</f>
        <v>Ativo</v>
      </c>
      <c r="D2853" s="10" t="str" cm="1">
        <f t="array" ref="D2853">IF(AND(A2853="2021-01", ISNA(MATCH(B2853, _xlfn._xlws.FILTER(B:B, A:A="2021-02"), 0))), "Left", "Ativo")</f>
        <v>Ativo</v>
      </c>
      <c r="E2853" s="10" t="str" cm="1">
        <f t="array" ref="E2853">IF(AND(A2853="2021-02", ISNA(MATCH(B2853, _xlfn._xlws.FILTER(B:B, A:A="2021-03"), 0))), "Left", "Ativo")</f>
        <v>Ativo</v>
      </c>
      <c r="F2853" s="12" t="str" cm="1">
        <f t="array" ref="F2853">IF(AND(A2853="2021-03", ISNA(MATCH(B2853, _xlfn._xlws.FILTER(B:B, A:A="2021-04"), 0))), "Left", "Ativo")</f>
        <v>Ativo</v>
      </c>
    </row>
    <row r="2854" spans="1:6" x14ac:dyDescent="0.25">
      <c r="A2854" t="s">
        <v>1530</v>
      </c>
      <c r="B2854" t="s">
        <v>914</v>
      </c>
      <c r="C2854" s="10" t="str" cm="1">
        <f t="array" ref="C2854">IF(AND(A2854="2020-12", ISNA(MATCH(B2854, _xlfn._xlws.FILTER(B:B, A:A="2021-01"), 0))), "Left", "Ativo")</f>
        <v>Ativo</v>
      </c>
      <c r="D2854" s="10" t="str" cm="1">
        <f t="array" ref="D2854">IF(AND(A2854="2021-01", ISNA(MATCH(B2854, _xlfn._xlws.FILTER(B:B, A:A="2021-02"), 0))), "Left", "Ativo")</f>
        <v>Ativo</v>
      </c>
      <c r="E2854" s="10" t="str" cm="1">
        <f t="array" ref="E2854">IF(AND(A2854="2021-02", ISNA(MATCH(B2854, _xlfn._xlws.FILTER(B:B, A:A="2021-03"), 0))), "Left", "Ativo")</f>
        <v>Ativo</v>
      </c>
      <c r="F2854" s="12" t="str" cm="1">
        <f t="array" ref="F2854">IF(AND(A2854="2021-03", ISNA(MATCH(B2854, _xlfn._xlws.FILTER(B:B, A:A="2021-04"), 0))), "Left", "Ativo")</f>
        <v>Ativo</v>
      </c>
    </row>
    <row r="2855" spans="1:6" x14ac:dyDescent="0.25">
      <c r="A2855" t="s">
        <v>1530</v>
      </c>
      <c r="B2855" t="s">
        <v>915</v>
      </c>
      <c r="C2855" s="10" t="str" cm="1">
        <f t="array" ref="C2855">IF(AND(A2855="2020-12", ISNA(MATCH(B2855, _xlfn._xlws.FILTER(B:B, A:A="2021-01"), 0))), "Left", "Ativo")</f>
        <v>Ativo</v>
      </c>
      <c r="D2855" s="10" t="str" cm="1">
        <f t="array" ref="D2855">IF(AND(A2855="2021-01", ISNA(MATCH(B2855, _xlfn._xlws.FILTER(B:B, A:A="2021-02"), 0))), "Left", "Ativo")</f>
        <v>Ativo</v>
      </c>
      <c r="E2855" s="10" t="str" cm="1">
        <f t="array" ref="E2855">IF(AND(A2855="2021-02", ISNA(MATCH(B2855, _xlfn._xlws.FILTER(B:B, A:A="2021-03"), 0))), "Left", "Ativo")</f>
        <v>Ativo</v>
      </c>
      <c r="F2855" s="12" t="str" cm="1">
        <f t="array" ref="F2855">IF(AND(A2855="2021-03", ISNA(MATCH(B2855, _xlfn._xlws.FILTER(B:B, A:A="2021-04"), 0))), "Left", "Ativo")</f>
        <v>Ativo</v>
      </c>
    </row>
    <row r="2856" spans="1:6" x14ac:dyDescent="0.25">
      <c r="A2856" t="s">
        <v>1530</v>
      </c>
      <c r="B2856" t="s">
        <v>916</v>
      </c>
      <c r="C2856" s="10" t="str" cm="1">
        <f t="array" ref="C2856">IF(AND(A2856="2020-12", ISNA(MATCH(B2856, _xlfn._xlws.FILTER(B:B, A:A="2021-01"), 0))), "Left", "Ativo")</f>
        <v>Ativo</v>
      </c>
      <c r="D2856" s="10" t="str" cm="1">
        <f t="array" ref="D2856">IF(AND(A2856="2021-01", ISNA(MATCH(B2856, _xlfn._xlws.FILTER(B:B, A:A="2021-02"), 0))), "Left", "Ativo")</f>
        <v>Ativo</v>
      </c>
      <c r="E2856" s="10" t="str" cm="1">
        <f t="array" ref="E2856">IF(AND(A2856="2021-02", ISNA(MATCH(B2856, _xlfn._xlws.FILTER(B:B, A:A="2021-03"), 0))), "Left", "Ativo")</f>
        <v>Ativo</v>
      </c>
      <c r="F2856" s="12" t="str" cm="1">
        <f t="array" ref="F2856">IF(AND(A2856="2021-03", ISNA(MATCH(B2856, _xlfn._xlws.FILTER(B:B, A:A="2021-04"), 0))), "Left", "Ativo")</f>
        <v>Ativo</v>
      </c>
    </row>
    <row r="2857" spans="1:6" x14ac:dyDescent="0.25">
      <c r="A2857" t="s">
        <v>1530</v>
      </c>
      <c r="B2857" t="s">
        <v>917</v>
      </c>
      <c r="C2857" s="10" t="str" cm="1">
        <f t="array" ref="C2857">IF(AND(A2857="2020-12", ISNA(MATCH(B2857, _xlfn._xlws.FILTER(B:B, A:A="2021-01"), 0))), "Left", "Ativo")</f>
        <v>Ativo</v>
      </c>
      <c r="D2857" s="10" t="str" cm="1">
        <f t="array" ref="D2857">IF(AND(A2857="2021-01", ISNA(MATCH(B2857, _xlfn._xlws.FILTER(B:B, A:A="2021-02"), 0))), "Left", "Ativo")</f>
        <v>Ativo</v>
      </c>
      <c r="E2857" s="10" t="str" cm="1">
        <f t="array" ref="E2857">IF(AND(A2857="2021-02", ISNA(MATCH(B2857, _xlfn._xlws.FILTER(B:B, A:A="2021-03"), 0))), "Left", "Ativo")</f>
        <v>Ativo</v>
      </c>
      <c r="F2857" s="12" t="str" cm="1">
        <f t="array" ref="F2857">IF(AND(A2857="2021-03", ISNA(MATCH(B2857, _xlfn._xlws.FILTER(B:B, A:A="2021-04"), 0))), "Left", "Ativo")</f>
        <v>Ativo</v>
      </c>
    </row>
    <row r="2858" spans="1:6" x14ac:dyDescent="0.25">
      <c r="A2858" t="s">
        <v>1530</v>
      </c>
      <c r="B2858" t="s">
        <v>918</v>
      </c>
      <c r="C2858" s="10" t="str" cm="1">
        <f t="array" ref="C2858">IF(AND(A2858="2020-12", ISNA(MATCH(B2858, _xlfn._xlws.FILTER(B:B, A:A="2021-01"), 0))), "Left", "Ativo")</f>
        <v>Ativo</v>
      </c>
      <c r="D2858" s="10" t="str" cm="1">
        <f t="array" ref="D2858">IF(AND(A2858="2021-01", ISNA(MATCH(B2858, _xlfn._xlws.FILTER(B:B, A:A="2021-02"), 0))), "Left", "Ativo")</f>
        <v>Ativo</v>
      </c>
      <c r="E2858" s="10" t="str" cm="1">
        <f t="array" ref="E2858">IF(AND(A2858="2021-02", ISNA(MATCH(B2858, _xlfn._xlws.FILTER(B:B, A:A="2021-03"), 0))), "Left", "Ativo")</f>
        <v>Ativo</v>
      </c>
      <c r="F2858" s="12" t="str" cm="1">
        <f t="array" ref="F2858">IF(AND(A2858="2021-03", ISNA(MATCH(B2858, _xlfn._xlws.FILTER(B:B, A:A="2021-04"), 0))), "Left", "Ativo")</f>
        <v>Ativo</v>
      </c>
    </row>
    <row r="2859" spans="1:6" x14ac:dyDescent="0.25">
      <c r="A2859" t="s">
        <v>1530</v>
      </c>
      <c r="B2859" t="s">
        <v>919</v>
      </c>
      <c r="C2859" s="10" t="str" cm="1">
        <f t="array" ref="C2859">IF(AND(A2859="2020-12", ISNA(MATCH(B2859, _xlfn._xlws.FILTER(B:B, A:A="2021-01"), 0))), "Left", "Ativo")</f>
        <v>Ativo</v>
      </c>
      <c r="D2859" s="10" t="str" cm="1">
        <f t="array" ref="D2859">IF(AND(A2859="2021-01", ISNA(MATCH(B2859, _xlfn._xlws.FILTER(B:B, A:A="2021-02"), 0))), "Left", "Ativo")</f>
        <v>Ativo</v>
      </c>
      <c r="E2859" s="10" t="str" cm="1">
        <f t="array" ref="E2859">IF(AND(A2859="2021-02", ISNA(MATCH(B2859, _xlfn._xlws.FILTER(B:B, A:A="2021-03"), 0))), "Left", "Ativo")</f>
        <v>Ativo</v>
      </c>
      <c r="F2859" s="12" t="str" cm="1">
        <f t="array" ref="F2859">IF(AND(A2859="2021-03", ISNA(MATCH(B2859, _xlfn._xlws.FILTER(B:B, A:A="2021-04"), 0))), "Left", "Ativo")</f>
        <v>Ativo</v>
      </c>
    </row>
    <row r="2860" spans="1:6" x14ac:dyDescent="0.25">
      <c r="A2860" t="s">
        <v>1530</v>
      </c>
      <c r="B2860" t="s">
        <v>920</v>
      </c>
      <c r="C2860" s="10" t="str" cm="1">
        <f t="array" ref="C2860">IF(AND(A2860="2020-12", ISNA(MATCH(B2860, _xlfn._xlws.FILTER(B:B, A:A="2021-01"), 0))), "Left", "Ativo")</f>
        <v>Ativo</v>
      </c>
      <c r="D2860" s="10" t="str" cm="1">
        <f t="array" ref="D2860">IF(AND(A2860="2021-01", ISNA(MATCH(B2860, _xlfn._xlws.FILTER(B:B, A:A="2021-02"), 0))), "Left", "Ativo")</f>
        <v>Ativo</v>
      </c>
      <c r="E2860" s="10" t="str" cm="1">
        <f t="array" ref="E2860">IF(AND(A2860="2021-02", ISNA(MATCH(B2860, _xlfn._xlws.FILTER(B:B, A:A="2021-03"), 0))), "Left", "Ativo")</f>
        <v>Ativo</v>
      </c>
      <c r="F2860" s="12" t="str" cm="1">
        <f t="array" ref="F2860">IF(AND(A2860="2021-03", ISNA(MATCH(B2860, _xlfn._xlws.FILTER(B:B, A:A="2021-04"), 0))), "Left", "Ativo")</f>
        <v>Ativo</v>
      </c>
    </row>
    <row r="2861" spans="1:6" x14ac:dyDescent="0.25">
      <c r="A2861" t="s">
        <v>1530</v>
      </c>
      <c r="B2861" t="s">
        <v>921</v>
      </c>
      <c r="C2861" s="10" t="str" cm="1">
        <f t="array" ref="C2861">IF(AND(A2861="2020-12", ISNA(MATCH(B2861, _xlfn._xlws.FILTER(B:B, A:A="2021-01"), 0))), "Left", "Ativo")</f>
        <v>Ativo</v>
      </c>
      <c r="D2861" s="10" t="str" cm="1">
        <f t="array" ref="D2861">IF(AND(A2861="2021-01", ISNA(MATCH(B2861, _xlfn._xlws.FILTER(B:B, A:A="2021-02"), 0))), "Left", "Ativo")</f>
        <v>Ativo</v>
      </c>
      <c r="E2861" s="10" t="str" cm="1">
        <f t="array" ref="E2861">IF(AND(A2861="2021-02", ISNA(MATCH(B2861, _xlfn._xlws.FILTER(B:B, A:A="2021-03"), 0))), "Left", "Ativo")</f>
        <v>Ativo</v>
      </c>
      <c r="F2861" s="12" t="str" cm="1">
        <f t="array" ref="F2861">IF(AND(A2861="2021-03", ISNA(MATCH(B2861, _xlfn._xlws.FILTER(B:B, A:A="2021-04"), 0))), "Left", "Ativo")</f>
        <v>Ativo</v>
      </c>
    </row>
    <row r="2862" spans="1:6" x14ac:dyDescent="0.25">
      <c r="A2862" t="s">
        <v>1530</v>
      </c>
      <c r="B2862" t="s">
        <v>922</v>
      </c>
      <c r="C2862" s="10" t="str" cm="1">
        <f t="array" ref="C2862">IF(AND(A2862="2020-12", ISNA(MATCH(B2862, _xlfn._xlws.FILTER(B:B, A:A="2021-01"), 0))), "Left", "Ativo")</f>
        <v>Ativo</v>
      </c>
      <c r="D2862" s="10" t="str" cm="1">
        <f t="array" ref="D2862">IF(AND(A2862="2021-01", ISNA(MATCH(B2862, _xlfn._xlws.FILTER(B:B, A:A="2021-02"), 0))), "Left", "Ativo")</f>
        <v>Ativo</v>
      </c>
      <c r="E2862" s="10" t="str" cm="1">
        <f t="array" ref="E2862">IF(AND(A2862="2021-02", ISNA(MATCH(B2862, _xlfn._xlws.FILTER(B:B, A:A="2021-03"), 0))), "Left", "Ativo")</f>
        <v>Ativo</v>
      </c>
      <c r="F2862" s="12" t="str" cm="1">
        <f t="array" ref="F2862">IF(AND(A2862="2021-03", ISNA(MATCH(B2862, _xlfn._xlws.FILTER(B:B, A:A="2021-04"), 0))), "Left", "Ativo")</f>
        <v>Ativo</v>
      </c>
    </row>
    <row r="2863" spans="1:6" x14ac:dyDescent="0.25">
      <c r="A2863" t="s">
        <v>1530</v>
      </c>
      <c r="B2863" t="s">
        <v>923</v>
      </c>
      <c r="C2863" s="10" t="str" cm="1">
        <f t="array" ref="C2863">IF(AND(A2863="2020-12", ISNA(MATCH(B2863, _xlfn._xlws.FILTER(B:B, A:A="2021-01"), 0))), "Left", "Ativo")</f>
        <v>Ativo</v>
      </c>
      <c r="D2863" s="10" t="str" cm="1">
        <f t="array" ref="D2863">IF(AND(A2863="2021-01", ISNA(MATCH(B2863, _xlfn._xlws.FILTER(B:B, A:A="2021-02"), 0))), "Left", "Ativo")</f>
        <v>Ativo</v>
      </c>
      <c r="E2863" s="10" t="str" cm="1">
        <f t="array" ref="E2863">IF(AND(A2863="2021-02", ISNA(MATCH(B2863, _xlfn._xlws.FILTER(B:B, A:A="2021-03"), 0))), "Left", "Ativo")</f>
        <v>Ativo</v>
      </c>
      <c r="F2863" s="12" t="str" cm="1">
        <f t="array" ref="F2863">IF(AND(A2863="2021-03", ISNA(MATCH(B2863, _xlfn._xlws.FILTER(B:B, A:A="2021-04"), 0))), "Left", "Ativo")</f>
        <v>Ativo</v>
      </c>
    </row>
    <row r="2864" spans="1:6" x14ac:dyDescent="0.25">
      <c r="A2864" t="s">
        <v>1530</v>
      </c>
      <c r="B2864" t="s">
        <v>924</v>
      </c>
      <c r="C2864" s="10" t="str" cm="1">
        <f t="array" ref="C2864">IF(AND(A2864="2020-12", ISNA(MATCH(B2864, _xlfn._xlws.FILTER(B:B, A:A="2021-01"), 0))), "Left", "Ativo")</f>
        <v>Ativo</v>
      </c>
      <c r="D2864" s="10" t="str" cm="1">
        <f t="array" ref="D2864">IF(AND(A2864="2021-01", ISNA(MATCH(B2864, _xlfn._xlws.FILTER(B:B, A:A="2021-02"), 0))), "Left", "Ativo")</f>
        <v>Ativo</v>
      </c>
      <c r="E2864" s="10" t="str" cm="1">
        <f t="array" ref="E2864">IF(AND(A2864="2021-02", ISNA(MATCH(B2864, _xlfn._xlws.FILTER(B:B, A:A="2021-03"), 0))), "Left", "Ativo")</f>
        <v>Ativo</v>
      </c>
      <c r="F2864" s="12" t="str" cm="1">
        <f t="array" ref="F2864">IF(AND(A2864="2021-03", ISNA(MATCH(B2864, _xlfn._xlws.FILTER(B:B, A:A="2021-04"), 0))), "Left", "Ativo")</f>
        <v>Ativo</v>
      </c>
    </row>
    <row r="2865" spans="1:6" x14ac:dyDescent="0.25">
      <c r="A2865" t="s">
        <v>1530</v>
      </c>
      <c r="B2865" t="s">
        <v>925</v>
      </c>
      <c r="C2865" s="10" t="str" cm="1">
        <f t="array" ref="C2865">IF(AND(A2865="2020-12", ISNA(MATCH(B2865, _xlfn._xlws.FILTER(B:B, A:A="2021-01"), 0))), "Left", "Ativo")</f>
        <v>Ativo</v>
      </c>
      <c r="D2865" s="10" t="str" cm="1">
        <f t="array" ref="D2865">IF(AND(A2865="2021-01", ISNA(MATCH(B2865, _xlfn._xlws.FILTER(B:B, A:A="2021-02"), 0))), "Left", "Ativo")</f>
        <v>Ativo</v>
      </c>
      <c r="E2865" s="10" t="str" cm="1">
        <f t="array" ref="E2865">IF(AND(A2865="2021-02", ISNA(MATCH(B2865, _xlfn._xlws.FILTER(B:B, A:A="2021-03"), 0))), "Left", "Ativo")</f>
        <v>Ativo</v>
      </c>
      <c r="F2865" s="12" t="str" cm="1">
        <f t="array" ref="F2865">IF(AND(A2865="2021-03", ISNA(MATCH(B2865, _xlfn._xlws.FILTER(B:B, A:A="2021-04"), 0))), "Left", "Ativo")</f>
        <v>Ativo</v>
      </c>
    </row>
    <row r="2866" spans="1:6" x14ac:dyDescent="0.25">
      <c r="A2866" t="s">
        <v>1530</v>
      </c>
      <c r="B2866" t="s">
        <v>926</v>
      </c>
      <c r="C2866" s="10" t="str" cm="1">
        <f t="array" ref="C2866">IF(AND(A2866="2020-12", ISNA(MATCH(B2866, _xlfn._xlws.FILTER(B:B, A:A="2021-01"), 0))), "Left", "Ativo")</f>
        <v>Ativo</v>
      </c>
      <c r="D2866" s="10" t="str" cm="1">
        <f t="array" ref="D2866">IF(AND(A2866="2021-01", ISNA(MATCH(B2866, _xlfn._xlws.FILTER(B:B, A:A="2021-02"), 0))), "Left", "Ativo")</f>
        <v>Ativo</v>
      </c>
      <c r="E2866" s="10" t="str" cm="1">
        <f t="array" ref="E2866">IF(AND(A2866="2021-02", ISNA(MATCH(B2866, _xlfn._xlws.FILTER(B:B, A:A="2021-03"), 0))), "Left", "Ativo")</f>
        <v>Ativo</v>
      </c>
      <c r="F2866" s="12" t="str" cm="1">
        <f t="array" ref="F2866">IF(AND(A2866="2021-03", ISNA(MATCH(B2866, _xlfn._xlws.FILTER(B:B, A:A="2021-04"), 0))), "Left", "Ativo")</f>
        <v>Ativo</v>
      </c>
    </row>
    <row r="2867" spans="1:6" x14ac:dyDescent="0.25">
      <c r="A2867" t="s">
        <v>1530</v>
      </c>
      <c r="B2867" t="s">
        <v>927</v>
      </c>
      <c r="C2867" s="10" t="str" cm="1">
        <f t="array" ref="C2867">IF(AND(A2867="2020-12", ISNA(MATCH(B2867, _xlfn._xlws.FILTER(B:B, A:A="2021-01"), 0))), "Left", "Ativo")</f>
        <v>Ativo</v>
      </c>
      <c r="D2867" s="10" t="str" cm="1">
        <f t="array" ref="D2867">IF(AND(A2867="2021-01", ISNA(MATCH(B2867, _xlfn._xlws.FILTER(B:B, A:A="2021-02"), 0))), "Left", "Ativo")</f>
        <v>Ativo</v>
      </c>
      <c r="E2867" s="10" t="str" cm="1">
        <f t="array" ref="E2867">IF(AND(A2867="2021-02", ISNA(MATCH(B2867, _xlfn._xlws.FILTER(B:B, A:A="2021-03"), 0))), "Left", "Ativo")</f>
        <v>Ativo</v>
      </c>
      <c r="F2867" s="12" t="str" cm="1">
        <f t="array" ref="F2867">IF(AND(A2867="2021-03", ISNA(MATCH(B2867, _xlfn._xlws.FILTER(B:B, A:A="2021-04"), 0))), "Left", "Ativo")</f>
        <v>Ativo</v>
      </c>
    </row>
    <row r="2868" spans="1:6" x14ac:dyDescent="0.25">
      <c r="A2868" t="s">
        <v>1530</v>
      </c>
      <c r="B2868" t="s">
        <v>928</v>
      </c>
      <c r="C2868" s="10" t="str" cm="1">
        <f t="array" ref="C2868">IF(AND(A2868="2020-12", ISNA(MATCH(B2868, _xlfn._xlws.FILTER(B:B, A:A="2021-01"), 0))), "Left", "Ativo")</f>
        <v>Ativo</v>
      </c>
      <c r="D2868" s="10" t="str" cm="1">
        <f t="array" ref="D2868">IF(AND(A2868="2021-01", ISNA(MATCH(B2868, _xlfn._xlws.FILTER(B:B, A:A="2021-02"), 0))), "Left", "Ativo")</f>
        <v>Ativo</v>
      </c>
      <c r="E2868" s="10" t="str" cm="1">
        <f t="array" ref="E2868">IF(AND(A2868="2021-02", ISNA(MATCH(B2868, _xlfn._xlws.FILTER(B:B, A:A="2021-03"), 0))), "Left", "Ativo")</f>
        <v>Ativo</v>
      </c>
      <c r="F2868" s="12" t="str" cm="1">
        <f t="array" ref="F2868">IF(AND(A2868="2021-03", ISNA(MATCH(B2868, _xlfn._xlws.FILTER(B:B, A:A="2021-04"), 0))), "Left", "Ativo")</f>
        <v>Ativo</v>
      </c>
    </row>
    <row r="2869" spans="1:6" x14ac:dyDescent="0.25">
      <c r="A2869" t="s">
        <v>1530</v>
      </c>
      <c r="B2869" t="s">
        <v>929</v>
      </c>
      <c r="C2869" s="10" t="str" cm="1">
        <f t="array" ref="C2869">IF(AND(A2869="2020-12", ISNA(MATCH(B2869, _xlfn._xlws.FILTER(B:B, A:A="2021-01"), 0))), "Left", "Ativo")</f>
        <v>Ativo</v>
      </c>
      <c r="D2869" s="10" t="str" cm="1">
        <f t="array" ref="D2869">IF(AND(A2869="2021-01", ISNA(MATCH(B2869, _xlfn._xlws.FILTER(B:B, A:A="2021-02"), 0))), "Left", "Ativo")</f>
        <v>Ativo</v>
      </c>
      <c r="E2869" s="10" t="str" cm="1">
        <f t="array" ref="E2869">IF(AND(A2869="2021-02", ISNA(MATCH(B2869, _xlfn._xlws.FILTER(B:B, A:A="2021-03"), 0))), "Left", "Ativo")</f>
        <v>Ativo</v>
      </c>
      <c r="F2869" s="12" t="str" cm="1">
        <f t="array" ref="F2869">IF(AND(A2869="2021-03", ISNA(MATCH(B2869, _xlfn._xlws.FILTER(B:B, A:A="2021-04"), 0))), "Left", "Ativo")</f>
        <v>Ativo</v>
      </c>
    </row>
    <row r="2870" spans="1:6" x14ac:dyDescent="0.25">
      <c r="A2870" t="s">
        <v>1530</v>
      </c>
      <c r="B2870" t="s">
        <v>930</v>
      </c>
      <c r="C2870" s="10" t="str" cm="1">
        <f t="array" ref="C2870">IF(AND(A2870="2020-12", ISNA(MATCH(B2870, _xlfn._xlws.FILTER(B:B, A:A="2021-01"), 0))), "Left", "Ativo")</f>
        <v>Ativo</v>
      </c>
      <c r="D2870" s="10" t="str" cm="1">
        <f t="array" ref="D2870">IF(AND(A2870="2021-01", ISNA(MATCH(B2870, _xlfn._xlws.FILTER(B:B, A:A="2021-02"), 0))), "Left", "Ativo")</f>
        <v>Ativo</v>
      </c>
      <c r="E2870" s="10" t="str" cm="1">
        <f t="array" ref="E2870">IF(AND(A2870="2021-02", ISNA(MATCH(B2870, _xlfn._xlws.FILTER(B:B, A:A="2021-03"), 0))), "Left", "Ativo")</f>
        <v>Ativo</v>
      </c>
      <c r="F2870" s="12" t="str" cm="1">
        <f t="array" ref="F2870">IF(AND(A2870="2021-03", ISNA(MATCH(B2870, _xlfn._xlws.FILTER(B:B, A:A="2021-04"), 0))), "Left", "Ativo")</f>
        <v>Ativo</v>
      </c>
    </row>
    <row r="2871" spans="1:6" x14ac:dyDescent="0.25">
      <c r="A2871" t="s">
        <v>1530</v>
      </c>
      <c r="B2871" t="s">
        <v>931</v>
      </c>
      <c r="C2871" s="10" t="str" cm="1">
        <f t="array" ref="C2871">IF(AND(A2871="2020-12", ISNA(MATCH(B2871, _xlfn._xlws.FILTER(B:B, A:A="2021-01"), 0))), "Left", "Ativo")</f>
        <v>Ativo</v>
      </c>
      <c r="D2871" s="10" t="str" cm="1">
        <f t="array" ref="D2871">IF(AND(A2871="2021-01", ISNA(MATCH(B2871, _xlfn._xlws.FILTER(B:B, A:A="2021-02"), 0))), "Left", "Ativo")</f>
        <v>Ativo</v>
      </c>
      <c r="E2871" s="10" t="str" cm="1">
        <f t="array" ref="E2871">IF(AND(A2871="2021-02", ISNA(MATCH(B2871, _xlfn._xlws.FILTER(B:B, A:A="2021-03"), 0))), "Left", "Ativo")</f>
        <v>Ativo</v>
      </c>
      <c r="F2871" s="12" t="str" cm="1">
        <f t="array" ref="F2871">IF(AND(A2871="2021-03", ISNA(MATCH(B2871, _xlfn._xlws.FILTER(B:B, A:A="2021-04"), 0))), "Left", "Ativo")</f>
        <v>Ativo</v>
      </c>
    </row>
    <row r="2872" spans="1:6" x14ac:dyDescent="0.25">
      <c r="A2872" t="s">
        <v>1530</v>
      </c>
      <c r="B2872" t="s">
        <v>932</v>
      </c>
      <c r="C2872" s="10" t="str" cm="1">
        <f t="array" ref="C2872">IF(AND(A2872="2020-12", ISNA(MATCH(B2872, _xlfn._xlws.FILTER(B:B, A:A="2021-01"), 0))), "Left", "Ativo")</f>
        <v>Ativo</v>
      </c>
      <c r="D2872" s="10" t="str" cm="1">
        <f t="array" ref="D2872">IF(AND(A2872="2021-01", ISNA(MATCH(B2872, _xlfn._xlws.FILTER(B:B, A:A="2021-02"), 0))), "Left", "Ativo")</f>
        <v>Ativo</v>
      </c>
      <c r="E2872" s="10" t="str" cm="1">
        <f t="array" ref="E2872">IF(AND(A2872="2021-02", ISNA(MATCH(B2872, _xlfn._xlws.FILTER(B:B, A:A="2021-03"), 0))), "Left", "Ativo")</f>
        <v>Ativo</v>
      </c>
      <c r="F2872" s="12" t="str" cm="1">
        <f t="array" ref="F2872">IF(AND(A2872="2021-03", ISNA(MATCH(B2872, _xlfn._xlws.FILTER(B:B, A:A="2021-04"), 0))), "Left", "Ativo")</f>
        <v>Ativo</v>
      </c>
    </row>
    <row r="2873" spans="1:6" x14ac:dyDescent="0.25">
      <c r="A2873" t="s">
        <v>1530</v>
      </c>
      <c r="B2873" t="s">
        <v>933</v>
      </c>
      <c r="C2873" s="10" t="str" cm="1">
        <f t="array" ref="C2873">IF(AND(A2873="2020-12", ISNA(MATCH(B2873, _xlfn._xlws.FILTER(B:B, A:A="2021-01"), 0))), "Left", "Ativo")</f>
        <v>Ativo</v>
      </c>
      <c r="D2873" s="10" t="str" cm="1">
        <f t="array" ref="D2873">IF(AND(A2873="2021-01", ISNA(MATCH(B2873, _xlfn._xlws.FILTER(B:B, A:A="2021-02"), 0))), "Left", "Ativo")</f>
        <v>Ativo</v>
      </c>
      <c r="E2873" s="10" t="str" cm="1">
        <f t="array" ref="E2873">IF(AND(A2873="2021-02", ISNA(MATCH(B2873, _xlfn._xlws.FILTER(B:B, A:A="2021-03"), 0))), "Left", "Ativo")</f>
        <v>Ativo</v>
      </c>
      <c r="F2873" s="12" t="str" cm="1">
        <f t="array" ref="F2873">IF(AND(A2873="2021-03", ISNA(MATCH(B2873, _xlfn._xlws.FILTER(B:B, A:A="2021-04"), 0))), "Left", "Ativo")</f>
        <v>Ativo</v>
      </c>
    </row>
    <row r="2874" spans="1:6" x14ac:dyDescent="0.25">
      <c r="A2874" t="s">
        <v>1530</v>
      </c>
      <c r="B2874" t="s">
        <v>934</v>
      </c>
      <c r="C2874" s="10" t="str" cm="1">
        <f t="array" ref="C2874">IF(AND(A2874="2020-12", ISNA(MATCH(B2874, _xlfn._xlws.FILTER(B:B, A:A="2021-01"), 0))), "Left", "Ativo")</f>
        <v>Ativo</v>
      </c>
      <c r="D2874" s="10" t="str" cm="1">
        <f t="array" ref="D2874">IF(AND(A2874="2021-01", ISNA(MATCH(B2874, _xlfn._xlws.FILTER(B:B, A:A="2021-02"), 0))), "Left", "Ativo")</f>
        <v>Ativo</v>
      </c>
      <c r="E2874" s="10" t="str" cm="1">
        <f t="array" ref="E2874">IF(AND(A2874="2021-02", ISNA(MATCH(B2874, _xlfn._xlws.FILTER(B:B, A:A="2021-03"), 0))), "Left", "Ativo")</f>
        <v>Ativo</v>
      </c>
      <c r="F2874" s="12" t="str" cm="1">
        <f t="array" ref="F2874">IF(AND(A2874="2021-03", ISNA(MATCH(B2874, _xlfn._xlws.FILTER(B:B, A:A="2021-04"), 0))), "Left", "Ativo")</f>
        <v>Ativo</v>
      </c>
    </row>
    <row r="2875" spans="1:6" x14ac:dyDescent="0.25">
      <c r="A2875" t="s">
        <v>1530</v>
      </c>
      <c r="B2875" t="s">
        <v>935</v>
      </c>
      <c r="C2875" s="10" t="str" cm="1">
        <f t="array" ref="C2875">IF(AND(A2875="2020-12", ISNA(MATCH(B2875, _xlfn._xlws.FILTER(B:B, A:A="2021-01"), 0))), "Left", "Ativo")</f>
        <v>Ativo</v>
      </c>
      <c r="D2875" s="10" t="str" cm="1">
        <f t="array" ref="D2875">IF(AND(A2875="2021-01", ISNA(MATCH(B2875, _xlfn._xlws.FILTER(B:B, A:A="2021-02"), 0))), "Left", "Ativo")</f>
        <v>Ativo</v>
      </c>
      <c r="E2875" s="10" t="str" cm="1">
        <f t="array" ref="E2875">IF(AND(A2875="2021-02", ISNA(MATCH(B2875, _xlfn._xlws.FILTER(B:B, A:A="2021-03"), 0))), "Left", "Ativo")</f>
        <v>Ativo</v>
      </c>
      <c r="F2875" s="12" t="str" cm="1">
        <f t="array" ref="F2875">IF(AND(A2875="2021-03", ISNA(MATCH(B2875, _xlfn._xlws.FILTER(B:B, A:A="2021-04"), 0))), "Left", "Ativo")</f>
        <v>Ativo</v>
      </c>
    </row>
    <row r="2876" spans="1:6" x14ac:dyDescent="0.25">
      <c r="A2876" t="s">
        <v>1530</v>
      </c>
      <c r="B2876" t="s">
        <v>936</v>
      </c>
      <c r="C2876" s="10" t="str" cm="1">
        <f t="array" ref="C2876">IF(AND(A2876="2020-12", ISNA(MATCH(B2876, _xlfn._xlws.FILTER(B:B, A:A="2021-01"), 0))), "Left", "Ativo")</f>
        <v>Ativo</v>
      </c>
      <c r="D2876" s="10" t="str" cm="1">
        <f t="array" ref="D2876">IF(AND(A2876="2021-01", ISNA(MATCH(B2876, _xlfn._xlws.FILTER(B:B, A:A="2021-02"), 0))), "Left", "Ativo")</f>
        <v>Ativo</v>
      </c>
      <c r="E2876" s="10" t="str" cm="1">
        <f t="array" ref="E2876">IF(AND(A2876="2021-02", ISNA(MATCH(B2876, _xlfn._xlws.FILTER(B:B, A:A="2021-03"), 0))), "Left", "Ativo")</f>
        <v>Ativo</v>
      </c>
      <c r="F2876" s="12" t="str" cm="1">
        <f t="array" ref="F2876">IF(AND(A2876="2021-03", ISNA(MATCH(B2876, _xlfn._xlws.FILTER(B:B, A:A="2021-04"), 0))), "Left", "Ativo")</f>
        <v>Ativo</v>
      </c>
    </row>
    <row r="2877" spans="1:6" x14ac:dyDescent="0.25">
      <c r="A2877" t="s">
        <v>1530</v>
      </c>
      <c r="B2877" t="s">
        <v>937</v>
      </c>
      <c r="C2877" s="10" t="str" cm="1">
        <f t="array" ref="C2877">IF(AND(A2877="2020-12", ISNA(MATCH(B2877, _xlfn._xlws.FILTER(B:B, A:A="2021-01"), 0))), "Left", "Ativo")</f>
        <v>Ativo</v>
      </c>
      <c r="D2877" s="10" t="str" cm="1">
        <f t="array" ref="D2877">IF(AND(A2877="2021-01", ISNA(MATCH(B2877, _xlfn._xlws.FILTER(B:B, A:A="2021-02"), 0))), "Left", "Ativo")</f>
        <v>Ativo</v>
      </c>
      <c r="E2877" s="10" t="str" cm="1">
        <f t="array" ref="E2877">IF(AND(A2877="2021-02", ISNA(MATCH(B2877, _xlfn._xlws.FILTER(B:B, A:A="2021-03"), 0))), "Left", "Ativo")</f>
        <v>Ativo</v>
      </c>
      <c r="F2877" s="12" t="str" cm="1">
        <f t="array" ref="F2877">IF(AND(A2877="2021-03", ISNA(MATCH(B2877, _xlfn._xlws.FILTER(B:B, A:A="2021-04"), 0))), "Left", "Ativo")</f>
        <v>Ativo</v>
      </c>
    </row>
    <row r="2878" spans="1:6" x14ac:dyDescent="0.25">
      <c r="A2878" t="s">
        <v>1530</v>
      </c>
      <c r="B2878" t="s">
        <v>938</v>
      </c>
      <c r="C2878" s="10" t="str" cm="1">
        <f t="array" ref="C2878">IF(AND(A2878="2020-12", ISNA(MATCH(B2878, _xlfn._xlws.FILTER(B:B, A:A="2021-01"), 0))), "Left", "Ativo")</f>
        <v>Ativo</v>
      </c>
      <c r="D2878" s="10" t="str" cm="1">
        <f t="array" ref="D2878">IF(AND(A2878="2021-01", ISNA(MATCH(B2878, _xlfn._xlws.FILTER(B:B, A:A="2021-02"), 0))), "Left", "Ativo")</f>
        <v>Ativo</v>
      </c>
      <c r="E2878" s="10" t="str" cm="1">
        <f t="array" ref="E2878">IF(AND(A2878="2021-02", ISNA(MATCH(B2878, _xlfn._xlws.FILTER(B:B, A:A="2021-03"), 0))), "Left", "Ativo")</f>
        <v>Ativo</v>
      </c>
      <c r="F2878" s="12" t="str" cm="1">
        <f t="array" ref="F2878">IF(AND(A2878="2021-03", ISNA(MATCH(B2878, _xlfn._xlws.FILTER(B:B, A:A="2021-04"), 0))), "Left", "Ativo")</f>
        <v>Ativo</v>
      </c>
    </row>
    <row r="2879" spans="1:6" x14ac:dyDescent="0.25">
      <c r="A2879" t="s">
        <v>1530</v>
      </c>
      <c r="B2879" t="s">
        <v>939</v>
      </c>
      <c r="C2879" s="10" t="str" cm="1">
        <f t="array" ref="C2879">IF(AND(A2879="2020-12", ISNA(MATCH(B2879, _xlfn._xlws.FILTER(B:B, A:A="2021-01"), 0))), "Left", "Ativo")</f>
        <v>Ativo</v>
      </c>
      <c r="D2879" s="10" t="str" cm="1">
        <f t="array" ref="D2879">IF(AND(A2879="2021-01", ISNA(MATCH(B2879, _xlfn._xlws.FILTER(B:B, A:A="2021-02"), 0))), "Left", "Ativo")</f>
        <v>Ativo</v>
      </c>
      <c r="E2879" s="10" t="str" cm="1">
        <f t="array" ref="E2879">IF(AND(A2879="2021-02", ISNA(MATCH(B2879, _xlfn._xlws.FILTER(B:B, A:A="2021-03"), 0))), "Left", "Ativo")</f>
        <v>Ativo</v>
      </c>
      <c r="F2879" s="12" t="str" cm="1">
        <f t="array" ref="F2879">IF(AND(A2879="2021-03", ISNA(MATCH(B2879, _xlfn._xlws.FILTER(B:B, A:A="2021-04"), 0))), "Left", "Ativo")</f>
        <v>Ativo</v>
      </c>
    </row>
    <row r="2880" spans="1:6" x14ac:dyDescent="0.25">
      <c r="A2880" t="s">
        <v>1530</v>
      </c>
      <c r="B2880" t="s">
        <v>940</v>
      </c>
      <c r="C2880" s="10" t="str" cm="1">
        <f t="array" ref="C2880">IF(AND(A2880="2020-12", ISNA(MATCH(B2880, _xlfn._xlws.FILTER(B:B, A:A="2021-01"), 0))), "Left", "Ativo")</f>
        <v>Ativo</v>
      </c>
      <c r="D2880" s="10" t="str" cm="1">
        <f t="array" ref="D2880">IF(AND(A2880="2021-01", ISNA(MATCH(B2880, _xlfn._xlws.FILTER(B:B, A:A="2021-02"), 0))), "Left", "Ativo")</f>
        <v>Ativo</v>
      </c>
      <c r="E2880" s="10" t="str" cm="1">
        <f t="array" ref="E2880">IF(AND(A2880="2021-02", ISNA(MATCH(B2880, _xlfn._xlws.FILTER(B:B, A:A="2021-03"), 0))), "Left", "Ativo")</f>
        <v>Ativo</v>
      </c>
      <c r="F2880" s="12" t="str" cm="1">
        <f t="array" ref="F2880">IF(AND(A2880="2021-03", ISNA(MATCH(B2880, _xlfn._xlws.FILTER(B:B, A:A="2021-04"), 0))), "Left", "Ativo")</f>
        <v>Ativo</v>
      </c>
    </row>
    <row r="2881" spans="1:6" x14ac:dyDescent="0.25">
      <c r="A2881" t="s">
        <v>1530</v>
      </c>
      <c r="B2881" t="s">
        <v>1070</v>
      </c>
      <c r="C2881" s="10" t="str" cm="1">
        <f t="array" ref="C2881">IF(AND(A2881="2020-12", ISNA(MATCH(B2881, _xlfn._xlws.FILTER(B:B, A:A="2021-01"), 0))), "Left", "Ativo")</f>
        <v>Ativo</v>
      </c>
      <c r="D2881" s="10" t="str" cm="1">
        <f t="array" ref="D2881">IF(AND(A2881="2021-01", ISNA(MATCH(B2881, _xlfn._xlws.FILTER(B:B, A:A="2021-02"), 0))), "Left", "Ativo")</f>
        <v>Ativo</v>
      </c>
      <c r="E2881" s="10" t="str" cm="1">
        <f t="array" ref="E2881">IF(AND(A2881="2021-02", ISNA(MATCH(B2881, _xlfn._xlws.FILTER(B:B, A:A="2021-03"), 0))), "Left", "Ativo")</f>
        <v>Ativo</v>
      </c>
      <c r="F2881" s="12" t="str" cm="1">
        <f t="array" ref="F2881">IF(AND(A2881="2021-03", ISNA(MATCH(B2881, _xlfn._xlws.FILTER(B:B, A:A="2021-04"), 0))), "Left", "Ativo")</f>
        <v>Ativo</v>
      </c>
    </row>
    <row r="2882" spans="1:6" x14ac:dyDescent="0.25">
      <c r="A2882" t="s">
        <v>1530</v>
      </c>
      <c r="B2882" t="s">
        <v>1071</v>
      </c>
      <c r="C2882" s="10" t="str" cm="1">
        <f t="array" ref="C2882">IF(AND(A2882="2020-12", ISNA(MATCH(B2882, _xlfn._xlws.FILTER(B:B, A:A="2021-01"), 0))), "Left", "Ativo")</f>
        <v>Ativo</v>
      </c>
      <c r="D2882" s="10" t="str" cm="1">
        <f t="array" ref="D2882">IF(AND(A2882="2021-01", ISNA(MATCH(B2882, _xlfn._xlws.FILTER(B:B, A:A="2021-02"), 0))), "Left", "Ativo")</f>
        <v>Ativo</v>
      </c>
      <c r="E2882" s="10" t="str" cm="1">
        <f t="array" ref="E2882">IF(AND(A2882="2021-02", ISNA(MATCH(B2882, _xlfn._xlws.FILTER(B:B, A:A="2021-03"), 0))), "Left", "Ativo")</f>
        <v>Ativo</v>
      </c>
      <c r="F2882" s="12" t="str" cm="1">
        <f t="array" ref="F2882">IF(AND(A2882="2021-03", ISNA(MATCH(B2882, _xlfn._xlws.FILTER(B:B, A:A="2021-04"), 0))), "Left", "Ativo")</f>
        <v>Ativo</v>
      </c>
    </row>
    <row r="2883" spans="1:6" x14ac:dyDescent="0.25">
      <c r="A2883" t="s">
        <v>1530</v>
      </c>
      <c r="B2883" t="s">
        <v>1072</v>
      </c>
      <c r="C2883" s="10" t="str" cm="1">
        <f t="array" ref="C2883">IF(AND(A2883="2020-12", ISNA(MATCH(B2883, _xlfn._xlws.FILTER(B:B, A:A="2021-01"), 0))), "Left", "Ativo")</f>
        <v>Ativo</v>
      </c>
      <c r="D2883" s="10" t="str" cm="1">
        <f t="array" ref="D2883">IF(AND(A2883="2021-01", ISNA(MATCH(B2883, _xlfn._xlws.FILTER(B:B, A:A="2021-02"), 0))), "Left", "Ativo")</f>
        <v>Ativo</v>
      </c>
      <c r="E2883" s="10" t="str" cm="1">
        <f t="array" ref="E2883">IF(AND(A2883="2021-02", ISNA(MATCH(B2883, _xlfn._xlws.FILTER(B:B, A:A="2021-03"), 0))), "Left", "Ativo")</f>
        <v>Ativo</v>
      </c>
      <c r="F2883" s="12" t="str" cm="1">
        <f t="array" ref="F2883">IF(AND(A2883="2021-03", ISNA(MATCH(B2883, _xlfn._xlws.FILTER(B:B, A:A="2021-04"), 0))), "Left", "Ativo")</f>
        <v>Ativo</v>
      </c>
    </row>
    <row r="2884" spans="1:6" x14ac:dyDescent="0.25">
      <c r="A2884" t="s">
        <v>1530</v>
      </c>
      <c r="B2884" t="s">
        <v>1073</v>
      </c>
      <c r="C2884" s="10" t="str" cm="1">
        <f t="array" ref="C2884">IF(AND(A2884="2020-12", ISNA(MATCH(B2884, _xlfn._xlws.FILTER(B:B, A:A="2021-01"), 0))), "Left", "Ativo")</f>
        <v>Ativo</v>
      </c>
      <c r="D2884" s="10" t="str" cm="1">
        <f t="array" ref="D2884">IF(AND(A2884="2021-01", ISNA(MATCH(B2884, _xlfn._xlws.FILTER(B:B, A:A="2021-02"), 0))), "Left", "Ativo")</f>
        <v>Ativo</v>
      </c>
      <c r="E2884" s="10" t="str" cm="1">
        <f t="array" ref="E2884">IF(AND(A2884="2021-02", ISNA(MATCH(B2884, _xlfn._xlws.FILTER(B:B, A:A="2021-03"), 0))), "Left", "Ativo")</f>
        <v>Ativo</v>
      </c>
      <c r="F2884" s="12" t="str" cm="1">
        <f t="array" ref="F2884">IF(AND(A2884="2021-03", ISNA(MATCH(B2884, _xlfn._xlws.FILTER(B:B, A:A="2021-04"), 0))), "Left", "Ativo")</f>
        <v>Ativo</v>
      </c>
    </row>
    <row r="2885" spans="1:6" x14ac:dyDescent="0.25">
      <c r="A2885" t="s">
        <v>1530</v>
      </c>
      <c r="B2885" t="s">
        <v>1074</v>
      </c>
      <c r="C2885" s="10" t="str" cm="1">
        <f t="array" ref="C2885">IF(AND(A2885="2020-12", ISNA(MATCH(B2885, _xlfn._xlws.FILTER(B:B, A:A="2021-01"), 0))), "Left", "Ativo")</f>
        <v>Ativo</v>
      </c>
      <c r="D2885" s="10" t="str" cm="1">
        <f t="array" ref="D2885">IF(AND(A2885="2021-01", ISNA(MATCH(B2885, _xlfn._xlws.FILTER(B:B, A:A="2021-02"), 0))), "Left", "Ativo")</f>
        <v>Ativo</v>
      </c>
      <c r="E2885" s="10" t="str" cm="1">
        <f t="array" ref="E2885">IF(AND(A2885="2021-02", ISNA(MATCH(B2885, _xlfn._xlws.FILTER(B:B, A:A="2021-03"), 0))), "Left", "Ativo")</f>
        <v>Ativo</v>
      </c>
      <c r="F2885" s="12" t="str" cm="1">
        <f t="array" ref="F2885">IF(AND(A2885="2021-03", ISNA(MATCH(B2885, _xlfn._xlws.FILTER(B:B, A:A="2021-04"), 0))), "Left", "Ativo")</f>
        <v>Ativo</v>
      </c>
    </row>
    <row r="2886" spans="1:6" x14ac:dyDescent="0.25">
      <c r="A2886" t="s">
        <v>1530</v>
      </c>
      <c r="B2886" t="s">
        <v>1075</v>
      </c>
      <c r="C2886" s="10" t="str" cm="1">
        <f t="array" ref="C2886">IF(AND(A2886="2020-12", ISNA(MATCH(B2886, _xlfn._xlws.FILTER(B:B, A:A="2021-01"), 0))), "Left", "Ativo")</f>
        <v>Ativo</v>
      </c>
      <c r="D2886" s="10" t="str" cm="1">
        <f t="array" ref="D2886">IF(AND(A2886="2021-01", ISNA(MATCH(B2886, _xlfn._xlws.FILTER(B:B, A:A="2021-02"), 0))), "Left", "Ativo")</f>
        <v>Ativo</v>
      </c>
      <c r="E2886" s="10" t="str" cm="1">
        <f t="array" ref="E2886">IF(AND(A2886="2021-02", ISNA(MATCH(B2886, _xlfn._xlws.FILTER(B:B, A:A="2021-03"), 0))), "Left", "Ativo")</f>
        <v>Ativo</v>
      </c>
      <c r="F2886" s="12" t="str" cm="1">
        <f t="array" ref="F2886">IF(AND(A2886="2021-03", ISNA(MATCH(B2886, _xlfn._xlws.FILTER(B:B, A:A="2021-04"), 0))), "Left", "Ativo")</f>
        <v>Ativo</v>
      </c>
    </row>
    <row r="2887" spans="1:6" x14ac:dyDescent="0.25">
      <c r="A2887" t="s">
        <v>1530</v>
      </c>
      <c r="B2887" t="s">
        <v>1076</v>
      </c>
      <c r="C2887" s="10" t="str" cm="1">
        <f t="array" ref="C2887">IF(AND(A2887="2020-12", ISNA(MATCH(B2887, _xlfn._xlws.FILTER(B:B, A:A="2021-01"), 0))), "Left", "Ativo")</f>
        <v>Ativo</v>
      </c>
      <c r="D2887" s="10" t="str" cm="1">
        <f t="array" ref="D2887">IF(AND(A2887="2021-01", ISNA(MATCH(B2887, _xlfn._xlws.FILTER(B:B, A:A="2021-02"), 0))), "Left", "Ativo")</f>
        <v>Ativo</v>
      </c>
      <c r="E2887" s="10" t="str" cm="1">
        <f t="array" ref="E2887">IF(AND(A2887="2021-02", ISNA(MATCH(B2887, _xlfn._xlws.FILTER(B:B, A:A="2021-03"), 0))), "Left", "Ativo")</f>
        <v>Ativo</v>
      </c>
      <c r="F2887" s="12" t="str" cm="1">
        <f t="array" ref="F2887">IF(AND(A2887="2021-03", ISNA(MATCH(B2887, _xlfn._xlws.FILTER(B:B, A:A="2021-04"), 0))), "Left", "Ativo")</f>
        <v>Ativo</v>
      </c>
    </row>
    <row r="2888" spans="1:6" x14ac:dyDescent="0.25">
      <c r="A2888" t="s">
        <v>1530</v>
      </c>
      <c r="B2888" t="s">
        <v>1077</v>
      </c>
      <c r="C2888" s="10" t="str" cm="1">
        <f t="array" ref="C2888">IF(AND(A2888="2020-12", ISNA(MATCH(B2888, _xlfn._xlws.FILTER(B:B, A:A="2021-01"), 0))), "Left", "Ativo")</f>
        <v>Ativo</v>
      </c>
      <c r="D2888" s="10" t="str" cm="1">
        <f t="array" ref="D2888">IF(AND(A2888="2021-01", ISNA(MATCH(B2888, _xlfn._xlws.FILTER(B:B, A:A="2021-02"), 0))), "Left", "Ativo")</f>
        <v>Ativo</v>
      </c>
      <c r="E2888" s="10" t="str" cm="1">
        <f t="array" ref="E2888">IF(AND(A2888="2021-02", ISNA(MATCH(B2888, _xlfn._xlws.FILTER(B:B, A:A="2021-03"), 0))), "Left", "Ativo")</f>
        <v>Ativo</v>
      </c>
      <c r="F2888" s="12" t="str" cm="1">
        <f t="array" ref="F2888">IF(AND(A2888="2021-03", ISNA(MATCH(B2888, _xlfn._xlws.FILTER(B:B, A:A="2021-04"), 0))), "Left", "Ativo")</f>
        <v>Ativo</v>
      </c>
    </row>
    <row r="2889" spans="1:6" x14ac:dyDescent="0.25">
      <c r="A2889" t="s">
        <v>1530</v>
      </c>
      <c r="B2889" t="s">
        <v>1078</v>
      </c>
      <c r="C2889" s="10" t="str" cm="1">
        <f t="array" ref="C2889">IF(AND(A2889="2020-12", ISNA(MATCH(B2889, _xlfn._xlws.FILTER(B:B, A:A="2021-01"), 0))), "Left", "Ativo")</f>
        <v>Ativo</v>
      </c>
      <c r="D2889" s="10" t="str" cm="1">
        <f t="array" ref="D2889">IF(AND(A2889="2021-01", ISNA(MATCH(B2889, _xlfn._xlws.FILTER(B:B, A:A="2021-02"), 0))), "Left", "Ativo")</f>
        <v>Ativo</v>
      </c>
      <c r="E2889" s="10" t="str" cm="1">
        <f t="array" ref="E2889">IF(AND(A2889="2021-02", ISNA(MATCH(B2889, _xlfn._xlws.FILTER(B:B, A:A="2021-03"), 0))), "Left", "Ativo")</f>
        <v>Ativo</v>
      </c>
      <c r="F2889" s="12" t="str" cm="1">
        <f t="array" ref="F2889">IF(AND(A2889="2021-03", ISNA(MATCH(B2889, _xlfn._xlws.FILTER(B:B, A:A="2021-04"), 0))), "Left", "Ativo")</f>
        <v>Ativo</v>
      </c>
    </row>
    <row r="2890" spans="1:6" x14ac:dyDescent="0.25">
      <c r="A2890" t="s">
        <v>1530</v>
      </c>
      <c r="B2890" t="s">
        <v>1079</v>
      </c>
      <c r="C2890" s="10" t="str" cm="1">
        <f t="array" ref="C2890">IF(AND(A2890="2020-12", ISNA(MATCH(B2890, _xlfn._xlws.FILTER(B:B, A:A="2021-01"), 0))), "Left", "Ativo")</f>
        <v>Ativo</v>
      </c>
      <c r="D2890" s="10" t="str" cm="1">
        <f t="array" ref="D2890">IF(AND(A2890="2021-01", ISNA(MATCH(B2890, _xlfn._xlws.FILTER(B:B, A:A="2021-02"), 0))), "Left", "Ativo")</f>
        <v>Ativo</v>
      </c>
      <c r="E2890" s="10" t="str" cm="1">
        <f t="array" ref="E2890">IF(AND(A2890="2021-02", ISNA(MATCH(B2890, _xlfn._xlws.FILTER(B:B, A:A="2021-03"), 0))), "Left", "Ativo")</f>
        <v>Ativo</v>
      </c>
      <c r="F2890" s="12" t="str" cm="1">
        <f t="array" ref="F2890">IF(AND(A2890="2021-03", ISNA(MATCH(B2890, _xlfn._xlws.FILTER(B:B, A:A="2021-04"), 0))), "Left", "Ativo")</f>
        <v>Ativo</v>
      </c>
    </row>
    <row r="2891" spans="1:6" x14ac:dyDescent="0.25">
      <c r="A2891" t="s">
        <v>1530</v>
      </c>
      <c r="B2891" t="s">
        <v>1080</v>
      </c>
      <c r="C2891" s="10" t="str" cm="1">
        <f t="array" ref="C2891">IF(AND(A2891="2020-12", ISNA(MATCH(B2891, _xlfn._xlws.FILTER(B:B, A:A="2021-01"), 0))), "Left", "Ativo")</f>
        <v>Ativo</v>
      </c>
      <c r="D2891" s="10" t="str" cm="1">
        <f t="array" ref="D2891">IF(AND(A2891="2021-01", ISNA(MATCH(B2891, _xlfn._xlws.FILTER(B:B, A:A="2021-02"), 0))), "Left", "Ativo")</f>
        <v>Ativo</v>
      </c>
      <c r="E2891" s="10" t="str" cm="1">
        <f t="array" ref="E2891">IF(AND(A2891="2021-02", ISNA(MATCH(B2891, _xlfn._xlws.FILTER(B:B, A:A="2021-03"), 0))), "Left", "Ativo")</f>
        <v>Ativo</v>
      </c>
      <c r="F2891" s="12" t="str" cm="1">
        <f t="array" ref="F2891">IF(AND(A2891="2021-03", ISNA(MATCH(B2891, _xlfn._xlws.FILTER(B:B, A:A="2021-04"), 0))), "Left", "Ativo")</f>
        <v>Ativo</v>
      </c>
    </row>
    <row r="2892" spans="1:6" x14ac:dyDescent="0.25">
      <c r="A2892" t="s">
        <v>1530</v>
      </c>
      <c r="B2892" t="s">
        <v>1081</v>
      </c>
      <c r="C2892" s="10" t="str" cm="1">
        <f t="array" ref="C2892">IF(AND(A2892="2020-12", ISNA(MATCH(B2892, _xlfn._xlws.FILTER(B:B, A:A="2021-01"), 0))), "Left", "Ativo")</f>
        <v>Ativo</v>
      </c>
      <c r="D2892" s="10" t="str" cm="1">
        <f t="array" ref="D2892">IF(AND(A2892="2021-01", ISNA(MATCH(B2892, _xlfn._xlws.FILTER(B:B, A:A="2021-02"), 0))), "Left", "Ativo")</f>
        <v>Ativo</v>
      </c>
      <c r="E2892" s="10" t="str" cm="1">
        <f t="array" ref="E2892">IF(AND(A2892="2021-02", ISNA(MATCH(B2892, _xlfn._xlws.FILTER(B:B, A:A="2021-03"), 0))), "Left", "Ativo")</f>
        <v>Ativo</v>
      </c>
      <c r="F2892" s="12" t="str" cm="1">
        <f t="array" ref="F2892">IF(AND(A2892="2021-03", ISNA(MATCH(B2892, _xlfn._xlws.FILTER(B:B, A:A="2021-04"), 0))), "Left", "Ativo")</f>
        <v>Ativo</v>
      </c>
    </row>
    <row r="2893" spans="1:6" x14ac:dyDescent="0.25">
      <c r="A2893" t="s">
        <v>1530</v>
      </c>
      <c r="B2893" t="s">
        <v>1082</v>
      </c>
      <c r="C2893" s="10" t="str" cm="1">
        <f t="array" ref="C2893">IF(AND(A2893="2020-12", ISNA(MATCH(B2893, _xlfn._xlws.FILTER(B:B, A:A="2021-01"), 0))), "Left", "Ativo")</f>
        <v>Ativo</v>
      </c>
      <c r="D2893" s="10" t="str" cm="1">
        <f t="array" ref="D2893">IF(AND(A2893="2021-01", ISNA(MATCH(B2893, _xlfn._xlws.FILTER(B:B, A:A="2021-02"), 0))), "Left", "Ativo")</f>
        <v>Ativo</v>
      </c>
      <c r="E2893" s="10" t="str" cm="1">
        <f t="array" ref="E2893">IF(AND(A2893="2021-02", ISNA(MATCH(B2893, _xlfn._xlws.FILTER(B:B, A:A="2021-03"), 0))), "Left", "Ativo")</f>
        <v>Ativo</v>
      </c>
      <c r="F2893" s="12" t="str" cm="1">
        <f t="array" ref="F2893">IF(AND(A2893="2021-03", ISNA(MATCH(B2893, _xlfn._xlws.FILTER(B:B, A:A="2021-04"), 0))), "Left", "Ativo")</f>
        <v>Ativo</v>
      </c>
    </row>
    <row r="2894" spans="1:6" x14ac:dyDescent="0.25">
      <c r="A2894" t="s">
        <v>1530</v>
      </c>
      <c r="B2894" t="s">
        <v>1083</v>
      </c>
      <c r="C2894" s="10" t="str" cm="1">
        <f t="array" ref="C2894">IF(AND(A2894="2020-12", ISNA(MATCH(B2894, _xlfn._xlws.FILTER(B:B, A:A="2021-01"), 0))), "Left", "Ativo")</f>
        <v>Ativo</v>
      </c>
      <c r="D2894" s="10" t="str" cm="1">
        <f t="array" ref="D2894">IF(AND(A2894="2021-01", ISNA(MATCH(B2894, _xlfn._xlws.FILTER(B:B, A:A="2021-02"), 0))), "Left", "Ativo")</f>
        <v>Ativo</v>
      </c>
      <c r="E2894" s="10" t="str" cm="1">
        <f t="array" ref="E2894">IF(AND(A2894="2021-02", ISNA(MATCH(B2894, _xlfn._xlws.FILTER(B:B, A:A="2021-03"), 0))), "Left", "Ativo")</f>
        <v>Ativo</v>
      </c>
      <c r="F2894" s="12" t="str" cm="1">
        <f t="array" ref="F2894">IF(AND(A2894="2021-03", ISNA(MATCH(B2894, _xlfn._xlws.FILTER(B:B, A:A="2021-04"), 0))), "Left", "Ativo")</f>
        <v>Ativo</v>
      </c>
    </row>
    <row r="2895" spans="1:6" x14ac:dyDescent="0.25">
      <c r="A2895" t="s">
        <v>1530</v>
      </c>
      <c r="B2895" t="s">
        <v>1084</v>
      </c>
      <c r="C2895" s="10" t="str" cm="1">
        <f t="array" ref="C2895">IF(AND(A2895="2020-12", ISNA(MATCH(B2895, _xlfn._xlws.FILTER(B:B, A:A="2021-01"), 0))), "Left", "Ativo")</f>
        <v>Ativo</v>
      </c>
      <c r="D2895" s="10" t="str" cm="1">
        <f t="array" ref="D2895">IF(AND(A2895="2021-01", ISNA(MATCH(B2895, _xlfn._xlws.FILTER(B:B, A:A="2021-02"), 0))), "Left", "Ativo")</f>
        <v>Ativo</v>
      </c>
      <c r="E2895" s="10" t="str" cm="1">
        <f t="array" ref="E2895">IF(AND(A2895="2021-02", ISNA(MATCH(B2895, _xlfn._xlws.FILTER(B:B, A:A="2021-03"), 0))), "Left", "Ativo")</f>
        <v>Ativo</v>
      </c>
      <c r="F2895" s="12" t="str" cm="1">
        <f t="array" ref="F2895">IF(AND(A2895="2021-03", ISNA(MATCH(B2895, _xlfn._xlws.FILTER(B:B, A:A="2021-04"), 0))), "Left", "Ativo")</f>
        <v>Ativo</v>
      </c>
    </row>
    <row r="2896" spans="1:6" x14ac:dyDescent="0.25">
      <c r="A2896" t="s">
        <v>1530</v>
      </c>
      <c r="B2896" t="s">
        <v>1085</v>
      </c>
      <c r="C2896" s="10" t="str" cm="1">
        <f t="array" ref="C2896">IF(AND(A2896="2020-12", ISNA(MATCH(B2896, _xlfn._xlws.FILTER(B:B, A:A="2021-01"), 0))), "Left", "Ativo")</f>
        <v>Ativo</v>
      </c>
      <c r="D2896" s="10" t="str" cm="1">
        <f t="array" ref="D2896">IF(AND(A2896="2021-01", ISNA(MATCH(B2896, _xlfn._xlws.FILTER(B:B, A:A="2021-02"), 0))), "Left", "Ativo")</f>
        <v>Ativo</v>
      </c>
      <c r="E2896" s="10" t="str" cm="1">
        <f t="array" ref="E2896">IF(AND(A2896="2021-02", ISNA(MATCH(B2896, _xlfn._xlws.FILTER(B:B, A:A="2021-03"), 0))), "Left", "Ativo")</f>
        <v>Ativo</v>
      </c>
      <c r="F2896" s="12" t="str" cm="1">
        <f t="array" ref="F2896">IF(AND(A2896="2021-03", ISNA(MATCH(B2896, _xlfn._xlws.FILTER(B:B, A:A="2021-04"), 0))), "Left", "Ativo")</f>
        <v>Ativo</v>
      </c>
    </row>
    <row r="2897" spans="1:6" x14ac:dyDescent="0.25">
      <c r="A2897" t="s">
        <v>1530</v>
      </c>
      <c r="B2897" t="s">
        <v>1086</v>
      </c>
      <c r="C2897" s="10" t="str" cm="1">
        <f t="array" ref="C2897">IF(AND(A2897="2020-12", ISNA(MATCH(B2897, _xlfn._xlws.FILTER(B:B, A:A="2021-01"), 0))), "Left", "Ativo")</f>
        <v>Ativo</v>
      </c>
      <c r="D2897" s="10" t="str" cm="1">
        <f t="array" ref="D2897">IF(AND(A2897="2021-01", ISNA(MATCH(B2897, _xlfn._xlws.FILTER(B:B, A:A="2021-02"), 0))), "Left", "Ativo")</f>
        <v>Ativo</v>
      </c>
      <c r="E2897" s="10" t="str" cm="1">
        <f t="array" ref="E2897">IF(AND(A2897="2021-02", ISNA(MATCH(B2897, _xlfn._xlws.FILTER(B:B, A:A="2021-03"), 0))), "Left", "Ativo")</f>
        <v>Ativo</v>
      </c>
      <c r="F2897" s="12" t="str" cm="1">
        <f t="array" ref="F2897">IF(AND(A2897="2021-03", ISNA(MATCH(B2897, _xlfn._xlws.FILTER(B:B, A:A="2021-04"), 0))), "Left", "Ativo")</f>
        <v>Ativo</v>
      </c>
    </row>
    <row r="2898" spans="1:6" x14ac:dyDescent="0.25">
      <c r="A2898" t="s">
        <v>1530</v>
      </c>
      <c r="B2898" t="s">
        <v>1087</v>
      </c>
      <c r="C2898" s="10" t="str" cm="1">
        <f t="array" ref="C2898">IF(AND(A2898="2020-12", ISNA(MATCH(B2898, _xlfn._xlws.FILTER(B:B, A:A="2021-01"), 0))), "Left", "Ativo")</f>
        <v>Ativo</v>
      </c>
      <c r="D2898" s="10" t="str" cm="1">
        <f t="array" ref="D2898">IF(AND(A2898="2021-01", ISNA(MATCH(B2898, _xlfn._xlws.FILTER(B:B, A:A="2021-02"), 0))), "Left", "Ativo")</f>
        <v>Ativo</v>
      </c>
      <c r="E2898" s="10" t="str" cm="1">
        <f t="array" ref="E2898">IF(AND(A2898="2021-02", ISNA(MATCH(B2898, _xlfn._xlws.FILTER(B:B, A:A="2021-03"), 0))), "Left", "Ativo")</f>
        <v>Ativo</v>
      </c>
      <c r="F2898" s="12" t="str" cm="1">
        <f t="array" ref="F2898">IF(AND(A2898="2021-03", ISNA(MATCH(B2898, _xlfn._xlws.FILTER(B:B, A:A="2021-04"), 0))), "Left", "Ativo")</f>
        <v>Ativo</v>
      </c>
    </row>
    <row r="2899" spans="1:6" x14ac:dyDescent="0.25">
      <c r="A2899" t="s">
        <v>1530</v>
      </c>
      <c r="B2899" t="s">
        <v>1088</v>
      </c>
      <c r="C2899" s="10" t="str" cm="1">
        <f t="array" ref="C2899">IF(AND(A2899="2020-12", ISNA(MATCH(B2899, _xlfn._xlws.FILTER(B:B, A:A="2021-01"), 0))), "Left", "Ativo")</f>
        <v>Ativo</v>
      </c>
      <c r="D2899" s="10" t="str" cm="1">
        <f t="array" ref="D2899">IF(AND(A2899="2021-01", ISNA(MATCH(B2899, _xlfn._xlws.FILTER(B:B, A:A="2021-02"), 0))), "Left", "Ativo")</f>
        <v>Ativo</v>
      </c>
      <c r="E2899" s="10" t="str" cm="1">
        <f t="array" ref="E2899">IF(AND(A2899="2021-02", ISNA(MATCH(B2899, _xlfn._xlws.FILTER(B:B, A:A="2021-03"), 0))), "Left", "Ativo")</f>
        <v>Ativo</v>
      </c>
      <c r="F2899" s="12" t="str" cm="1">
        <f t="array" ref="F2899">IF(AND(A2899="2021-03", ISNA(MATCH(B2899, _xlfn._xlws.FILTER(B:B, A:A="2021-04"), 0))), "Left", "Ativo")</f>
        <v>Ativo</v>
      </c>
    </row>
    <row r="2900" spans="1:6" x14ac:dyDescent="0.25">
      <c r="A2900" t="s">
        <v>1530</v>
      </c>
      <c r="B2900" t="s">
        <v>1089</v>
      </c>
      <c r="C2900" s="10" t="str" cm="1">
        <f t="array" ref="C2900">IF(AND(A2900="2020-12", ISNA(MATCH(B2900, _xlfn._xlws.FILTER(B:B, A:A="2021-01"), 0))), "Left", "Ativo")</f>
        <v>Ativo</v>
      </c>
      <c r="D2900" s="10" t="str" cm="1">
        <f t="array" ref="D2900">IF(AND(A2900="2021-01", ISNA(MATCH(B2900, _xlfn._xlws.FILTER(B:B, A:A="2021-02"), 0))), "Left", "Ativo")</f>
        <v>Ativo</v>
      </c>
      <c r="E2900" s="10" t="str" cm="1">
        <f t="array" ref="E2900">IF(AND(A2900="2021-02", ISNA(MATCH(B2900, _xlfn._xlws.FILTER(B:B, A:A="2021-03"), 0))), "Left", "Ativo")</f>
        <v>Ativo</v>
      </c>
      <c r="F2900" s="12" t="str" cm="1">
        <f t="array" ref="F2900">IF(AND(A2900="2021-03", ISNA(MATCH(B2900, _xlfn._xlws.FILTER(B:B, A:A="2021-04"), 0))), "Left", "Ativo")</f>
        <v>Ativo</v>
      </c>
    </row>
    <row r="2901" spans="1:6" x14ac:dyDescent="0.25">
      <c r="A2901" t="s">
        <v>1530</v>
      </c>
      <c r="B2901" t="s">
        <v>1090</v>
      </c>
      <c r="C2901" s="10" t="str" cm="1">
        <f t="array" ref="C2901">IF(AND(A2901="2020-12", ISNA(MATCH(B2901, _xlfn._xlws.FILTER(B:B, A:A="2021-01"), 0))), "Left", "Ativo")</f>
        <v>Ativo</v>
      </c>
      <c r="D2901" s="10" t="str" cm="1">
        <f t="array" ref="D2901">IF(AND(A2901="2021-01", ISNA(MATCH(B2901, _xlfn._xlws.FILTER(B:B, A:A="2021-02"), 0))), "Left", "Ativo")</f>
        <v>Ativo</v>
      </c>
      <c r="E2901" s="10" t="str" cm="1">
        <f t="array" ref="E2901">IF(AND(A2901="2021-02", ISNA(MATCH(B2901, _xlfn._xlws.FILTER(B:B, A:A="2021-03"), 0))), "Left", "Ativo")</f>
        <v>Ativo</v>
      </c>
      <c r="F2901" s="12" t="str" cm="1">
        <f t="array" ref="F2901">IF(AND(A2901="2021-03", ISNA(MATCH(B2901, _xlfn._xlws.FILTER(B:B, A:A="2021-04"), 0))), "Left", "Ativo")</f>
        <v>Ativo</v>
      </c>
    </row>
    <row r="2902" spans="1:6" x14ac:dyDescent="0.25">
      <c r="A2902" t="s">
        <v>1531</v>
      </c>
      <c r="B2902" t="s">
        <v>11</v>
      </c>
      <c r="C2902" s="10" t="str" cm="1">
        <f t="array" ref="C2902">IF(AND(A2902="2020-12", ISNA(MATCH(B2902, _xlfn._xlws.FILTER(B:B, A:A="2021-01"), 0))), "Left", "Ativo")</f>
        <v>Ativo</v>
      </c>
      <c r="D2902" s="10" t="str" cm="1">
        <f t="array" ref="D2902">IF(AND(A2902="2021-01", ISNA(MATCH(B2902, _xlfn._xlws.FILTER(B:B, A:A="2021-02"), 0))), "Left", "Ativo")</f>
        <v>Ativo</v>
      </c>
      <c r="E2902" s="10" t="str" cm="1">
        <f t="array" ref="E2902">IF(AND(A2902="2021-02", ISNA(MATCH(B2902, _xlfn._xlws.FILTER(B:B, A:A="2021-03"), 0))), "Left", "Ativo")</f>
        <v>Ativo</v>
      </c>
      <c r="F2902" s="12" t="str" cm="1">
        <f t="array" ref="F2902">IF(AND(A2902="2021-03", ISNA(MATCH(B2902, _xlfn._xlws.FILTER(B:B, A:A="2021-04"), 0))), "Left", "Ativo")</f>
        <v>Ativo</v>
      </c>
    </row>
    <row r="2903" spans="1:6" x14ac:dyDescent="0.25">
      <c r="A2903" t="s">
        <v>1531</v>
      </c>
      <c r="B2903" t="s">
        <v>12</v>
      </c>
      <c r="C2903" s="10" t="str" cm="1">
        <f t="array" ref="C2903">IF(AND(A2903="2020-12", ISNA(MATCH(B2903, _xlfn._xlws.FILTER(B:B, A:A="2021-01"), 0))), "Left", "Ativo")</f>
        <v>Ativo</v>
      </c>
      <c r="D2903" s="10" t="str" cm="1">
        <f t="array" ref="D2903">IF(AND(A2903="2021-01", ISNA(MATCH(B2903, _xlfn._xlws.FILTER(B:B, A:A="2021-02"), 0))), "Left", "Ativo")</f>
        <v>Ativo</v>
      </c>
      <c r="E2903" s="10" t="str" cm="1">
        <f t="array" ref="E2903">IF(AND(A2903="2021-02", ISNA(MATCH(B2903, _xlfn._xlws.FILTER(B:B, A:A="2021-03"), 0))), "Left", "Ativo")</f>
        <v>Ativo</v>
      </c>
      <c r="F2903" s="12" t="str" cm="1">
        <f t="array" ref="F2903">IF(AND(A2903="2021-03", ISNA(MATCH(B2903, _xlfn._xlws.FILTER(B:B, A:A="2021-04"), 0))), "Left", "Ativo")</f>
        <v>Ativo</v>
      </c>
    </row>
    <row r="2904" spans="1:6" x14ac:dyDescent="0.25">
      <c r="A2904" t="s">
        <v>1531</v>
      </c>
      <c r="B2904" t="s">
        <v>13</v>
      </c>
      <c r="C2904" s="10" t="str" cm="1">
        <f t="array" ref="C2904">IF(AND(A2904="2020-12", ISNA(MATCH(B2904, _xlfn._xlws.FILTER(B:B, A:A="2021-01"), 0))), "Left", "Ativo")</f>
        <v>Ativo</v>
      </c>
      <c r="D2904" s="10" t="str" cm="1">
        <f t="array" ref="D2904">IF(AND(A2904="2021-01", ISNA(MATCH(B2904, _xlfn._xlws.FILTER(B:B, A:A="2021-02"), 0))), "Left", "Ativo")</f>
        <v>Ativo</v>
      </c>
      <c r="E2904" s="10" t="str" cm="1">
        <f t="array" ref="E2904">IF(AND(A2904="2021-02", ISNA(MATCH(B2904, _xlfn._xlws.FILTER(B:B, A:A="2021-03"), 0))), "Left", "Ativo")</f>
        <v>Ativo</v>
      </c>
      <c r="F2904" s="12" t="str" cm="1">
        <f t="array" ref="F2904">IF(AND(A2904="2021-03", ISNA(MATCH(B2904, _xlfn._xlws.FILTER(B:B, A:A="2021-04"), 0))), "Left", "Ativo")</f>
        <v>Ativo</v>
      </c>
    </row>
    <row r="2905" spans="1:6" x14ac:dyDescent="0.25">
      <c r="A2905" t="s">
        <v>1531</v>
      </c>
      <c r="B2905" t="s">
        <v>18</v>
      </c>
      <c r="C2905" s="10" t="str" cm="1">
        <f t="array" ref="C2905">IF(AND(A2905="2020-12", ISNA(MATCH(B2905, _xlfn._xlws.FILTER(B:B, A:A="2021-01"), 0))), "Left", "Ativo")</f>
        <v>Ativo</v>
      </c>
      <c r="D2905" s="10" t="str" cm="1">
        <f t="array" ref="D2905">IF(AND(A2905="2021-01", ISNA(MATCH(B2905, _xlfn._xlws.FILTER(B:B, A:A="2021-02"), 0))), "Left", "Ativo")</f>
        <v>Ativo</v>
      </c>
      <c r="E2905" s="10" t="str" cm="1">
        <f t="array" ref="E2905">IF(AND(A2905="2021-02", ISNA(MATCH(B2905, _xlfn._xlws.FILTER(B:B, A:A="2021-03"), 0))), "Left", "Ativo")</f>
        <v>Ativo</v>
      </c>
      <c r="F2905" s="12" t="str" cm="1">
        <f t="array" ref="F2905">IF(AND(A2905="2021-03", ISNA(MATCH(B2905, _xlfn._xlws.FILTER(B:B, A:A="2021-04"), 0))), "Left", "Ativo")</f>
        <v>Ativo</v>
      </c>
    </row>
    <row r="2906" spans="1:6" x14ac:dyDescent="0.25">
      <c r="A2906" t="s">
        <v>1531</v>
      </c>
      <c r="B2906" t="s">
        <v>19</v>
      </c>
      <c r="C2906" s="10" t="str" cm="1">
        <f t="array" ref="C2906">IF(AND(A2906="2020-12", ISNA(MATCH(B2906, _xlfn._xlws.FILTER(B:B, A:A="2021-01"), 0))), "Left", "Ativo")</f>
        <v>Ativo</v>
      </c>
      <c r="D2906" s="10" t="str" cm="1">
        <f t="array" ref="D2906">IF(AND(A2906="2021-01", ISNA(MATCH(B2906, _xlfn._xlws.FILTER(B:B, A:A="2021-02"), 0))), "Left", "Ativo")</f>
        <v>Ativo</v>
      </c>
      <c r="E2906" s="10" t="str" cm="1">
        <f t="array" ref="E2906">IF(AND(A2906="2021-02", ISNA(MATCH(B2906, _xlfn._xlws.FILTER(B:B, A:A="2021-03"), 0))), "Left", "Ativo")</f>
        <v>Ativo</v>
      </c>
      <c r="F2906" s="12" t="str" cm="1">
        <f t="array" ref="F2906">IF(AND(A2906="2021-03", ISNA(MATCH(B2906, _xlfn._xlws.FILTER(B:B, A:A="2021-04"), 0))), "Left", "Ativo")</f>
        <v>Ativo</v>
      </c>
    </row>
    <row r="2907" spans="1:6" x14ac:dyDescent="0.25">
      <c r="A2907" t="s">
        <v>1531</v>
      </c>
      <c r="B2907" t="s">
        <v>20</v>
      </c>
      <c r="C2907" s="10" t="str" cm="1">
        <f t="array" ref="C2907">IF(AND(A2907="2020-12", ISNA(MATCH(B2907, _xlfn._xlws.FILTER(B:B, A:A="2021-01"), 0))), "Left", "Ativo")</f>
        <v>Ativo</v>
      </c>
      <c r="D2907" s="10" t="str" cm="1">
        <f t="array" ref="D2907">IF(AND(A2907="2021-01", ISNA(MATCH(B2907, _xlfn._xlws.FILTER(B:B, A:A="2021-02"), 0))), "Left", "Ativo")</f>
        <v>Ativo</v>
      </c>
      <c r="E2907" s="10" t="str" cm="1">
        <f t="array" ref="E2907">IF(AND(A2907="2021-02", ISNA(MATCH(B2907, _xlfn._xlws.FILTER(B:B, A:A="2021-03"), 0))), "Left", "Ativo")</f>
        <v>Ativo</v>
      </c>
      <c r="F2907" s="12" t="str" cm="1">
        <f t="array" ref="F2907">IF(AND(A2907="2021-03", ISNA(MATCH(B2907, _xlfn._xlws.FILTER(B:B, A:A="2021-04"), 0))), "Left", "Ativo")</f>
        <v>Ativo</v>
      </c>
    </row>
    <row r="2908" spans="1:6" x14ac:dyDescent="0.25">
      <c r="A2908" t="s">
        <v>1531</v>
      </c>
      <c r="B2908" t="s">
        <v>21</v>
      </c>
      <c r="C2908" s="10" t="str" cm="1">
        <f t="array" ref="C2908">IF(AND(A2908="2020-12", ISNA(MATCH(B2908, _xlfn._xlws.FILTER(B:B, A:A="2021-01"), 0))), "Left", "Ativo")</f>
        <v>Ativo</v>
      </c>
      <c r="D2908" s="10" t="str" cm="1">
        <f t="array" ref="D2908">IF(AND(A2908="2021-01", ISNA(MATCH(B2908, _xlfn._xlws.FILTER(B:B, A:A="2021-02"), 0))), "Left", "Ativo")</f>
        <v>Ativo</v>
      </c>
      <c r="E2908" s="10" t="str" cm="1">
        <f t="array" ref="E2908">IF(AND(A2908="2021-02", ISNA(MATCH(B2908, _xlfn._xlws.FILTER(B:B, A:A="2021-03"), 0))), "Left", "Ativo")</f>
        <v>Ativo</v>
      </c>
      <c r="F2908" s="12" t="str" cm="1">
        <f t="array" ref="F2908">IF(AND(A2908="2021-03", ISNA(MATCH(B2908, _xlfn._xlws.FILTER(B:B, A:A="2021-04"), 0))), "Left", "Ativo")</f>
        <v>Ativo</v>
      </c>
    </row>
    <row r="2909" spans="1:6" x14ac:dyDescent="0.25">
      <c r="A2909" t="s">
        <v>1531</v>
      </c>
      <c r="B2909" t="s">
        <v>22</v>
      </c>
      <c r="C2909" s="10" t="str" cm="1">
        <f t="array" ref="C2909">IF(AND(A2909="2020-12", ISNA(MATCH(B2909, _xlfn._xlws.FILTER(B:B, A:A="2021-01"), 0))), "Left", "Ativo")</f>
        <v>Ativo</v>
      </c>
      <c r="D2909" s="10" t="str" cm="1">
        <f t="array" ref="D2909">IF(AND(A2909="2021-01", ISNA(MATCH(B2909, _xlfn._xlws.FILTER(B:B, A:A="2021-02"), 0))), "Left", "Ativo")</f>
        <v>Ativo</v>
      </c>
      <c r="E2909" s="10" t="str" cm="1">
        <f t="array" ref="E2909">IF(AND(A2909="2021-02", ISNA(MATCH(B2909, _xlfn._xlws.FILTER(B:B, A:A="2021-03"), 0))), "Left", "Ativo")</f>
        <v>Ativo</v>
      </c>
      <c r="F2909" s="12" t="str" cm="1">
        <f t="array" ref="F2909">IF(AND(A2909="2021-03", ISNA(MATCH(B2909, _xlfn._xlws.FILTER(B:B, A:A="2021-04"), 0))), "Left", "Ativo")</f>
        <v>Ativo</v>
      </c>
    </row>
    <row r="2910" spans="1:6" x14ac:dyDescent="0.25">
      <c r="A2910" t="s">
        <v>1531</v>
      </c>
      <c r="B2910" t="s">
        <v>23</v>
      </c>
      <c r="C2910" s="10" t="str" cm="1">
        <f t="array" ref="C2910">IF(AND(A2910="2020-12", ISNA(MATCH(B2910, _xlfn._xlws.FILTER(B:B, A:A="2021-01"), 0))), "Left", "Ativo")</f>
        <v>Ativo</v>
      </c>
      <c r="D2910" s="10" t="str" cm="1">
        <f t="array" ref="D2910">IF(AND(A2910="2021-01", ISNA(MATCH(B2910, _xlfn._xlws.FILTER(B:B, A:A="2021-02"), 0))), "Left", "Ativo")</f>
        <v>Ativo</v>
      </c>
      <c r="E2910" s="10" t="str" cm="1">
        <f t="array" ref="E2910">IF(AND(A2910="2021-02", ISNA(MATCH(B2910, _xlfn._xlws.FILTER(B:B, A:A="2021-03"), 0))), "Left", "Ativo")</f>
        <v>Ativo</v>
      </c>
      <c r="F2910" s="12" t="str" cm="1">
        <f t="array" ref="F2910">IF(AND(A2910="2021-03", ISNA(MATCH(B2910, _xlfn._xlws.FILTER(B:B, A:A="2021-04"), 0))), "Left", "Ativo")</f>
        <v>Ativo</v>
      </c>
    </row>
    <row r="2911" spans="1:6" x14ac:dyDescent="0.25">
      <c r="A2911" t="s">
        <v>1531</v>
      </c>
      <c r="B2911" t="s">
        <v>24</v>
      </c>
      <c r="C2911" s="10" t="str" cm="1">
        <f t="array" ref="C2911">IF(AND(A2911="2020-12", ISNA(MATCH(B2911, _xlfn._xlws.FILTER(B:B, A:A="2021-01"), 0))), "Left", "Ativo")</f>
        <v>Ativo</v>
      </c>
      <c r="D2911" s="10" t="str" cm="1">
        <f t="array" ref="D2911">IF(AND(A2911="2021-01", ISNA(MATCH(B2911, _xlfn._xlws.FILTER(B:B, A:A="2021-02"), 0))), "Left", "Ativo")</f>
        <v>Ativo</v>
      </c>
      <c r="E2911" s="10" t="str" cm="1">
        <f t="array" ref="E2911">IF(AND(A2911="2021-02", ISNA(MATCH(B2911, _xlfn._xlws.FILTER(B:B, A:A="2021-03"), 0))), "Left", "Ativo")</f>
        <v>Ativo</v>
      </c>
      <c r="F2911" s="12" t="str" cm="1">
        <f t="array" ref="F2911">IF(AND(A2911="2021-03", ISNA(MATCH(B2911, _xlfn._xlws.FILTER(B:B, A:A="2021-04"), 0))), "Left", "Ativo")</f>
        <v>Ativo</v>
      </c>
    </row>
    <row r="2912" spans="1:6" x14ac:dyDescent="0.25">
      <c r="A2912" t="s">
        <v>1531</v>
      </c>
      <c r="B2912" t="s">
        <v>25</v>
      </c>
      <c r="C2912" s="10" t="str" cm="1">
        <f t="array" ref="C2912">IF(AND(A2912="2020-12", ISNA(MATCH(B2912, _xlfn._xlws.FILTER(B:B, A:A="2021-01"), 0))), "Left", "Ativo")</f>
        <v>Ativo</v>
      </c>
      <c r="D2912" s="10" t="str" cm="1">
        <f t="array" ref="D2912">IF(AND(A2912="2021-01", ISNA(MATCH(B2912, _xlfn._xlws.FILTER(B:B, A:A="2021-02"), 0))), "Left", "Ativo")</f>
        <v>Ativo</v>
      </c>
      <c r="E2912" s="10" t="str" cm="1">
        <f t="array" ref="E2912">IF(AND(A2912="2021-02", ISNA(MATCH(B2912, _xlfn._xlws.FILTER(B:B, A:A="2021-03"), 0))), "Left", "Ativo")</f>
        <v>Ativo</v>
      </c>
      <c r="F2912" s="12" t="str" cm="1">
        <f t="array" ref="F2912">IF(AND(A2912="2021-03", ISNA(MATCH(B2912, _xlfn._xlws.FILTER(B:B, A:A="2021-04"), 0))), "Left", "Ativo")</f>
        <v>Ativo</v>
      </c>
    </row>
    <row r="2913" spans="1:6" x14ac:dyDescent="0.25">
      <c r="A2913" t="s">
        <v>1531</v>
      </c>
      <c r="B2913" t="s">
        <v>26</v>
      </c>
      <c r="C2913" s="10" t="str" cm="1">
        <f t="array" ref="C2913">IF(AND(A2913="2020-12", ISNA(MATCH(B2913, _xlfn._xlws.FILTER(B:B, A:A="2021-01"), 0))), "Left", "Ativo")</f>
        <v>Ativo</v>
      </c>
      <c r="D2913" s="10" t="str" cm="1">
        <f t="array" ref="D2913">IF(AND(A2913="2021-01", ISNA(MATCH(B2913, _xlfn._xlws.FILTER(B:B, A:A="2021-02"), 0))), "Left", "Ativo")</f>
        <v>Ativo</v>
      </c>
      <c r="E2913" s="10" t="str" cm="1">
        <f t="array" ref="E2913">IF(AND(A2913="2021-02", ISNA(MATCH(B2913, _xlfn._xlws.FILTER(B:B, A:A="2021-03"), 0))), "Left", "Ativo")</f>
        <v>Ativo</v>
      </c>
      <c r="F2913" s="12" t="str" cm="1">
        <f t="array" ref="F2913">IF(AND(A2913="2021-03", ISNA(MATCH(B2913, _xlfn._xlws.FILTER(B:B, A:A="2021-04"), 0))), "Left", "Ativo")</f>
        <v>Ativo</v>
      </c>
    </row>
    <row r="2914" spans="1:6" x14ac:dyDescent="0.25">
      <c r="A2914" t="s">
        <v>1531</v>
      </c>
      <c r="B2914" t="s">
        <v>27</v>
      </c>
      <c r="C2914" s="10" t="str" cm="1">
        <f t="array" ref="C2914">IF(AND(A2914="2020-12", ISNA(MATCH(B2914, _xlfn._xlws.FILTER(B:B, A:A="2021-01"), 0))), "Left", "Ativo")</f>
        <v>Ativo</v>
      </c>
      <c r="D2914" s="10" t="str" cm="1">
        <f t="array" ref="D2914">IF(AND(A2914="2021-01", ISNA(MATCH(B2914, _xlfn._xlws.FILTER(B:B, A:A="2021-02"), 0))), "Left", "Ativo")</f>
        <v>Ativo</v>
      </c>
      <c r="E2914" s="10" t="str" cm="1">
        <f t="array" ref="E2914">IF(AND(A2914="2021-02", ISNA(MATCH(B2914, _xlfn._xlws.FILTER(B:B, A:A="2021-03"), 0))), "Left", "Ativo")</f>
        <v>Ativo</v>
      </c>
      <c r="F2914" s="12" t="str" cm="1">
        <f t="array" ref="F2914">IF(AND(A2914="2021-03", ISNA(MATCH(B2914, _xlfn._xlws.FILTER(B:B, A:A="2021-04"), 0))), "Left", "Ativo")</f>
        <v>Ativo</v>
      </c>
    </row>
    <row r="2915" spans="1:6" x14ac:dyDescent="0.25">
      <c r="A2915" t="s">
        <v>1531</v>
      </c>
      <c r="B2915" t="s">
        <v>28</v>
      </c>
      <c r="C2915" s="10" t="str" cm="1">
        <f t="array" ref="C2915">IF(AND(A2915="2020-12", ISNA(MATCH(B2915, _xlfn._xlws.FILTER(B:B, A:A="2021-01"), 0))), "Left", "Ativo")</f>
        <v>Ativo</v>
      </c>
      <c r="D2915" s="10" t="str" cm="1">
        <f t="array" ref="D2915">IF(AND(A2915="2021-01", ISNA(MATCH(B2915, _xlfn._xlws.FILTER(B:B, A:A="2021-02"), 0))), "Left", "Ativo")</f>
        <v>Ativo</v>
      </c>
      <c r="E2915" s="10" t="str" cm="1">
        <f t="array" ref="E2915">IF(AND(A2915="2021-02", ISNA(MATCH(B2915, _xlfn._xlws.FILTER(B:B, A:A="2021-03"), 0))), "Left", "Ativo")</f>
        <v>Ativo</v>
      </c>
      <c r="F2915" s="12" t="str" cm="1">
        <f t="array" ref="F2915">IF(AND(A2915="2021-03", ISNA(MATCH(B2915, _xlfn._xlws.FILTER(B:B, A:A="2021-04"), 0))), "Left", "Ativo")</f>
        <v>Ativo</v>
      </c>
    </row>
    <row r="2916" spans="1:6" x14ac:dyDescent="0.25">
      <c r="A2916" t="s">
        <v>1531</v>
      </c>
      <c r="B2916" t="s">
        <v>29</v>
      </c>
      <c r="C2916" s="10" t="str" cm="1">
        <f t="array" ref="C2916">IF(AND(A2916="2020-12", ISNA(MATCH(B2916, _xlfn._xlws.FILTER(B:B, A:A="2021-01"), 0))), "Left", "Ativo")</f>
        <v>Ativo</v>
      </c>
      <c r="D2916" s="10" t="str" cm="1">
        <f t="array" ref="D2916">IF(AND(A2916="2021-01", ISNA(MATCH(B2916, _xlfn._xlws.FILTER(B:B, A:A="2021-02"), 0))), "Left", "Ativo")</f>
        <v>Ativo</v>
      </c>
      <c r="E2916" s="10" t="str" cm="1">
        <f t="array" ref="E2916">IF(AND(A2916="2021-02", ISNA(MATCH(B2916, _xlfn._xlws.FILTER(B:B, A:A="2021-03"), 0))), "Left", "Ativo")</f>
        <v>Ativo</v>
      </c>
      <c r="F2916" s="12" t="str" cm="1">
        <f t="array" ref="F2916">IF(AND(A2916="2021-03", ISNA(MATCH(B2916, _xlfn._xlws.FILTER(B:B, A:A="2021-04"), 0))), "Left", "Ativo")</f>
        <v>Ativo</v>
      </c>
    </row>
    <row r="2917" spans="1:6" x14ac:dyDescent="0.25">
      <c r="A2917" t="s">
        <v>1531</v>
      </c>
      <c r="B2917" t="s">
        <v>30</v>
      </c>
      <c r="C2917" s="10" t="str" cm="1">
        <f t="array" ref="C2917">IF(AND(A2917="2020-12", ISNA(MATCH(B2917, _xlfn._xlws.FILTER(B:B, A:A="2021-01"), 0))), "Left", "Ativo")</f>
        <v>Ativo</v>
      </c>
      <c r="D2917" s="10" t="str" cm="1">
        <f t="array" ref="D2917">IF(AND(A2917="2021-01", ISNA(MATCH(B2917, _xlfn._xlws.FILTER(B:B, A:A="2021-02"), 0))), "Left", "Ativo")</f>
        <v>Ativo</v>
      </c>
      <c r="E2917" s="10" t="str" cm="1">
        <f t="array" ref="E2917">IF(AND(A2917="2021-02", ISNA(MATCH(B2917, _xlfn._xlws.FILTER(B:B, A:A="2021-03"), 0))), "Left", "Ativo")</f>
        <v>Ativo</v>
      </c>
      <c r="F2917" s="12" t="str" cm="1">
        <f t="array" ref="F2917">IF(AND(A2917="2021-03", ISNA(MATCH(B2917, _xlfn._xlws.FILTER(B:B, A:A="2021-04"), 0))), "Left", "Ativo")</f>
        <v>Ativo</v>
      </c>
    </row>
    <row r="2918" spans="1:6" x14ac:dyDescent="0.25">
      <c r="A2918" t="s">
        <v>1531</v>
      </c>
      <c r="B2918" t="s">
        <v>31</v>
      </c>
      <c r="C2918" s="10" t="str" cm="1">
        <f t="array" ref="C2918">IF(AND(A2918="2020-12", ISNA(MATCH(B2918, _xlfn._xlws.FILTER(B:B, A:A="2021-01"), 0))), "Left", "Ativo")</f>
        <v>Ativo</v>
      </c>
      <c r="D2918" s="10" t="str" cm="1">
        <f t="array" ref="D2918">IF(AND(A2918="2021-01", ISNA(MATCH(B2918, _xlfn._xlws.FILTER(B:B, A:A="2021-02"), 0))), "Left", "Ativo")</f>
        <v>Ativo</v>
      </c>
      <c r="E2918" s="10" t="str" cm="1">
        <f t="array" ref="E2918">IF(AND(A2918="2021-02", ISNA(MATCH(B2918, _xlfn._xlws.FILTER(B:B, A:A="2021-03"), 0))), "Left", "Ativo")</f>
        <v>Ativo</v>
      </c>
      <c r="F2918" s="12" t="str" cm="1">
        <f t="array" ref="F2918">IF(AND(A2918="2021-03", ISNA(MATCH(B2918, _xlfn._xlws.FILTER(B:B, A:A="2021-04"), 0))), "Left", "Ativo")</f>
        <v>Ativo</v>
      </c>
    </row>
    <row r="2919" spans="1:6" x14ac:dyDescent="0.25">
      <c r="A2919" t="s">
        <v>1531</v>
      </c>
      <c r="B2919" t="s">
        <v>32</v>
      </c>
      <c r="C2919" s="10" t="str" cm="1">
        <f t="array" ref="C2919">IF(AND(A2919="2020-12", ISNA(MATCH(B2919, _xlfn._xlws.FILTER(B:B, A:A="2021-01"), 0))), "Left", "Ativo")</f>
        <v>Ativo</v>
      </c>
      <c r="D2919" s="10" t="str" cm="1">
        <f t="array" ref="D2919">IF(AND(A2919="2021-01", ISNA(MATCH(B2919, _xlfn._xlws.FILTER(B:B, A:A="2021-02"), 0))), "Left", "Ativo")</f>
        <v>Ativo</v>
      </c>
      <c r="E2919" s="10" t="str" cm="1">
        <f t="array" ref="E2919">IF(AND(A2919="2021-02", ISNA(MATCH(B2919, _xlfn._xlws.FILTER(B:B, A:A="2021-03"), 0))), "Left", "Ativo")</f>
        <v>Ativo</v>
      </c>
      <c r="F2919" s="12" t="str" cm="1">
        <f t="array" ref="F2919">IF(AND(A2919="2021-03", ISNA(MATCH(B2919, _xlfn._xlws.FILTER(B:B, A:A="2021-04"), 0))), "Left", "Ativo")</f>
        <v>Ativo</v>
      </c>
    </row>
    <row r="2920" spans="1:6" x14ac:dyDescent="0.25">
      <c r="A2920" t="s">
        <v>1531</v>
      </c>
      <c r="B2920" t="s">
        <v>33</v>
      </c>
      <c r="C2920" s="10" t="str" cm="1">
        <f t="array" ref="C2920">IF(AND(A2920="2020-12", ISNA(MATCH(B2920, _xlfn._xlws.FILTER(B:B, A:A="2021-01"), 0))), "Left", "Ativo")</f>
        <v>Ativo</v>
      </c>
      <c r="D2920" s="10" t="str" cm="1">
        <f t="array" ref="D2920">IF(AND(A2920="2021-01", ISNA(MATCH(B2920, _xlfn._xlws.FILTER(B:B, A:A="2021-02"), 0))), "Left", "Ativo")</f>
        <v>Ativo</v>
      </c>
      <c r="E2920" s="10" t="str" cm="1">
        <f t="array" ref="E2920">IF(AND(A2920="2021-02", ISNA(MATCH(B2920, _xlfn._xlws.FILTER(B:B, A:A="2021-03"), 0))), "Left", "Ativo")</f>
        <v>Ativo</v>
      </c>
      <c r="F2920" s="12" t="str" cm="1">
        <f t="array" ref="F2920">IF(AND(A2920="2021-03", ISNA(MATCH(B2920, _xlfn._xlws.FILTER(B:B, A:A="2021-04"), 0))), "Left", "Ativo")</f>
        <v>Ativo</v>
      </c>
    </row>
    <row r="2921" spans="1:6" x14ac:dyDescent="0.25">
      <c r="A2921" t="s">
        <v>1531</v>
      </c>
      <c r="B2921" t="s">
        <v>34</v>
      </c>
      <c r="C2921" s="10" t="str" cm="1">
        <f t="array" ref="C2921">IF(AND(A2921="2020-12", ISNA(MATCH(B2921, _xlfn._xlws.FILTER(B:B, A:A="2021-01"), 0))), "Left", "Ativo")</f>
        <v>Ativo</v>
      </c>
      <c r="D2921" s="10" t="str" cm="1">
        <f t="array" ref="D2921">IF(AND(A2921="2021-01", ISNA(MATCH(B2921, _xlfn._xlws.FILTER(B:B, A:A="2021-02"), 0))), "Left", "Ativo")</f>
        <v>Ativo</v>
      </c>
      <c r="E2921" s="10" t="str" cm="1">
        <f t="array" ref="E2921">IF(AND(A2921="2021-02", ISNA(MATCH(B2921, _xlfn._xlws.FILTER(B:B, A:A="2021-03"), 0))), "Left", "Ativo")</f>
        <v>Ativo</v>
      </c>
      <c r="F2921" s="12" t="str" cm="1">
        <f t="array" ref="F2921">IF(AND(A2921="2021-03", ISNA(MATCH(B2921, _xlfn._xlws.FILTER(B:B, A:A="2021-04"), 0))), "Left", "Ativo")</f>
        <v>Ativo</v>
      </c>
    </row>
    <row r="2922" spans="1:6" x14ac:dyDescent="0.25">
      <c r="A2922" t="s">
        <v>1531</v>
      </c>
      <c r="B2922" t="s">
        <v>35</v>
      </c>
      <c r="C2922" s="10" t="str" cm="1">
        <f t="array" ref="C2922">IF(AND(A2922="2020-12", ISNA(MATCH(B2922, _xlfn._xlws.FILTER(B:B, A:A="2021-01"), 0))), "Left", "Ativo")</f>
        <v>Ativo</v>
      </c>
      <c r="D2922" s="10" t="str" cm="1">
        <f t="array" ref="D2922">IF(AND(A2922="2021-01", ISNA(MATCH(B2922, _xlfn._xlws.FILTER(B:B, A:A="2021-02"), 0))), "Left", "Ativo")</f>
        <v>Ativo</v>
      </c>
      <c r="E2922" s="10" t="str" cm="1">
        <f t="array" ref="E2922">IF(AND(A2922="2021-02", ISNA(MATCH(B2922, _xlfn._xlws.FILTER(B:B, A:A="2021-03"), 0))), "Left", "Ativo")</f>
        <v>Ativo</v>
      </c>
      <c r="F2922" s="12" t="str" cm="1">
        <f t="array" ref="F2922">IF(AND(A2922="2021-03", ISNA(MATCH(B2922, _xlfn._xlws.FILTER(B:B, A:A="2021-04"), 0))), "Left", "Ativo")</f>
        <v>Ativo</v>
      </c>
    </row>
    <row r="2923" spans="1:6" x14ac:dyDescent="0.25">
      <c r="A2923" t="s">
        <v>1531</v>
      </c>
      <c r="B2923" t="s">
        <v>36</v>
      </c>
      <c r="C2923" s="10" t="str" cm="1">
        <f t="array" ref="C2923">IF(AND(A2923="2020-12", ISNA(MATCH(B2923, _xlfn._xlws.FILTER(B:B, A:A="2021-01"), 0))), "Left", "Ativo")</f>
        <v>Ativo</v>
      </c>
      <c r="D2923" s="10" t="str" cm="1">
        <f t="array" ref="D2923">IF(AND(A2923="2021-01", ISNA(MATCH(B2923, _xlfn._xlws.FILTER(B:B, A:A="2021-02"), 0))), "Left", "Ativo")</f>
        <v>Ativo</v>
      </c>
      <c r="E2923" s="10" t="str" cm="1">
        <f t="array" ref="E2923">IF(AND(A2923="2021-02", ISNA(MATCH(B2923, _xlfn._xlws.FILTER(B:B, A:A="2021-03"), 0))), "Left", "Ativo")</f>
        <v>Ativo</v>
      </c>
      <c r="F2923" s="12" t="str" cm="1">
        <f t="array" ref="F2923">IF(AND(A2923="2021-03", ISNA(MATCH(B2923, _xlfn._xlws.FILTER(B:B, A:A="2021-04"), 0))), "Left", "Ativo")</f>
        <v>Ativo</v>
      </c>
    </row>
    <row r="2924" spans="1:6" x14ac:dyDescent="0.25">
      <c r="A2924" t="s">
        <v>1531</v>
      </c>
      <c r="B2924" t="s">
        <v>37</v>
      </c>
      <c r="C2924" s="10" t="str" cm="1">
        <f t="array" ref="C2924">IF(AND(A2924="2020-12", ISNA(MATCH(B2924, _xlfn._xlws.FILTER(B:B, A:A="2021-01"), 0))), "Left", "Ativo")</f>
        <v>Ativo</v>
      </c>
      <c r="D2924" s="10" t="str" cm="1">
        <f t="array" ref="D2924">IF(AND(A2924="2021-01", ISNA(MATCH(B2924, _xlfn._xlws.FILTER(B:B, A:A="2021-02"), 0))), "Left", "Ativo")</f>
        <v>Ativo</v>
      </c>
      <c r="E2924" s="10" t="str" cm="1">
        <f t="array" ref="E2924">IF(AND(A2924="2021-02", ISNA(MATCH(B2924, _xlfn._xlws.FILTER(B:B, A:A="2021-03"), 0))), "Left", "Ativo")</f>
        <v>Ativo</v>
      </c>
      <c r="F2924" s="12" t="str" cm="1">
        <f t="array" ref="F2924">IF(AND(A2924="2021-03", ISNA(MATCH(B2924, _xlfn._xlws.FILTER(B:B, A:A="2021-04"), 0))), "Left", "Ativo")</f>
        <v>Left</v>
      </c>
    </row>
    <row r="2925" spans="1:6" x14ac:dyDescent="0.25">
      <c r="A2925" t="s">
        <v>1531</v>
      </c>
      <c r="B2925" t="s">
        <v>38</v>
      </c>
      <c r="C2925" s="10" t="str" cm="1">
        <f t="array" ref="C2925">IF(AND(A2925="2020-12", ISNA(MATCH(B2925, _xlfn._xlws.FILTER(B:B, A:A="2021-01"), 0))), "Left", "Ativo")</f>
        <v>Ativo</v>
      </c>
      <c r="D2925" s="10" t="str" cm="1">
        <f t="array" ref="D2925">IF(AND(A2925="2021-01", ISNA(MATCH(B2925, _xlfn._xlws.FILTER(B:B, A:A="2021-02"), 0))), "Left", "Ativo")</f>
        <v>Ativo</v>
      </c>
      <c r="E2925" s="10" t="str" cm="1">
        <f t="array" ref="E2925">IF(AND(A2925="2021-02", ISNA(MATCH(B2925, _xlfn._xlws.FILTER(B:B, A:A="2021-03"), 0))), "Left", "Ativo")</f>
        <v>Ativo</v>
      </c>
      <c r="F2925" s="12" t="str" cm="1">
        <f t="array" ref="F2925">IF(AND(A2925="2021-03", ISNA(MATCH(B2925, _xlfn._xlws.FILTER(B:B, A:A="2021-04"), 0))), "Left", "Ativo")</f>
        <v>Left</v>
      </c>
    </row>
    <row r="2926" spans="1:6" x14ac:dyDescent="0.25">
      <c r="A2926" t="s">
        <v>1531</v>
      </c>
      <c r="B2926" t="s">
        <v>39</v>
      </c>
      <c r="C2926" s="10" t="str" cm="1">
        <f t="array" ref="C2926">IF(AND(A2926="2020-12", ISNA(MATCH(B2926, _xlfn._xlws.FILTER(B:B, A:A="2021-01"), 0))), "Left", "Ativo")</f>
        <v>Ativo</v>
      </c>
      <c r="D2926" s="10" t="str" cm="1">
        <f t="array" ref="D2926">IF(AND(A2926="2021-01", ISNA(MATCH(B2926, _xlfn._xlws.FILTER(B:B, A:A="2021-02"), 0))), "Left", "Ativo")</f>
        <v>Ativo</v>
      </c>
      <c r="E2926" s="10" t="str" cm="1">
        <f t="array" ref="E2926">IF(AND(A2926="2021-02", ISNA(MATCH(B2926, _xlfn._xlws.FILTER(B:B, A:A="2021-03"), 0))), "Left", "Ativo")</f>
        <v>Ativo</v>
      </c>
      <c r="F2926" s="12" t="str" cm="1">
        <f t="array" ref="F2926">IF(AND(A2926="2021-03", ISNA(MATCH(B2926, _xlfn._xlws.FILTER(B:B, A:A="2021-04"), 0))), "Left", "Ativo")</f>
        <v>Left</v>
      </c>
    </row>
    <row r="2927" spans="1:6" x14ac:dyDescent="0.25">
      <c r="A2927" t="s">
        <v>1531</v>
      </c>
      <c r="B2927" t="s">
        <v>40</v>
      </c>
      <c r="C2927" s="10" t="str" cm="1">
        <f t="array" ref="C2927">IF(AND(A2927="2020-12", ISNA(MATCH(B2927, _xlfn._xlws.FILTER(B:B, A:A="2021-01"), 0))), "Left", "Ativo")</f>
        <v>Ativo</v>
      </c>
      <c r="D2927" s="10" t="str" cm="1">
        <f t="array" ref="D2927">IF(AND(A2927="2021-01", ISNA(MATCH(B2927, _xlfn._xlws.FILTER(B:B, A:A="2021-02"), 0))), "Left", "Ativo")</f>
        <v>Ativo</v>
      </c>
      <c r="E2927" s="10" t="str" cm="1">
        <f t="array" ref="E2927">IF(AND(A2927="2021-02", ISNA(MATCH(B2927, _xlfn._xlws.FILTER(B:B, A:A="2021-03"), 0))), "Left", "Ativo")</f>
        <v>Ativo</v>
      </c>
      <c r="F2927" s="12" t="str" cm="1">
        <f t="array" ref="F2927">IF(AND(A2927="2021-03", ISNA(MATCH(B2927, _xlfn._xlws.FILTER(B:B, A:A="2021-04"), 0))), "Left", "Ativo")</f>
        <v>Left</v>
      </c>
    </row>
    <row r="2928" spans="1:6" x14ac:dyDescent="0.25">
      <c r="A2928" t="s">
        <v>1531</v>
      </c>
      <c r="B2928" t="s">
        <v>41</v>
      </c>
      <c r="C2928" s="10" t="str" cm="1">
        <f t="array" ref="C2928">IF(AND(A2928="2020-12", ISNA(MATCH(B2928, _xlfn._xlws.FILTER(B:B, A:A="2021-01"), 0))), "Left", "Ativo")</f>
        <v>Ativo</v>
      </c>
      <c r="D2928" s="10" t="str" cm="1">
        <f t="array" ref="D2928">IF(AND(A2928="2021-01", ISNA(MATCH(B2928, _xlfn._xlws.FILTER(B:B, A:A="2021-02"), 0))), "Left", "Ativo")</f>
        <v>Ativo</v>
      </c>
      <c r="E2928" s="10" t="str" cm="1">
        <f t="array" ref="E2928">IF(AND(A2928="2021-02", ISNA(MATCH(B2928, _xlfn._xlws.FILTER(B:B, A:A="2021-03"), 0))), "Left", "Ativo")</f>
        <v>Ativo</v>
      </c>
      <c r="F2928" s="12" t="str" cm="1">
        <f t="array" ref="F2928">IF(AND(A2928="2021-03", ISNA(MATCH(B2928, _xlfn._xlws.FILTER(B:B, A:A="2021-04"), 0))), "Left", "Ativo")</f>
        <v>Left</v>
      </c>
    </row>
    <row r="2929" spans="1:6" x14ac:dyDescent="0.25">
      <c r="A2929" t="s">
        <v>1531</v>
      </c>
      <c r="B2929" t="s">
        <v>42</v>
      </c>
      <c r="C2929" s="10" t="str" cm="1">
        <f t="array" ref="C2929">IF(AND(A2929="2020-12", ISNA(MATCH(B2929, _xlfn._xlws.FILTER(B:B, A:A="2021-01"), 0))), "Left", "Ativo")</f>
        <v>Ativo</v>
      </c>
      <c r="D2929" s="10" t="str" cm="1">
        <f t="array" ref="D2929">IF(AND(A2929="2021-01", ISNA(MATCH(B2929, _xlfn._xlws.FILTER(B:B, A:A="2021-02"), 0))), "Left", "Ativo")</f>
        <v>Ativo</v>
      </c>
      <c r="E2929" s="10" t="str" cm="1">
        <f t="array" ref="E2929">IF(AND(A2929="2021-02", ISNA(MATCH(B2929, _xlfn._xlws.FILTER(B:B, A:A="2021-03"), 0))), "Left", "Ativo")</f>
        <v>Ativo</v>
      </c>
      <c r="F2929" s="12" t="str" cm="1">
        <f t="array" ref="F2929">IF(AND(A2929="2021-03", ISNA(MATCH(B2929, _xlfn._xlws.FILTER(B:B, A:A="2021-04"), 0))), "Left", "Ativo")</f>
        <v>Ativo</v>
      </c>
    </row>
    <row r="2930" spans="1:6" x14ac:dyDescent="0.25">
      <c r="A2930" t="s">
        <v>1531</v>
      </c>
      <c r="B2930" t="s">
        <v>43</v>
      </c>
      <c r="C2930" s="10" t="str" cm="1">
        <f t="array" ref="C2930">IF(AND(A2930="2020-12", ISNA(MATCH(B2930, _xlfn._xlws.FILTER(B:B, A:A="2021-01"), 0))), "Left", "Ativo")</f>
        <v>Ativo</v>
      </c>
      <c r="D2930" s="10" t="str" cm="1">
        <f t="array" ref="D2930">IF(AND(A2930="2021-01", ISNA(MATCH(B2930, _xlfn._xlws.FILTER(B:B, A:A="2021-02"), 0))), "Left", "Ativo")</f>
        <v>Ativo</v>
      </c>
      <c r="E2930" s="10" t="str" cm="1">
        <f t="array" ref="E2930">IF(AND(A2930="2021-02", ISNA(MATCH(B2930, _xlfn._xlws.FILTER(B:B, A:A="2021-03"), 0))), "Left", "Ativo")</f>
        <v>Ativo</v>
      </c>
      <c r="F2930" s="12" t="str" cm="1">
        <f t="array" ref="F2930">IF(AND(A2930="2021-03", ISNA(MATCH(B2930, _xlfn._xlws.FILTER(B:B, A:A="2021-04"), 0))), "Left", "Ativo")</f>
        <v>Ativo</v>
      </c>
    </row>
    <row r="2931" spans="1:6" x14ac:dyDescent="0.25">
      <c r="A2931" t="s">
        <v>1531</v>
      </c>
      <c r="B2931" t="s">
        <v>44</v>
      </c>
      <c r="C2931" s="10" t="str" cm="1">
        <f t="array" ref="C2931">IF(AND(A2931="2020-12", ISNA(MATCH(B2931, _xlfn._xlws.FILTER(B:B, A:A="2021-01"), 0))), "Left", "Ativo")</f>
        <v>Ativo</v>
      </c>
      <c r="D2931" s="10" t="str" cm="1">
        <f t="array" ref="D2931">IF(AND(A2931="2021-01", ISNA(MATCH(B2931, _xlfn._xlws.FILTER(B:B, A:A="2021-02"), 0))), "Left", "Ativo")</f>
        <v>Ativo</v>
      </c>
      <c r="E2931" s="10" t="str" cm="1">
        <f t="array" ref="E2931">IF(AND(A2931="2021-02", ISNA(MATCH(B2931, _xlfn._xlws.FILTER(B:B, A:A="2021-03"), 0))), "Left", "Ativo")</f>
        <v>Ativo</v>
      </c>
      <c r="F2931" s="12" t="str" cm="1">
        <f t="array" ref="F2931">IF(AND(A2931="2021-03", ISNA(MATCH(B2931, _xlfn._xlws.FILTER(B:B, A:A="2021-04"), 0))), "Left", "Ativo")</f>
        <v>Ativo</v>
      </c>
    </row>
    <row r="2932" spans="1:6" x14ac:dyDescent="0.25">
      <c r="A2932" t="s">
        <v>1531</v>
      </c>
      <c r="B2932" t="s">
        <v>45</v>
      </c>
      <c r="C2932" s="10" t="str" cm="1">
        <f t="array" ref="C2932">IF(AND(A2932="2020-12", ISNA(MATCH(B2932, _xlfn._xlws.FILTER(B:B, A:A="2021-01"), 0))), "Left", "Ativo")</f>
        <v>Ativo</v>
      </c>
      <c r="D2932" s="10" t="str" cm="1">
        <f t="array" ref="D2932">IF(AND(A2932="2021-01", ISNA(MATCH(B2932, _xlfn._xlws.FILTER(B:B, A:A="2021-02"), 0))), "Left", "Ativo")</f>
        <v>Ativo</v>
      </c>
      <c r="E2932" s="10" t="str" cm="1">
        <f t="array" ref="E2932">IF(AND(A2932="2021-02", ISNA(MATCH(B2932, _xlfn._xlws.FILTER(B:B, A:A="2021-03"), 0))), "Left", "Ativo")</f>
        <v>Ativo</v>
      </c>
      <c r="F2932" s="12" t="str" cm="1">
        <f t="array" ref="F2932">IF(AND(A2932="2021-03", ISNA(MATCH(B2932, _xlfn._xlws.FILTER(B:B, A:A="2021-04"), 0))), "Left", "Ativo")</f>
        <v>Ativo</v>
      </c>
    </row>
    <row r="2933" spans="1:6" x14ac:dyDescent="0.25">
      <c r="A2933" t="s">
        <v>1531</v>
      </c>
      <c r="B2933" t="s">
        <v>1091</v>
      </c>
      <c r="C2933" s="10" t="str" cm="1">
        <f t="array" ref="C2933">IF(AND(A2933="2020-12", ISNA(MATCH(B2933, _xlfn._xlws.FILTER(B:B, A:A="2021-01"), 0))), "Left", "Ativo")</f>
        <v>Ativo</v>
      </c>
      <c r="D2933" s="10" t="str" cm="1">
        <f t="array" ref="D2933">IF(AND(A2933="2021-01", ISNA(MATCH(B2933, _xlfn._xlws.FILTER(B:B, A:A="2021-02"), 0))), "Left", "Ativo")</f>
        <v>Ativo</v>
      </c>
      <c r="E2933" s="10" t="str" cm="1">
        <f t="array" ref="E2933">IF(AND(A2933="2021-02", ISNA(MATCH(B2933, _xlfn._xlws.FILTER(B:B, A:A="2021-03"), 0))), "Left", "Ativo")</f>
        <v>Ativo</v>
      </c>
      <c r="F2933" s="12" t="str" cm="1">
        <f t="array" ref="F2933">IF(AND(A2933="2021-03", ISNA(MATCH(B2933, _xlfn._xlws.FILTER(B:B, A:A="2021-04"), 0))), "Left", "Ativo")</f>
        <v>Left</v>
      </c>
    </row>
    <row r="2934" spans="1:6" x14ac:dyDescent="0.25">
      <c r="A2934" t="s">
        <v>1531</v>
      </c>
      <c r="B2934" t="s">
        <v>47</v>
      </c>
      <c r="C2934" s="10" t="str" cm="1">
        <f t="array" ref="C2934">IF(AND(A2934="2020-12", ISNA(MATCH(B2934, _xlfn._xlws.FILTER(B:B, A:A="2021-01"), 0))), "Left", "Ativo")</f>
        <v>Ativo</v>
      </c>
      <c r="D2934" s="10" t="str" cm="1">
        <f t="array" ref="D2934">IF(AND(A2934="2021-01", ISNA(MATCH(B2934, _xlfn._xlws.FILTER(B:B, A:A="2021-02"), 0))), "Left", "Ativo")</f>
        <v>Ativo</v>
      </c>
      <c r="E2934" s="10" t="str" cm="1">
        <f t="array" ref="E2934">IF(AND(A2934="2021-02", ISNA(MATCH(B2934, _xlfn._xlws.FILTER(B:B, A:A="2021-03"), 0))), "Left", "Ativo")</f>
        <v>Ativo</v>
      </c>
      <c r="F2934" s="12" t="str" cm="1">
        <f t="array" ref="F2934">IF(AND(A2934="2021-03", ISNA(MATCH(B2934, _xlfn._xlws.FILTER(B:B, A:A="2021-04"), 0))), "Left", "Ativo")</f>
        <v>Ativo</v>
      </c>
    </row>
    <row r="2935" spans="1:6" x14ac:dyDescent="0.25">
      <c r="A2935" t="s">
        <v>1531</v>
      </c>
      <c r="B2935" t="s">
        <v>48</v>
      </c>
      <c r="C2935" s="10" t="str" cm="1">
        <f t="array" ref="C2935">IF(AND(A2935="2020-12", ISNA(MATCH(B2935, _xlfn._xlws.FILTER(B:B, A:A="2021-01"), 0))), "Left", "Ativo")</f>
        <v>Ativo</v>
      </c>
      <c r="D2935" s="10" t="str" cm="1">
        <f t="array" ref="D2935">IF(AND(A2935="2021-01", ISNA(MATCH(B2935, _xlfn._xlws.FILTER(B:B, A:A="2021-02"), 0))), "Left", "Ativo")</f>
        <v>Ativo</v>
      </c>
      <c r="E2935" s="10" t="str" cm="1">
        <f t="array" ref="E2935">IF(AND(A2935="2021-02", ISNA(MATCH(B2935, _xlfn._xlws.FILTER(B:B, A:A="2021-03"), 0))), "Left", "Ativo")</f>
        <v>Ativo</v>
      </c>
      <c r="F2935" s="12" t="str" cm="1">
        <f t="array" ref="F2935">IF(AND(A2935="2021-03", ISNA(MATCH(B2935, _xlfn._xlws.FILTER(B:B, A:A="2021-04"), 0))), "Left", "Ativo")</f>
        <v>Ativo</v>
      </c>
    </row>
    <row r="2936" spans="1:6" x14ac:dyDescent="0.25">
      <c r="A2936" t="s">
        <v>1531</v>
      </c>
      <c r="B2936" t="s">
        <v>51</v>
      </c>
      <c r="C2936" s="10" t="str" cm="1">
        <f t="array" ref="C2936">IF(AND(A2936="2020-12", ISNA(MATCH(B2936, _xlfn._xlws.FILTER(B:B, A:A="2021-01"), 0))), "Left", "Ativo")</f>
        <v>Ativo</v>
      </c>
      <c r="D2936" s="10" t="str" cm="1">
        <f t="array" ref="D2936">IF(AND(A2936="2021-01", ISNA(MATCH(B2936, _xlfn._xlws.FILTER(B:B, A:A="2021-02"), 0))), "Left", "Ativo")</f>
        <v>Ativo</v>
      </c>
      <c r="E2936" s="10" t="str" cm="1">
        <f t="array" ref="E2936">IF(AND(A2936="2021-02", ISNA(MATCH(B2936, _xlfn._xlws.FILTER(B:B, A:A="2021-03"), 0))), "Left", "Ativo")</f>
        <v>Ativo</v>
      </c>
      <c r="F2936" s="12" t="str" cm="1">
        <f t="array" ref="F2936">IF(AND(A2936="2021-03", ISNA(MATCH(B2936, _xlfn._xlws.FILTER(B:B, A:A="2021-04"), 0))), "Left", "Ativo")</f>
        <v>Ativo</v>
      </c>
    </row>
    <row r="2937" spans="1:6" x14ac:dyDescent="0.25">
      <c r="A2937" t="s">
        <v>1531</v>
      </c>
      <c r="B2937" t="s">
        <v>52</v>
      </c>
      <c r="C2937" s="10" t="str" cm="1">
        <f t="array" ref="C2937">IF(AND(A2937="2020-12", ISNA(MATCH(B2937, _xlfn._xlws.FILTER(B:B, A:A="2021-01"), 0))), "Left", "Ativo")</f>
        <v>Ativo</v>
      </c>
      <c r="D2937" s="10" t="str" cm="1">
        <f t="array" ref="D2937">IF(AND(A2937="2021-01", ISNA(MATCH(B2937, _xlfn._xlws.FILTER(B:B, A:A="2021-02"), 0))), "Left", "Ativo")</f>
        <v>Ativo</v>
      </c>
      <c r="E2937" s="10" t="str" cm="1">
        <f t="array" ref="E2937">IF(AND(A2937="2021-02", ISNA(MATCH(B2937, _xlfn._xlws.FILTER(B:B, A:A="2021-03"), 0))), "Left", "Ativo")</f>
        <v>Ativo</v>
      </c>
      <c r="F2937" s="12" t="str" cm="1">
        <f t="array" ref="F2937">IF(AND(A2937="2021-03", ISNA(MATCH(B2937, _xlfn._xlws.FILTER(B:B, A:A="2021-04"), 0))), "Left", "Ativo")</f>
        <v>Ativo</v>
      </c>
    </row>
    <row r="2938" spans="1:6" x14ac:dyDescent="0.25">
      <c r="A2938" t="s">
        <v>1531</v>
      </c>
      <c r="B2938" t="s">
        <v>53</v>
      </c>
      <c r="C2938" s="10" t="str" cm="1">
        <f t="array" ref="C2938">IF(AND(A2938="2020-12", ISNA(MATCH(B2938, _xlfn._xlws.FILTER(B:B, A:A="2021-01"), 0))), "Left", "Ativo")</f>
        <v>Ativo</v>
      </c>
      <c r="D2938" s="10" t="str" cm="1">
        <f t="array" ref="D2938">IF(AND(A2938="2021-01", ISNA(MATCH(B2938, _xlfn._xlws.FILTER(B:B, A:A="2021-02"), 0))), "Left", "Ativo")</f>
        <v>Ativo</v>
      </c>
      <c r="E2938" s="10" t="str" cm="1">
        <f t="array" ref="E2938">IF(AND(A2938="2021-02", ISNA(MATCH(B2938, _xlfn._xlws.FILTER(B:B, A:A="2021-03"), 0))), "Left", "Ativo")</f>
        <v>Ativo</v>
      </c>
      <c r="F2938" s="12" t="str" cm="1">
        <f t="array" ref="F2938">IF(AND(A2938="2021-03", ISNA(MATCH(B2938, _xlfn._xlws.FILTER(B:B, A:A="2021-04"), 0))), "Left", "Ativo")</f>
        <v>Ativo</v>
      </c>
    </row>
    <row r="2939" spans="1:6" x14ac:dyDescent="0.25">
      <c r="A2939" t="s">
        <v>1531</v>
      </c>
      <c r="B2939" t="s">
        <v>54</v>
      </c>
      <c r="C2939" s="10" t="str" cm="1">
        <f t="array" ref="C2939">IF(AND(A2939="2020-12", ISNA(MATCH(B2939, _xlfn._xlws.FILTER(B:B, A:A="2021-01"), 0))), "Left", "Ativo")</f>
        <v>Ativo</v>
      </c>
      <c r="D2939" s="10" t="str" cm="1">
        <f t="array" ref="D2939">IF(AND(A2939="2021-01", ISNA(MATCH(B2939, _xlfn._xlws.FILTER(B:B, A:A="2021-02"), 0))), "Left", "Ativo")</f>
        <v>Ativo</v>
      </c>
      <c r="E2939" s="10" t="str" cm="1">
        <f t="array" ref="E2939">IF(AND(A2939="2021-02", ISNA(MATCH(B2939, _xlfn._xlws.FILTER(B:B, A:A="2021-03"), 0))), "Left", "Ativo")</f>
        <v>Ativo</v>
      </c>
      <c r="F2939" s="12" t="str" cm="1">
        <f t="array" ref="F2939">IF(AND(A2939="2021-03", ISNA(MATCH(B2939, _xlfn._xlws.FILTER(B:B, A:A="2021-04"), 0))), "Left", "Ativo")</f>
        <v>Ativo</v>
      </c>
    </row>
    <row r="2940" spans="1:6" x14ac:dyDescent="0.25">
      <c r="A2940" t="s">
        <v>1531</v>
      </c>
      <c r="B2940" t="s">
        <v>55</v>
      </c>
      <c r="C2940" s="10" t="str" cm="1">
        <f t="array" ref="C2940">IF(AND(A2940="2020-12", ISNA(MATCH(B2940, _xlfn._xlws.FILTER(B:B, A:A="2021-01"), 0))), "Left", "Ativo")</f>
        <v>Ativo</v>
      </c>
      <c r="D2940" s="10" t="str" cm="1">
        <f t="array" ref="D2940">IF(AND(A2940="2021-01", ISNA(MATCH(B2940, _xlfn._xlws.FILTER(B:B, A:A="2021-02"), 0))), "Left", "Ativo")</f>
        <v>Ativo</v>
      </c>
      <c r="E2940" s="10" t="str" cm="1">
        <f t="array" ref="E2940">IF(AND(A2940="2021-02", ISNA(MATCH(B2940, _xlfn._xlws.FILTER(B:B, A:A="2021-03"), 0))), "Left", "Ativo")</f>
        <v>Ativo</v>
      </c>
      <c r="F2940" s="12" t="str" cm="1">
        <f t="array" ref="F2940">IF(AND(A2940="2021-03", ISNA(MATCH(B2940, _xlfn._xlws.FILTER(B:B, A:A="2021-04"), 0))), "Left", "Ativo")</f>
        <v>Ativo</v>
      </c>
    </row>
    <row r="2941" spans="1:6" x14ac:dyDescent="0.25">
      <c r="A2941" t="s">
        <v>1531</v>
      </c>
      <c r="B2941" t="s">
        <v>56</v>
      </c>
      <c r="C2941" s="10" t="str" cm="1">
        <f t="array" ref="C2941">IF(AND(A2941="2020-12", ISNA(MATCH(B2941, _xlfn._xlws.FILTER(B:B, A:A="2021-01"), 0))), "Left", "Ativo")</f>
        <v>Ativo</v>
      </c>
      <c r="D2941" s="10" t="str" cm="1">
        <f t="array" ref="D2941">IF(AND(A2941="2021-01", ISNA(MATCH(B2941, _xlfn._xlws.FILTER(B:B, A:A="2021-02"), 0))), "Left", "Ativo")</f>
        <v>Ativo</v>
      </c>
      <c r="E2941" s="10" t="str" cm="1">
        <f t="array" ref="E2941">IF(AND(A2941="2021-02", ISNA(MATCH(B2941, _xlfn._xlws.FILTER(B:B, A:A="2021-03"), 0))), "Left", "Ativo")</f>
        <v>Ativo</v>
      </c>
      <c r="F2941" s="12" t="str" cm="1">
        <f t="array" ref="F2941">IF(AND(A2941="2021-03", ISNA(MATCH(B2941, _xlfn._xlws.FILTER(B:B, A:A="2021-04"), 0))), "Left", "Ativo")</f>
        <v>Ativo</v>
      </c>
    </row>
    <row r="2942" spans="1:6" x14ac:dyDescent="0.25">
      <c r="A2942" t="s">
        <v>1531</v>
      </c>
      <c r="B2942" t="s">
        <v>57</v>
      </c>
      <c r="C2942" s="10" t="str" cm="1">
        <f t="array" ref="C2942">IF(AND(A2942="2020-12", ISNA(MATCH(B2942, _xlfn._xlws.FILTER(B:B, A:A="2021-01"), 0))), "Left", "Ativo")</f>
        <v>Ativo</v>
      </c>
      <c r="D2942" s="10" t="str" cm="1">
        <f t="array" ref="D2942">IF(AND(A2942="2021-01", ISNA(MATCH(B2942, _xlfn._xlws.FILTER(B:B, A:A="2021-02"), 0))), "Left", "Ativo")</f>
        <v>Ativo</v>
      </c>
      <c r="E2942" s="10" t="str" cm="1">
        <f t="array" ref="E2942">IF(AND(A2942="2021-02", ISNA(MATCH(B2942, _xlfn._xlws.FILTER(B:B, A:A="2021-03"), 0))), "Left", "Ativo")</f>
        <v>Ativo</v>
      </c>
      <c r="F2942" s="12" t="str" cm="1">
        <f t="array" ref="F2942">IF(AND(A2942="2021-03", ISNA(MATCH(B2942, _xlfn._xlws.FILTER(B:B, A:A="2021-04"), 0))), "Left", "Ativo")</f>
        <v>Ativo</v>
      </c>
    </row>
    <row r="2943" spans="1:6" x14ac:dyDescent="0.25">
      <c r="A2943" t="s">
        <v>1531</v>
      </c>
      <c r="B2943" t="s">
        <v>58</v>
      </c>
      <c r="C2943" s="10" t="str" cm="1">
        <f t="array" ref="C2943">IF(AND(A2943="2020-12", ISNA(MATCH(B2943, _xlfn._xlws.FILTER(B:B, A:A="2021-01"), 0))), "Left", "Ativo")</f>
        <v>Ativo</v>
      </c>
      <c r="D2943" s="10" t="str" cm="1">
        <f t="array" ref="D2943">IF(AND(A2943="2021-01", ISNA(MATCH(B2943, _xlfn._xlws.FILTER(B:B, A:A="2021-02"), 0))), "Left", "Ativo")</f>
        <v>Ativo</v>
      </c>
      <c r="E2943" s="10" t="str" cm="1">
        <f t="array" ref="E2943">IF(AND(A2943="2021-02", ISNA(MATCH(B2943, _xlfn._xlws.FILTER(B:B, A:A="2021-03"), 0))), "Left", "Ativo")</f>
        <v>Ativo</v>
      </c>
      <c r="F2943" s="12" t="str" cm="1">
        <f t="array" ref="F2943">IF(AND(A2943="2021-03", ISNA(MATCH(B2943, _xlfn._xlws.FILTER(B:B, A:A="2021-04"), 0))), "Left", "Ativo")</f>
        <v>Ativo</v>
      </c>
    </row>
    <row r="2944" spans="1:6" x14ac:dyDescent="0.25">
      <c r="A2944" t="s">
        <v>1531</v>
      </c>
      <c r="B2944" t="s">
        <v>59</v>
      </c>
      <c r="C2944" s="10" t="str" cm="1">
        <f t="array" ref="C2944">IF(AND(A2944="2020-12", ISNA(MATCH(B2944, _xlfn._xlws.FILTER(B:B, A:A="2021-01"), 0))), "Left", "Ativo")</f>
        <v>Ativo</v>
      </c>
      <c r="D2944" s="10" t="str" cm="1">
        <f t="array" ref="D2944">IF(AND(A2944="2021-01", ISNA(MATCH(B2944, _xlfn._xlws.FILTER(B:B, A:A="2021-02"), 0))), "Left", "Ativo")</f>
        <v>Ativo</v>
      </c>
      <c r="E2944" s="10" t="str" cm="1">
        <f t="array" ref="E2944">IF(AND(A2944="2021-02", ISNA(MATCH(B2944, _xlfn._xlws.FILTER(B:B, A:A="2021-03"), 0))), "Left", "Ativo")</f>
        <v>Ativo</v>
      </c>
      <c r="F2944" s="12" t="str" cm="1">
        <f t="array" ref="F2944">IF(AND(A2944="2021-03", ISNA(MATCH(B2944, _xlfn._xlws.FILTER(B:B, A:A="2021-04"), 0))), "Left", "Ativo")</f>
        <v>Ativo</v>
      </c>
    </row>
    <row r="2945" spans="1:6" x14ac:dyDescent="0.25">
      <c r="A2945" t="s">
        <v>1531</v>
      </c>
      <c r="B2945" t="s">
        <v>60</v>
      </c>
      <c r="C2945" s="10" t="str" cm="1">
        <f t="array" ref="C2945">IF(AND(A2945="2020-12", ISNA(MATCH(B2945, _xlfn._xlws.FILTER(B:B, A:A="2021-01"), 0))), "Left", "Ativo")</f>
        <v>Ativo</v>
      </c>
      <c r="D2945" s="10" t="str" cm="1">
        <f t="array" ref="D2945">IF(AND(A2945="2021-01", ISNA(MATCH(B2945, _xlfn._xlws.FILTER(B:B, A:A="2021-02"), 0))), "Left", "Ativo")</f>
        <v>Ativo</v>
      </c>
      <c r="E2945" s="10" t="str" cm="1">
        <f t="array" ref="E2945">IF(AND(A2945="2021-02", ISNA(MATCH(B2945, _xlfn._xlws.FILTER(B:B, A:A="2021-03"), 0))), "Left", "Ativo")</f>
        <v>Ativo</v>
      </c>
      <c r="F2945" s="12" t="str" cm="1">
        <f t="array" ref="F2945">IF(AND(A2945="2021-03", ISNA(MATCH(B2945, _xlfn._xlws.FILTER(B:B, A:A="2021-04"), 0))), "Left", "Ativo")</f>
        <v>Ativo</v>
      </c>
    </row>
    <row r="2946" spans="1:6" x14ac:dyDescent="0.25">
      <c r="A2946" t="s">
        <v>1531</v>
      </c>
      <c r="B2946" t="s">
        <v>61</v>
      </c>
      <c r="C2946" s="10" t="str" cm="1">
        <f t="array" ref="C2946">IF(AND(A2946="2020-12", ISNA(MATCH(B2946, _xlfn._xlws.FILTER(B:B, A:A="2021-01"), 0))), "Left", "Ativo")</f>
        <v>Ativo</v>
      </c>
      <c r="D2946" s="10" t="str" cm="1">
        <f t="array" ref="D2946">IF(AND(A2946="2021-01", ISNA(MATCH(B2946, _xlfn._xlws.FILTER(B:B, A:A="2021-02"), 0))), "Left", "Ativo")</f>
        <v>Ativo</v>
      </c>
      <c r="E2946" s="10" t="str" cm="1">
        <f t="array" ref="E2946">IF(AND(A2946="2021-02", ISNA(MATCH(B2946, _xlfn._xlws.FILTER(B:B, A:A="2021-03"), 0))), "Left", "Ativo")</f>
        <v>Ativo</v>
      </c>
      <c r="F2946" s="12" t="str" cm="1">
        <f t="array" ref="F2946">IF(AND(A2946="2021-03", ISNA(MATCH(B2946, _xlfn._xlws.FILTER(B:B, A:A="2021-04"), 0))), "Left", "Ativo")</f>
        <v>Ativo</v>
      </c>
    </row>
    <row r="2947" spans="1:6" x14ac:dyDescent="0.25">
      <c r="A2947" t="s">
        <v>1531</v>
      </c>
      <c r="B2947" t="s">
        <v>62</v>
      </c>
      <c r="C2947" s="10" t="str" cm="1">
        <f t="array" ref="C2947">IF(AND(A2947="2020-12", ISNA(MATCH(B2947, _xlfn._xlws.FILTER(B:B, A:A="2021-01"), 0))), "Left", "Ativo")</f>
        <v>Ativo</v>
      </c>
      <c r="D2947" s="10" t="str" cm="1">
        <f t="array" ref="D2947">IF(AND(A2947="2021-01", ISNA(MATCH(B2947, _xlfn._xlws.FILTER(B:B, A:A="2021-02"), 0))), "Left", "Ativo")</f>
        <v>Ativo</v>
      </c>
      <c r="E2947" s="10" t="str" cm="1">
        <f t="array" ref="E2947">IF(AND(A2947="2021-02", ISNA(MATCH(B2947, _xlfn._xlws.FILTER(B:B, A:A="2021-03"), 0))), "Left", "Ativo")</f>
        <v>Ativo</v>
      </c>
      <c r="F2947" s="12" t="str" cm="1">
        <f t="array" ref="F2947">IF(AND(A2947="2021-03", ISNA(MATCH(B2947, _xlfn._xlws.FILTER(B:B, A:A="2021-04"), 0))), "Left", "Ativo")</f>
        <v>Ativo</v>
      </c>
    </row>
    <row r="2948" spans="1:6" x14ac:dyDescent="0.25">
      <c r="A2948" t="s">
        <v>1531</v>
      </c>
      <c r="B2948" t="s">
        <v>63</v>
      </c>
      <c r="C2948" s="10" t="str" cm="1">
        <f t="array" ref="C2948">IF(AND(A2948="2020-12", ISNA(MATCH(B2948, _xlfn._xlws.FILTER(B:B, A:A="2021-01"), 0))), "Left", "Ativo")</f>
        <v>Ativo</v>
      </c>
      <c r="D2948" s="10" t="str" cm="1">
        <f t="array" ref="D2948">IF(AND(A2948="2021-01", ISNA(MATCH(B2948, _xlfn._xlws.FILTER(B:B, A:A="2021-02"), 0))), "Left", "Ativo")</f>
        <v>Ativo</v>
      </c>
      <c r="E2948" s="10" t="str" cm="1">
        <f t="array" ref="E2948">IF(AND(A2948="2021-02", ISNA(MATCH(B2948, _xlfn._xlws.FILTER(B:B, A:A="2021-03"), 0))), "Left", "Ativo")</f>
        <v>Ativo</v>
      </c>
      <c r="F2948" s="12" t="str" cm="1">
        <f t="array" ref="F2948">IF(AND(A2948="2021-03", ISNA(MATCH(B2948, _xlfn._xlws.FILTER(B:B, A:A="2021-04"), 0))), "Left", "Ativo")</f>
        <v>Ativo</v>
      </c>
    </row>
    <row r="2949" spans="1:6" x14ac:dyDescent="0.25">
      <c r="A2949" t="s">
        <v>1531</v>
      </c>
      <c r="B2949" t="s">
        <v>1092</v>
      </c>
      <c r="C2949" s="10" t="str" cm="1">
        <f t="array" ref="C2949">IF(AND(A2949="2020-12", ISNA(MATCH(B2949, _xlfn._xlws.FILTER(B:B, A:A="2021-01"), 0))), "Left", "Ativo")</f>
        <v>Ativo</v>
      </c>
      <c r="D2949" s="10" t="str" cm="1">
        <f t="array" ref="D2949">IF(AND(A2949="2021-01", ISNA(MATCH(B2949, _xlfn._xlws.FILTER(B:B, A:A="2021-02"), 0))), "Left", "Ativo")</f>
        <v>Ativo</v>
      </c>
      <c r="E2949" s="10" t="str" cm="1">
        <f t="array" ref="E2949">IF(AND(A2949="2021-02", ISNA(MATCH(B2949, _xlfn._xlws.FILTER(B:B, A:A="2021-03"), 0))), "Left", "Ativo")</f>
        <v>Ativo</v>
      </c>
      <c r="F2949" s="12" t="str" cm="1">
        <f t="array" ref="F2949">IF(AND(A2949="2021-03", ISNA(MATCH(B2949, _xlfn._xlws.FILTER(B:B, A:A="2021-04"), 0))), "Left", "Ativo")</f>
        <v>Left</v>
      </c>
    </row>
    <row r="2950" spans="1:6" x14ac:dyDescent="0.25">
      <c r="A2950" t="s">
        <v>1531</v>
      </c>
      <c r="B2950" t="s">
        <v>65</v>
      </c>
      <c r="C2950" s="10" t="str" cm="1">
        <f t="array" ref="C2950">IF(AND(A2950="2020-12", ISNA(MATCH(B2950, _xlfn._xlws.FILTER(B:B, A:A="2021-01"), 0))), "Left", "Ativo")</f>
        <v>Ativo</v>
      </c>
      <c r="D2950" s="10" t="str" cm="1">
        <f t="array" ref="D2950">IF(AND(A2950="2021-01", ISNA(MATCH(B2950, _xlfn._xlws.FILTER(B:B, A:A="2021-02"), 0))), "Left", "Ativo")</f>
        <v>Ativo</v>
      </c>
      <c r="E2950" s="10" t="str" cm="1">
        <f t="array" ref="E2950">IF(AND(A2950="2021-02", ISNA(MATCH(B2950, _xlfn._xlws.FILTER(B:B, A:A="2021-03"), 0))), "Left", "Ativo")</f>
        <v>Ativo</v>
      </c>
      <c r="F2950" s="12" t="str" cm="1">
        <f t="array" ref="F2950">IF(AND(A2950="2021-03", ISNA(MATCH(B2950, _xlfn._xlws.FILTER(B:B, A:A="2021-04"), 0))), "Left", "Ativo")</f>
        <v>Ativo</v>
      </c>
    </row>
    <row r="2951" spans="1:6" x14ac:dyDescent="0.25">
      <c r="A2951" t="s">
        <v>1531</v>
      </c>
      <c r="B2951" t="s">
        <v>66</v>
      </c>
      <c r="C2951" s="10" t="str" cm="1">
        <f t="array" ref="C2951">IF(AND(A2951="2020-12", ISNA(MATCH(B2951, _xlfn._xlws.FILTER(B:B, A:A="2021-01"), 0))), "Left", "Ativo")</f>
        <v>Ativo</v>
      </c>
      <c r="D2951" s="10" t="str" cm="1">
        <f t="array" ref="D2951">IF(AND(A2951="2021-01", ISNA(MATCH(B2951, _xlfn._xlws.FILTER(B:B, A:A="2021-02"), 0))), "Left", "Ativo")</f>
        <v>Ativo</v>
      </c>
      <c r="E2951" s="10" t="str" cm="1">
        <f t="array" ref="E2951">IF(AND(A2951="2021-02", ISNA(MATCH(B2951, _xlfn._xlws.FILTER(B:B, A:A="2021-03"), 0))), "Left", "Ativo")</f>
        <v>Ativo</v>
      </c>
      <c r="F2951" s="12" t="str" cm="1">
        <f t="array" ref="F2951">IF(AND(A2951="2021-03", ISNA(MATCH(B2951, _xlfn._xlws.FILTER(B:B, A:A="2021-04"), 0))), "Left", "Ativo")</f>
        <v>Ativo</v>
      </c>
    </row>
    <row r="2952" spans="1:6" x14ac:dyDescent="0.25">
      <c r="A2952" t="s">
        <v>1531</v>
      </c>
      <c r="B2952" t="s">
        <v>67</v>
      </c>
      <c r="C2952" s="10" t="str" cm="1">
        <f t="array" ref="C2952">IF(AND(A2952="2020-12", ISNA(MATCH(B2952, _xlfn._xlws.FILTER(B:B, A:A="2021-01"), 0))), "Left", "Ativo")</f>
        <v>Ativo</v>
      </c>
      <c r="D2952" s="10" t="str" cm="1">
        <f t="array" ref="D2952">IF(AND(A2952="2021-01", ISNA(MATCH(B2952, _xlfn._xlws.FILTER(B:B, A:A="2021-02"), 0))), "Left", "Ativo")</f>
        <v>Ativo</v>
      </c>
      <c r="E2952" s="10" t="str" cm="1">
        <f t="array" ref="E2952">IF(AND(A2952="2021-02", ISNA(MATCH(B2952, _xlfn._xlws.FILTER(B:B, A:A="2021-03"), 0))), "Left", "Ativo")</f>
        <v>Ativo</v>
      </c>
      <c r="F2952" s="12" t="str" cm="1">
        <f t="array" ref="F2952">IF(AND(A2952="2021-03", ISNA(MATCH(B2952, _xlfn._xlws.FILTER(B:B, A:A="2021-04"), 0))), "Left", "Ativo")</f>
        <v>Ativo</v>
      </c>
    </row>
    <row r="2953" spans="1:6" x14ac:dyDescent="0.25">
      <c r="A2953" t="s">
        <v>1531</v>
      </c>
      <c r="B2953" t="s">
        <v>68</v>
      </c>
      <c r="C2953" s="10" t="str" cm="1">
        <f t="array" ref="C2953">IF(AND(A2953="2020-12", ISNA(MATCH(B2953, _xlfn._xlws.FILTER(B:B, A:A="2021-01"), 0))), "Left", "Ativo")</f>
        <v>Ativo</v>
      </c>
      <c r="D2953" s="10" t="str" cm="1">
        <f t="array" ref="D2953">IF(AND(A2953="2021-01", ISNA(MATCH(B2953, _xlfn._xlws.FILTER(B:B, A:A="2021-02"), 0))), "Left", "Ativo")</f>
        <v>Ativo</v>
      </c>
      <c r="E2953" s="10" t="str" cm="1">
        <f t="array" ref="E2953">IF(AND(A2953="2021-02", ISNA(MATCH(B2953, _xlfn._xlws.FILTER(B:B, A:A="2021-03"), 0))), "Left", "Ativo")</f>
        <v>Ativo</v>
      </c>
      <c r="F2953" s="12" t="str" cm="1">
        <f t="array" ref="F2953">IF(AND(A2953="2021-03", ISNA(MATCH(B2953, _xlfn._xlws.FILTER(B:B, A:A="2021-04"), 0))), "Left", "Ativo")</f>
        <v>Ativo</v>
      </c>
    </row>
    <row r="2954" spans="1:6" x14ac:dyDescent="0.25">
      <c r="A2954" t="s">
        <v>1531</v>
      </c>
      <c r="B2954" t="s">
        <v>69</v>
      </c>
      <c r="C2954" s="10" t="str" cm="1">
        <f t="array" ref="C2954">IF(AND(A2954="2020-12", ISNA(MATCH(B2954, _xlfn._xlws.FILTER(B:B, A:A="2021-01"), 0))), "Left", "Ativo")</f>
        <v>Ativo</v>
      </c>
      <c r="D2954" s="10" t="str" cm="1">
        <f t="array" ref="D2954">IF(AND(A2954="2021-01", ISNA(MATCH(B2954, _xlfn._xlws.FILTER(B:B, A:A="2021-02"), 0))), "Left", "Ativo")</f>
        <v>Ativo</v>
      </c>
      <c r="E2954" s="10" t="str" cm="1">
        <f t="array" ref="E2954">IF(AND(A2954="2021-02", ISNA(MATCH(B2954, _xlfn._xlws.FILTER(B:B, A:A="2021-03"), 0))), "Left", "Ativo")</f>
        <v>Ativo</v>
      </c>
      <c r="F2954" s="12" t="str" cm="1">
        <f t="array" ref="F2954">IF(AND(A2954="2021-03", ISNA(MATCH(B2954, _xlfn._xlws.FILTER(B:B, A:A="2021-04"), 0))), "Left", "Ativo")</f>
        <v>Ativo</v>
      </c>
    </row>
    <row r="2955" spans="1:6" x14ac:dyDescent="0.25">
      <c r="A2955" t="s">
        <v>1531</v>
      </c>
      <c r="B2955" t="s">
        <v>70</v>
      </c>
      <c r="C2955" s="10" t="str" cm="1">
        <f t="array" ref="C2955">IF(AND(A2955="2020-12", ISNA(MATCH(B2955, _xlfn._xlws.FILTER(B:B, A:A="2021-01"), 0))), "Left", "Ativo")</f>
        <v>Ativo</v>
      </c>
      <c r="D2955" s="10" t="str" cm="1">
        <f t="array" ref="D2955">IF(AND(A2955="2021-01", ISNA(MATCH(B2955, _xlfn._xlws.FILTER(B:B, A:A="2021-02"), 0))), "Left", "Ativo")</f>
        <v>Ativo</v>
      </c>
      <c r="E2955" s="10" t="str" cm="1">
        <f t="array" ref="E2955">IF(AND(A2955="2021-02", ISNA(MATCH(B2955, _xlfn._xlws.FILTER(B:B, A:A="2021-03"), 0))), "Left", "Ativo")</f>
        <v>Ativo</v>
      </c>
      <c r="F2955" s="12" t="str" cm="1">
        <f t="array" ref="F2955">IF(AND(A2955="2021-03", ISNA(MATCH(B2955, _xlfn._xlws.FILTER(B:B, A:A="2021-04"), 0))), "Left", "Ativo")</f>
        <v>Ativo</v>
      </c>
    </row>
    <row r="2956" spans="1:6" x14ac:dyDescent="0.25">
      <c r="A2956" t="s">
        <v>1531</v>
      </c>
      <c r="B2956" t="s">
        <v>71</v>
      </c>
      <c r="C2956" s="10" t="str" cm="1">
        <f t="array" ref="C2956">IF(AND(A2956="2020-12", ISNA(MATCH(B2956, _xlfn._xlws.FILTER(B:B, A:A="2021-01"), 0))), "Left", "Ativo")</f>
        <v>Ativo</v>
      </c>
      <c r="D2956" s="10" t="str" cm="1">
        <f t="array" ref="D2956">IF(AND(A2956="2021-01", ISNA(MATCH(B2956, _xlfn._xlws.FILTER(B:B, A:A="2021-02"), 0))), "Left", "Ativo")</f>
        <v>Ativo</v>
      </c>
      <c r="E2956" s="10" t="str" cm="1">
        <f t="array" ref="E2956">IF(AND(A2956="2021-02", ISNA(MATCH(B2956, _xlfn._xlws.FILTER(B:B, A:A="2021-03"), 0))), "Left", "Ativo")</f>
        <v>Ativo</v>
      </c>
      <c r="F2956" s="12" t="str" cm="1">
        <f t="array" ref="F2956">IF(AND(A2956="2021-03", ISNA(MATCH(B2956, _xlfn._xlws.FILTER(B:B, A:A="2021-04"), 0))), "Left", "Ativo")</f>
        <v>Ativo</v>
      </c>
    </row>
    <row r="2957" spans="1:6" x14ac:dyDescent="0.25">
      <c r="A2957" t="s">
        <v>1531</v>
      </c>
      <c r="B2957" t="s">
        <v>72</v>
      </c>
      <c r="C2957" s="10" t="str" cm="1">
        <f t="array" ref="C2957">IF(AND(A2957="2020-12", ISNA(MATCH(B2957, _xlfn._xlws.FILTER(B:B, A:A="2021-01"), 0))), "Left", "Ativo")</f>
        <v>Ativo</v>
      </c>
      <c r="D2957" s="10" t="str" cm="1">
        <f t="array" ref="D2957">IF(AND(A2957="2021-01", ISNA(MATCH(B2957, _xlfn._xlws.FILTER(B:B, A:A="2021-02"), 0))), "Left", "Ativo")</f>
        <v>Ativo</v>
      </c>
      <c r="E2957" s="10" t="str" cm="1">
        <f t="array" ref="E2957">IF(AND(A2957="2021-02", ISNA(MATCH(B2957, _xlfn._xlws.FILTER(B:B, A:A="2021-03"), 0))), "Left", "Ativo")</f>
        <v>Ativo</v>
      </c>
      <c r="F2957" s="12" t="str" cm="1">
        <f t="array" ref="F2957">IF(AND(A2957="2021-03", ISNA(MATCH(B2957, _xlfn._xlws.FILTER(B:B, A:A="2021-04"), 0))), "Left", "Ativo")</f>
        <v>Ativo</v>
      </c>
    </row>
    <row r="2958" spans="1:6" x14ac:dyDescent="0.25">
      <c r="A2958" t="s">
        <v>1531</v>
      </c>
      <c r="B2958" t="s">
        <v>73</v>
      </c>
      <c r="C2958" s="10" t="str" cm="1">
        <f t="array" ref="C2958">IF(AND(A2958="2020-12", ISNA(MATCH(B2958, _xlfn._xlws.FILTER(B:B, A:A="2021-01"), 0))), "Left", "Ativo")</f>
        <v>Ativo</v>
      </c>
      <c r="D2958" s="10" t="str" cm="1">
        <f t="array" ref="D2958">IF(AND(A2958="2021-01", ISNA(MATCH(B2958, _xlfn._xlws.FILTER(B:B, A:A="2021-02"), 0))), "Left", "Ativo")</f>
        <v>Ativo</v>
      </c>
      <c r="E2958" s="10" t="str" cm="1">
        <f t="array" ref="E2958">IF(AND(A2958="2021-02", ISNA(MATCH(B2958, _xlfn._xlws.FILTER(B:B, A:A="2021-03"), 0))), "Left", "Ativo")</f>
        <v>Ativo</v>
      </c>
      <c r="F2958" s="12" t="str" cm="1">
        <f t="array" ref="F2958">IF(AND(A2958="2021-03", ISNA(MATCH(B2958, _xlfn._xlws.FILTER(B:B, A:A="2021-04"), 0))), "Left", "Ativo")</f>
        <v>Ativo</v>
      </c>
    </row>
    <row r="2959" spans="1:6" x14ac:dyDescent="0.25">
      <c r="A2959" t="s">
        <v>1531</v>
      </c>
      <c r="B2959" t="s">
        <v>74</v>
      </c>
      <c r="C2959" s="10" t="str" cm="1">
        <f t="array" ref="C2959">IF(AND(A2959="2020-12", ISNA(MATCH(B2959, _xlfn._xlws.FILTER(B:B, A:A="2021-01"), 0))), "Left", "Ativo")</f>
        <v>Ativo</v>
      </c>
      <c r="D2959" s="10" t="str" cm="1">
        <f t="array" ref="D2959">IF(AND(A2959="2021-01", ISNA(MATCH(B2959, _xlfn._xlws.FILTER(B:B, A:A="2021-02"), 0))), "Left", "Ativo")</f>
        <v>Ativo</v>
      </c>
      <c r="E2959" s="10" t="str" cm="1">
        <f t="array" ref="E2959">IF(AND(A2959="2021-02", ISNA(MATCH(B2959, _xlfn._xlws.FILTER(B:B, A:A="2021-03"), 0))), "Left", "Ativo")</f>
        <v>Ativo</v>
      </c>
      <c r="F2959" s="12" t="str" cm="1">
        <f t="array" ref="F2959">IF(AND(A2959="2021-03", ISNA(MATCH(B2959, _xlfn._xlws.FILTER(B:B, A:A="2021-04"), 0))), "Left", "Ativo")</f>
        <v>Ativo</v>
      </c>
    </row>
    <row r="2960" spans="1:6" x14ac:dyDescent="0.25">
      <c r="A2960" t="s">
        <v>1531</v>
      </c>
      <c r="B2960" t="s">
        <v>75</v>
      </c>
      <c r="C2960" s="10" t="str" cm="1">
        <f t="array" ref="C2960">IF(AND(A2960="2020-12", ISNA(MATCH(B2960, _xlfn._xlws.FILTER(B:B, A:A="2021-01"), 0))), "Left", "Ativo")</f>
        <v>Ativo</v>
      </c>
      <c r="D2960" s="10" t="str" cm="1">
        <f t="array" ref="D2960">IF(AND(A2960="2021-01", ISNA(MATCH(B2960, _xlfn._xlws.FILTER(B:B, A:A="2021-02"), 0))), "Left", "Ativo")</f>
        <v>Ativo</v>
      </c>
      <c r="E2960" s="10" t="str" cm="1">
        <f t="array" ref="E2960">IF(AND(A2960="2021-02", ISNA(MATCH(B2960, _xlfn._xlws.FILTER(B:B, A:A="2021-03"), 0))), "Left", "Ativo")</f>
        <v>Ativo</v>
      </c>
      <c r="F2960" s="12" t="str" cm="1">
        <f t="array" ref="F2960">IF(AND(A2960="2021-03", ISNA(MATCH(B2960, _xlfn._xlws.FILTER(B:B, A:A="2021-04"), 0))), "Left", "Ativo")</f>
        <v>Ativo</v>
      </c>
    </row>
    <row r="2961" spans="1:6" x14ac:dyDescent="0.25">
      <c r="A2961" t="s">
        <v>1531</v>
      </c>
      <c r="B2961" t="s">
        <v>76</v>
      </c>
      <c r="C2961" s="10" t="str" cm="1">
        <f t="array" ref="C2961">IF(AND(A2961="2020-12", ISNA(MATCH(B2961, _xlfn._xlws.FILTER(B:B, A:A="2021-01"), 0))), "Left", "Ativo")</f>
        <v>Ativo</v>
      </c>
      <c r="D2961" s="10" t="str" cm="1">
        <f t="array" ref="D2961">IF(AND(A2961="2021-01", ISNA(MATCH(B2961, _xlfn._xlws.FILTER(B:B, A:A="2021-02"), 0))), "Left", "Ativo")</f>
        <v>Ativo</v>
      </c>
      <c r="E2961" s="10" t="str" cm="1">
        <f t="array" ref="E2961">IF(AND(A2961="2021-02", ISNA(MATCH(B2961, _xlfn._xlws.FILTER(B:B, A:A="2021-03"), 0))), "Left", "Ativo")</f>
        <v>Ativo</v>
      </c>
      <c r="F2961" s="12" t="str" cm="1">
        <f t="array" ref="F2961">IF(AND(A2961="2021-03", ISNA(MATCH(B2961, _xlfn._xlws.FILTER(B:B, A:A="2021-04"), 0))), "Left", "Ativo")</f>
        <v>Ativo</v>
      </c>
    </row>
    <row r="2962" spans="1:6" x14ac:dyDescent="0.25">
      <c r="A2962" t="s">
        <v>1531</v>
      </c>
      <c r="B2962" t="s">
        <v>77</v>
      </c>
      <c r="C2962" s="10" t="str" cm="1">
        <f t="array" ref="C2962">IF(AND(A2962="2020-12", ISNA(MATCH(B2962, _xlfn._xlws.FILTER(B:B, A:A="2021-01"), 0))), "Left", "Ativo")</f>
        <v>Ativo</v>
      </c>
      <c r="D2962" s="10" t="str" cm="1">
        <f t="array" ref="D2962">IF(AND(A2962="2021-01", ISNA(MATCH(B2962, _xlfn._xlws.FILTER(B:B, A:A="2021-02"), 0))), "Left", "Ativo")</f>
        <v>Ativo</v>
      </c>
      <c r="E2962" s="10" t="str" cm="1">
        <f t="array" ref="E2962">IF(AND(A2962="2021-02", ISNA(MATCH(B2962, _xlfn._xlws.FILTER(B:B, A:A="2021-03"), 0))), "Left", "Ativo")</f>
        <v>Ativo</v>
      </c>
      <c r="F2962" s="12" t="str" cm="1">
        <f t="array" ref="F2962">IF(AND(A2962="2021-03", ISNA(MATCH(B2962, _xlfn._xlws.FILTER(B:B, A:A="2021-04"), 0))), "Left", "Ativo")</f>
        <v>Ativo</v>
      </c>
    </row>
    <row r="2963" spans="1:6" x14ac:dyDescent="0.25">
      <c r="A2963" t="s">
        <v>1531</v>
      </c>
      <c r="B2963" t="s">
        <v>78</v>
      </c>
      <c r="C2963" s="10" t="str" cm="1">
        <f t="array" ref="C2963">IF(AND(A2963="2020-12", ISNA(MATCH(B2963, _xlfn._xlws.FILTER(B:B, A:A="2021-01"), 0))), "Left", "Ativo")</f>
        <v>Ativo</v>
      </c>
      <c r="D2963" s="10" t="str" cm="1">
        <f t="array" ref="D2963">IF(AND(A2963="2021-01", ISNA(MATCH(B2963, _xlfn._xlws.FILTER(B:B, A:A="2021-02"), 0))), "Left", "Ativo")</f>
        <v>Ativo</v>
      </c>
      <c r="E2963" s="10" t="str" cm="1">
        <f t="array" ref="E2963">IF(AND(A2963="2021-02", ISNA(MATCH(B2963, _xlfn._xlws.FILTER(B:B, A:A="2021-03"), 0))), "Left", "Ativo")</f>
        <v>Ativo</v>
      </c>
      <c r="F2963" s="12" t="str" cm="1">
        <f t="array" ref="F2963">IF(AND(A2963="2021-03", ISNA(MATCH(B2963, _xlfn._xlws.FILTER(B:B, A:A="2021-04"), 0))), "Left", "Ativo")</f>
        <v>Ativo</v>
      </c>
    </row>
    <row r="2964" spans="1:6" x14ac:dyDescent="0.25">
      <c r="A2964" t="s">
        <v>1531</v>
      </c>
      <c r="B2964" t="s">
        <v>79</v>
      </c>
      <c r="C2964" s="10" t="str" cm="1">
        <f t="array" ref="C2964">IF(AND(A2964="2020-12", ISNA(MATCH(B2964, _xlfn._xlws.FILTER(B:B, A:A="2021-01"), 0))), "Left", "Ativo")</f>
        <v>Ativo</v>
      </c>
      <c r="D2964" s="10" t="str" cm="1">
        <f t="array" ref="D2964">IF(AND(A2964="2021-01", ISNA(MATCH(B2964, _xlfn._xlws.FILTER(B:B, A:A="2021-02"), 0))), "Left", "Ativo")</f>
        <v>Ativo</v>
      </c>
      <c r="E2964" s="10" t="str" cm="1">
        <f t="array" ref="E2964">IF(AND(A2964="2021-02", ISNA(MATCH(B2964, _xlfn._xlws.FILTER(B:B, A:A="2021-03"), 0))), "Left", "Ativo")</f>
        <v>Ativo</v>
      </c>
      <c r="F2964" s="12" t="str" cm="1">
        <f t="array" ref="F2964">IF(AND(A2964="2021-03", ISNA(MATCH(B2964, _xlfn._xlws.FILTER(B:B, A:A="2021-04"), 0))), "Left", "Ativo")</f>
        <v>Ativo</v>
      </c>
    </row>
    <row r="2965" spans="1:6" x14ac:dyDescent="0.25">
      <c r="A2965" t="s">
        <v>1531</v>
      </c>
      <c r="B2965" t="s">
        <v>80</v>
      </c>
      <c r="C2965" s="10" t="str" cm="1">
        <f t="array" ref="C2965">IF(AND(A2965="2020-12", ISNA(MATCH(B2965, _xlfn._xlws.FILTER(B:B, A:A="2021-01"), 0))), "Left", "Ativo")</f>
        <v>Ativo</v>
      </c>
      <c r="D2965" s="10" t="str" cm="1">
        <f t="array" ref="D2965">IF(AND(A2965="2021-01", ISNA(MATCH(B2965, _xlfn._xlws.FILTER(B:B, A:A="2021-02"), 0))), "Left", "Ativo")</f>
        <v>Ativo</v>
      </c>
      <c r="E2965" s="10" t="str" cm="1">
        <f t="array" ref="E2965">IF(AND(A2965="2021-02", ISNA(MATCH(B2965, _xlfn._xlws.FILTER(B:B, A:A="2021-03"), 0))), "Left", "Ativo")</f>
        <v>Ativo</v>
      </c>
      <c r="F2965" s="12" t="str" cm="1">
        <f t="array" ref="F2965">IF(AND(A2965="2021-03", ISNA(MATCH(B2965, _xlfn._xlws.FILTER(B:B, A:A="2021-04"), 0))), "Left", "Ativo")</f>
        <v>Left</v>
      </c>
    </row>
    <row r="2966" spans="1:6" x14ac:dyDescent="0.25">
      <c r="A2966" t="s">
        <v>1531</v>
      </c>
      <c r="B2966" t="s">
        <v>81</v>
      </c>
      <c r="C2966" s="10" t="str" cm="1">
        <f t="array" ref="C2966">IF(AND(A2966="2020-12", ISNA(MATCH(B2966, _xlfn._xlws.FILTER(B:B, A:A="2021-01"), 0))), "Left", "Ativo")</f>
        <v>Ativo</v>
      </c>
      <c r="D2966" s="10" t="str" cm="1">
        <f t="array" ref="D2966">IF(AND(A2966="2021-01", ISNA(MATCH(B2966, _xlfn._xlws.FILTER(B:B, A:A="2021-02"), 0))), "Left", "Ativo")</f>
        <v>Ativo</v>
      </c>
      <c r="E2966" s="10" t="str" cm="1">
        <f t="array" ref="E2966">IF(AND(A2966="2021-02", ISNA(MATCH(B2966, _xlfn._xlws.FILTER(B:B, A:A="2021-03"), 0))), "Left", "Ativo")</f>
        <v>Ativo</v>
      </c>
      <c r="F2966" s="12" t="str" cm="1">
        <f t="array" ref="F2966">IF(AND(A2966="2021-03", ISNA(MATCH(B2966, _xlfn._xlws.FILTER(B:B, A:A="2021-04"), 0))), "Left", "Ativo")</f>
        <v>Left</v>
      </c>
    </row>
    <row r="2967" spans="1:6" x14ac:dyDescent="0.25">
      <c r="A2967" t="s">
        <v>1531</v>
      </c>
      <c r="B2967" t="s">
        <v>82</v>
      </c>
      <c r="C2967" s="10" t="str" cm="1">
        <f t="array" ref="C2967">IF(AND(A2967="2020-12", ISNA(MATCH(B2967, _xlfn._xlws.FILTER(B:B, A:A="2021-01"), 0))), "Left", "Ativo")</f>
        <v>Ativo</v>
      </c>
      <c r="D2967" s="10" t="str" cm="1">
        <f t="array" ref="D2967">IF(AND(A2967="2021-01", ISNA(MATCH(B2967, _xlfn._xlws.FILTER(B:B, A:A="2021-02"), 0))), "Left", "Ativo")</f>
        <v>Ativo</v>
      </c>
      <c r="E2967" s="10" t="str" cm="1">
        <f t="array" ref="E2967">IF(AND(A2967="2021-02", ISNA(MATCH(B2967, _xlfn._xlws.FILTER(B:B, A:A="2021-03"), 0))), "Left", "Ativo")</f>
        <v>Ativo</v>
      </c>
      <c r="F2967" s="12" t="str" cm="1">
        <f t="array" ref="F2967">IF(AND(A2967="2021-03", ISNA(MATCH(B2967, _xlfn._xlws.FILTER(B:B, A:A="2021-04"), 0))), "Left", "Ativo")</f>
        <v>Ativo</v>
      </c>
    </row>
    <row r="2968" spans="1:6" x14ac:dyDescent="0.25">
      <c r="A2968" t="s">
        <v>1531</v>
      </c>
      <c r="B2968" t="s">
        <v>83</v>
      </c>
      <c r="C2968" s="10" t="str" cm="1">
        <f t="array" ref="C2968">IF(AND(A2968="2020-12", ISNA(MATCH(B2968, _xlfn._xlws.FILTER(B:B, A:A="2021-01"), 0))), "Left", "Ativo")</f>
        <v>Ativo</v>
      </c>
      <c r="D2968" s="10" t="str" cm="1">
        <f t="array" ref="D2968">IF(AND(A2968="2021-01", ISNA(MATCH(B2968, _xlfn._xlws.FILTER(B:B, A:A="2021-02"), 0))), "Left", "Ativo")</f>
        <v>Ativo</v>
      </c>
      <c r="E2968" s="10" t="str" cm="1">
        <f t="array" ref="E2968">IF(AND(A2968="2021-02", ISNA(MATCH(B2968, _xlfn._xlws.FILTER(B:B, A:A="2021-03"), 0))), "Left", "Ativo")</f>
        <v>Ativo</v>
      </c>
      <c r="F2968" s="12" t="str" cm="1">
        <f t="array" ref="F2968">IF(AND(A2968="2021-03", ISNA(MATCH(B2968, _xlfn._xlws.FILTER(B:B, A:A="2021-04"), 0))), "Left", "Ativo")</f>
        <v>Ativo</v>
      </c>
    </row>
    <row r="2969" spans="1:6" x14ac:dyDescent="0.25">
      <c r="A2969" t="s">
        <v>1531</v>
      </c>
      <c r="B2969" t="s">
        <v>85</v>
      </c>
      <c r="C2969" s="10" t="str" cm="1">
        <f t="array" ref="C2969">IF(AND(A2969="2020-12", ISNA(MATCH(B2969, _xlfn._xlws.FILTER(B:B, A:A="2021-01"), 0))), "Left", "Ativo")</f>
        <v>Ativo</v>
      </c>
      <c r="D2969" s="10" t="str" cm="1">
        <f t="array" ref="D2969">IF(AND(A2969="2021-01", ISNA(MATCH(B2969, _xlfn._xlws.FILTER(B:B, A:A="2021-02"), 0))), "Left", "Ativo")</f>
        <v>Ativo</v>
      </c>
      <c r="E2969" s="10" t="str" cm="1">
        <f t="array" ref="E2969">IF(AND(A2969="2021-02", ISNA(MATCH(B2969, _xlfn._xlws.FILTER(B:B, A:A="2021-03"), 0))), "Left", "Ativo")</f>
        <v>Ativo</v>
      </c>
      <c r="F2969" s="12" t="str" cm="1">
        <f t="array" ref="F2969">IF(AND(A2969="2021-03", ISNA(MATCH(B2969, _xlfn._xlws.FILTER(B:B, A:A="2021-04"), 0))), "Left", "Ativo")</f>
        <v>Ativo</v>
      </c>
    </row>
    <row r="2970" spans="1:6" x14ac:dyDescent="0.25">
      <c r="A2970" t="s">
        <v>1531</v>
      </c>
      <c r="B2970" t="s">
        <v>86</v>
      </c>
      <c r="C2970" s="10" t="str" cm="1">
        <f t="array" ref="C2970">IF(AND(A2970="2020-12", ISNA(MATCH(B2970, _xlfn._xlws.FILTER(B:B, A:A="2021-01"), 0))), "Left", "Ativo")</f>
        <v>Ativo</v>
      </c>
      <c r="D2970" s="10" t="str" cm="1">
        <f t="array" ref="D2970">IF(AND(A2970="2021-01", ISNA(MATCH(B2970, _xlfn._xlws.FILTER(B:B, A:A="2021-02"), 0))), "Left", "Ativo")</f>
        <v>Ativo</v>
      </c>
      <c r="E2970" s="10" t="str" cm="1">
        <f t="array" ref="E2970">IF(AND(A2970="2021-02", ISNA(MATCH(B2970, _xlfn._xlws.FILTER(B:B, A:A="2021-03"), 0))), "Left", "Ativo")</f>
        <v>Ativo</v>
      </c>
      <c r="F2970" s="12" t="str" cm="1">
        <f t="array" ref="F2970">IF(AND(A2970="2021-03", ISNA(MATCH(B2970, _xlfn._xlws.FILTER(B:B, A:A="2021-04"), 0))), "Left", "Ativo")</f>
        <v>Ativo</v>
      </c>
    </row>
    <row r="2971" spans="1:6" x14ac:dyDescent="0.25">
      <c r="A2971" t="s">
        <v>1531</v>
      </c>
      <c r="B2971" t="s">
        <v>87</v>
      </c>
      <c r="C2971" s="10" t="str" cm="1">
        <f t="array" ref="C2971">IF(AND(A2971="2020-12", ISNA(MATCH(B2971, _xlfn._xlws.FILTER(B:B, A:A="2021-01"), 0))), "Left", "Ativo")</f>
        <v>Ativo</v>
      </c>
      <c r="D2971" s="10" t="str" cm="1">
        <f t="array" ref="D2971">IF(AND(A2971="2021-01", ISNA(MATCH(B2971, _xlfn._xlws.FILTER(B:B, A:A="2021-02"), 0))), "Left", "Ativo")</f>
        <v>Ativo</v>
      </c>
      <c r="E2971" s="10" t="str" cm="1">
        <f t="array" ref="E2971">IF(AND(A2971="2021-02", ISNA(MATCH(B2971, _xlfn._xlws.FILTER(B:B, A:A="2021-03"), 0))), "Left", "Ativo")</f>
        <v>Ativo</v>
      </c>
      <c r="F2971" s="12" t="str" cm="1">
        <f t="array" ref="F2971">IF(AND(A2971="2021-03", ISNA(MATCH(B2971, _xlfn._xlws.FILTER(B:B, A:A="2021-04"), 0))), "Left", "Ativo")</f>
        <v>Ativo</v>
      </c>
    </row>
    <row r="2972" spans="1:6" x14ac:dyDescent="0.25">
      <c r="A2972" t="s">
        <v>1531</v>
      </c>
      <c r="B2972" t="s">
        <v>88</v>
      </c>
      <c r="C2972" s="10" t="str" cm="1">
        <f t="array" ref="C2972">IF(AND(A2972="2020-12", ISNA(MATCH(B2972, _xlfn._xlws.FILTER(B:B, A:A="2021-01"), 0))), "Left", "Ativo")</f>
        <v>Ativo</v>
      </c>
      <c r="D2972" s="10" t="str" cm="1">
        <f t="array" ref="D2972">IF(AND(A2972="2021-01", ISNA(MATCH(B2972, _xlfn._xlws.FILTER(B:B, A:A="2021-02"), 0))), "Left", "Ativo")</f>
        <v>Ativo</v>
      </c>
      <c r="E2972" s="10" t="str" cm="1">
        <f t="array" ref="E2972">IF(AND(A2972="2021-02", ISNA(MATCH(B2972, _xlfn._xlws.FILTER(B:B, A:A="2021-03"), 0))), "Left", "Ativo")</f>
        <v>Ativo</v>
      </c>
      <c r="F2972" s="12" t="str" cm="1">
        <f t="array" ref="F2972">IF(AND(A2972="2021-03", ISNA(MATCH(B2972, _xlfn._xlws.FILTER(B:B, A:A="2021-04"), 0))), "Left", "Ativo")</f>
        <v>Ativo</v>
      </c>
    </row>
    <row r="2973" spans="1:6" x14ac:dyDescent="0.25">
      <c r="A2973" t="s">
        <v>1531</v>
      </c>
      <c r="B2973" t="s">
        <v>89</v>
      </c>
      <c r="C2973" s="10" t="str" cm="1">
        <f t="array" ref="C2973">IF(AND(A2973="2020-12", ISNA(MATCH(B2973, _xlfn._xlws.FILTER(B:B, A:A="2021-01"), 0))), "Left", "Ativo")</f>
        <v>Ativo</v>
      </c>
      <c r="D2973" s="10" t="str" cm="1">
        <f t="array" ref="D2973">IF(AND(A2973="2021-01", ISNA(MATCH(B2973, _xlfn._xlws.FILTER(B:B, A:A="2021-02"), 0))), "Left", "Ativo")</f>
        <v>Ativo</v>
      </c>
      <c r="E2973" s="10" t="str" cm="1">
        <f t="array" ref="E2973">IF(AND(A2973="2021-02", ISNA(MATCH(B2973, _xlfn._xlws.FILTER(B:B, A:A="2021-03"), 0))), "Left", "Ativo")</f>
        <v>Ativo</v>
      </c>
      <c r="F2973" s="12" t="str" cm="1">
        <f t="array" ref="F2973">IF(AND(A2973="2021-03", ISNA(MATCH(B2973, _xlfn._xlws.FILTER(B:B, A:A="2021-04"), 0))), "Left", "Ativo")</f>
        <v>Ativo</v>
      </c>
    </row>
    <row r="2974" spans="1:6" x14ac:dyDescent="0.25">
      <c r="A2974" t="s">
        <v>1531</v>
      </c>
      <c r="B2974" t="s">
        <v>90</v>
      </c>
      <c r="C2974" s="10" t="str" cm="1">
        <f t="array" ref="C2974">IF(AND(A2974="2020-12", ISNA(MATCH(B2974, _xlfn._xlws.FILTER(B:B, A:A="2021-01"), 0))), "Left", "Ativo")</f>
        <v>Ativo</v>
      </c>
      <c r="D2974" s="10" t="str" cm="1">
        <f t="array" ref="D2974">IF(AND(A2974="2021-01", ISNA(MATCH(B2974, _xlfn._xlws.FILTER(B:B, A:A="2021-02"), 0))), "Left", "Ativo")</f>
        <v>Ativo</v>
      </c>
      <c r="E2974" s="10" t="str" cm="1">
        <f t="array" ref="E2974">IF(AND(A2974="2021-02", ISNA(MATCH(B2974, _xlfn._xlws.FILTER(B:B, A:A="2021-03"), 0))), "Left", "Ativo")</f>
        <v>Ativo</v>
      </c>
      <c r="F2974" s="12" t="str" cm="1">
        <f t="array" ref="F2974">IF(AND(A2974="2021-03", ISNA(MATCH(B2974, _xlfn._xlws.FILTER(B:B, A:A="2021-04"), 0))), "Left", "Ativo")</f>
        <v>Ativo</v>
      </c>
    </row>
    <row r="2975" spans="1:6" x14ac:dyDescent="0.25">
      <c r="A2975" t="s">
        <v>1531</v>
      </c>
      <c r="B2975" t="s">
        <v>91</v>
      </c>
      <c r="C2975" s="10" t="str" cm="1">
        <f t="array" ref="C2975">IF(AND(A2975="2020-12", ISNA(MATCH(B2975, _xlfn._xlws.FILTER(B:B, A:A="2021-01"), 0))), "Left", "Ativo")</f>
        <v>Ativo</v>
      </c>
      <c r="D2975" s="10" t="str" cm="1">
        <f t="array" ref="D2975">IF(AND(A2975="2021-01", ISNA(MATCH(B2975, _xlfn._xlws.FILTER(B:B, A:A="2021-02"), 0))), "Left", "Ativo")</f>
        <v>Ativo</v>
      </c>
      <c r="E2975" s="10" t="str" cm="1">
        <f t="array" ref="E2975">IF(AND(A2975="2021-02", ISNA(MATCH(B2975, _xlfn._xlws.FILTER(B:B, A:A="2021-03"), 0))), "Left", "Ativo")</f>
        <v>Ativo</v>
      </c>
      <c r="F2975" s="12" t="str" cm="1">
        <f t="array" ref="F2975">IF(AND(A2975="2021-03", ISNA(MATCH(B2975, _xlfn._xlws.FILTER(B:B, A:A="2021-04"), 0))), "Left", "Ativo")</f>
        <v>Ativo</v>
      </c>
    </row>
    <row r="2976" spans="1:6" x14ac:dyDescent="0.25">
      <c r="A2976" t="s">
        <v>1531</v>
      </c>
      <c r="B2976" t="s">
        <v>92</v>
      </c>
      <c r="C2976" s="10" t="str" cm="1">
        <f t="array" ref="C2976">IF(AND(A2976="2020-12", ISNA(MATCH(B2976, _xlfn._xlws.FILTER(B:B, A:A="2021-01"), 0))), "Left", "Ativo")</f>
        <v>Ativo</v>
      </c>
      <c r="D2976" s="10" t="str" cm="1">
        <f t="array" ref="D2976">IF(AND(A2976="2021-01", ISNA(MATCH(B2976, _xlfn._xlws.FILTER(B:B, A:A="2021-02"), 0))), "Left", "Ativo")</f>
        <v>Ativo</v>
      </c>
      <c r="E2976" s="10" t="str" cm="1">
        <f t="array" ref="E2976">IF(AND(A2976="2021-02", ISNA(MATCH(B2976, _xlfn._xlws.FILTER(B:B, A:A="2021-03"), 0))), "Left", "Ativo")</f>
        <v>Ativo</v>
      </c>
      <c r="F2976" s="12" t="str" cm="1">
        <f t="array" ref="F2976">IF(AND(A2976="2021-03", ISNA(MATCH(B2976, _xlfn._xlws.FILTER(B:B, A:A="2021-04"), 0))), "Left", "Ativo")</f>
        <v>Ativo</v>
      </c>
    </row>
    <row r="2977" spans="1:6" x14ac:dyDescent="0.25">
      <c r="A2977" t="s">
        <v>1531</v>
      </c>
      <c r="B2977" t="s">
        <v>93</v>
      </c>
      <c r="C2977" s="10" t="str" cm="1">
        <f t="array" ref="C2977">IF(AND(A2977="2020-12", ISNA(MATCH(B2977, _xlfn._xlws.FILTER(B:B, A:A="2021-01"), 0))), "Left", "Ativo")</f>
        <v>Ativo</v>
      </c>
      <c r="D2977" s="10" t="str" cm="1">
        <f t="array" ref="D2977">IF(AND(A2977="2021-01", ISNA(MATCH(B2977, _xlfn._xlws.FILTER(B:B, A:A="2021-02"), 0))), "Left", "Ativo")</f>
        <v>Ativo</v>
      </c>
      <c r="E2977" s="10" t="str" cm="1">
        <f t="array" ref="E2977">IF(AND(A2977="2021-02", ISNA(MATCH(B2977, _xlfn._xlws.FILTER(B:B, A:A="2021-03"), 0))), "Left", "Ativo")</f>
        <v>Ativo</v>
      </c>
      <c r="F2977" s="12" t="str" cm="1">
        <f t="array" ref="F2977">IF(AND(A2977="2021-03", ISNA(MATCH(B2977, _xlfn._xlws.FILTER(B:B, A:A="2021-04"), 0))), "Left", "Ativo")</f>
        <v>Ativo</v>
      </c>
    </row>
    <row r="2978" spans="1:6" x14ac:dyDescent="0.25">
      <c r="A2978" t="s">
        <v>1531</v>
      </c>
      <c r="B2978" t="s">
        <v>94</v>
      </c>
      <c r="C2978" s="10" t="str" cm="1">
        <f t="array" ref="C2978">IF(AND(A2978="2020-12", ISNA(MATCH(B2978, _xlfn._xlws.FILTER(B:B, A:A="2021-01"), 0))), "Left", "Ativo")</f>
        <v>Ativo</v>
      </c>
      <c r="D2978" s="10" t="str" cm="1">
        <f t="array" ref="D2978">IF(AND(A2978="2021-01", ISNA(MATCH(B2978, _xlfn._xlws.FILTER(B:B, A:A="2021-02"), 0))), "Left", "Ativo")</f>
        <v>Ativo</v>
      </c>
      <c r="E2978" s="10" t="str" cm="1">
        <f t="array" ref="E2978">IF(AND(A2978="2021-02", ISNA(MATCH(B2978, _xlfn._xlws.FILTER(B:B, A:A="2021-03"), 0))), "Left", "Ativo")</f>
        <v>Ativo</v>
      </c>
      <c r="F2978" s="12" t="str" cm="1">
        <f t="array" ref="F2978">IF(AND(A2978="2021-03", ISNA(MATCH(B2978, _xlfn._xlws.FILTER(B:B, A:A="2021-04"), 0))), "Left", "Ativo")</f>
        <v>Ativo</v>
      </c>
    </row>
    <row r="2979" spans="1:6" x14ac:dyDescent="0.25">
      <c r="A2979" t="s">
        <v>1531</v>
      </c>
      <c r="B2979" t="s">
        <v>95</v>
      </c>
      <c r="C2979" s="10" t="str" cm="1">
        <f t="array" ref="C2979">IF(AND(A2979="2020-12", ISNA(MATCH(B2979, _xlfn._xlws.FILTER(B:B, A:A="2021-01"), 0))), "Left", "Ativo")</f>
        <v>Ativo</v>
      </c>
      <c r="D2979" s="10" t="str" cm="1">
        <f t="array" ref="D2979">IF(AND(A2979="2021-01", ISNA(MATCH(B2979, _xlfn._xlws.FILTER(B:B, A:A="2021-02"), 0))), "Left", "Ativo")</f>
        <v>Ativo</v>
      </c>
      <c r="E2979" s="10" t="str" cm="1">
        <f t="array" ref="E2979">IF(AND(A2979="2021-02", ISNA(MATCH(B2979, _xlfn._xlws.FILTER(B:B, A:A="2021-03"), 0))), "Left", "Ativo")</f>
        <v>Ativo</v>
      </c>
      <c r="F2979" s="12" t="str" cm="1">
        <f t="array" ref="F2979">IF(AND(A2979="2021-03", ISNA(MATCH(B2979, _xlfn._xlws.FILTER(B:B, A:A="2021-04"), 0))), "Left", "Ativo")</f>
        <v>Ativo</v>
      </c>
    </row>
    <row r="2980" spans="1:6" x14ac:dyDescent="0.25">
      <c r="A2980" t="s">
        <v>1531</v>
      </c>
      <c r="B2980" t="s">
        <v>96</v>
      </c>
      <c r="C2980" s="10" t="str" cm="1">
        <f t="array" ref="C2980">IF(AND(A2980="2020-12", ISNA(MATCH(B2980, _xlfn._xlws.FILTER(B:B, A:A="2021-01"), 0))), "Left", "Ativo")</f>
        <v>Ativo</v>
      </c>
      <c r="D2980" s="10" t="str" cm="1">
        <f t="array" ref="D2980">IF(AND(A2980="2021-01", ISNA(MATCH(B2980, _xlfn._xlws.FILTER(B:B, A:A="2021-02"), 0))), "Left", "Ativo")</f>
        <v>Ativo</v>
      </c>
      <c r="E2980" s="10" t="str" cm="1">
        <f t="array" ref="E2980">IF(AND(A2980="2021-02", ISNA(MATCH(B2980, _xlfn._xlws.FILTER(B:B, A:A="2021-03"), 0))), "Left", "Ativo")</f>
        <v>Ativo</v>
      </c>
      <c r="F2980" s="12" t="str" cm="1">
        <f t="array" ref="F2980">IF(AND(A2980="2021-03", ISNA(MATCH(B2980, _xlfn._xlws.FILTER(B:B, A:A="2021-04"), 0))), "Left", "Ativo")</f>
        <v>Ativo</v>
      </c>
    </row>
    <row r="2981" spans="1:6" x14ac:dyDescent="0.25">
      <c r="A2981" t="s">
        <v>1531</v>
      </c>
      <c r="B2981" t="s">
        <v>97</v>
      </c>
      <c r="C2981" s="10" t="str" cm="1">
        <f t="array" ref="C2981">IF(AND(A2981="2020-12", ISNA(MATCH(B2981, _xlfn._xlws.FILTER(B:B, A:A="2021-01"), 0))), "Left", "Ativo")</f>
        <v>Ativo</v>
      </c>
      <c r="D2981" s="10" t="str" cm="1">
        <f t="array" ref="D2981">IF(AND(A2981="2021-01", ISNA(MATCH(B2981, _xlfn._xlws.FILTER(B:B, A:A="2021-02"), 0))), "Left", "Ativo")</f>
        <v>Ativo</v>
      </c>
      <c r="E2981" s="10" t="str" cm="1">
        <f t="array" ref="E2981">IF(AND(A2981="2021-02", ISNA(MATCH(B2981, _xlfn._xlws.FILTER(B:B, A:A="2021-03"), 0))), "Left", "Ativo")</f>
        <v>Ativo</v>
      </c>
      <c r="F2981" s="12" t="str" cm="1">
        <f t="array" ref="F2981">IF(AND(A2981="2021-03", ISNA(MATCH(B2981, _xlfn._xlws.FILTER(B:B, A:A="2021-04"), 0))), "Left", "Ativo")</f>
        <v>Ativo</v>
      </c>
    </row>
    <row r="2982" spans="1:6" x14ac:dyDescent="0.25">
      <c r="A2982" t="s">
        <v>1531</v>
      </c>
      <c r="B2982" t="s">
        <v>98</v>
      </c>
      <c r="C2982" s="10" t="str" cm="1">
        <f t="array" ref="C2982">IF(AND(A2982="2020-12", ISNA(MATCH(B2982, _xlfn._xlws.FILTER(B:B, A:A="2021-01"), 0))), "Left", "Ativo")</f>
        <v>Ativo</v>
      </c>
      <c r="D2982" s="10" t="str" cm="1">
        <f t="array" ref="D2982">IF(AND(A2982="2021-01", ISNA(MATCH(B2982, _xlfn._xlws.FILTER(B:B, A:A="2021-02"), 0))), "Left", "Ativo")</f>
        <v>Ativo</v>
      </c>
      <c r="E2982" s="10" t="str" cm="1">
        <f t="array" ref="E2982">IF(AND(A2982="2021-02", ISNA(MATCH(B2982, _xlfn._xlws.FILTER(B:B, A:A="2021-03"), 0))), "Left", "Ativo")</f>
        <v>Ativo</v>
      </c>
      <c r="F2982" s="12" t="str" cm="1">
        <f t="array" ref="F2982">IF(AND(A2982="2021-03", ISNA(MATCH(B2982, _xlfn._xlws.FILTER(B:B, A:A="2021-04"), 0))), "Left", "Ativo")</f>
        <v>Ativo</v>
      </c>
    </row>
    <row r="2983" spans="1:6" x14ac:dyDescent="0.25">
      <c r="A2983" t="s">
        <v>1531</v>
      </c>
      <c r="B2983" t="s">
        <v>99</v>
      </c>
      <c r="C2983" s="10" t="str" cm="1">
        <f t="array" ref="C2983">IF(AND(A2983="2020-12", ISNA(MATCH(B2983, _xlfn._xlws.FILTER(B:B, A:A="2021-01"), 0))), "Left", "Ativo")</f>
        <v>Ativo</v>
      </c>
      <c r="D2983" s="10" t="str" cm="1">
        <f t="array" ref="D2983">IF(AND(A2983="2021-01", ISNA(MATCH(B2983, _xlfn._xlws.FILTER(B:B, A:A="2021-02"), 0))), "Left", "Ativo")</f>
        <v>Ativo</v>
      </c>
      <c r="E2983" s="10" t="str" cm="1">
        <f t="array" ref="E2983">IF(AND(A2983="2021-02", ISNA(MATCH(B2983, _xlfn._xlws.FILTER(B:B, A:A="2021-03"), 0))), "Left", "Ativo")</f>
        <v>Ativo</v>
      </c>
      <c r="F2983" s="12" t="str" cm="1">
        <f t="array" ref="F2983">IF(AND(A2983="2021-03", ISNA(MATCH(B2983, _xlfn._xlws.FILTER(B:B, A:A="2021-04"), 0))), "Left", "Ativo")</f>
        <v>Ativo</v>
      </c>
    </row>
    <row r="2984" spans="1:6" x14ac:dyDescent="0.25">
      <c r="A2984" t="s">
        <v>1531</v>
      </c>
      <c r="B2984" t="s">
        <v>100</v>
      </c>
      <c r="C2984" s="10" t="str" cm="1">
        <f t="array" ref="C2984">IF(AND(A2984="2020-12", ISNA(MATCH(B2984, _xlfn._xlws.FILTER(B:B, A:A="2021-01"), 0))), "Left", "Ativo")</f>
        <v>Ativo</v>
      </c>
      <c r="D2984" s="10" t="str" cm="1">
        <f t="array" ref="D2984">IF(AND(A2984="2021-01", ISNA(MATCH(B2984, _xlfn._xlws.FILTER(B:B, A:A="2021-02"), 0))), "Left", "Ativo")</f>
        <v>Ativo</v>
      </c>
      <c r="E2984" s="10" t="str" cm="1">
        <f t="array" ref="E2984">IF(AND(A2984="2021-02", ISNA(MATCH(B2984, _xlfn._xlws.FILTER(B:B, A:A="2021-03"), 0))), "Left", "Ativo")</f>
        <v>Ativo</v>
      </c>
      <c r="F2984" s="12" t="str" cm="1">
        <f t="array" ref="F2984">IF(AND(A2984="2021-03", ISNA(MATCH(B2984, _xlfn._xlws.FILTER(B:B, A:A="2021-04"), 0))), "Left", "Ativo")</f>
        <v>Ativo</v>
      </c>
    </row>
    <row r="2985" spans="1:6" x14ac:dyDescent="0.25">
      <c r="A2985" t="s">
        <v>1531</v>
      </c>
      <c r="B2985" t="s">
        <v>101</v>
      </c>
      <c r="C2985" s="10" t="str" cm="1">
        <f t="array" ref="C2985">IF(AND(A2985="2020-12", ISNA(MATCH(B2985, _xlfn._xlws.FILTER(B:B, A:A="2021-01"), 0))), "Left", "Ativo")</f>
        <v>Ativo</v>
      </c>
      <c r="D2985" s="10" t="str" cm="1">
        <f t="array" ref="D2985">IF(AND(A2985="2021-01", ISNA(MATCH(B2985, _xlfn._xlws.FILTER(B:B, A:A="2021-02"), 0))), "Left", "Ativo")</f>
        <v>Ativo</v>
      </c>
      <c r="E2985" s="10" t="str" cm="1">
        <f t="array" ref="E2985">IF(AND(A2985="2021-02", ISNA(MATCH(B2985, _xlfn._xlws.FILTER(B:B, A:A="2021-03"), 0))), "Left", "Ativo")</f>
        <v>Ativo</v>
      </c>
      <c r="F2985" s="12" t="str" cm="1">
        <f t="array" ref="F2985">IF(AND(A2985="2021-03", ISNA(MATCH(B2985, _xlfn._xlws.FILTER(B:B, A:A="2021-04"), 0))), "Left", "Ativo")</f>
        <v>Ativo</v>
      </c>
    </row>
    <row r="2986" spans="1:6" x14ac:dyDescent="0.25">
      <c r="A2986" t="s">
        <v>1531</v>
      </c>
      <c r="B2986" t="s">
        <v>102</v>
      </c>
      <c r="C2986" s="10" t="str" cm="1">
        <f t="array" ref="C2986">IF(AND(A2986="2020-12", ISNA(MATCH(B2986, _xlfn._xlws.FILTER(B:B, A:A="2021-01"), 0))), "Left", "Ativo")</f>
        <v>Ativo</v>
      </c>
      <c r="D2986" s="10" t="str" cm="1">
        <f t="array" ref="D2986">IF(AND(A2986="2021-01", ISNA(MATCH(B2986, _xlfn._xlws.FILTER(B:B, A:A="2021-02"), 0))), "Left", "Ativo")</f>
        <v>Ativo</v>
      </c>
      <c r="E2986" s="10" t="str" cm="1">
        <f t="array" ref="E2986">IF(AND(A2986="2021-02", ISNA(MATCH(B2986, _xlfn._xlws.FILTER(B:B, A:A="2021-03"), 0))), "Left", "Ativo")</f>
        <v>Ativo</v>
      </c>
      <c r="F2986" s="12" t="str" cm="1">
        <f t="array" ref="F2986">IF(AND(A2986="2021-03", ISNA(MATCH(B2986, _xlfn._xlws.FILTER(B:B, A:A="2021-04"), 0))), "Left", "Ativo")</f>
        <v>Ativo</v>
      </c>
    </row>
    <row r="2987" spans="1:6" x14ac:dyDescent="0.25">
      <c r="A2987" t="s">
        <v>1531</v>
      </c>
      <c r="B2987" t="s">
        <v>103</v>
      </c>
      <c r="C2987" s="10" t="str" cm="1">
        <f t="array" ref="C2987">IF(AND(A2987="2020-12", ISNA(MATCH(B2987, _xlfn._xlws.FILTER(B:B, A:A="2021-01"), 0))), "Left", "Ativo")</f>
        <v>Ativo</v>
      </c>
      <c r="D2987" s="10" t="str" cm="1">
        <f t="array" ref="D2987">IF(AND(A2987="2021-01", ISNA(MATCH(B2987, _xlfn._xlws.FILTER(B:B, A:A="2021-02"), 0))), "Left", "Ativo")</f>
        <v>Ativo</v>
      </c>
      <c r="E2987" s="10" t="str" cm="1">
        <f t="array" ref="E2987">IF(AND(A2987="2021-02", ISNA(MATCH(B2987, _xlfn._xlws.FILTER(B:B, A:A="2021-03"), 0))), "Left", "Ativo")</f>
        <v>Ativo</v>
      </c>
      <c r="F2987" s="12" t="str" cm="1">
        <f t="array" ref="F2987">IF(AND(A2987="2021-03", ISNA(MATCH(B2987, _xlfn._xlws.FILTER(B:B, A:A="2021-04"), 0))), "Left", "Ativo")</f>
        <v>Ativo</v>
      </c>
    </row>
    <row r="2988" spans="1:6" x14ac:dyDescent="0.25">
      <c r="A2988" t="s">
        <v>1531</v>
      </c>
      <c r="B2988" t="s">
        <v>104</v>
      </c>
      <c r="C2988" s="10" t="str" cm="1">
        <f t="array" ref="C2988">IF(AND(A2988="2020-12", ISNA(MATCH(B2988, _xlfn._xlws.FILTER(B:B, A:A="2021-01"), 0))), "Left", "Ativo")</f>
        <v>Ativo</v>
      </c>
      <c r="D2988" s="10" t="str" cm="1">
        <f t="array" ref="D2988">IF(AND(A2988="2021-01", ISNA(MATCH(B2988, _xlfn._xlws.FILTER(B:B, A:A="2021-02"), 0))), "Left", "Ativo")</f>
        <v>Ativo</v>
      </c>
      <c r="E2988" s="10" t="str" cm="1">
        <f t="array" ref="E2988">IF(AND(A2988="2021-02", ISNA(MATCH(B2988, _xlfn._xlws.FILTER(B:B, A:A="2021-03"), 0))), "Left", "Ativo")</f>
        <v>Ativo</v>
      </c>
      <c r="F2988" s="12" t="str" cm="1">
        <f t="array" ref="F2988">IF(AND(A2988="2021-03", ISNA(MATCH(B2988, _xlfn._xlws.FILTER(B:B, A:A="2021-04"), 0))), "Left", "Ativo")</f>
        <v>Ativo</v>
      </c>
    </row>
    <row r="2989" spans="1:6" x14ac:dyDescent="0.25">
      <c r="A2989" t="s">
        <v>1531</v>
      </c>
      <c r="B2989" t="s">
        <v>105</v>
      </c>
      <c r="C2989" s="10" t="str" cm="1">
        <f t="array" ref="C2989">IF(AND(A2989="2020-12", ISNA(MATCH(B2989, _xlfn._xlws.FILTER(B:B, A:A="2021-01"), 0))), "Left", "Ativo")</f>
        <v>Ativo</v>
      </c>
      <c r="D2989" s="10" t="str" cm="1">
        <f t="array" ref="D2989">IF(AND(A2989="2021-01", ISNA(MATCH(B2989, _xlfn._xlws.FILTER(B:B, A:A="2021-02"), 0))), "Left", "Ativo")</f>
        <v>Ativo</v>
      </c>
      <c r="E2989" s="10" t="str" cm="1">
        <f t="array" ref="E2989">IF(AND(A2989="2021-02", ISNA(MATCH(B2989, _xlfn._xlws.FILTER(B:B, A:A="2021-03"), 0))), "Left", "Ativo")</f>
        <v>Ativo</v>
      </c>
      <c r="F2989" s="12" t="str" cm="1">
        <f t="array" ref="F2989">IF(AND(A2989="2021-03", ISNA(MATCH(B2989, _xlfn._xlws.FILTER(B:B, A:A="2021-04"), 0))), "Left", "Ativo")</f>
        <v>Ativo</v>
      </c>
    </row>
    <row r="2990" spans="1:6" x14ac:dyDescent="0.25">
      <c r="A2990" t="s">
        <v>1531</v>
      </c>
      <c r="B2990" t="s">
        <v>106</v>
      </c>
      <c r="C2990" s="10" t="str" cm="1">
        <f t="array" ref="C2990">IF(AND(A2990="2020-12", ISNA(MATCH(B2990, _xlfn._xlws.FILTER(B:B, A:A="2021-01"), 0))), "Left", "Ativo")</f>
        <v>Ativo</v>
      </c>
      <c r="D2990" s="10" t="str" cm="1">
        <f t="array" ref="D2990">IF(AND(A2990="2021-01", ISNA(MATCH(B2990, _xlfn._xlws.FILTER(B:B, A:A="2021-02"), 0))), "Left", "Ativo")</f>
        <v>Ativo</v>
      </c>
      <c r="E2990" s="10" t="str" cm="1">
        <f t="array" ref="E2990">IF(AND(A2990="2021-02", ISNA(MATCH(B2990, _xlfn._xlws.FILTER(B:B, A:A="2021-03"), 0))), "Left", "Ativo")</f>
        <v>Ativo</v>
      </c>
      <c r="F2990" s="12" t="str" cm="1">
        <f t="array" ref="F2990">IF(AND(A2990="2021-03", ISNA(MATCH(B2990, _xlfn._xlws.FILTER(B:B, A:A="2021-04"), 0))), "Left", "Ativo")</f>
        <v>Ativo</v>
      </c>
    </row>
    <row r="2991" spans="1:6" x14ac:dyDescent="0.25">
      <c r="A2991" t="s">
        <v>1531</v>
      </c>
      <c r="B2991" t="s">
        <v>107</v>
      </c>
      <c r="C2991" s="10" t="str" cm="1">
        <f t="array" ref="C2991">IF(AND(A2991="2020-12", ISNA(MATCH(B2991, _xlfn._xlws.FILTER(B:B, A:A="2021-01"), 0))), "Left", "Ativo")</f>
        <v>Ativo</v>
      </c>
      <c r="D2991" s="10" t="str" cm="1">
        <f t="array" ref="D2991">IF(AND(A2991="2021-01", ISNA(MATCH(B2991, _xlfn._xlws.FILTER(B:B, A:A="2021-02"), 0))), "Left", "Ativo")</f>
        <v>Ativo</v>
      </c>
      <c r="E2991" s="10" t="str" cm="1">
        <f t="array" ref="E2991">IF(AND(A2991="2021-02", ISNA(MATCH(B2991, _xlfn._xlws.FILTER(B:B, A:A="2021-03"), 0))), "Left", "Ativo")</f>
        <v>Ativo</v>
      </c>
      <c r="F2991" s="12" t="str" cm="1">
        <f t="array" ref="F2991">IF(AND(A2991="2021-03", ISNA(MATCH(B2991, _xlfn._xlws.FILTER(B:B, A:A="2021-04"), 0))), "Left", "Ativo")</f>
        <v>Ativo</v>
      </c>
    </row>
    <row r="2992" spans="1:6" x14ac:dyDescent="0.25">
      <c r="A2992" t="s">
        <v>1531</v>
      </c>
      <c r="B2992" t="s">
        <v>108</v>
      </c>
      <c r="C2992" s="10" t="str" cm="1">
        <f t="array" ref="C2992">IF(AND(A2992="2020-12", ISNA(MATCH(B2992, _xlfn._xlws.FILTER(B:B, A:A="2021-01"), 0))), "Left", "Ativo")</f>
        <v>Ativo</v>
      </c>
      <c r="D2992" s="10" t="str" cm="1">
        <f t="array" ref="D2992">IF(AND(A2992="2021-01", ISNA(MATCH(B2992, _xlfn._xlws.FILTER(B:B, A:A="2021-02"), 0))), "Left", "Ativo")</f>
        <v>Ativo</v>
      </c>
      <c r="E2992" s="10" t="str" cm="1">
        <f t="array" ref="E2992">IF(AND(A2992="2021-02", ISNA(MATCH(B2992, _xlfn._xlws.FILTER(B:B, A:A="2021-03"), 0))), "Left", "Ativo")</f>
        <v>Ativo</v>
      </c>
      <c r="F2992" s="12" t="str" cm="1">
        <f t="array" ref="F2992">IF(AND(A2992="2021-03", ISNA(MATCH(B2992, _xlfn._xlws.FILTER(B:B, A:A="2021-04"), 0))), "Left", "Ativo")</f>
        <v>Ativo</v>
      </c>
    </row>
    <row r="2993" spans="1:6" x14ac:dyDescent="0.25">
      <c r="A2993" t="s">
        <v>1531</v>
      </c>
      <c r="B2993" t="s">
        <v>109</v>
      </c>
      <c r="C2993" s="10" t="str" cm="1">
        <f t="array" ref="C2993">IF(AND(A2993="2020-12", ISNA(MATCH(B2993, _xlfn._xlws.FILTER(B:B, A:A="2021-01"), 0))), "Left", "Ativo")</f>
        <v>Ativo</v>
      </c>
      <c r="D2993" s="10" t="str" cm="1">
        <f t="array" ref="D2993">IF(AND(A2993="2021-01", ISNA(MATCH(B2993, _xlfn._xlws.FILTER(B:B, A:A="2021-02"), 0))), "Left", "Ativo")</f>
        <v>Ativo</v>
      </c>
      <c r="E2993" s="10" t="str" cm="1">
        <f t="array" ref="E2993">IF(AND(A2993="2021-02", ISNA(MATCH(B2993, _xlfn._xlws.FILTER(B:B, A:A="2021-03"), 0))), "Left", "Ativo")</f>
        <v>Ativo</v>
      </c>
      <c r="F2993" s="12" t="str" cm="1">
        <f t="array" ref="F2993">IF(AND(A2993="2021-03", ISNA(MATCH(B2993, _xlfn._xlws.FILTER(B:B, A:A="2021-04"), 0))), "Left", "Ativo")</f>
        <v>Ativo</v>
      </c>
    </row>
    <row r="2994" spans="1:6" x14ac:dyDescent="0.25">
      <c r="A2994" t="s">
        <v>1531</v>
      </c>
      <c r="B2994" t="s">
        <v>110</v>
      </c>
      <c r="C2994" s="10" t="str" cm="1">
        <f t="array" ref="C2994">IF(AND(A2994="2020-12", ISNA(MATCH(B2994, _xlfn._xlws.FILTER(B:B, A:A="2021-01"), 0))), "Left", "Ativo")</f>
        <v>Ativo</v>
      </c>
      <c r="D2994" s="10" t="str" cm="1">
        <f t="array" ref="D2994">IF(AND(A2994="2021-01", ISNA(MATCH(B2994, _xlfn._xlws.FILTER(B:B, A:A="2021-02"), 0))), "Left", "Ativo")</f>
        <v>Ativo</v>
      </c>
      <c r="E2994" s="10" t="str" cm="1">
        <f t="array" ref="E2994">IF(AND(A2994="2021-02", ISNA(MATCH(B2994, _xlfn._xlws.FILTER(B:B, A:A="2021-03"), 0))), "Left", "Ativo")</f>
        <v>Ativo</v>
      </c>
      <c r="F2994" s="12" t="str" cm="1">
        <f t="array" ref="F2994">IF(AND(A2994="2021-03", ISNA(MATCH(B2994, _xlfn._xlws.FILTER(B:B, A:A="2021-04"), 0))), "Left", "Ativo")</f>
        <v>Ativo</v>
      </c>
    </row>
    <row r="2995" spans="1:6" x14ac:dyDescent="0.25">
      <c r="A2995" t="s">
        <v>1531</v>
      </c>
      <c r="B2995" t="s">
        <v>111</v>
      </c>
      <c r="C2995" s="10" t="str" cm="1">
        <f t="array" ref="C2995">IF(AND(A2995="2020-12", ISNA(MATCH(B2995, _xlfn._xlws.FILTER(B:B, A:A="2021-01"), 0))), "Left", "Ativo")</f>
        <v>Ativo</v>
      </c>
      <c r="D2995" s="10" t="str" cm="1">
        <f t="array" ref="D2995">IF(AND(A2995="2021-01", ISNA(MATCH(B2995, _xlfn._xlws.FILTER(B:B, A:A="2021-02"), 0))), "Left", "Ativo")</f>
        <v>Ativo</v>
      </c>
      <c r="E2995" s="10" t="str" cm="1">
        <f t="array" ref="E2995">IF(AND(A2995="2021-02", ISNA(MATCH(B2995, _xlfn._xlws.FILTER(B:B, A:A="2021-03"), 0))), "Left", "Ativo")</f>
        <v>Ativo</v>
      </c>
      <c r="F2995" s="12" t="str" cm="1">
        <f t="array" ref="F2995">IF(AND(A2995="2021-03", ISNA(MATCH(B2995, _xlfn._xlws.FILTER(B:B, A:A="2021-04"), 0))), "Left", "Ativo")</f>
        <v>Ativo</v>
      </c>
    </row>
    <row r="2996" spans="1:6" x14ac:dyDescent="0.25">
      <c r="A2996" t="s">
        <v>1531</v>
      </c>
      <c r="B2996" t="s">
        <v>112</v>
      </c>
      <c r="C2996" s="10" t="str" cm="1">
        <f t="array" ref="C2996">IF(AND(A2996="2020-12", ISNA(MATCH(B2996, _xlfn._xlws.FILTER(B:B, A:A="2021-01"), 0))), "Left", "Ativo")</f>
        <v>Ativo</v>
      </c>
      <c r="D2996" s="10" t="str" cm="1">
        <f t="array" ref="D2996">IF(AND(A2996="2021-01", ISNA(MATCH(B2996, _xlfn._xlws.FILTER(B:B, A:A="2021-02"), 0))), "Left", "Ativo")</f>
        <v>Ativo</v>
      </c>
      <c r="E2996" s="10" t="str" cm="1">
        <f t="array" ref="E2996">IF(AND(A2996="2021-02", ISNA(MATCH(B2996, _xlfn._xlws.FILTER(B:B, A:A="2021-03"), 0))), "Left", "Ativo")</f>
        <v>Ativo</v>
      </c>
      <c r="F2996" s="12" t="str" cm="1">
        <f t="array" ref="F2996">IF(AND(A2996="2021-03", ISNA(MATCH(B2996, _xlfn._xlws.FILTER(B:B, A:A="2021-04"), 0))), "Left", "Ativo")</f>
        <v>Ativo</v>
      </c>
    </row>
    <row r="2997" spans="1:6" x14ac:dyDescent="0.25">
      <c r="A2997" t="s">
        <v>1531</v>
      </c>
      <c r="B2997" t="s">
        <v>113</v>
      </c>
      <c r="C2997" s="10" t="str" cm="1">
        <f t="array" ref="C2997">IF(AND(A2997="2020-12", ISNA(MATCH(B2997, _xlfn._xlws.FILTER(B:B, A:A="2021-01"), 0))), "Left", "Ativo")</f>
        <v>Ativo</v>
      </c>
      <c r="D2997" s="10" t="str" cm="1">
        <f t="array" ref="D2997">IF(AND(A2997="2021-01", ISNA(MATCH(B2997, _xlfn._xlws.FILTER(B:B, A:A="2021-02"), 0))), "Left", "Ativo")</f>
        <v>Ativo</v>
      </c>
      <c r="E2997" s="10" t="str" cm="1">
        <f t="array" ref="E2997">IF(AND(A2997="2021-02", ISNA(MATCH(B2997, _xlfn._xlws.FILTER(B:B, A:A="2021-03"), 0))), "Left", "Ativo")</f>
        <v>Ativo</v>
      </c>
      <c r="F2997" s="12" t="str" cm="1">
        <f t="array" ref="F2997">IF(AND(A2997="2021-03", ISNA(MATCH(B2997, _xlfn._xlws.FILTER(B:B, A:A="2021-04"), 0))), "Left", "Ativo")</f>
        <v>Left</v>
      </c>
    </row>
    <row r="2998" spans="1:6" x14ac:dyDescent="0.25">
      <c r="A2998" t="s">
        <v>1531</v>
      </c>
      <c r="B2998" t="s">
        <v>114</v>
      </c>
      <c r="C2998" s="10" t="str" cm="1">
        <f t="array" ref="C2998">IF(AND(A2998="2020-12", ISNA(MATCH(B2998, _xlfn._xlws.FILTER(B:B, A:A="2021-01"), 0))), "Left", "Ativo")</f>
        <v>Ativo</v>
      </c>
      <c r="D2998" s="10" t="str" cm="1">
        <f t="array" ref="D2998">IF(AND(A2998="2021-01", ISNA(MATCH(B2998, _xlfn._xlws.FILTER(B:B, A:A="2021-02"), 0))), "Left", "Ativo")</f>
        <v>Ativo</v>
      </c>
      <c r="E2998" s="10" t="str" cm="1">
        <f t="array" ref="E2998">IF(AND(A2998="2021-02", ISNA(MATCH(B2998, _xlfn._xlws.FILTER(B:B, A:A="2021-03"), 0))), "Left", "Ativo")</f>
        <v>Ativo</v>
      </c>
      <c r="F2998" s="12" t="str" cm="1">
        <f t="array" ref="F2998">IF(AND(A2998="2021-03", ISNA(MATCH(B2998, _xlfn._xlws.FILTER(B:B, A:A="2021-04"), 0))), "Left", "Ativo")</f>
        <v>Ativo</v>
      </c>
    </row>
    <row r="2999" spans="1:6" x14ac:dyDescent="0.25">
      <c r="A2999" t="s">
        <v>1531</v>
      </c>
      <c r="B2999" t="s">
        <v>115</v>
      </c>
      <c r="C2999" s="10" t="str" cm="1">
        <f t="array" ref="C2999">IF(AND(A2999="2020-12", ISNA(MATCH(B2999, _xlfn._xlws.FILTER(B:B, A:A="2021-01"), 0))), "Left", "Ativo")</f>
        <v>Ativo</v>
      </c>
      <c r="D2999" s="10" t="str" cm="1">
        <f t="array" ref="D2999">IF(AND(A2999="2021-01", ISNA(MATCH(B2999, _xlfn._xlws.FILTER(B:B, A:A="2021-02"), 0))), "Left", "Ativo")</f>
        <v>Ativo</v>
      </c>
      <c r="E2999" s="10" t="str" cm="1">
        <f t="array" ref="E2999">IF(AND(A2999="2021-02", ISNA(MATCH(B2999, _xlfn._xlws.FILTER(B:B, A:A="2021-03"), 0))), "Left", "Ativo")</f>
        <v>Ativo</v>
      </c>
      <c r="F2999" s="12" t="str" cm="1">
        <f t="array" ref="F2999">IF(AND(A2999="2021-03", ISNA(MATCH(B2999, _xlfn._xlws.FILTER(B:B, A:A="2021-04"), 0))), "Left", "Ativo")</f>
        <v>Ativo</v>
      </c>
    </row>
    <row r="3000" spans="1:6" x14ac:dyDescent="0.25">
      <c r="A3000" t="s">
        <v>1531</v>
      </c>
      <c r="B3000" t="s">
        <v>117</v>
      </c>
      <c r="C3000" s="10" t="str" cm="1">
        <f t="array" ref="C3000">IF(AND(A3000="2020-12", ISNA(MATCH(B3000, _xlfn._xlws.FILTER(B:B, A:A="2021-01"), 0))), "Left", "Ativo")</f>
        <v>Ativo</v>
      </c>
      <c r="D3000" s="10" t="str" cm="1">
        <f t="array" ref="D3000">IF(AND(A3000="2021-01", ISNA(MATCH(B3000, _xlfn._xlws.FILTER(B:B, A:A="2021-02"), 0))), "Left", "Ativo")</f>
        <v>Ativo</v>
      </c>
      <c r="E3000" s="10" t="str" cm="1">
        <f t="array" ref="E3000">IF(AND(A3000="2021-02", ISNA(MATCH(B3000, _xlfn._xlws.FILTER(B:B, A:A="2021-03"), 0))), "Left", "Ativo")</f>
        <v>Ativo</v>
      </c>
      <c r="F3000" s="12" t="str" cm="1">
        <f t="array" ref="F3000">IF(AND(A3000="2021-03", ISNA(MATCH(B3000, _xlfn._xlws.FILTER(B:B, A:A="2021-04"), 0))), "Left", "Ativo")</f>
        <v>Ativo</v>
      </c>
    </row>
    <row r="3001" spans="1:6" x14ac:dyDescent="0.25">
      <c r="A3001" t="s">
        <v>1531</v>
      </c>
      <c r="B3001" t="s">
        <v>118</v>
      </c>
      <c r="C3001" s="10" t="str" cm="1">
        <f t="array" ref="C3001">IF(AND(A3001="2020-12", ISNA(MATCH(B3001, _xlfn._xlws.FILTER(B:B, A:A="2021-01"), 0))), "Left", "Ativo")</f>
        <v>Ativo</v>
      </c>
      <c r="D3001" s="10" t="str" cm="1">
        <f t="array" ref="D3001">IF(AND(A3001="2021-01", ISNA(MATCH(B3001, _xlfn._xlws.FILTER(B:B, A:A="2021-02"), 0))), "Left", "Ativo")</f>
        <v>Ativo</v>
      </c>
      <c r="E3001" s="10" t="str" cm="1">
        <f t="array" ref="E3001">IF(AND(A3001="2021-02", ISNA(MATCH(B3001, _xlfn._xlws.FILTER(B:B, A:A="2021-03"), 0))), "Left", "Ativo")</f>
        <v>Ativo</v>
      </c>
      <c r="F3001" s="12" t="str" cm="1">
        <f t="array" ref="F3001">IF(AND(A3001="2021-03", ISNA(MATCH(B3001, _xlfn._xlws.FILTER(B:B, A:A="2021-04"), 0))), "Left", "Ativo")</f>
        <v>Ativo</v>
      </c>
    </row>
    <row r="3002" spans="1:6" x14ac:dyDescent="0.25">
      <c r="A3002" t="s">
        <v>1531</v>
      </c>
      <c r="B3002" t="s">
        <v>119</v>
      </c>
      <c r="C3002" s="10" t="str" cm="1">
        <f t="array" ref="C3002">IF(AND(A3002="2020-12", ISNA(MATCH(B3002, _xlfn._xlws.FILTER(B:B, A:A="2021-01"), 0))), "Left", "Ativo")</f>
        <v>Ativo</v>
      </c>
      <c r="D3002" s="10" t="str" cm="1">
        <f t="array" ref="D3002">IF(AND(A3002="2021-01", ISNA(MATCH(B3002, _xlfn._xlws.FILTER(B:B, A:A="2021-02"), 0))), "Left", "Ativo")</f>
        <v>Ativo</v>
      </c>
      <c r="E3002" s="10" t="str" cm="1">
        <f t="array" ref="E3002">IF(AND(A3002="2021-02", ISNA(MATCH(B3002, _xlfn._xlws.FILTER(B:B, A:A="2021-03"), 0))), "Left", "Ativo")</f>
        <v>Ativo</v>
      </c>
      <c r="F3002" s="12" t="str" cm="1">
        <f t="array" ref="F3002">IF(AND(A3002="2021-03", ISNA(MATCH(B3002, _xlfn._xlws.FILTER(B:B, A:A="2021-04"), 0))), "Left", "Ativo")</f>
        <v>Ativo</v>
      </c>
    </row>
    <row r="3003" spans="1:6" x14ac:dyDescent="0.25">
      <c r="A3003" t="s">
        <v>1531</v>
      </c>
      <c r="B3003" t="s">
        <v>120</v>
      </c>
      <c r="C3003" s="10" t="str" cm="1">
        <f t="array" ref="C3003">IF(AND(A3003="2020-12", ISNA(MATCH(B3003, _xlfn._xlws.FILTER(B:B, A:A="2021-01"), 0))), "Left", "Ativo")</f>
        <v>Ativo</v>
      </c>
      <c r="D3003" s="10" t="str" cm="1">
        <f t="array" ref="D3003">IF(AND(A3003="2021-01", ISNA(MATCH(B3003, _xlfn._xlws.FILTER(B:B, A:A="2021-02"), 0))), "Left", "Ativo")</f>
        <v>Ativo</v>
      </c>
      <c r="E3003" s="10" t="str" cm="1">
        <f t="array" ref="E3003">IF(AND(A3003="2021-02", ISNA(MATCH(B3003, _xlfn._xlws.FILTER(B:B, A:A="2021-03"), 0))), "Left", "Ativo")</f>
        <v>Ativo</v>
      </c>
      <c r="F3003" s="12" t="str" cm="1">
        <f t="array" ref="F3003">IF(AND(A3003="2021-03", ISNA(MATCH(B3003, _xlfn._xlws.FILTER(B:B, A:A="2021-04"), 0))), "Left", "Ativo")</f>
        <v>Ativo</v>
      </c>
    </row>
    <row r="3004" spans="1:6" x14ac:dyDescent="0.25">
      <c r="A3004" t="s">
        <v>1531</v>
      </c>
      <c r="B3004" t="s">
        <v>121</v>
      </c>
      <c r="C3004" s="10" t="str" cm="1">
        <f t="array" ref="C3004">IF(AND(A3004="2020-12", ISNA(MATCH(B3004, _xlfn._xlws.FILTER(B:B, A:A="2021-01"), 0))), "Left", "Ativo")</f>
        <v>Ativo</v>
      </c>
      <c r="D3004" s="10" t="str" cm="1">
        <f t="array" ref="D3004">IF(AND(A3004="2021-01", ISNA(MATCH(B3004, _xlfn._xlws.FILTER(B:B, A:A="2021-02"), 0))), "Left", "Ativo")</f>
        <v>Ativo</v>
      </c>
      <c r="E3004" s="10" t="str" cm="1">
        <f t="array" ref="E3004">IF(AND(A3004="2021-02", ISNA(MATCH(B3004, _xlfn._xlws.FILTER(B:B, A:A="2021-03"), 0))), "Left", "Ativo")</f>
        <v>Ativo</v>
      </c>
      <c r="F3004" s="12" t="str" cm="1">
        <f t="array" ref="F3004">IF(AND(A3004="2021-03", ISNA(MATCH(B3004, _xlfn._xlws.FILTER(B:B, A:A="2021-04"), 0))), "Left", "Ativo")</f>
        <v>Ativo</v>
      </c>
    </row>
    <row r="3005" spans="1:6" x14ac:dyDescent="0.25">
      <c r="A3005" t="s">
        <v>1531</v>
      </c>
      <c r="B3005" t="s">
        <v>122</v>
      </c>
      <c r="C3005" s="10" t="str" cm="1">
        <f t="array" ref="C3005">IF(AND(A3005="2020-12", ISNA(MATCH(B3005, _xlfn._xlws.FILTER(B:B, A:A="2021-01"), 0))), "Left", "Ativo")</f>
        <v>Ativo</v>
      </c>
      <c r="D3005" s="10" t="str" cm="1">
        <f t="array" ref="D3005">IF(AND(A3005="2021-01", ISNA(MATCH(B3005, _xlfn._xlws.FILTER(B:B, A:A="2021-02"), 0))), "Left", "Ativo")</f>
        <v>Ativo</v>
      </c>
      <c r="E3005" s="10" t="str" cm="1">
        <f t="array" ref="E3005">IF(AND(A3005="2021-02", ISNA(MATCH(B3005, _xlfn._xlws.FILTER(B:B, A:A="2021-03"), 0))), "Left", "Ativo")</f>
        <v>Ativo</v>
      </c>
      <c r="F3005" s="12" t="str" cm="1">
        <f t="array" ref="F3005">IF(AND(A3005="2021-03", ISNA(MATCH(B3005, _xlfn._xlws.FILTER(B:B, A:A="2021-04"), 0))), "Left", "Ativo")</f>
        <v>Ativo</v>
      </c>
    </row>
    <row r="3006" spans="1:6" x14ac:dyDescent="0.25">
      <c r="A3006" t="s">
        <v>1531</v>
      </c>
      <c r="B3006" t="s">
        <v>123</v>
      </c>
      <c r="C3006" s="10" t="str" cm="1">
        <f t="array" ref="C3006">IF(AND(A3006="2020-12", ISNA(MATCH(B3006, _xlfn._xlws.FILTER(B:B, A:A="2021-01"), 0))), "Left", "Ativo")</f>
        <v>Ativo</v>
      </c>
      <c r="D3006" s="10" t="str" cm="1">
        <f t="array" ref="D3006">IF(AND(A3006="2021-01", ISNA(MATCH(B3006, _xlfn._xlws.FILTER(B:B, A:A="2021-02"), 0))), "Left", "Ativo")</f>
        <v>Ativo</v>
      </c>
      <c r="E3006" s="10" t="str" cm="1">
        <f t="array" ref="E3006">IF(AND(A3006="2021-02", ISNA(MATCH(B3006, _xlfn._xlws.FILTER(B:B, A:A="2021-03"), 0))), "Left", "Ativo")</f>
        <v>Ativo</v>
      </c>
      <c r="F3006" s="12" t="str" cm="1">
        <f t="array" ref="F3006">IF(AND(A3006="2021-03", ISNA(MATCH(B3006, _xlfn._xlws.FILTER(B:B, A:A="2021-04"), 0))), "Left", "Ativo")</f>
        <v>Ativo</v>
      </c>
    </row>
    <row r="3007" spans="1:6" x14ac:dyDescent="0.25">
      <c r="A3007" t="s">
        <v>1531</v>
      </c>
      <c r="B3007" t="s">
        <v>124</v>
      </c>
      <c r="C3007" s="10" t="str" cm="1">
        <f t="array" ref="C3007">IF(AND(A3007="2020-12", ISNA(MATCH(B3007, _xlfn._xlws.FILTER(B:B, A:A="2021-01"), 0))), "Left", "Ativo")</f>
        <v>Ativo</v>
      </c>
      <c r="D3007" s="10" t="str" cm="1">
        <f t="array" ref="D3007">IF(AND(A3007="2021-01", ISNA(MATCH(B3007, _xlfn._xlws.FILTER(B:B, A:A="2021-02"), 0))), "Left", "Ativo")</f>
        <v>Ativo</v>
      </c>
      <c r="E3007" s="10" t="str" cm="1">
        <f t="array" ref="E3007">IF(AND(A3007="2021-02", ISNA(MATCH(B3007, _xlfn._xlws.FILTER(B:B, A:A="2021-03"), 0))), "Left", "Ativo")</f>
        <v>Ativo</v>
      </c>
      <c r="F3007" s="12" t="str" cm="1">
        <f t="array" ref="F3007">IF(AND(A3007="2021-03", ISNA(MATCH(B3007, _xlfn._xlws.FILTER(B:B, A:A="2021-04"), 0))), "Left", "Ativo")</f>
        <v>Ativo</v>
      </c>
    </row>
    <row r="3008" spans="1:6" x14ac:dyDescent="0.25">
      <c r="A3008" t="s">
        <v>1531</v>
      </c>
      <c r="B3008" t="s">
        <v>125</v>
      </c>
      <c r="C3008" s="10" t="str" cm="1">
        <f t="array" ref="C3008">IF(AND(A3008="2020-12", ISNA(MATCH(B3008, _xlfn._xlws.FILTER(B:B, A:A="2021-01"), 0))), "Left", "Ativo")</f>
        <v>Ativo</v>
      </c>
      <c r="D3008" s="10" t="str" cm="1">
        <f t="array" ref="D3008">IF(AND(A3008="2021-01", ISNA(MATCH(B3008, _xlfn._xlws.FILTER(B:B, A:A="2021-02"), 0))), "Left", "Ativo")</f>
        <v>Ativo</v>
      </c>
      <c r="E3008" s="10" t="str" cm="1">
        <f t="array" ref="E3008">IF(AND(A3008="2021-02", ISNA(MATCH(B3008, _xlfn._xlws.FILTER(B:B, A:A="2021-03"), 0))), "Left", "Ativo")</f>
        <v>Ativo</v>
      </c>
      <c r="F3008" s="12" t="str" cm="1">
        <f t="array" ref="F3008">IF(AND(A3008="2021-03", ISNA(MATCH(B3008, _xlfn._xlws.FILTER(B:B, A:A="2021-04"), 0))), "Left", "Ativo")</f>
        <v>Ativo</v>
      </c>
    </row>
    <row r="3009" spans="1:6" x14ac:dyDescent="0.25">
      <c r="A3009" t="s">
        <v>1531</v>
      </c>
      <c r="B3009" t="s">
        <v>126</v>
      </c>
      <c r="C3009" s="10" t="str" cm="1">
        <f t="array" ref="C3009">IF(AND(A3009="2020-12", ISNA(MATCH(B3009, _xlfn._xlws.FILTER(B:B, A:A="2021-01"), 0))), "Left", "Ativo")</f>
        <v>Ativo</v>
      </c>
      <c r="D3009" s="10" t="str" cm="1">
        <f t="array" ref="D3009">IF(AND(A3009="2021-01", ISNA(MATCH(B3009, _xlfn._xlws.FILTER(B:B, A:A="2021-02"), 0))), "Left", "Ativo")</f>
        <v>Ativo</v>
      </c>
      <c r="E3009" s="10" t="str" cm="1">
        <f t="array" ref="E3009">IF(AND(A3009="2021-02", ISNA(MATCH(B3009, _xlfn._xlws.FILTER(B:B, A:A="2021-03"), 0))), "Left", "Ativo")</f>
        <v>Ativo</v>
      </c>
      <c r="F3009" s="12" t="str" cm="1">
        <f t="array" ref="F3009">IF(AND(A3009="2021-03", ISNA(MATCH(B3009, _xlfn._xlws.FILTER(B:B, A:A="2021-04"), 0))), "Left", "Ativo")</f>
        <v>Ativo</v>
      </c>
    </row>
    <row r="3010" spans="1:6" x14ac:dyDescent="0.25">
      <c r="A3010" t="s">
        <v>1531</v>
      </c>
      <c r="B3010" t="s">
        <v>127</v>
      </c>
      <c r="C3010" s="10" t="str" cm="1">
        <f t="array" ref="C3010">IF(AND(A3010="2020-12", ISNA(MATCH(B3010, _xlfn._xlws.FILTER(B:B, A:A="2021-01"), 0))), "Left", "Ativo")</f>
        <v>Ativo</v>
      </c>
      <c r="D3010" s="10" t="str" cm="1">
        <f t="array" ref="D3010">IF(AND(A3010="2021-01", ISNA(MATCH(B3010, _xlfn._xlws.FILTER(B:B, A:A="2021-02"), 0))), "Left", "Ativo")</f>
        <v>Ativo</v>
      </c>
      <c r="E3010" s="10" t="str" cm="1">
        <f t="array" ref="E3010">IF(AND(A3010="2021-02", ISNA(MATCH(B3010, _xlfn._xlws.FILTER(B:B, A:A="2021-03"), 0))), "Left", "Ativo")</f>
        <v>Ativo</v>
      </c>
      <c r="F3010" s="12" t="str" cm="1">
        <f t="array" ref="F3010">IF(AND(A3010="2021-03", ISNA(MATCH(B3010, _xlfn._xlws.FILTER(B:B, A:A="2021-04"), 0))), "Left", "Ativo")</f>
        <v>Ativo</v>
      </c>
    </row>
    <row r="3011" spans="1:6" x14ac:dyDescent="0.25">
      <c r="A3011" t="s">
        <v>1531</v>
      </c>
      <c r="B3011" t="s">
        <v>128</v>
      </c>
      <c r="C3011" s="10" t="str" cm="1">
        <f t="array" ref="C3011">IF(AND(A3011="2020-12", ISNA(MATCH(B3011, _xlfn._xlws.FILTER(B:B, A:A="2021-01"), 0))), "Left", "Ativo")</f>
        <v>Ativo</v>
      </c>
      <c r="D3011" s="10" t="str" cm="1">
        <f t="array" ref="D3011">IF(AND(A3011="2021-01", ISNA(MATCH(B3011, _xlfn._xlws.FILTER(B:B, A:A="2021-02"), 0))), "Left", "Ativo")</f>
        <v>Ativo</v>
      </c>
      <c r="E3011" s="10" t="str" cm="1">
        <f t="array" ref="E3011">IF(AND(A3011="2021-02", ISNA(MATCH(B3011, _xlfn._xlws.FILTER(B:B, A:A="2021-03"), 0))), "Left", "Ativo")</f>
        <v>Ativo</v>
      </c>
      <c r="F3011" s="12" t="str" cm="1">
        <f t="array" ref="F3011">IF(AND(A3011="2021-03", ISNA(MATCH(B3011, _xlfn._xlws.FILTER(B:B, A:A="2021-04"), 0))), "Left", "Ativo")</f>
        <v>Ativo</v>
      </c>
    </row>
    <row r="3012" spans="1:6" x14ac:dyDescent="0.25">
      <c r="A3012" t="s">
        <v>1531</v>
      </c>
      <c r="B3012" t="s">
        <v>129</v>
      </c>
      <c r="C3012" s="10" t="str" cm="1">
        <f t="array" ref="C3012">IF(AND(A3012="2020-12", ISNA(MATCH(B3012, _xlfn._xlws.FILTER(B:B, A:A="2021-01"), 0))), "Left", "Ativo")</f>
        <v>Ativo</v>
      </c>
      <c r="D3012" s="10" t="str" cm="1">
        <f t="array" ref="D3012">IF(AND(A3012="2021-01", ISNA(MATCH(B3012, _xlfn._xlws.FILTER(B:B, A:A="2021-02"), 0))), "Left", "Ativo")</f>
        <v>Ativo</v>
      </c>
      <c r="E3012" s="10" t="str" cm="1">
        <f t="array" ref="E3012">IF(AND(A3012="2021-02", ISNA(MATCH(B3012, _xlfn._xlws.FILTER(B:B, A:A="2021-03"), 0))), "Left", "Ativo")</f>
        <v>Ativo</v>
      </c>
      <c r="F3012" s="12" t="str" cm="1">
        <f t="array" ref="F3012">IF(AND(A3012="2021-03", ISNA(MATCH(B3012, _xlfn._xlws.FILTER(B:B, A:A="2021-04"), 0))), "Left", "Ativo")</f>
        <v>Ativo</v>
      </c>
    </row>
    <row r="3013" spans="1:6" x14ac:dyDescent="0.25">
      <c r="A3013" t="s">
        <v>1531</v>
      </c>
      <c r="B3013" t="s">
        <v>130</v>
      </c>
      <c r="C3013" s="10" t="str" cm="1">
        <f t="array" ref="C3013">IF(AND(A3013="2020-12", ISNA(MATCH(B3013, _xlfn._xlws.FILTER(B:B, A:A="2021-01"), 0))), "Left", "Ativo")</f>
        <v>Ativo</v>
      </c>
      <c r="D3013" s="10" t="str" cm="1">
        <f t="array" ref="D3013">IF(AND(A3013="2021-01", ISNA(MATCH(B3013, _xlfn._xlws.FILTER(B:B, A:A="2021-02"), 0))), "Left", "Ativo")</f>
        <v>Ativo</v>
      </c>
      <c r="E3013" s="10" t="str" cm="1">
        <f t="array" ref="E3013">IF(AND(A3013="2021-02", ISNA(MATCH(B3013, _xlfn._xlws.FILTER(B:B, A:A="2021-03"), 0))), "Left", "Ativo")</f>
        <v>Ativo</v>
      </c>
      <c r="F3013" s="12" t="str" cm="1">
        <f t="array" ref="F3013">IF(AND(A3013="2021-03", ISNA(MATCH(B3013, _xlfn._xlws.FILTER(B:B, A:A="2021-04"), 0))), "Left", "Ativo")</f>
        <v>Ativo</v>
      </c>
    </row>
    <row r="3014" spans="1:6" x14ac:dyDescent="0.25">
      <c r="A3014" t="s">
        <v>1531</v>
      </c>
      <c r="B3014" t="s">
        <v>131</v>
      </c>
      <c r="C3014" s="10" t="str" cm="1">
        <f t="array" ref="C3014">IF(AND(A3014="2020-12", ISNA(MATCH(B3014, _xlfn._xlws.FILTER(B:B, A:A="2021-01"), 0))), "Left", "Ativo")</f>
        <v>Ativo</v>
      </c>
      <c r="D3014" s="10" t="str" cm="1">
        <f t="array" ref="D3014">IF(AND(A3014="2021-01", ISNA(MATCH(B3014, _xlfn._xlws.FILTER(B:B, A:A="2021-02"), 0))), "Left", "Ativo")</f>
        <v>Ativo</v>
      </c>
      <c r="E3014" s="10" t="str" cm="1">
        <f t="array" ref="E3014">IF(AND(A3014="2021-02", ISNA(MATCH(B3014, _xlfn._xlws.FILTER(B:B, A:A="2021-03"), 0))), "Left", "Ativo")</f>
        <v>Ativo</v>
      </c>
      <c r="F3014" s="12" t="str" cm="1">
        <f t="array" ref="F3014">IF(AND(A3014="2021-03", ISNA(MATCH(B3014, _xlfn._xlws.FILTER(B:B, A:A="2021-04"), 0))), "Left", "Ativo")</f>
        <v>Ativo</v>
      </c>
    </row>
    <row r="3015" spans="1:6" x14ac:dyDescent="0.25">
      <c r="A3015" t="s">
        <v>1531</v>
      </c>
      <c r="B3015" t="s">
        <v>132</v>
      </c>
      <c r="C3015" s="10" t="str" cm="1">
        <f t="array" ref="C3015">IF(AND(A3015="2020-12", ISNA(MATCH(B3015, _xlfn._xlws.FILTER(B:B, A:A="2021-01"), 0))), "Left", "Ativo")</f>
        <v>Ativo</v>
      </c>
      <c r="D3015" s="10" t="str" cm="1">
        <f t="array" ref="D3015">IF(AND(A3015="2021-01", ISNA(MATCH(B3015, _xlfn._xlws.FILTER(B:B, A:A="2021-02"), 0))), "Left", "Ativo")</f>
        <v>Ativo</v>
      </c>
      <c r="E3015" s="10" t="str" cm="1">
        <f t="array" ref="E3015">IF(AND(A3015="2021-02", ISNA(MATCH(B3015, _xlfn._xlws.FILTER(B:B, A:A="2021-03"), 0))), "Left", "Ativo")</f>
        <v>Ativo</v>
      </c>
      <c r="F3015" s="12" t="str" cm="1">
        <f t="array" ref="F3015">IF(AND(A3015="2021-03", ISNA(MATCH(B3015, _xlfn._xlws.FILTER(B:B, A:A="2021-04"), 0))), "Left", "Ativo")</f>
        <v>Ativo</v>
      </c>
    </row>
    <row r="3016" spans="1:6" x14ac:dyDescent="0.25">
      <c r="A3016" t="s">
        <v>1531</v>
      </c>
      <c r="B3016" t="s">
        <v>133</v>
      </c>
      <c r="C3016" s="10" t="str" cm="1">
        <f t="array" ref="C3016">IF(AND(A3016="2020-12", ISNA(MATCH(B3016, _xlfn._xlws.FILTER(B:B, A:A="2021-01"), 0))), "Left", "Ativo")</f>
        <v>Ativo</v>
      </c>
      <c r="D3016" s="10" t="str" cm="1">
        <f t="array" ref="D3016">IF(AND(A3016="2021-01", ISNA(MATCH(B3016, _xlfn._xlws.FILTER(B:B, A:A="2021-02"), 0))), "Left", "Ativo")</f>
        <v>Ativo</v>
      </c>
      <c r="E3016" s="10" t="str" cm="1">
        <f t="array" ref="E3016">IF(AND(A3016="2021-02", ISNA(MATCH(B3016, _xlfn._xlws.FILTER(B:B, A:A="2021-03"), 0))), "Left", "Ativo")</f>
        <v>Ativo</v>
      </c>
      <c r="F3016" s="12" t="str" cm="1">
        <f t="array" ref="F3016">IF(AND(A3016="2021-03", ISNA(MATCH(B3016, _xlfn._xlws.FILTER(B:B, A:A="2021-04"), 0))), "Left", "Ativo")</f>
        <v>Ativo</v>
      </c>
    </row>
    <row r="3017" spans="1:6" x14ac:dyDescent="0.25">
      <c r="A3017" t="s">
        <v>1531</v>
      </c>
      <c r="B3017" t="s">
        <v>134</v>
      </c>
      <c r="C3017" s="10" t="str" cm="1">
        <f t="array" ref="C3017">IF(AND(A3017="2020-12", ISNA(MATCH(B3017, _xlfn._xlws.FILTER(B:B, A:A="2021-01"), 0))), "Left", "Ativo")</f>
        <v>Ativo</v>
      </c>
      <c r="D3017" s="10" t="str" cm="1">
        <f t="array" ref="D3017">IF(AND(A3017="2021-01", ISNA(MATCH(B3017, _xlfn._xlws.FILTER(B:B, A:A="2021-02"), 0))), "Left", "Ativo")</f>
        <v>Ativo</v>
      </c>
      <c r="E3017" s="10" t="str" cm="1">
        <f t="array" ref="E3017">IF(AND(A3017="2021-02", ISNA(MATCH(B3017, _xlfn._xlws.FILTER(B:B, A:A="2021-03"), 0))), "Left", "Ativo")</f>
        <v>Ativo</v>
      </c>
      <c r="F3017" s="12" t="str" cm="1">
        <f t="array" ref="F3017">IF(AND(A3017="2021-03", ISNA(MATCH(B3017, _xlfn._xlws.FILTER(B:B, A:A="2021-04"), 0))), "Left", "Ativo")</f>
        <v>Ativo</v>
      </c>
    </row>
    <row r="3018" spans="1:6" x14ac:dyDescent="0.25">
      <c r="A3018" t="s">
        <v>1531</v>
      </c>
      <c r="B3018" t="s">
        <v>135</v>
      </c>
      <c r="C3018" s="10" t="str" cm="1">
        <f t="array" ref="C3018">IF(AND(A3018="2020-12", ISNA(MATCH(B3018, _xlfn._xlws.FILTER(B:B, A:A="2021-01"), 0))), "Left", "Ativo")</f>
        <v>Ativo</v>
      </c>
      <c r="D3018" s="10" t="str" cm="1">
        <f t="array" ref="D3018">IF(AND(A3018="2021-01", ISNA(MATCH(B3018, _xlfn._xlws.FILTER(B:B, A:A="2021-02"), 0))), "Left", "Ativo")</f>
        <v>Ativo</v>
      </c>
      <c r="E3018" s="10" t="str" cm="1">
        <f t="array" ref="E3018">IF(AND(A3018="2021-02", ISNA(MATCH(B3018, _xlfn._xlws.FILTER(B:B, A:A="2021-03"), 0))), "Left", "Ativo")</f>
        <v>Ativo</v>
      </c>
      <c r="F3018" s="12" t="str" cm="1">
        <f t="array" ref="F3018">IF(AND(A3018="2021-03", ISNA(MATCH(B3018, _xlfn._xlws.FILTER(B:B, A:A="2021-04"), 0))), "Left", "Ativo")</f>
        <v>Ativo</v>
      </c>
    </row>
    <row r="3019" spans="1:6" x14ac:dyDescent="0.25">
      <c r="A3019" t="s">
        <v>1531</v>
      </c>
      <c r="B3019" t="s">
        <v>136</v>
      </c>
      <c r="C3019" s="10" t="str" cm="1">
        <f t="array" ref="C3019">IF(AND(A3019="2020-12", ISNA(MATCH(B3019, _xlfn._xlws.FILTER(B:B, A:A="2021-01"), 0))), "Left", "Ativo")</f>
        <v>Ativo</v>
      </c>
      <c r="D3019" s="10" t="str" cm="1">
        <f t="array" ref="D3019">IF(AND(A3019="2021-01", ISNA(MATCH(B3019, _xlfn._xlws.FILTER(B:B, A:A="2021-02"), 0))), "Left", "Ativo")</f>
        <v>Ativo</v>
      </c>
      <c r="E3019" s="10" t="str" cm="1">
        <f t="array" ref="E3019">IF(AND(A3019="2021-02", ISNA(MATCH(B3019, _xlfn._xlws.FILTER(B:B, A:A="2021-03"), 0))), "Left", "Ativo")</f>
        <v>Ativo</v>
      </c>
      <c r="F3019" s="12" t="str" cm="1">
        <f t="array" ref="F3019">IF(AND(A3019="2021-03", ISNA(MATCH(B3019, _xlfn._xlws.FILTER(B:B, A:A="2021-04"), 0))), "Left", "Ativo")</f>
        <v>Ativo</v>
      </c>
    </row>
    <row r="3020" spans="1:6" x14ac:dyDescent="0.25">
      <c r="A3020" t="s">
        <v>1531</v>
      </c>
      <c r="B3020" t="s">
        <v>137</v>
      </c>
      <c r="C3020" s="10" t="str" cm="1">
        <f t="array" ref="C3020">IF(AND(A3020="2020-12", ISNA(MATCH(B3020, _xlfn._xlws.FILTER(B:B, A:A="2021-01"), 0))), "Left", "Ativo")</f>
        <v>Ativo</v>
      </c>
      <c r="D3020" s="10" t="str" cm="1">
        <f t="array" ref="D3020">IF(AND(A3020="2021-01", ISNA(MATCH(B3020, _xlfn._xlws.FILTER(B:B, A:A="2021-02"), 0))), "Left", "Ativo")</f>
        <v>Ativo</v>
      </c>
      <c r="E3020" s="10" t="str" cm="1">
        <f t="array" ref="E3020">IF(AND(A3020="2021-02", ISNA(MATCH(B3020, _xlfn._xlws.FILTER(B:B, A:A="2021-03"), 0))), "Left", "Ativo")</f>
        <v>Ativo</v>
      </c>
      <c r="F3020" s="12" t="str" cm="1">
        <f t="array" ref="F3020">IF(AND(A3020="2021-03", ISNA(MATCH(B3020, _xlfn._xlws.FILTER(B:B, A:A="2021-04"), 0))), "Left", "Ativo")</f>
        <v>Ativo</v>
      </c>
    </row>
    <row r="3021" spans="1:6" x14ac:dyDescent="0.25">
      <c r="A3021" t="s">
        <v>1531</v>
      </c>
      <c r="B3021" t="s">
        <v>138</v>
      </c>
      <c r="C3021" s="10" t="str" cm="1">
        <f t="array" ref="C3021">IF(AND(A3021="2020-12", ISNA(MATCH(B3021, _xlfn._xlws.FILTER(B:B, A:A="2021-01"), 0))), "Left", "Ativo")</f>
        <v>Ativo</v>
      </c>
      <c r="D3021" s="10" t="str" cm="1">
        <f t="array" ref="D3021">IF(AND(A3021="2021-01", ISNA(MATCH(B3021, _xlfn._xlws.FILTER(B:B, A:A="2021-02"), 0))), "Left", "Ativo")</f>
        <v>Ativo</v>
      </c>
      <c r="E3021" s="10" t="str" cm="1">
        <f t="array" ref="E3021">IF(AND(A3021="2021-02", ISNA(MATCH(B3021, _xlfn._xlws.FILTER(B:B, A:A="2021-03"), 0))), "Left", "Ativo")</f>
        <v>Ativo</v>
      </c>
      <c r="F3021" s="12" t="str" cm="1">
        <f t="array" ref="F3021">IF(AND(A3021="2021-03", ISNA(MATCH(B3021, _xlfn._xlws.FILTER(B:B, A:A="2021-04"), 0))), "Left", "Ativo")</f>
        <v>Ativo</v>
      </c>
    </row>
    <row r="3022" spans="1:6" x14ac:dyDescent="0.25">
      <c r="A3022" t="s">
        <v>1531</v>
      </c>
      <c r="B3022" t="s">
        <v>139</v>
      </c>
      <c r="C3022" s="10" t="str" cm="1">
        <f t="array" ref="C3022">IF(AND(A3022="2020-12", ISNA(MATCH(B3022, _xlfn._xlws.FILTER(B:B, A:A="2021-01"), 0))), "Left", "Ativo")</f>
        <v>Ativo</v>
      </c>
      <c r="D3022" s="10" t="str" cm="1">
        <f t="array" ref="D3022">IF(AND(A3022="2021-01", ISNA(MATCH(B3022, _xlfn._xlws.FILTER(B:B, A:A="2021-02"), 0))), "Left", "Ativo")</f>
        <v>Ativo</v>
      </c>
      <c r="E3022" s="10" t="str" cm="1">
        <f t="array" ref="E3022">IF(AND(A3022="2021-02", ISNA(MATCH(B3022, _xlfn._xlws.FILTER(B:B, A:A="2021-03"), 0))), "Left", "Ativo")</f>
        <v>Ativo</v>
      </c>
      <c r="F3022" s="12" t="str" cm="1">
        <f t="array" ref="F3022">IF(AND(A3022="2021-03", ISNA(MATCH(B3022, _xlfn._xlws.FILTER(B:B, A:A="2021-04"), 0))), "Left", "Ativo")</f>
        <v>Ativo</v>
      </c>
    </row>
    <row r="3023" spans="1:6" x14ac:dyDescent="0.25">
      <c r="A3023" t="s">
        <v>1531</v>
      </c>
      <c r="B3023" t="s">
        <v>140</v>
      </c>
      <c r="C3023" s="10" t="str" cm="1">
        <f t="array" ref="C3023">IF(AND(A3023="2020-12", ISNA(MATCH(B3023, _xlfn._xlws.FILTER(B:B, A:A="2021-01"), 0))), "Left", "Ativo")</f>
        <v>Ativo</v>
      </c>
      <c r="D3023" s="10" t="str" cm="1">
        <f t="array" ref="D3023">IF(AND(A3023="2021-01", ISNA(MATCH(B3023, _xlfn._xlws.FILTER(B:B, A:A="2021-02"), 0))), "Left", "Ativo")</f>
        <v>Ativo</v>
      </c>
      <c r="E3023" s="10" t="str" cm="1">
        <f t="array" ref="E3023">IF(AND(A3023="2021-02", ISNA(MATCH(B3023, _xlfn._xlws.FILTER(B:B, A:A="2021-03"), 0))), "Left", "Ativo")</f>
        <v>Ativo</v>
      </c>
      <c r="F3023" s="12" t="str" cm="1">
        <f t="array" ref="F3023">IF(AND(A3023="2021-03", ISNA(MATCH(B3023, _xlfn._xlws.FILTER(B:B, A:A="2021-04"), 0))), "Left", "Ativo")</f>
        <v>Ativo</v>
      </c>
    </row>
    <row r="3024" spans="1:6" x14ac:dyDescent="0.25">
      <c r="A3024" t="s">
        <v>1531</v>
      </c>
      <c r="B3024" t="s">
        <v>141</v>
      </c>
      <c r="C3024" s="10" t="str" cm="1">
        <f t="array" ref="C3024">IF(AND(A3024="2020-12", ISNA(MATCH(B3024, _xlfn._xlws.FILTER(B:B, A:A="2021-01"), 0))), "Left", "Ativo")</f>
        <v>Ativo</v>
      </c>
      <c r="D3024" s="10" t="str" cm="1">
        <f t="array" ref="D3024">IF(AND(A3024="2021-01", ISNA(MATCH(B3024, _xlfn._xlws.FILTER(B:B, A:A="2021-02"), 0))), "Left", "Ativo")</f>
        <v>Ativo</v>
      </c>
      <c r="E3024" s="10" t="str" cm="1">
        <f t="array" ref="E3024">IF(AND(A3024="2021-02", ISNA(MATCH(B3024, _xlfn._xlws.FILTER(B:B, A:A="2021-03"), 0))), "Left", "Ativo")</f>
        <v>Ativo</v>
      </c>
      <c r="F3024" s="12" t="str" cm="1">
        <f t="array" ref="F3024">IF(AND(A3024="2021-03", ISNA(MATCH(B3024, _xlfn._xlws.FILTER(B:B, A:A="2021-04"), 0))), "Left", "Ativo")</f>
        <v>Ativo</v>
      </c>
    </row>
    <row r="3025" spans="1:6" x14ac:dyDescent="0.25">
      <c r="A3025" t="s">
        <v>1531</v>
      </c>
      <c r="B3025" t="s">
        <v>142</v>
      </c>
      <c r="C3025" s="10" t="str" cm="1">
        <f t="array" ref="C3025">IF(AND(A3025="2020-12", ISNA(MATCH(B3025, _xlfn._xlws.FILTER(B:B, A:A="2021-01"), 0))), "Left", "Ativo")</f>
        <v>Ativo</v>
      </c>
      <c r="D3025" s="10" t="str" cm="1">
        <f t="array" ref="D3025">IF(AND(A3025="2021-01", ISNA(MATCH(B3025, _xlfn._xlws.FILTER(B:B, A:A="2021-02"), 0))), "Left", "Ativo")</f>
        <v>Ativo</v>
      </c>
      <c r="E3025" s="10" t="str" cm="1">
        <f t="array" ref="E3025">IF(AND(A3025="2021-02", ISNA(MATCH(B3025, _xlfn._xlws.FILTER(B:B, A:A="2021-03"), 0))), "Left", "Ativo")</f>
        <v>Ativo</v>
      </c>
      <c r="F3025" s="12" t="str" cm="1">
        <f t="array" ref="F3025">IF(AND(A3025="2021-03", ISNA(MATCH(B3025, _xlfn._xlws.FILTER(B:B, A:A="2021-04"), 0))), "Left", "Ativo")</f>
        <v>Ativo</v>
      </c>
    </row>
    <row r="3026" spans="1:6" x14ac:dyDescent="0.25">
      <c r="A3026" t="s">
        <v>1531</v>
      </c>
      <c r="B3026" t="s">
        <v>143</v>
      </c>
      <c r="C3026" s="10" t="str" cm="1">
        <f t="array" ref="C3026">IF(AND(A3026="2020-12", ISNA(MATCH(B3026, _xlfn._xlws.FILTER(B:B, A:A="2021-01"), 0))), "Left", "Ativo")</f>
        <v>Ativo</v>
      </c>
      <c r="D3026" s="10" t="str" cm="1">
        <f t="array" ref="D3026">IF(AND(A3026="2021-01", ISNA(MATCH(B3026, _xlfn._xlws.FILTER(B:B, A:A="2021-02"), 0))), "Left", "Ativo")</f>
        <v>Ativo</v>
      </c>
      <c r="E3026" s="10" t="str" cm="1">
        <f t="array" ref="E3026">IF(AND(A3026="2021-02", ISNA(MATCH(B3026, _xlfn._xlws.FILTER(B:B, A:A="2021-03"), 0))), "Left", "Ativo")</f>
        <v>Ativo</v>
      </c>
      <c r="F3026" s="12" t="str" cm="1">
        <f t="array" ref="F3026">IF(AND(A3026="2021-03", ISNA(MATCH(B3026, _xlfn._xlws.FILTER(B:B, A:A="2021-04"), 0))), "Left", "Ativo")</f>
        <v>Ativo</v>
      </c>
    </row>
    <row r="3027" spans="1:6" x14ac:dyDescent="0.25">
      <c r="A3027" t="s">
        <v>1531</v>
      </c>
      <c r="B3027" t="s">
        <v>144</v>
      </c>
      <c r="C3027" s="10" t="str" cm="1">
        <f t="array" ref="C3027">IF(AND(A3027="2020-12", ISNA(MATCH(B3027, _xlfn._xlws.FILTER(B:B, A:A="2021-01"), 0))), "Left", "Ativo")</f>
        <v>Ativo</v>
      </c>
      <c r="D3027" s="10" t="str" cm="1">
        <f t="array" ref="D3027">IF(AND(A3027="2021-01", ISNA(MATCH(B3027, _xlfn._xlws.FILTER(B:B, A:A="2021-02"), 0))), "Left", "Ativo")</f>
        <v>Ativo</v>
      </c>
      <c r="E3027" s="10" t="str" cm="1">
        <f t="array" ref="E3027">IF(AND(A3027="2021-02", ISNA(MATCH(B3027, _xlfn._xlws.FILTER(B:B, A:A="2021-03"), 0))), "Left", "Ativo")</f>
        <v>Ativo</v>
      </c>
      <c r="F3027" s="12" t="str" cm="1">
        <f t="array" ref="F3027">IF(AND(A3027="2021-03", ISNA(MATCH(B3027, _xlfn._xlws.FILTER(B:B, A:A="2021-04"), 0))), "Left", "Ativo")</f>
        <v>Ativo</v>
      </c>
    </row>
    <row r="3028" spans="1:6" x14ac:dyDescent="0.25">
      <c r="A3028" t="s">
        <v>1531</v>
      </c>
      <c r="B3028" t="s">
        <v>145</v>
      </c>
      <c r="C3028" s="10" t="str" cm="1">
        <f t="array" ref="C3028">IF(AND(A3028="2020-12", ISNA(MATCH(B3028, _xlfn._xlws.FILTER(B:B, A:A="2021-01"), 0))), "Left", "Ativo")</f>
        <v>Ativo</v>
      </c>
      <c r="D3028" s="10" t="str" cm="1">
        <f t="array" ref="D3028">IF(AND(A3028="2021-01", ISNA(MATCH(B3028, _xlfn._xlws.FILTER(B:B, A:A="2021-02"), 0))), "Left", "Ativo")</f>
        <v>Ativo</v>
      </c>
      <c r="E3028" s="10" t="str" cm="1">
        <f t="array" ref="E3028">IF(AND(A3028="2021-02", ISNA(MATCH(B3028, _xlfn._xlws.FILTER(B:B, A:A="2021-03"), 0))), "Left", "Ativo")</f>
        <v>Ativo</v>
      </c>
      <c r="F3028" s="12" t="str" cm="1">
        <f t="array" ref="F3028">IF(AND(A3028="2021-03", ISNA(MATCH(B3028, _xlfn._xlws.FILTER(B:B, A:A="2021-04"), 0))), "Left", "Ativo")</f>
        <v>Ativo</v>
      </c>
    </row>
    <row r="3029" spans="1:6" x14ac:dyDescent="0.25">
      <c r="A3029" t="s">
        <v>1531</v>
      </c>
      <c r="B3029" t="s">
        <v>146</v>
      </c>
      <c r="C3029" s="10" t="str" cm="1">
        <f t="array" ref="C3029">IF(AND(A3029="2020-12", ISNA(MATCH(B3029, _xlfn._xlws.FILTER(B:B, A:A="2021-01"), 0))), "Left", "Ativo")</f>
        <v>Ativo</v>
      </c>
      <c r="D3029" s="10" t="str" cm="1">
        <f t="array" ref="D3029">IF(AND(A3029="2021-01", ISNA(MATCH(B3029, _xlfn._xlws.FILTER(B:B, A:A="2021-02"), 0))), "Left", "Ativo")</f>
        <v>Ativo</v>
      </c>
      <c r="E3029" s="10" t="str" cm="1">
        <f t="array" ref="E3029">IF(AND(A3029="2021-02", ISNA(MATCH(B3029, _xlfn._xlws.FILTER(B:B, A:A="2021-03"), 0))), "Left", "Ativo")</f>
        <v>Ativo</v>
      </c>
      <c r="F3029" s="12" t="str" cm="1">
        <f t="array" ref="F3029">IF(AND(A3029="2021-03", ISNA(MATCH(B3029, _xlfn._xlws.FILTER(B:B, A:A="2021-04"), 0))), "Left", "Ativo")</f>
        <v>Ativo</v>
      </c>
    </row>
    <row r="3030" spans="1:6" x14ac:dyDescent="0.25">
      <c r="A3030" t="s">
        <v>1531</v>
      </c>
      <c r="B3030" t="s">
        <v>147</v>
      </c>
      <c r="C3030" s="10" t="str" cm="1">
        <f t="array" ref="C3030">IF(AND(A3030="2020-12", ISNA(MATCH(B3030, _xlfn._xlws.FILTER(B:B, A:A="2021-01"), 0))), "Left", "Ativo")</f>
        <v>Ativo</v>
      </c>
      <c r="D3030" s="10" t="str" cm="1">
        <f t="array" ref="D3030">IF(AND(A3030="2021-01", ISNA(MATCH(B3030, _xlfn._xlws.FILTER(B:B, A:A="2021-02"), 0))), "Left", "Ativo")</f>
        <v>Ativo</v>
      </c>
      <c r="E3030" s="10" t="str" cm="1">
        <f t="array" ref="E3030">IF(AND(A3030="2021-02", ISNA(MATCH(B3030, _xlfn._xlws.FILTER(B:B, A:A="2021-03"), 0))), "Left", "Ativo")</f>
        <v>Ativo</v>
      </c>
      <c r="F3030" s="12" t="str" cm="1">
        <f t="array" ref="F3030">IF(AND(A3030="2021-03", ISNA(MATCH(B3030, _xlfn._xlws.FILTER(B:B, A:A="2021-04"), 0))), "Left", "Ativo")</f>
        <v>Ativo</v>
      </c>
    </row>
    <row r="3031" spans="1:6" x14ac:dyDescent="0.25">
      <c r="A3031" t="s">
        <v>1531</v>
      </c>
      <c r="B3031" t="s">
        <v>148</v>
      </c>
      <c r="C3031" s="10" t="str" cm="1">
        <f t="array" ref="C3031">IF(AND(A3031="2020-12", ISNA(MATCH(B3031, _xlfn._xlws.FILTER(B:B, A:A="2021-01"), 0))), "Left", "Ativo")</f>
        <v>Ativo</v>
      </c>
      <c r="D3031" s="10" t="str" cm="1">
        <f t="array" ref="D3031">IF(AND(A3031="2021-01", ISNA(MATCH(B3031, _xlfn._xlws.FILTER(B:B, A:A="2021-02"), 0))), "Left", "Ativo")</f>
        <v>Ativo</v>
      </c>
      <c r="E3031" s="10" t="str" cm="1">
        <f t="array" ref="E3031">IF(AND(A3031="2021-02", ISNA(MATCH(B3031, _xlfn._xlws.FILTER(B:B, A:A="2021-03"), 0))), "Left", "Ativo")</f>
        <v>Ativo</v>
      </c>
      <c r="F3031" s="12" t="str" cm="1">
        <f t="array" ref="F3031">IF(AND(A3031="2021-03", ISNA(MATCH(B3031, _xlfn._xlws.FILTER(B:B, A:A="2021-04"), 0))), "Left", "Ativo")</f>
        <v>Ativo</v>
      </c>
    </row>
    <row r="3032" spans="1:6" x14ac:dyDescent="0.25">
      <c r="A3032" t="s">
        <v>1531</v>
      </c>
      <c r="B3032" t="s">
        <v>149</v>
      </c>
      <c r="C3032" s="10" t="str" cm="1">
        <f t="array" ref="C3032">IF(AND(A3032="2020-12", ISNA(MATCH(B3032, _xlfn._xlws.FILTER(B:B, A:A="2021-01"), 0))), "Left", "Ativo")</f>
        <v>Ativo</v>
      </c>
      <c r="D3032" s="10" t="str" cm="1">
        <f t="array" ref="D3032">IF(AND(A3032="2021-01", ISNA(MATCH(B3032, _xlfn._xlws.FILTER(B:B, A:A="2021-02"), 0))), "Left", "Ativo")</f>
        <v>Ativo</v>
      </c>
      <c r="E3032" s="10" t="str" cm="1">
        <f t="array" ref="E3032">IF(AND(A3032="2021-02", ISNA(MATCH(B3032, _xlfn._xlws.FILTER(B:B, A:A="2021-03"), 0))), "Left", "Ativo")</f>
        <v>Ativo</v>
      </c>
      <c r="F3032" s="12" t="str" cm="1">
        <f t="array" ref="F3032">IF(AND(A3032="2021-03", ISNA(MATCH(B3032, _xlfn._xlws.FILTER(B:B, A:A="2021-04"), 0))), "Left", "Ativo")</f>
        <v>Ativo</v>
      </c>
    </row>
    <row r="3033" spans="1:6" x14ac:dyDescent="0.25">
      <c r="A3033" t="s">
        <v>1531</v>
      </c>
      <c r="B3033" t="s">
        <v>150</v>
      </c>
      <c r="C3033" s="10" t="str" cm="1">
        <f t="array" ref="C3033">IF(AND(A3033="2020-12", ISNA(MATCH(B3033, _xlfn._xlws.FILTER(B:B, A:A="2021-01"), 0))), "Left", "Ativo")</f>
        <v>Ativo</v>
      </c>
      <c r="D3033" s="10" t="str" cm="1">
        <f t="array" ref="D3033">IF(AND(A3033="2021-01", ISNA(MATCH(B3033, _xlfn._xlws.FILTER(B:B, A:A="2021-02"), 0))), "Left", "Ativo")</f>
        <v>Ativo</v>
      </c>
      <c r="E3033" s="10" t="str" cm="1">
        <f t="array" ref="E3033">IF(AND(A3033="2021-02", ISNA(MATCH(B3033, _xlfn._xlws.FILTER(B:B, A:A="2021-03"), 0))), "Left", "Ativo")</f>
        <v>Ativo</v>
      </c>
      <c r="F3033" s="12" t="str" cm="1">
        <f t="array" ref="F3033">IF(AND(A3033="2021-03", ISNA(MATCH(B3033, _xlfn._xlws.FILTER(B:B, A:A="2021-04"), 0))), "Left", "Ativo")</f>
        <v>Ativo</v>
      </c>
    </row>
    <row r="3034" spans="1:6" x14ac:dyDescent="0.25">
      <c r="A3034" t="s">
        <v>1531</v>
      </c>
      <c r="B3034" t="s">
        <v>151</v>
      </c>
      <c r="C3034" s="10" t="str" cm="1">
        <f t="array" ref="C3034">IF(AND(A3034="2020-12", ISNA(MATCH(B3034, _xlfn._xlws.FILTER(B:B, A:A="2021-01"), 0))), "Left", "Ativo")</f>
        <v>Ativo</v>
      </c>
      <c r="D3034" s="10" t="str" cm="1">
        <f t="array" ref="D3034">IF(AND(A3034="2021-01", ISNA(MATCH(B3034, _xlfn._xlws.FILTER(B:B, A:A="2021-02"), 0))), "Left", "Ativo")</f>
        <v>Ativo</v>
      </c>
      <c r="E3034" s="10" t="str" cm="1">
        <f t="array" ref="E3034">IF(AND(A3034="2021-02", ISNA(MATCH(B3034, _xlfn._xlws.FILTER(B:B, A:A="2021-03"), 0))), "Left", "Ativo")</f>
        <v>Ativo</v>
      </c>
      <c r="F3034" s="12" t="str" cm="1">
        <f t="array" ref="F3034">IF(AND(A3034="2021-03", ISNA(MATCH(B3034, _xlfn._xlws.FILTER(B:B, A:A="2021-04"), 0))), "Left", "Ativo")</f>
        <v>Ativo</v>
      </c>
    </row>
    <row r="3035" spans="1:6" x14ac:dyDescent="0.25">
      <c r="A3035" t="s">
        <v>1531</v>
      </c>
      <c r="B3035" t="s">
        <v>152</v>
      </c>
      <c r="C3035" s="10" t="str" cm="1">
        <f t="array" ref="C3035">IF(AND(A3035="2020-12", ISNA(MATCH(B3035, _xlfn._xlws.FILTER(B:B, A:A="2021-01"), 0))), "Left", "Ativo")</f>
        <v>Ativo</v>
      </c>
      <c r="D3035" s="10" t="str" cm="1">
        <f t="array" ref="D3035">IF(AND(A3035="2021-01", ISNA(MATCH(B3035, _xlfn._xlws.FILTER(B:B, A:A="2021-02"), 0))), "Left", "Ativo")</f>
        <v>Ativo</v>
      </c>
      <c r="E3035" s="10" t="str" cm="1">
        <f t="array" ref="E3035">IF(AND(A3035="2021-02", ISNA(MATCH(B3035, _xlfn._xlws.FILTER(B:B, A:A="2021-03"), 0))), "Left", "Ativo")</f>
        <v>Ativo</v>
      </c>
      <c r="F3035" s="12" t="str" cm="1">
        <f t="array" ref="F3035">IF(AND(A3035="2021-03", ISNA(MATCH(B3035, _xlfn._xlws.FILTER(B:B, A:A="2021-04"), 0))), "Left", "Ativo")</f>
        <v>Ativo</v>
      </c>
    </row>
    <row r="3036" spans="1:6" x14ac:dyDescent="0.25">
      <c r="A3036" t="s">
        <v>1531</v>
      </c>
      <c r="B3036" t="s">
        <v>153</v>
      </c>
      <c r="C3036" s="10" t="str" cm="1">
        <f t="array" ref="C3036">IF(AND(A3036="2020-12", ISNA(MATCH(B3036, _xlfn._xlws.FILTER(B:B, A:A="2021-01"), 0))), "Left", "Ativo")</f>
        <v>Ativo</v>
      </c>
      <c r="D3036" s="10" t="str" cm="1">
        <f t="array" ref="D3036">IF(AND(A3036="2021-01", ISNA(MATCH(B3036, _xlfn._xlws.FILTER(B:B, A:A="2021-02"), 0))), "Left", "Ativo")</f>
        <v>Ativo</v>
      </c>
      <c r="E3036" s="10" t="str" cm="1">
        <f t="array" ref="E3036">IF(AND(A3036="2021-02", ISNA(MATCH(B3036, _xlfn._xlws.FILTER(B:B, A:A="2021-03"), 0))), "Left", "Ativo")</f>
        <v>Ativo</v>
      </c>
      <c r="F3036" s="12" t="str" cm="1">
        <f t="array" ref="F3036">IF(AND(A3036="2021-03", ISNA(MATCH(B3036, _xlfn._xlws.FILTER(B:B, A:A="2021-04"), 0))), "Left", "Ativo")</f>
        <v>Ativo</v>
      </c>
    </row>
    <row r="3037" spans="1:6" x14ac:dyDescent="0.25">
      <c r="A3037" t="s">
        <v>1531</v>
      </c>
      <c r="B3037" t="s">
        <v>154</v>
      </c>
      <c r="C3037" s="10" t="str" cm="1">
        <f t="array" ref="C3037">IF(AND(A3037="2020-12", ISNA(MATCH(B3037, _xlfn._xlws.FILTER(B:B, A:A="2021-01"), 0))), "Left", "Ativo")</f>
        <v>Ativo</v>
      </c>
      <c r="D3037" s="10" t="str" cm="1">
        <f t="array" ref="D3037">IF(AND(A3037="2021-01", ISNA(MATCH(B3037, _xlfn._xlws.FILTER(B:B, A:A="2021-02"), 0))), "Left", "Ativo")</f>
        <v>Ativo</v>
      </c>
      <c r="E3037" s="10" t="str" cm="1">
        <f t="array" ref="E3037">IF(AND(A3037="2021-02", ISNA(MATCH(B3037, _xlfn._xlws.FILTER(B:B, A:A="2021-03"), 0))), "Left", "Ativo")</f>
        <v>Ativo</v>
      </c>
      <c r="F3037" s="12" t="str" cm="1">
        <f t="array" ref="F3037">IF(AND(A3037="2021-03", ISNA(MATCH(B3037, _xlfn._xlws.FILTER(B:B, A:A="2021-04"), 0))), "Left", "Ativo")</f>
        <v>Ativo</v>
      </c>
    </row>
    <row r="3038" spans="1:6" x14ac:dyDescent="0.25">
      <c r="A3038" t="s">
        <v>1531</v>
      </c>
      <c r="B3038" t="s">
        <v>155</v>
      </c>
      <c r="C3038" s="10" t="str" cm="1">
        <f t="array" ref="C3038">IF(AND(A3038="2020-12", ISNA(MATCH(B3038, _xlfn._xlws.FILTER(B:B, A:A="2021-01"), 0))), "Left", "Ativo")</f>
        <v>Ativo</v>
      </c>
      <c r="D3038" s="10" t="str" cm="1">
        <f t="array" ref="D3038">IF(AND(A3038="2021-01", ISNA(MATCH(B3038, _xlfn._xlws.FILTER(B:B, A:A="2021-02"), 0))), "Left", "Ativo")</f>
        <v>Ativo</v>
      </c>
      <c r="E3038" s="10" t="str" cm="1">
        <f t="array" ref="E3038">IF(AND(A3038="2021-02", ISNA(MATCH(B3038, _xlfn._xlws.FILTER(B:B, A:A="2021-03"), 0))), "Left", "Ativo")</f>
        <v>Ativo</v>
      </c>
      <c r="F3038" s="12" t="str" cm="1">
        <f t="array" ref="F3038">IF(AND(A3038="2021-03", ISNA(MATCH(B3038, _xlfn._xlws.FILTER(B:B, A:A="2021-04"), 0))), "Left", "Ativo")</f>
        <v>Ativo</v>
      </c>
    </row>
    <row r="3039" spans="1:6" x14ac:dyDescent="0.25">
      <c r="A3039" t="s">
        <v>1531</v>
      </c>
      <c r="B3039" t="s">
        <v>156</v>
      </c>
      <c r="C3039" s="10" t="str" cm="1">
        <f t="array" ref="C3039">IF(AND(A3039="2020-12", ISNA(MATCH(B3039, _xlfn._xlws.FILTER(B:B, A:A="2021-01"), 0))), "Left", "Ativo")</f>
        <v>Ativo</v>
      </c>
      <c r="D3039" s="10" t="str" cm="1">
        <f t="array" ref="D3039">IF(AND(A3039="2021-01", ISNA(MATCH(B3039, _xlfn._xlws.FILTER(B:B, A:A="2021-02"), 0))), "Left", "Ativo")</f>
        <v>Ativo</v>
      </c>
      <c r="E3039" s="10" t="str" cm="1">
        <f t="array" ref="E3039">IF(AND(A3039="2021-02", ISNA(MATCH(B3039, _xlfn._xlws.FILTER(B:B, A:A="2021-03"), 0))), "Left", "Ativo")</f>
        <v>Ativo</v>
      </c>
      <c r="F3039" s="12" t="str" cm="1">
        <f t="array" ref="F3039">IF(AND(A3039="2021-03", ISNA(MATCH(B3039, _xlfn._xlws.FILTER(B:B, A:A="2021-04"), 0))), "Left", "Ativo")</f>
        <v>Ativo</v>
      </c>
    </row>
    <row r="3040" spans="1:6" x14ac:dyDescent="0.25">
      <c r="A3040" t="s">
        <v>1531</v>
      </c>
      <c r="B3040" t="s">
        <v>157</v>
      </c>
      <c r="C3040" s="10" t="str" cm="1">
        <f t="array" ref="C3040">IF(AND(A3040="2020-12", ISNA(MATCH(B3040, _xlfn._xlws.FILTER(B:B, A:A="2021-01"), 0))), "Left", "Ativo")</f>
        <v>Ativo</v>
      </c>
      <c r="D3040" s="10" t="str" cm="1">
        <f t="array" ref="D3040">IF(AND(A3040="2021-01", ISNA(MATCH(B3040, _xlfn._xlws.FILTER(B:B, A:A="2021-02"), 0))), "Left", "Ativo")</f>
        <v>Ativo</v>
      </c>
      <c r="E3040" s="10" t="str" cm="1">
        <f t="array" ref="E3040">IF(AND(A3040="2021-02", ISNA(MATCH(B3040, _xlfn._xlws.FILTER(B:B, A:A="2021-03"), 0))), "Left", "Ativo")</f>
        <v>Ativo</v>
      </c>
      <c r="F3040" s="12" t="str" cm="1">
        <f t="array" ref="F3040">IF(AND(A3040="2021-03", ISNA(MATCH(B3040, _xlfn._xlws.FILTER(B:B, A:A="2021-04"), 0))), "Left", "Ativo")</f>
        <v>Ativo</v>
      </c>
    </row>
    <row r="3041" spans="1:6" x14ac:dyDescent="0.25">
      <c r="A3041" t="s">
        <v>1531</v>
      </c>
      <c r="B3041" t="s">
        <v>158</v>
      </c>
      <c r="C3041" s="10" t="str" cm="1">
        <f t="array" ref="C3041">IF(AND(A3041="2020-12", ISNA(MATCH(B3041, _xlfn._xlws.FILTER(B:B, A:A="2021-01"), 0))), "Left", "Ativo")</f>
        <v>Ativo</v>
      </c>
      <c r="D3041" s="10" t="str" cm="1">
        <f t="array" ref="D3041">IF(AND(A3041="2021-01", ISNA(MATCH(B3041, _xlfn._xlws.FILTER(B:B, A:A="2021-02"), 0))), "Left", "Ativo")</f>
        <v>Ativo</v>
      </c>
      <c r="E3041" s="10" t="str" cm="1">
        <f t="array" ref="E3041">IF(AND(A3041="2021-02", ISNA(MATCH(B3041, _xlfn._xlws.FILTER(B:B, A:A="2021-03"), 0))), "Left", "Ativo")</f>
        <v>Ativo</v>
      </c>
      <c r="F3041" s="12" t="str" cm="1">
        <f t="array" ref="F3041">IF(AND(A3041="2021-03", ISNA(MATCH(B3041, _xlfn._xlws.FILTER(B:B, A:A="2021-04"), 0))), "Left", "Ativo")</f>
        <v>Ativo</v>
      </c>
    </row>
    <row r="3042" spans="1:6" x14ac:dyDescent="0.25">
      <c r="A3042" t="s">
        <v>1531</v>
      </c>
      <c r="B3042" t="s">
        <v>159</v>
      </c>
      <c r="C3042" s="10" t="str" cm="1">
        <f t="array" ref="C3042">IF(AND(A3042="2020-12", ISNA(MATCH(B3042, _xlfn._xlws.FILTER(B:B, A:A="2021-01"), 0))), "Left", "Ativo")</f>
        <v>Ativo</v>
      </c>
      <c r="D3042" s="10" t="str" cm="1">
        <f t="array" ref="D3042">IF(AND(A3042="2021-01", ISNA(MATCH(B3042, _xlfn._xlws.FILTER(B:B, A:A="2021-02"), 0))), "Left", "Ativo")</f>
        <v>Ativo</v>
      </c>
      <c r="E3042" s="10" t="str" cm="1">
        <f t="array" ref="E3042">IF(AND(A3042="2021-02", ISNA(MATCH(B3042, _xlfn._xlws.FILTER(B:B, A:A="2021-03"), 0))), "Left", "Ativo")</f>
        <v>Ativo</v>
      </c>
      <c r="F3042" s="12" t="str" cm="1">
        <f t="array" ref="F3042">IF(AND(A3042="2021-03", ISNA(MATCH(B3042, _xlfn._xlws.FILTER(B:B, A:A="2021-04"), 0))), "Left", "Ativo")</f>
        <v>Ativo</v>
      </c>
    </row>
    <row r="3043" spans="1:6" x14ac:dyDescent="0.25">
      <c r="A3043" t="s">
        <v>1531</v>
      </c>
      <c r="B3043" t="s">
        <v>160</v>
      </c>
      <c r="C3043" s="10" t="str" cm="1">
        <f t="array" ref="C3043">IF(AND(A3043="2020-12", ISNA(MATCH(B3043, _xlfn._xlws.FILTER(B:B, A:A="2021-01"), 0))), "Left", "Ativo")</f>
        <v>Ativo</v>
      </c>
      <c r="D3043" s="10" t="str" cm="1">
        <f t="array" ref="D3043">IF(AND(A3043="2021-01", ISNA(MATCH(B3043, _xlfn._xlws.FILTER(B:B, A:A="2021-02"), 0))), "Left", "Ativo")</f>
        <v>Ativo</v>
      </c>
      <c r="E3043" s="10" t="str" cm="1">
        <f t="array" ref="E3043">IF(AND(A3043="2021-02", ISNA(MATCH(B3043, _xlfn._xlws.FILTER(B:B, A:A="2021-03"), 0))), "Left", "Ativo")</f>
        <v>Ativo</v>
      </c>
      <c r="F3043" s="12" t="str" cm="1">
        <f t="array" ref="F3043">IF(AND(A3043="2021-03", ISNA(MATCH(B3043, _xlfn._xlws.FILTER(B:B, A:A="2021-04"), 0))), "Left", "Ativo")</f>
        <v>Ativo</v>
      </c>
    </row>
    <row r="3044" spans="1:6" x14ac:dyDescent="0.25">
      <c r="A3044" t="s">
        <v>1531</v>
      </c>
      <c r="B3044" t="s">
        <v>161</v>
      </c>
      <c r="C3044" s="10" t="str" cm="1">
        <f t="array" ref="C3044">IF(AND(A3044="2020-12", ISNA(MATCH(B3044, _xlfn._xlws.FILTER(B:B, A:A="2021-01"), 0))), "Left", "Ativo")</f>
        <v>Ativo</v>
      </c>
      <c r="D3044" s="10" t="str" cm="1">
        <f t="array" ref="D3044">IF(AND(A3044="2021-01", ISNA(MATCH(B3044, _xlfn._xlws.FILTER(B:B, A:A="2021-02"), 0))), "Left", "Ativo")</f>
        <v>Ativo</v>
      </c>
      <c r="E3044" s="10" t="str" cm="1">
        <f t="array" ref="E3044">IF(AND(A3044="2021-02", ISNA(MATCH(B3044, _xlfn._xlws.FILTER(B:B, A:A="2021-03"), 0))), "Left", "Ativo")</f>
        <v>Ativo</v>
      </c>
      <c r="F3044" s="12" t="str" cm="1">
        <f t="array" ref="F3044">IF(AND(A3044="2021-03", ISNA(MATCH(B3044, _xlfn._xlws.FILTER(B:B, A:A="2021-04"), 0))), "Left", "Ativo")</f>
        <v>Ativo</v>
      </c>
    </row>
    <row r="3045" spans="1:6" x14ac:dyDescent="0.25">
      <c r="A3045" t="s">
        <v>1531</v>
      </c>
      <c r="B3045" t="s">
        <v>162</v>
      </c>
      <c r="C3045" s="10" t="str" cm="1">
        <f t="array" ref="C3045">IF(AND(A3045="2020-12", ISNA(MATCH(B3045, _xlfn._xlws.FILTER(B:B, A:A="2021-01"), 0))), "Left", "Ativo")</f>
        <v>Ativo</v>
      </c>
      <c r="D3045" s="10" t="str" cm="1">
        <f t="array" ref="D3045">IF(AND(A3045="2021-01", ISNA(MATCH(B3045, _xlfn._xlws.FILTER(B:B, A:A="2021-02"), 0))), "Left", "Ativo")</f>
        <v>Ativo</v>
      </c>
      <c r="E3045" s="10" t="str" cm="1">
        <f t="array" ref="E3045">IF(AND(A3045="2021-02", ISNA(MATCH(B3045, _xlfn._xlws.FILTER(B:B, A:A="2021-03"), 0))), "Left", "Ativo")</f>
        <v>Ativo</v>
      </c>
      <c r="F3045" s="12" t="str" cm="1">
        <f t="array" ref="F3045">IF(AND(A3045="2021-03", ISNA(MATCH(B3045, _xlfn._xlws.FILTER(B:B, A:A="2021-04"), 0))), "Left", "Ativo")</f>
        <v>Ativo</v>
      </c>
    </row>
    <row r="3046" spans="1:6" x14ac:dyDescent="0.25">
      <c r="A3046" t="s">
        <v>1531</v>
      </c>
      <c r="B3046" t="s">
        <v>163</v>
      </c>
      <c r="C3046" s="10" t="str" cm="1">
        <f t="array" ref="C3046">IF(AND(A3046="2020-12", ISNA(MATCH(B3046, _xlfn._xlws.FILTER(B:B, A:A="2021-01"), 0))), "Left", "Ativo")</f>
        <v>Ativo</v>
      </c>
      <c r="D3046" s="10" t="str" cm="1">
        <f t="array" ref="D3046">IF(AND(A3046="2021-01", ISNA(MATCH(B3046, _xlfn._xlws.FILTER(B:B, A:A="2021-02"), 0))), "Left", "Ativo")</f>
        <v>Ativo</v>
      </c>
      <c r="E3046" s="10" t="str" cm="1">
        <f t="array" ref="E3046">IF(AND(A3046="2021-02", ISNA(MATCH(B3046, _xlfn._xlws.FILTER(B:B, A:A="2021-03"), 0))), "Left", "Ativo")</f>
        <v>Ativo</v>
      </c>
      <c r="F3046" s="12" t="str" cm="1">
        <f t="array" ref="F3046">IF(AND(A3046="2021-03", ISNA(MATCH(B3046, _xlfn._xlws.FILTER(B:B, A:A="2021-04"), 0))), "Left", "Ativo")</f>
        <v>Ativo</v>
      </c>
    </row>
    <row r="3047" spans="1:6" x14ac:dyDescent="0.25">
      <c r="A3047" t="s">
        <v>1531</v>
      </c>
      <c r="B3047" t="s">
        <v>164</v>
      </c>
      <c r="C3047" s="10" t="str" cm="1">
        <f t="array" ref="C3047">IF(AND(A3047="2020-12", ISNA(MATCH(B3047, _xlfn._xlws.FILTER(B:B, A:A="2021-01"), 0))), "Left", "Ativo")</f>
        <v>Ativo</v>
      </c>
      <c r="D3047" s="10" t="str" cm="1">
        <f t="array" ref="D3047">IF(AND(A3047="2021-01", ISNA(MATCH(B3047, _xlfn._xlws.FILTER(B:B, A:A="2021-02"), 0))), "Left", "Ativo")</f>
        <v>Ativo</v>
      </c>
      <c r="E3047" s="10" t="str" cm="1">
        <f t="array" ref="E3047">IF(AND(A3047="2021-02", ISNA(MATCH(B3047, _xlfn._xlws.FILTER(B:B, A:A="2021-03"), 0))), "Left", "Ativo")</f>
        <v>Ativo</v>
      </c>
      <c r="F3047" s="12" t="str" cm="1">
        <f t="array" ref="F3047">IF(AND(A3047="2021-03", ISNA(MATCH(B3047, _xlfn._xlws.FILTER(B:B, A:A="2021-04"), 0))), "Left", "Ativo")</f>
        <v>Ativo</v>
      </c>
    </row>
    <row r="3048" spans="1:6" x14ac:dyDescent="0.25">
      <c r="A3048" t="s">
        <v>1531</v>
      </c>
      <c r="B3048" t="s">
        <v>165</v>
      </c>
      <c r="C3048" s="10" t="str" cm="1">
        <f t="array" ref="C3048">IF(AND(A3048="2020-12", ISNA(MATCH(B3048, _xlfn._xlws.FILTER(B:B, A:A="2021-01"), 0))), "Left", "Ativo")</f>
        <v>Ativo</v>
      </c>
      <c r="D3048" s="10" t="str" cm="1">
        <f t="array" ref="D3048">IF(AND(A3048="2021-01", ISNA(MATCH(B3048, _xlfn._xlws.FILTER(B:B, A:A="2021-02"), 0))), "Left", "Ativo")</f>
        <v>Ativo</v>
      </c>
      <c r="E3048" s="10" t="str" cm="1">
        <f t="array" ref="E3048">IF(AND(A3048="2021-02", ISNA(MATCH(B3048, _xlfn._xlws.FILTER(B:B, A:A="2021-03"), 0))), "Left", "Ativo")</f>
        <v>Ativo</v>
      </c>
      <c r="F3048" s="12" t="str" cm="1">
        <f t="array" ref="F3048">IF(AND(A3048="2021-03", ISNA(MATCH(B3048, _xlfn._xlws.FILTER(B:B, A:A="2021-04"), 0))), "Left", "Ativo")</f>
        <v>Ativo</v>
      </c>
    </row>
    <row r="3049" spans="1:6" x14ac:dyDescent="0.25">
      <c r="A3049" t="s">
        <v>1531</v>
      </c>
      <c r="B3049" t="s">
        <v>166</v>
      </c>
      <c r="C3049" s="10" t="str" cm="1">
        <f t="array" ref="C3049">IF(AND(A3049="2020-12", ISNA(MATCH(B3049, _xlfn._xlws.FILTER(B:B, A:A="2021-01"), 0))), "Left", "Ativo")</f>
        <v>Ativo</v>
      </c>
      <c r="D3049" s="10" t="str" cm="1">
        <f t="array" ref="D3049">IF(AND(A3049="2021-01", ISNA(MATCH(B3049, _xlfn._xlws.FILTER(B:B, A:A="2021-02"), 0))), "Left", "Ativo")</f>
        <v>Ativo</v>
      </c>
      <c r="E3049" s="10" t="str" cm="1">
        <f t="array" ref="E3049">IF(AND(A3049="2021-02", ISNA(MATCH(B3049, _xlfn._xlws.FILTER(B:B, A:A="2021-03"), 0))), "Left", "Ativo")</f>
        <v>Ativo</v>
      </c>
      <c r="F3049" s="12" t="str" cm="1">
        <f t="array" ref="F3049">IF(AND(A3049="2021-03", ISNA(MATCH(B3049, _xlfn._xlws.FILTER(B:B, A:A="2021-04"), 0))), "Left", "Ativo")</f>
        <v>Ativo</v>
      </c>
    </row>
    <row r="3050" spans="1:6" x14ac:dyDescent="0.25">
      <c r="A3050" t="s">
        <v>1531</v>
      </c>
      <c r="B3050" t="s">
        <v>167</v>
      </c>
      <c r="C3050" s="10" t="str" cm="1">
        <f t="array" ref="C3050">IF(AND(A3050="2020-12", ISNA(MATCH(B3050, _xlfn._xlws.FILTER(B:B, A:A="2021-01"), 0))), "Left", "Ativo")</f>
        <v>Ativo</v>
      </c>
      <c r="D3050" s="10" t="str" cm="1">
        <f t="array" ref="D3050">IF(AND(A3050="2021-01", ISNA(MATCH(B3050, _xlfn._xlws.FILTER(B:B, A:A="2021-02"), 0))), "Left", "Ativo")</f>
        <v>Ativo</v>
      </c>
      <c r="E3050" s="10" t="str" cm="1">
        <f t="array" ref="E3050">IF(AND(A3050="2021-02", ISNA(MATCH(B3050, _xlfn._xlws.FILTER(B:B, A:A="2021-03"), 0))), "Left", "Ativo")</f>
        <v>Ativo</v>
      </c>
      <c r="F3050" s="12" t="str" cm="1">
        <f t="array" ref="F3050">IF(AND(A3050="2021-03", ISNA(MATCH(B3050, _xlfn._xlws.FILTER(B:B, A:A="2021-04"), 0))), "Left", "Ativo")</f>
        <v>Ativo</v>
      </c>
    </row>
    <row r="3051" spans="1:6" x14ac:dyDescent="0.25">
      <c r="A3051" t="s">
        <v>1531</v>
      </c>
      <c r="B3051" t="s">
        <v>168</v>
      </c>
      <c r="C3051" s="10" t="str" cm="1">
        <f t="array" ref="C3051">IF(AND(A3051="2020-12", ISNA(MATCH(B3051, _xlfn._xlws.FILTER(B:B, A:A="2021-01"), 0))), "Left", "Ativo")</f>
        <v>Ativo</v>
      </c>
      <c r="D3051" s="10" t="str" cm="1">
        <f t="array" ref="D3051">IF(AND(A3051="2021-01", ISNA(MATCH(B3051, _xlfn._xlws.FILTER(B:B, A:A="2021-02"), 0))), "Left", "Ativo")</f>
        <v>Ativo</v>
      </c>
      <c r="E3051" s="10" t="str" cm="1">
        <f t="array" ref="E3051">IF(AND(A3051="2021-02", ISNA(MATCH(B3051, _xlfn._xlws.FILTER(B:B, A:A="2021-03"), 0))), "Left", "Ativo")</f>
        <v>Ativo</v>
      </c>
      <c r="F3051" s="12" t="str" cm="1">
        <f t="array" ref="F3051">IF(AND(A3051="2021-03", ISNA(MATCH(B3051, _xlfn._xlws.FILTER(B:B, A:A="2021-04"), 0))), "Left", "Ativo")</f>
        <v>Ativo</v>
      </c>
    </row>
    <row r="3052" spans="1:6" x14ac:dyDescent="0.25">
      <c r="A3052" t="s">
        <v>1531</v>
      </c>
      <c r="B3052" t="s">
        <v>169</v>
      </c>
      <c r="C3052" s="10" t="str" cm="1">
        <f t="array" ref="C3052">IF(AND(A3052="2020-12", ISNA(MATCH(B3052, _xlfn._xlws.FILTER(B:B, A:A="2021-01"), 0))), "Left", "Ativo")</f>
        <v>Ativo</v>
      </c>
      <c r="D3052" s="10" t="str" cm="1">
        <f t="array" ref="D3052">IF(AND(A3052="2021-01", ISNA(MATCH(B3052, _xlfn._xlws.FILTER(B:B, A:A="2021-02"), 0))), "Left", "Ativo")</f>
        <v>Ativo</v>
      </c>
      <c r="E3052" s="10" t="str" cm="1">
        <f t="array" ref="E3052">IF(AND(A3052="2021-02", ISNA(MATCH(B3052, _xlfn._xlws.FILTER(B:B, A:A="2021-03"), 0))), "Left", "Ativo")</f>
        <v>Ativo</v>
      </c>
      <c r="F3052" s="12" t="str" cm="1">
        <f t="array" ref="F3052">IF(AND(A3052="2021-03", ISNA(MATCH(B3052, _xlfn._xlws.FILTER(B:B, A:A="2021-04"), 0))), "Left", "Ativo")</f>
        <v>Ativo</v>
      </c>
    </row>
    <row r="3053" spans="1:6" x14ac:dyDescent="0.25">
      <c r="A3053" t="s">
        <v>1531</v>
      </c>
      <c r="B3053" t="s">
        <v>170</v>
      </c>
      <c r="C3053" s="10" t="str" cm="1">
        <f t="array" ref="C3053">IF(AND(A3053="2020-12", ISNA(MATCH(B3053, _xlfn._xlws.FILTER(B:B, A:A="2021-01"), 0))), "Left", "Ativo")</f>
        <v>Ativo</v>
      </c>
      <c r="D3053" s="10" t="str" cm="1">
        <f t="array" ref="D3053">IF(AND(A3053="2021-01", ISNA(MATCH(B3053, _xlfn._xlws.FILTER(B:B, A:A="2021-02"), 0))), "Left", "Ativo")</f>
        <v>Ativo</v>
      </c>
      <c r="E3053" s="10" t="str" cm="1">
        <f t="array" ref="E3053">IF(AND(A3053="2021-02", ISNA(MATCH(B3053, _xlfn._xlws.FILTER(B:B, A:A="2021-03"), 0))), "Left", "Ativo")</f>
        <v>Ativo</v>
      </c>
      <c r="F3053" s="12" t="str" cm="1">
        <f t="array" ref="F3053">IF(AND(A3053="2021-03", ISNA(MATCH(B3053, _xlfn._xlws.FILTER(B:B, A:A="2021-04"), 0))), "Left", "Ativo")</f>
        <v>Ativo</v>
      </c>
    </row>
    <row r="3054" spans="1:6" x14ac:dyDescent="0.25">
      <c r="A3054" t="s">
        <v>1531</v>
      </c>
      <c r="B3054" t="s">
        <v>171</v>
      </c>
      <c r="C3054" s="10" t="str" cm="1">
        <f t="array" ref="C3054">IF(AND(A3054="2020-12", ISNA(MATCH(B3054, _xlfn._xlws.FILTER(B:B, A:A="2021-01"), 0))), "Left", "Ativo")</f>
        <v>Ativo</v>
      </c>
      <c r="D3054" s="10" t="str" cm="1">
        <f t="array" ref="D3054">IF(AND(A3054="2021-01", ISNA(MATCH(B3054, _xlfn._xlws.FILTER(B:B, A:A="2021-02"), 0))), "Left", "Ativo")</f>
        <v>Ativo</v>
      </c>
      <c r="E3054" s="10" t="str" cm="1">
        <f t="array" ref="E3054">IF(AND(A3054="2021-02", ISNA(MATCH(B3054, _xlfn._xlws.FILTER(B:B, A:A="2021-03"), 0))), "Left", "Ativo")</f>
        <v>Ativo</v>
      </c>
      <c r="F3054" s="12" t="str" cm="1">
        <f t="array" ref="F3054">IF(AND(A3054="2021-03", ISNA(MATCH(B3054, _xlfn._xlws.FILTER(B:B, A:A="2021-04"), 0))), "Left", "Ativo")</f>
        <v>Ativo</v>
      </c>
    </row>
    <row r="3055" spans="1:6" x14ac:dyDescent="0.25">
      <c r="A3055" t="s">
        <v>1531</v>
      </c>
      <c r="B3055" t="s">
        <v>172</v>
      </c>
      <c r="C3055" s="10" t="str" cm="1">
        <f t="array" ref="C3055">IF(AND(A3055="2020-12", ISNA(MATCH(B3055, _xlfn._xlws.FILTER(B:B, A:A="2021-01"), 0))), "Left", "Ativo")</f>
        <v>Ativo</v>
      </c>
      <c r="D3055" s="10" t="str" cm="1">
        <f t="array" ref="D3055">IF(AND(A3055="2021-01", ISNA(MATCH(B3055, _xlfn._xlws.FILTER(B:B, A:A="2021-02"), 0))), "Left", "Ativo")</f>
        <v>Ativo</v>
      </c>
      <c r="E3055" s="10" t="str" cm="1">
        <f t="array" ref="E3055">IF(AND(A3055="2021-02", ISNA(MATCH(B3055, _xlfn._xlws.FILTER(B:B, A:A="2021-03"), 0))), "Left", "Ativo")</f>
        <v>Ativo</v>
      </c>
      <c r="F3055" s="12" t="str" cm="1">
        <f t="array" ref="F3055">IF(AND(A3055="2021-03", ISNA(MATCH(B3055, _xlfn._xlws.FILTER(B:B, A:A="2021-04"), 0))), "Left", "Ativo")</f>
        <v>Ativo</v>
      </c>
    </row>
    <row r="3056" spans="1:6" x14ac:dyDescent="0.25">
      <c r="A3056" t="s">
        <v>1531</v>
      </c>
      <c r="B3056" t="s">
        <v>173</v>
      </c>
      <c r="C3056" s="10" t="str" cm="1">
        <f t="array" ref="C3056">IF(AND(A3056="2020-12", ISNA(MATCH(B3056, _xlfn._xlws.FILTER(B:B, A:A="2021-01"), 0))), "Left", "Ativo")</f>
        <v>Ativo</v>
      </c>
      <c r="D3056" s="10" t="str" cm="1">
        <f t="array" ref="D3056">IF(AND(A3056="2021-01", ISNA(MATCH(B3056, _xlfn._xlws.FILTER(B:B, A:A="2021-02"), 0))), "Left", "Ativo")</f>
        <v>Ativo</v>
      </c>
      <c r="E3056" s="10" t="str" cm="1">
        <f t="array" ref="E3056">IF(AND(A3056="2021-02", ISNA(MATCH(B3056, _xlfn._xlws.FILTER(B:B, A:A="2021-03"), 0))), "Left", "Ativo")</f>
        <v>Ativo</v>
      </c>
      <c r="F3056" s="12" t="str" cm="1">
        <f t="array" ref="F3056">IF(AND(A3056="2021-03", ISNA(MATCH(B3056, _xlfn._xlws.FILTER(B:B, A:A="2021-04"), 0))), "Left", "Ativo")</f>
        <v>Ativo</v>
      </c>
    </row>
    <row r="3057" spans="1:6" x14ac:dyDescent="0.25">
      <c r="A3057" t="s">
        <v>1531</v>
      </c>
      <c r="B3057" t="s">
        <v>174</v>
      </c>
      <c r="C3057" s="10" t="str" cm="1">
        <f t="array" ref="C3057">IF(AND(A3057="2020-12", ISNA(MATCH(B3057, _xlfn._xlws.FILTER(B:B, A:A="2021-01"), 0))), "Left", "Ativo")</f>
        <v>Ativo</v>
      </c>
      <c r="D3057" s="10" t="str" cm="1">
        <f t="array" ref="D3057">IF(AND(A3057="2021-01", ISNA(MATCH(B3057, _xlfn._xlws.FILTER(B:B, A:A="2021-02"), 0))), "Left", "Ativo")</f>
        <v>Ativo</v>
      </c>
      <c r="E3057" s="10" t="str" cm="1">
        <f t="array" ref="E3057">IF(AND(A3057="2021-02", ISNA(MATCH(B3057, _xlfn._xlws.FILTER(B:B, A:A="2021-03"), 0))), "Left", "Ativo")</f>
        <v>Ativo</v>
      </c>
      <c r="F3057" s="12" t="str" cm="1">
        <f t="array" ref="F3057">IF(AND(A3057="2021-03", ISNA(MATCH(B3057, _xlfn._xlws.FILTER(B:B, A:A="2021-04"), 0))), "Left", "Ativo")</f>
        <v>Ativo</v>
      </c>
    </row>
    <row r="3058" spans="1:6" x14ac:dyDescent="0.25">
      <c r="A3058" t="s">
        <v>1531</v>
      </c>
      <c r="B3058" t="s">
        <v>175</v>
      </c>
      <c r="C3058" s="10" t="str" cm="1">
        <f t="array" ref="C3058">IF(AND(A3058="2020-12", ISNA(MATCH(B3058, _xlfn._xlws.FILTER(B:B, A:A="2021-01"), 0))), "Left", "Ativo")</f>
        <v>Ativo</v>
      </c>
      <c r="D3058" s="10" t="str" cm="1">
        <f t="array" ref="D3058">IF(AND(A3058="2021-01", ISNA(MATCH(B3058, _xlfn._xlws.FILTER(B:B, A:A="2021-02"), 0))), "Left", "Ativo")</f>
        <v>Ativo</v>
      </c>
      <c r="E3058" s="10" t="str" cm="1">
        <f t="array" ref="E3058">IF(AND(A3058="2021-02", ISNA(MATCH(B3058, _xlfn._xlws.FILTER(B:B, A:A="2021-03"), 0))), "Left", "Ativo")</f>
        <v>Ativo</v>
      </c>
      <c r="F3058" s="12" t="str" cm="1">
        <f t="array" ref="F3058">IF(AND(A3058="2021-03", ISNA(MATCH(B3058, _xlfn._xlws.FILTER(B:B, A:A="2021-04"), 0))), "Left", "Ativo")</f>
        <v>Ativo</v>
      </c>
    </row>
    <row r="3059" spans="1:6" x14ac:dyDescent="0.25">
      <c r="A3059" t="s">
        <v>1531</v>
      </c>
      <c r="B3059" t="s">
        <v>176</v>
      </c>
      <c r="C3059" s="10" t="str" cm="1">
        <f t="array" ref="C3059">IF(AND(A3059="2020-12", ISNA(MATCH(B3059, _xlfn._xlws.FILTER(B:B, A:A="2021-01"), 0))), "Left", "Ativo")</f>
        <v>Ativo</v>
      </c>
      <c r="D3059" s="10" t="str" cm="1">
        <f t="array" ref="D3059">IF(AND(A3059="2021-01", ISNA(MATCH(B3059, _xlfn._xlws.FILTER(B:B, A:A="2021-02"), 0))), "Left", "Ativo")</f>
        <v>Ativo</v>
      </c>
      <c r="E3059" s="10" t="str" cm="1">
        <f t="array" ref="E3059">IF(AND(A3059="2021-02", ISNA(MATCH(B3059, _xlfn._xlws.FILTER(B:B, A:A="2021-03"), 0))), "Left", "Ativo")</f>
        <v>Ativo</v>
      </c>
      <c r="F3059" s="12" t="str" cm="1">
        <f t="array" ref="F3059">IF(AND(A3059="2021-03", ISNA(MATCH(B3059, _xlfn._xlws.FILTER(B:B, A:A="2021-04"), 0))), "Left", "Ativo")</f>
        <v>Ativo</v>
      </c>
    </row>
    <row r="3060" spans="1:6" x14ac:dyDescent="0.25">
      <c r="A3060" t="s">
        <v>1531</v>
      </c>
      <c r="B3060" t="s">
        <v>177</v>
      </c>
      <c r="C3060" s="10" t="str" cm="1">
        <f t="array" ref="C3060">IF(AND(A3060="2020-12", ISNA(MATCH(B3060, _xlfn._xlws.FILTER(B:B, A:A="2021-01"), 0))), "Left", "Ativo")</f>
        <v>Ativo</v>
      </c>
      <c r="D3060" s="10" t="str" cm="1">
        <f t="array" ref="D3060">IF(AND(A3060="2021-01", ISNA(MATCH(B3060, _xlfn._xlws.FILTER(B:B, A:A="2021-02"), 0))), "Left", "Ativo")</f>
        <v>Ativo</v>
      </c>
      <c r="E3060" s="10" t="str" cm="1">
        <f t="array" ref="E3060">IF(AND(A3060="2021-02", ISNA(MATCH(B3060, _xlfn._xlws.FILTER(B:B, A:A="2021-03"), 0))), "Left", "Ativo")</f>
        <v>Ativo</v>
      </c>
      <c r="F3060" s="12" t="str" cm="1">
        <f t="array" ref="F3060">IF(AND(A3060="2021-03", ISNA(MATCH(B3060, _xlfn._xlws.FILTER(B:B, A:A="2021-04"), 0))), "Left", "Ativo")</f>
        <v>Ativo</v>
      </c>
    </row>
    <row r="3061" spans="1:6" x14ac:dyDescent="0.25">
      <c r="A3061" t="s">
        <v>1531</v>
      </c>
      <c r="B3061" t="s">
        <v>178</v>
      </c>
      <c r="C3061" s="10" t="str" cm="1">
        <f t="array" ref="C3061">IF(AND(A3061="2020-12", ISNA(MATCH(B3061, _xlfn._xlws.FILTER(B:B, A:A="2021-01"), 0))), "Left", "Ativo")</f>
        <v>Ativo</v>
      </c>
      <c r="D3061" s="10" t="str" cm="1">
        <f t="array" ref="D3061">IF(AND(A3061="2021-01", ISNA(MATCH(B3061, _xlfn._xlws.FILTER(B:B, A:A="2021-02"), 0))), "Left", "Ativo")</f>
        <v>Ativo</v>
      </c>
      <c r="E3061" s="10" t="str" cm="1">
        <f t="array" ref="E3061">IF(AND(A3061="2021-02", ISNA(MATCH(B3061, _xlfn._xlws.FILTER(B:B, A:A="2021-03"), 0))), "Left", "Ativo")</f>
        <v>Ativo</v>
      </c>
      <c r="F3061" s="12" t="str" cm="1">
        <f t="array" ref="F3061">IF(AND(A3061="2021-03", ISNA(MATCH(B3061, _xlfn._xlws.FILTER(B:B, A:A="2021-04"), 0))), "Left", "Ativo")</f>
        <v>Ativo</v>
      </c>
    </row>
    <row r="3062" spans="1:6" x14ac:dyDescent="0.25">
      <c r="A3062" t="s">
        <v>1531</v>
      </c>
      <c r="B3062" t="s">
        <v>179</v>
      </c>
      <c r="C3062" s="10" t="str" cm="1">
        <f t="array" ref="C3062">IF(AND(A3062="2020-12", ISNA(MATCH(B3062, _xlfn._xlws.FILTER(B:B, A:A="2021-01"), 0))), "Left", "Ativo")</f>
        <v>Ativo</v>
      </c>
      <c r="D3062" s="10" t="str" cm="1">
        <f t="array" ref="D3062">IF(AND(A3062="2021-01", ISNA(MATCH(B3062, _xlfn._xlws.FILTER(B:B, A:A="2021-02"), 0))), "Left", "Ativo")</f>
        <v>Ativo</v>
      </c>
      <c r="E3062" s="10" t="str" cm="1">
        <f t="array" ref="E3062">IF(AND(A3062="2021-02", ISNA(MATCH(B3062, _xlfn._xlws.FILTER(B:B, A:A="2021-03"), 0))), "Left", "Ativo")</f>
        <v>Ativo</v>
      </c>
      <c r="F3062" s="12" t="str" cm="1">
        <f t="array" ref="F3062">IF(AND(A3062="2021-03", ISNA(MATCH(B3062, _xlfn._xlws.FILTER(B:B, A:A="2021-04"), 0))), "Left", "Ativo")</f>
        <v>Ativo</v>
      </c>
    </row>
    <row r="3063" spans="1:6" x14ac:dyDescent="0.25">
      <c r="A3063" t="s">
        <v>1531</v>
      </c>
      <c r="B3063" t="s">
        <v>180</v>
      </c>
      <c r="C3063" s="10" t="str" cm="1">
        <f t="array" ref="C3063">IF(AND(A3063="2020-12", ISNA(MATCH(B3063, _xlfn._xlws.FILTER(B:B, A:A="2021-01"), 0))), "Left", "Ativo")</f>
        <v>Ativo</v>
      </c>
      <c r="D3063" s="10" t="str" cm="1">
        <f t="array" ref="D3063">IF(AND(A3063="2021-01", ISNA(MATCH(B3063, _xlfn._xlws.FILTER(B:B, A:A="2021-02"), 0))), "Left", "Ativo")</f>
        <v>Ativo</v>
      </c>
      <c r="E3063" s="10" t="str" cm="1">
        <f t="array" ref="E3063">IF(AND(A3063="2021-02", ISNA(MATCH(B3063, _xlfn._xlws.FILTER(B:B, A:A="2021-03"), 0))), "Left", "Ativo")</f>
        <v>Ativo</v>
      </c>
      <c r="F3063" s="12" t="str" cm="1">
        <f t="array" ref="F3063">IF(AND(A3063="2021-03", ISNA(MATCH(B3063, _xlfn._xlws.FILTER(B:B, A:A="2021-04"), 0))), "Left", "Ativo")</f>
        <v>Ativo</v>
      </c>
    </row>
    <row r="3064" spans="1:6" x14ac:dyDescent="0.25">
      <c r="A3064" t="s">
        <v>1531</v>
      </c>
      <c r="B3064" t="s">
        <v>181</v>
      </c>
      <c r="C3064" s="10" t="str" cm="1">
        <f t="array" ref="C3064">IF(AND(A3064="2020-12", ISNA(MATCH(B3064, _xlfn._xlws.FILTER(B:B, A:A="2021-01"), 0))), "Left", "Ativo")</f>
        <v>Ativo</v>
      </c>
      <c r="D3064" s="10" t="str" cm="1">
        <f t="array" ref="D3064">IF(AND(A3064="2021-01", ISNA(MATCH(B3064, _xlfn._xlws.FILTER(B:B, A:A="2021-02"), 0))), "Left", "Ativo")</f>
        <v>Ativo</v>
      </c>
      <c r="E3064" s="10" t="str" cm="1">
        <f t="array" ref="E3064">IF(AND(A3064="2021-02", ISNA(MATCH(B3064, _xlfn._xlws.FILTER(B:B, A:A="2021-03"), 0))), "Left", "Ativo")</f>
        <v>Ativo</v>
      </c>
      <c r="F3064" s="12" t="str" cm="1">
        <f t="array" ref="F3064">IF(AND(A3064="2021-03", ISNA(MATCH(B3064, _xlfn._xlws.FILTER(B:B, A:A="2021-04"), 0))), "Left", "Ativo")</f>
        <v>Ativo</v>
      </c>
    </row>
    <row r="3065" spans="1:6" x14ac:dyDescent="0.25">
      <c r="A3065" t="s">
        <v>1531</v>
      </c>
      <c r="B3065" t="s">
        <v>182</v>
      </c>
      <c r="C3065" s="10" t="str" cm="1">
        <f t="array" ref="C3065">IF(AND(A3065="2020-12", ISNA(MATCH(B3065, _xlfn._xlws.FILTER(B:B, A:A="2021-01"), 0))), "Left", "Ativo")</f>
        <v>Ativo</v>
      </c>
      <c r="D3065" s="10" t="str" cm="1">
        <f t="array" ref="D3065">IF(AND(A3065="2021-01", ISNA(MATCH(B3065, _xlfn._xlws.FILTER(B:B, A:A="2021-02"), 0))), "Left", "Ativo")</f>
        <v>Ativo</v>
      </c>
      <c r="E3065" s="10" t="str" cm="1">
        <f t="array" ref="E3065">IF(AND(A3065="2021-02", ISNA(MATCH(B3065, _xlfn._xlws.FILTER(B:B, A:A="2021-03"), 0))), "Left", "Ativo")</f>
        <v>Ativo</v>
      </c>
      <c r="F3065" s="12" t="str" cm="1">
        <f t="array" ref="F3065">IF(AND(A3065="2021-03", ISNA(MATCH(B3065, _xlfn._xlws.FILTER(B:B, A:A="2021-04"), 0))), "Left", "Ativo")</f>
        <v>Ativo</v>
      </c>
    </row>
    <row r="3066" spans="1:6" x14ac:dyDescent="0.25">
      <c r="A3066" t="s">
        <v>1531</v>
      </c>
      <c r="B3066" t="s">
        <v>183</v>
      </c>
      <c r="C3066" s="10" t="str" cm="1">
        <f t="array" ref="C3066">IF(AND(A3066="2020-12", ISNA(MATCH(B3066, _xlfn._xlws.FILTER(B:B, A:A="2021-01"), 0))), "Left", "Ativo")</f>
        <v>Ativo</v>
      </c>
      <c r="D3066" s="10" t="str" cm="1">
        <f t="array" ref="D3066">IF(AND(A3066="2021-01", ISNA(MATCH(B3066, _xlfn._xlws.FILTER(B:B, A:A="2021-02"), 0))), "Left", "Ativo")</f>
        <v>Ativo</v>
      </c>
      <c r="E3066" s="10" t="str" cm="1">
        <f t="array" ref="E3066">IF(AND(A3066="2021-02", ISNA(MATCH(B3066, _xlfn._xlws.FILTER(B:B, A:A="2021-03"), 0))), "Left", "Ativo")</f>
        <v>Ativo</v>
      </c>
      <c r="F3066" s="12" t="str" cm="1">
        <f t="array" ref="F3066">IF(AND(A3066="2021-03", ISNA(MATCH(B3066, _xlfn._xlws.FILTER(B:B, A:A="2021-04"), 0))), "Left", "Ativo")</f>
        <v>Ativo</v>
      </c>
    </row>
    <row r="3067" spans="1:6" x14ac:dyDescent="0.25">
      <c r="A3067" t="s">
        <v>1531</v>
      </c>
      <c r="B3067" t="s">
        <v>184</v>
      </c>
      <c r="C3067" s="10" t="str" cm="1">
        <f t="array" ref="C3067">IF(AND(A3067="2020-12", ISNA(MATCH(B3067, _xlfn._xlws.FILTER(B:B, A:A="2021-01"), 0))), "Left", "Ativo")</f>
        <v>Ativo</v>
      </c>
      <c r="D3067" s="10" t="str" cm="1">
        <f t="array" ref="D3067">IF(AND(A3067="2021-01", ISNA(MATCH(B3067, _xlfn._xlws.FILTER(B:B, A:A="2021-02"), 0))), "Left", "Ativo")</f>
        <v>Ativo</v>
      </c>
      <c r="E3067" s="10" t="str" cm="1">
        <f t="array" ref="E3067">IF(AND(A3067="2021-02", ISNA(MATCH(B3067, _xlfn._xlws.FILTER(B:B, A:A="2021-03"), 0))), "Left", "Ativo")</f>
        <v>Ativo</v>
      </c>
      <c r="F3067" s="12" t="str" cm="1">
        <f t="array" ref="F3067">IF(AND(A3067="2021-03", ISNA(MATCH(B3067, _xlfn._xlws.FILTER(B:B, A:A="2021-04"), 0))), "Left", "Ativo")</f>
        <v>Ativo</v>
      </c>
    </row>
    <row r="3068" spans="1:6" x14ac:dyDescent="0.25">
      <c r="A3068" t="s">
        <v>1531</v>
      </c>
      <c r="B3068" t="s">
        <v>185</v>
      </c>
      <c r="C3068" s="10" t="str" cm="1">
        <f t="array" ref="C3068">IF(AND(A3068="2020-12", ISNA(MATCH(B3068, _xlfn._xlws.FILTER(B:B, A:A="2021-01"), 0))), "Left", "Ativo")</f>
        <v>Ativo</v>
      </c>
      <c r="D3068" s="10" t="str" cm="1">
        <f t="array" ref="D3068">IF(AND(A3068="2021-01", ISNA(MATCH(B3068, _xlfn._xlws.FILTER(B:B, A:A="2021-02"), 0))), "Left", "Ativo")</f>
        <v>Ativo</v>
      </c>
      <c r="E3068" s="10" t="str" cm="1">
        <f t="array" ref="E3068">IF(AND(A3068="2021-02", ISNA(MATCH(B3068, _xlfn._xlws.FILTER(B:B, A:A="2021-03"), 0))), "Left", "Ativo")</f>
        <v>Ativo</v>
      </c>
      <c r="F3068" s="12" t="str" cm="1">
        <f t="array" ref="F3068">IF(AND(A3068="2021-03", ISNA(MATCH(B3068, _xlfn._xlws.FILTER(B:B, A:A="2021-04"), 0))), "Left", "Ativo")</f>
        <v>Ativo</v>
      </c>
    </row>
    <row r="3069" spans="1:6" x14ac:dyDescent="0.25">
      <c r="A3069" t="s">
        <v>1531</v>
      </c>
      <c r="B3069" t="s">
        <v>186</v>
      </c>
      <c r="C3069" s="10" t="str" cm="1">
        <f t="array" ref="C3069">IF(AND(A3069="2020-12", ISNA(MATCH(B3069, _xlfn._xlws.FILTER(B:B, A:A="2021-01"), 0))), "Left", "Ativo")</f>
        <v>Ativo</v>
      </c>
      <c r="D3069" s="10" t="str" cm="1">
        <f t="array" ref="D3069">IF(AND(A3069="2021-01", ISNA(MATCH(B3069, _xlfn._xlws.FILTER(B:B, A:A="2021-02"), 0))), "Left", "Ativo")</f>
        <v>Ativo</v>
      </c>
      <c r="E3069" s="10" t="str" cm="1">
        <f t="array" ref="E3069">IF(AND(A3069="2021-02", ISNA(MATCH(B3069, _xlfn._xlws.FILTER(B:B, A:A="2021-03"), 0))), "Left", "Ativo")</f>
        <v>Ativo</v>
      </c>
      <c r="F3069" s="12" t="str" cm="1">
        <f t="array" ref="F3069">IF(AND(A3069="2021-03", ISNA(MATCH(B3069, _xlfn._xlws.FILTER(B:B, A:A="2021-04"), 0))), "Left", "Ativo")</f>
        <v>Ativo</v>
      </c>
    </row>
    <row r="3070" spans="1:6" x14ac:dyDescent="0.25">
      <c r="A3070" t="s">
        <v>1531</v>
      </c>
      <c r="B3070" t="s">
        <v>187</v>
      </c>
      <c r="C3070" s="10" t="str" cm="1">
        <f t="array" ref="C3070">IF(AND(A3070="2020-12", ISNA(MATCH(B3070, _xlfn._xlws.FILTER(B:B, A:A="2021-01"), 0))), "Left", "Ativo")</f>
        <v>Ativo</v>
      </c>
      <c r="D3070" s="10" t="str" cm="1">
        <f t="array" ref="D3070">IF(AND(A3070="2021-01", ISNA(MATCH(B3070, _xlfn._xlws.FILTER(B:B, A:A="2021-02"), 0))), "Left", "Ativo")</f>
        <v>Ativo</v>
      </c>
      <c r="E3070" s="10" t="str" cm="1">
        <f t="array" ref="E3070">IF(AND(A3070="2021-02", ISNA(MATCH(B3070, _xlfn._xlws.FILTER(B:B, A:A="2021-03"), 0))), "Left", "Ativo")</f>
        <v>Ativo</v>
      </c>
      <c r="F3070" s="12" t="str" cm="1">
        <f t="array" ref="F3070">IF(AND(A3070="2021-03", ISNA(MATCH(B3070, _xlfn._xlws.FILTER(B:B, A:A="2021-04"), 0))), "Left", "Ativo")</f>
        <v>Ativo</v>
      </c>
    </row>
    <row r="3071" spans="1:6" x14ac:dyDescent="0.25">
      <c r="A3071" t="s">
        <v>1531</v>
      </c>
      <c r="B3071" t="s">
        <v>188</v>
      </c>
      <c r="C3071" s="10" t="str" cm="1">
        <f t="array" ref="C3071">IF(AND(A3071="2020-12", ISNA(MATCH(B3071, _xlfn._xlws.FILTER(B:B, A:A="2021-01"), 0))), "Left", "Ativo")</f>
        <v>Ativo</v>
      </c>
      <c r="D3071" s="10" t="str" cm="1">
        <f t="array" ref="D3071">IF(AND(A3071="2021-01", ISNA(MATCH(B3071, _xlfn._xlws.FILTER(B:B, A:A="2021-02"), 0))), "Left", "Ativo")</f>
        <v>Ativo</v>
      </c>
      <c r="E3071" s="10" t="str" cm="1">
        <f t="array" ref="E3071">IF(AND(A3071="2021-02", ISNA(MATCH(B3071, _xlfn._xlws.FILTER(B:B, A:A="2021-03"), 0))), "Left", "Ativo")</f>
        <v>Ativo</v>
      </c>
      <c r="F3071" s="12" t="str" cm="1">
        <f t="array" ref="F3071">IF(AND(A3071="2021-03", ISNA(MATCH(B3071, _xlfn._xlws.FILTER(B:B, A:A="2021-04"), 0))), "Left", "Ativo")</f>
        <v>Ativo</v>
      </c>
    </row>
    <row r="3072" spans="1:6" x14ac:dyDescent="0.25">
      <c r="A3072" t="s">
        <v>1531</v>
      </c>
      <c r="B3072" t="s">
        <v>986</v>
      </c>
      <c r="C3072" s="10" t="str" cm="1">
        <f t="array" ref="C3072">IF(AND(A3072="2020-12", ISNA(MATCH(B3072, _xlfn._xlws.FILTER(B:B, A:A="2021-01"), 0))), "Left", "Ativo")</f>
        <v>Ativo</v>
      </c>
      <c r="D3072" s="10" t="str" cm="1">
        <f t="array" ref="D3072">IF(AND(A3072="2021-01", ISNA(MATCH(B3072, _xlfn._xlws.FILTER(B:B, A:A="2021-02"), 0))), "Left", "Ativo")</f>
        <v>Ativo</v>
      </c>
      <c r="E3072" s="10" t="str" cm="1">
        <f t="array" ref="E3072">IF(AND(A3072="2021-02", ISNA(MATCH(B3072, _xlfn._xlws.FILTER(B:B, A:A="2021-03"), 0))), "Left", "Ativo")</f>
        <v>Ativo</v>
      </c>
      <c r="F3072" s="12" t="str" cm="1">
        <f t="array" ref="F3072">IF(AND(A3072="2021-03", ISNA(MATCH(B3072, _xlfn._xlws.FILTER(B:B, A:A="2021-04"), 0))), "Left", "Ativo")</f>
        <v>Ativo</v>
      </c>
    </row>
    <row r="3073" spans="1:6" x14ac:dyDescent="0.25">
      <c r="A3073" t="s">
        <v>1531</v>
      </c>
      <c r="B3073" t="s">
        <v>987</v>
      </c>
      <c r="C3073" s="10" t="str" cm="1">
        <f t="array" ref="C3073">IF(AND(A3073="2020-12", ISNA(MATCH(B3073, _xlfn._xlws.FILTER(B:B, A:A="2021-01"), 0))), "Left", "Ativo")</f>
        <v>Ativo</v>
      </c>
      <c r="D3073" s="10" t="str" cm="1">
        <f t="array" ref="D3073">IF(AND(A3073="2021-01", ISNA(MATCH(B3073, _xlfn._xlws.FILTER(B:B, A:A="2021-02"), 0))), "Left", "Ativo")</f>
        <v>Ativo</v>
      </c>
      <c r="E3073" s="10" t="str" cm="1">
        <f t="array" ref="E3073">IF(AND(A3073="2021-02", ISNA(MATCH(B3073, _xlfn._xlws.FILTER(B:B, A:A="2021-03"), 0))), "Left", "Ativo")</f>
        <v>Ativo</v>
      </c>
      <c r="F3073" s="12" t="str" cm="1">
        <f t="array" ref="F3073">IF(AND(A3073="2021-03", ISNA(MATCH(B3073, _xlfn._xlws.FILTER(B:B, A:A="2021-04"), 0))), "Left", "Ativo")</f>
        <v>Ativo</v>
      </c>
    </row>
    <row r="3074" spans="1:6" x14ac:dyDescent="0.25">
      <c r="A3074" t="s">
        <v>1531</v>
      </c>
      <c r="B3074" t="s">
        <v>988</v>
      </c>
      <c r="C3074" s="10" t="str" cm="1">
        <f t="array" ref="C3074">IF(AND(A3074="2020-12", ISNA(MATCH(B3074, _xlfn._xlws.FILTER(B:B, A:A="2021-01"), 0))), "Left", "Ativo")</f>
        <v>Ativo</v>
      </c>
      <c r="D3074" s="10" t="str" cm="1">
        <f t="array" ref="D3074">IF(AND(A3074="2021-01", ISNA(MATCH(B3074, _xlfn._xlws.FILTER(B:B, A:A="2021-02"), 0))), "Left", "Ativo")</f>
        <v>Ativo</v>
      </c>
      <c r="E3074" s="10" t="str" cm="1">
        <f t="array" ref="E3074">IF(AND(A3074="2021-02", ISNA(MATCH(B3074, _xlfn._xlws.FILTER(B:B, A:A="2021-03"), 0))), "Left", "Ativo")</f>
        <v>Ativo</v>
      </c>
      <c r="F3074" s="12" t="str" cm="1">
        <f t="array" ref="F3074">IF(AND(A3074="2021-03", ISNA(MATCH(B3074, _xlfn._xlws.FILTER(B:B, A:A="2021-04"), 0))), "Left", "Ativo")</f>
        <v>Ativo</v>
      </c>
    </row>
    <row r="3075" spans="1:6" x14ac:dyDescent="0.25">
      <c r="A3075" t="s">
        <v>1531</v>
      </c>
      <c r="B3075" t="s">
        <v>989</v>
      </c>
      <c r="C3075" s="10" t="str" cm="1">
        <f t="array" ref="C3075">IF(AND(A3075="2020-12", ISNA(MATCH(B3075, _xlfn._xlws.FILTER(B:B, A:A="2021-01"), 0))), "Left", "Ativo")</f>
        <v>Ativo</v>
      </c>
      <c r="D3075" s="10" t="str" cm="1">
        <f t="array" ref="D3075">IF(AND(A3075="2021-01", ISNA(MATCH(B3075, _xlfn._xlws.FILTER(B:B, A:A="2021-02"), 0))), "Left", "Ativo")</f>
        <v>Ativo</v>
      </c>
      <c r="E3075" s="10" t="str" cm="1">
        <f t="array" ref="E3075">IF(AND(A3075="2021-02", ISNA(MATCH(B3075, _xlfn._xlws.FILTER(B:B, A:A="2021-03"), 0))), "Left", "Ativo")</f>
        <v>Ativo</v>
      </c>
      <c r="F3075" s="12" t="str" cm="1">
        <f t="array" ref="F3075">IF(AND(A3075="2021-03", ISNA(MATCH(B3075, _xlfn._xlws.FILTER(B:B, A:A="2021-04"), 0))), "Left", "Ativo")</f>
        <v>Ativo</v>
      </c>
    </row>
    <row r="3076" spans="1:6" x14ac:dyDescent="0.25">
      <c r="A3076" t="s">
        <v>1531</v>
      </c>
      <c r="B3076" t="s">
        <v>990</v>
      </c>
      <c r="C3076" s="10" t="str" cm="1">
        <f t="array" ref="C3076">IF(AND(A3076="2020-12", ISNA(MATCH(B3076, _xlfn._xlws.FILTER(B:B, A:A="2021-01"), 0))), "Left", "Ativo")</f>
        <v>Ativo</v>
      </c>
      <c r="D3076" s="10" t="str" cm="1">
        <f t="array" ref="D3076">IF(AND(A3076="2021-01", ISNA(MATCH(B3076, _xlfn._xlws.FILTER(B:B, A:A="2021-02"), 0))), "Left", "Ativo")</f>
        <v>Ativo</v>
      </c>
      <c r="E3076" s="10" t="str" cm="1">
        <f t="array" ref="E3076">IF(AND(A3076="2021-02", ISNA(MATCH(B3076, _xlfn._xlws.FILTER(B:B, A:A="2021-03"), 0))), "Left", "Ativo")</f>
        <v>Ativo</v>
      </c>
      <c r="F3076" s="12" t="str" cm="1">
        <f t="array" ref="F3076">IF(AND(A3076="2021-03", ISNA(MATCH(B3076, _xlfn._xlws.FILTER(B:B, A:A="2021-04"), 0))), "Left", "Ativo")</f>
        <v>Ativo</v>
      </c>
    </row>
    <row r="3077" spans="1:6" x14ac:dyDescent="0.25">
      <c r="A3077" t="s">
        <v>1531</v>
      </c>
      <c r="B3077" t="s">
        <v>991</v>
      </c>
      <c r="C3077" s="10" t="str" cm="1">
        <f t="array" ref="C3077">IF(AND(A3077="2020-12", ISNA(MATCH(B3077, _xlfn._xlws.FILTER(B:B, A:A="2021-01"), 0))), "Left", "Ativo")</f>
        <v>Ativo</v>
      </c>
      <c r="D3077" s="10" t="str" cm="1">
        <f t="array" ref="D3077">IF(AND(A3077="2021-01", ISNA(MATCH(B3077, _xlfn._xlws.FILTER(B:B, A:A="2021-02"), 0))), "Left", "Ativo")</f>
        <v>Ativo</v>
      </c>
      <c r="E3077" s="10" t="str" cm="1">
        <f t="array" ref="E3077">IF(AND(A3077="2021-02", ISNA(MATCH(B3077, _xlfn._xlws.FILTER(B:B, A:A="2021-03"), 0))), "Left", "Ativo")</f>
        <v>Ativo</v>
      </c>
      <c r="F3077" s="12" t="str" cm="1">
        <f t="array" ref="F3077">IF(AND(A3077="2021-03", ISNA(MATCH(B3077, _xlfn._xlws.FILTER(B:B, A:A="2021-04"), 0))), "Left", "Ativo")</f>
        <v>Ativo</v>
      </c>
    </row>
    <row r="3078" spans="1:6" x14ac:dyDescent="0.25">
      <c r="A3078" t="s">
        <v>1531</v>
      </c>
      <c r="B3078" t="s">
        <v>992</v>
      </c>
      <c r="C3078" s="10" t="str" cm="1">
        <f t="array" ref="C3078">IF(AND(A3078="2020-12", ISNA(MATCH(B3078, _xlfn._xlws.FILTER(B:B, A:A="2021-01"), 0))), "Left", "Ativo")</f>
        <v>Ativo</v>
      </c>
      <c r="D3078" s="10" t="str" cm="1">
        <f t="array" ref="D3078">IF(AND(A3078="2021-01", ISNA(MATCH(B3078, _xlfn._xlws.FILTER(B:B, A:A="2021-02"), 0))), "Left", "Ativo")</f>
        <v>Ativo</v>
      </c>
      <c r="E3078" s="10" t="str" cm="1">
        <f t="array" ref="E3078">IF(AND(A3078="2021-02", ISNA(MATCH(B3078, _xlfn._xlws.FILTER(B:B, A:A="2021-03"), 0))), "Left", "Ativo")</f>
        <v>Ativo</v>
      </c>
      <c r="F3078" s="12" t="str" cm="1">
        <f t="array" ref="F3078">IF(AND(A3078="2021-03", ISNA(MATCH(B3078, _xlfn._xlws.FILTER(B:B, A:A="2021-04"), 0))), "Left", "Ativo")</f>
        <v>Ativo</v>
      </c>
    </row>
    <row r="3079" spans="1:6" x14ac:dyDescent="0.25">
      <c r="A3079" t="s">
        <v>1531</v>
      </c>
      <c r="B3079" t="s">
        <v>993</v>
      </c>
      <c r="C3079" s="10" t="str" cm="1">
        <f t="array" ref="C3079">IF(AND(A3079="2020-12", ISNA(MATCH(B3079, _xlfn._xlws.FILTER(B:B, A:A="2021-01"), 0))), "Left", "Ativo")</f>
        <v>Ativo</v>
      </c>
      <c r="D3079" s="10" t="str" cm="1">
        <f t="array" ref="D3079">IF(AND(A3079="2021-01", ISNA(MATCH(B3079, _xlfn._xlws.FILTER(B:B, A:A="2021-02"), 0))), "Left", "Ativo")</f>
        <v>Ativo</v>
      </c>
      <c r="E3079" s="10" t="str" cm="1">
        <f t="array" ref="E3079">IF(AND(A3079="2021-02", ISNA(MATCH(B3079, _xlfn._xlws.FILTER(B:B, A:A="2021-03"), 0))), "Left", "Ativo")</f>
        <v>Ativo</v>
      </c>
      <c r="F3079" s="12" t="str" cm="1">
        <f t="array" ref="F3079">IF(AND(A3079="2021-03", ISNA(MATCH(B3079, _xlfn._xlws.FILTER(B:B, A:A="2021-04"), 0))), "Left", "Ativo")</f>
        <v>Ativo</v>
      </c>
    </row>
    <row r="3080" spans="1:6" x14ac:dyDescent="0.25">
      <c r="A3080" t="s">
        <v>1531</v>
      </c>
      <c r="B3080" t="s">
        <v>994</v>
      </c>
      <c r="C3080" s="10" t="str" cm="1">
        <f t="array" ref="C3080">IF(AND(A3080="2020-12", ISNA(MATCH(B3080, _xlfn._xlws.FILTER(B:B, A:A="2021-01"), 0))), "Left", "Ativo")</f>
        <v>Ativo</v>
      </c>
      <c r="D3080" s="10" t="str" cm="1">
        <f t="array" ref="D3080">IF(AND(A3080="2021-01", ISNA(MATCH(B3080, _xlfn._xlws.FILTER(B:B, A:A="2021-02"), 0))), "Left", "Ativo")</f>
        <v>Ativo</v>
      </c>
      <c r="E3080" s="10" t="str" cm="1">
        <f t="array" ref="E3080">IF(AND(A3080="2021-02", ISNA(MATCH(B3080, _xlfn._xlws.FILTER(B:B, A:A="2021-03"), 0))), "Left", "Ativo")</f>
        <v>Ativo</v>
      </c>
      <c r="F3080" s="12" t="str" cm="1">
        <f t="array" ref="F3080">IF(AND(A3080="2021-03", ISNA(MATCH(B3080, _xlfn._xlws.FILTER(B:B, A:A="2021-04"), 0))), "Left", "Ativo")</f>
        <v>Ativo</v>
      </c>
    </row>
    <row r="3081" spans="1:6" x14ac:dyDescent="0.25">
      <c r="A3081" t="s">
        <v>1531</v>
      </c>
      <c r="B3081" t="s">
        <v>995</v>
      </c>
      <c r="C3081" s="10" t="str" cm="1">
        <f t="array" ref="C3081">IF(AND(A3081="2020-12", ISNA(MATCH(B3081, _xlfn._xlws.FILTER(B:B, A:A="2021-01"), 0))), "Left", "Ativo")</f>
        <v>Ativo</v>
      </c>
      <c r="D3081" s="10" t="str" cm="1">
        <f t="array" ref="D3081">IF(AND(A3081="2021-01", ISNA(MATCH(B3081, _xlfn._xlws.FILTER(B:B, A:A="2021-02"), 0))), "Left", "Ativo")</f>
        <v>Ativo</v>
      </c>
      <c r="E3081" s="10" t="str" cm="1">
        <f t="array" ref="E3081">IF(AND(A3081="2021-02", ISNA(MATCH(B3081, _xlfn._xlws.FILTER(B:B, A:A="2021-03"), 0))), "Left", "Ativo")</f>
        <v>Ativo</v>
      </c>
      <c r="F3081" s="12" t="str" cm="1">
        <f t="array" ref="F3081">IF(AND(A3081="2021-03", ISNA(MATCH(B3081, _xlfn._xlws.FILTER(B:B, A:A="2021-04"), 0))), "Left", "Ativo")</f>
        <v>Ativo</v>
      </c>
    </row>
    <row r="3082" spans="1:6" x14ac:dyDescent="0.25">
      <c r="A3082" t="s">
        <v>1531</v>
      </c>
      <c r="B3082" t="s">
        <v>996</v>
      </c>
      <c r="C3082" s="10" t="str" cm="1">
        <f t="array" ref="C3082">IF(AND(A3082="2020-12", ISNA(MATCH(B3082, _xlfn._xlws.FILTER(B:B, A:A="2021-01"), 0))), "Left", "Ativo")</f>
        <v>Ativo</v>
      </c>
      <c r="D3082" s="10" t="str" cm="1">
        <f t="array" ref="D3082">IF(AND(A3082="2021-01", ISNA(MATCH(B3082, _xlfn._xlws.FILTER(B:B, A:A="2021-02"), 0))), "Left", "Ativo")</f>
        <v>Ativo</v>
      </c>
      <c r="E3082" s="10" t="str" cm="1">
        <f t="array" ref="E3082">IF(AND(A3082="2021-02", ISNA(MATCH(B3082, _xlfn._xlws.FILTER(B:B, A:A="2021-03"), 0))), "Left", "Ativo")</f>
        <v>Ativo</v>
      </c>
      <c r="F3082" s="12" t="str" cm="1">
        <f t="array" ref="F3082">IF(AND(A3082="2021-03", ISNA(MATCH(B3082, _xlfn._xlws.FILTER(B:B, A:A="2021-04"), 0))), "Left", "Ativo")</f>
        <v>Ativo</v>
      </c>
    </row>
    <row r="3083" spans="1:6" x14ac:dyDescent="0.25">
      <c r="A3083" t="s">
        <v>1531</v>
      </c>
      <c r="B3083" t="s">
        <v>997</v>
      </c>
      <c r="C3083" s="10" t="str" cm="1">
        <f t="array" ref="C3083">IF(AND(A3083="2020-12", ISNA(MATCH(B3083, _xlfn._xlws.FILTER(B:B, A:A="2021-01"), 0))), "Left", "Ativo")</f>
        <v>Ativo</v>
      </c>
      <c r="D3083" s="10" t="str" cm="1">
        <f t="array" ref="D3083">IF(AND(A3083="2021-01", ISNA(MATCH(B3083, _xlfn._xlws.FILTER(B:B, A:A="2021-02"), 0))), "Left", "Ativo")</f>
        <v>Ativo</v>
      </c>
      <c r="E3083" s="10" t="str" cm="1">
        <f t="array" ref="E3083">IF(AND(A3083="2021-02", ISNA(MATCH(B3083, _xlfn._xlws.FILTER(B:B, A:A="2021-03"), 0))), "Left", "Ativo")</f>
        <v>Ativo</v>
      </c>
      <c r="F3083" s="12" t="str" cm="1">
        <f t="array" ref="F3083">IF(AND(A3083="2021-03", ISNA(MATCH(B3083, _xlfn._xlws.FILTER(B:B, A:A="2021-04"), 0))), "Left", "Ativo")</f>
        <v>Ativo</v>
      </c>
    </row>
    <row r="3084" spans="1:6" x14ac:dyDescent="0.25">
      <c r="A3084" t="s">
        <v>1531</v>
      </c>
      <c r="B3084" t="s">
        <v>998</v>
      </c>
      <c r="C3084" s="10" t="str" cm="1">
        <f t="array" ref="C3084">IF(AND(A3084="2020-12", ISNA(MATCH(B3084, _xlfn._xlws.FILTER(B:B, A:A="2021-01"), 0))), "Left", "Ativo")</f>
        <v>Ativo</v>
      </c>
      <c r="D3084" s="10" t="str" cm="1">
        <f t="array" ref="D3084">IF(AND(A3084="2021-01", ISNA(MATCH(B3084, _xlfn._xlws.FILTER(B:B, A:A="2021-02"), 0))), "Left", "Ativo")</f>
        <v>Ativo</v>
      </c>
      <c r="E3084" s="10" t="str" cm="1">
        <f t="array" ref="E3084">IF(AND(A3084="2021-02", ISNA(MATCH(B3084, _xlfn._xlws.FILTER(B:B, A:A="2021-03"), 0))), "Left", "Ativo")</f>
        <v>Ativo</v>
      </c>
      <c r="F3084" s="12" t="str" cm="1">
        <f t="array" ref="F3084">IF(AND(A3084="2021-03", ISNA(MATCH(B3084, _xlfn._xlws.FILTER(B:B, A:A="2021-04"), 0))), "Left", "Ativo")</f>
        <v>Ativo</v>
      </c>
    </row>
    <row r="3085" spans="1:6" x14ac:dyDescent="0.25">
      <c r="A3085" t="s">
        <v>1531</v>
      </c>
      <c r="B3085" t="s">
        <v>999</v>
      </c>
      <c r="C3085" s="10" t="str" cm="1">
        <f t="array" ref="C3085">IF(AND(A3085="2020-12", ISNA(MATCH(B3085, _xlfn._xlws.FILTER(B:B, A:A="2021-01"), 0))), "Left", "Ativo")</f>
        <v>Ativo</v>
      </c>
      <c r="D3085" s="10" t="str" cm="1">
        <f t="array" ref="D3085">IF(AND(A3085="2021-01", ISNA(MATCH(B3085, _xlfn._xlws.FILTER(B:B, A:A="2021-02"), 0))), "Left", "Ativo")</f>
        <v>Ativo</v>
      </c>
      <c r="E3085" s="10" t="str" cm="1">
        <f t="array" ref="E3085">IF(AND(A3085="2021-02", ISNA(MATCH(B3085, _xlfn._xlws.FILTER(B:B, A:A="2021-03"), 0))), "Left", "Ativo")</f>
        <v>Ativo</v>
      </c>
      <c r="F3085" s="12" t="str" cm="1">
        <f t="array" ref="F3085">IF(AND(A3085="2021-03", ISNA(MATCH(B3085, _xlfn._xlws.FILTER(B:B, A:A="2021-04"), 0))), "Left", "Ativo")</f>
        <v>Ativo</v>
      </c>
    </row>
    <row r="3086" spans="1:6" x14ac:dyDescent="0.25">
      <c r="A3086" t="s">
        <v>1531</v>
      </c>
      <c r="B3086" t="s">
        <v>1000</v>
      </c>
      <c r="C3086" s="10" t="str" cm="1">
        <f t="array" ref="C3086">IF(AND(A3086="2020-12", ISNA(MATCH(B3086, _xlfn._xlws.FILTER(B:B, A:A="2021-01"), 0))), "Left", "Ativo")</f>
        <v>Ativo</v>
      </c>
      <c r="D3086" s="10" t="str" cm="1">
        <f t="array" ref="D3086">IF(AND(A3086="2021-01", ISNA(MATCH(B3086, _xlfn._xlws.FILTER(B:B, A:A="2021-02"), 0))), "Left", "Ativo")</f>
        <v>Ativo</v>
      </c>
      <c r="E3086" s="10" t="str" cm="1">
        <f t="array" ref="E3086">IF(AND(A3086="2021-02", ISNA(MATCH(B3086, _xlfn._xlws.FILTER(B:B, A:A="2021-03"), 0))), "Left", "Ativo")</f>
        <v>Ativo</v>
      </c>
      <c r="F3086" s="12" t="str" cm="1">
        <f t="array" ref="F3086">IF(AND(A3086="2021-03", ISNA(MATCH(B3086, _xlfn._xlws.FILTER(B:B, A:A="2021-04"), 0))), "Left", "Ativo")</f>
        <v>Ativo</v>
      </c>
    </row>
    <row r="3087" spans="1:6" x14ac:dyDescent="0.25">
      <c r="A3087" t="s">
        <v>1531</v>
      </c>
      <c r="B3087" t="s">
        <v>1001</v>
      </c>
      <c r="C3087" s="10" t="str" cm="1">
        <f t="array" ref="C3087">IF(AND(A3087="2020-12", ISNA(MATCH(B3087, _xlfn._xlws.FILTER(B:B, A:A="2021-01"), 0))), "Left", "Ativo")</f>
        <v>Ativo</v>
      </c>
      <c r="D3087" s="10" t="str" cm="1">
        <f t="array" ref="D3087">IF(AND(A3087="2021-01", ISNA(MATCH(B3087, _xlfn._xlws.FILTER(B:B, A:A="2021-02"), 0))), "Left", "Ativo")</f>
        <v>Ativo</v>
      </c>
      <c r="E3087" s="10" t="str" cm="1">
        <f t="array" ref="E3087">IF(AND(A3087="2021-02", ISNA(MATCH(B3087, _xlfn._xlws.FILTER(B:B, A:A="2021-03"), 0))), "Left", "Ativo")</f>
        <v>Ativo</v>
      </c>
      <c r="F3087" s="12" t="str" cm="1">
        <f t="array" ref="F3087">IF(AND(A3087="2021-03", ISNA(MATCH(B3087, _xlfn._xlws.FILTER(B:B, A:A="2021-04"), 0))), "Left", "Ativo")</f>
        <v>Ativo</v>
      </c>
    </row>
    <row r="3088" spans="1:6" x14ac:dyDescent="0.25">
      <c r="A3088" t="s">
        <v>1531</v>
      </c>
      <c r="B3088" t="s">
        <v>1002</v>
      </c>
      <c r="C3088" s="10" t="str" cm="1">
        <f t="array" ref="C3088">IF(AND(A3088="2020-12", ISNA(MATCH(B3088, _xlfn._xlws.FILTER(B:B, A:A="2021-01"), 0))), "Left", "Ativo")</f>
        <v>Ativo</v>
      </c>
      <c r="D3088" s="10" t="str" cm="1">
        <f t="array" ref="D3088">IF(AND(A3088="2021-01", ISNA(MATCH(B3088, _xlfn._xlws.FILTER(B:B, A:A="2021-02"), 0))), "Left", "Ativo")</f>
        <v>Ativo</v>
      </c>
      <c r="E3088" s="10" t="str" cm="1">
        <f t="array" ref="E3088">IF(AND(A3088="2021-02", ISNA(MATCH(B3088, _xlfn._xlws.FILTER(B:B, A:A="2021-03"), 0))), "Left", "Ativo")</f>
        <v>Ativo</v>
      </c>
      <c r="F3088" s="12" t="str" cm="1">
        <f t="array" ref="F3088">IF(AND(A3088="2021-03", ISNA(MATCH(B3088, _xlfn._xlws.FILTER(B:B, A:A="2021-04"), 0))), "Left", "Ativo")</f>
        <v>Ativo</v>
      </c>
    </row>
    <row r="3089" spans="1:6" x14ac:dyDescent="0.25">
      <c r="A3089" t="s">
        <v>1531</v>
      </c>
      <c r="B3089" t="s">
        <v>1003</v>
      </c>
      <c r="C3089" s="10" t="str" cm="1">
        <f t="array" ref="C3089">IF(AND(A3089="2020-12", ISNA(MATCH(B3089, _xlfn._xlws.FILTER(B:B, A:A="2021-01"), 0))), "Left", "Ativo")</f>
        <v>Ativo</v>
      </c>
      <c r="D3089" s="10" t="str" cm="1">
        <f t="array" ref="D3089">IF(AND(A3089="2021-01", ISNA(MATCH(B3089, _xlfn._xlws.FILTER(B:B, A:A="2021-02"), 0))), "Left", "Ativo")</f>
        <v>Ativo</v>
      </c>
      <c r="E3089" s="10" t="str" cm="1">
        <f t="array" ref="E3089">IF(AND(A3089="2021-02", ISNA(MATCH(B3089, _xlfn._xlws.FILTER(B:B, A:A="2021-03"), 0))), "Left", "Ativo")</f>
        <v>Ativo</v>
      </c>
      <c r="F3089" s="12" t="str" cm="1">
        <f t="array" ref="F3089">IF(AND(A3089="2021-03", ISNA(MATCH(B3089, _xlfn._xlws.FILTER(B:B, A:A="2021-04"), 0))), "Left", "Ativo")</f>
        <v>Ativo</v>
      </c>
    </row>
    <row r="3090" spans="1:6" x14ac:dyDescent="0.25">
      <c r="A3090" t="s">
        <v>1531</v>
      </c>
      <c r="B3090" t="s">
        <v>1004</v>
      </c>
      <c r="C3090" s="10" t="str" cm="1">
        <f t="array" ref="C3090">IF(AND(A3090="2020-12", ISNA(MATCH(B3090, _xlfn._xlws.FILTER(B:B, A:A="2021-01"), 0))), "Left", "Ativo")</f>
        <v>Ativo</v>
      </c>
      <c r="D3090" s="10" t="str" cm="1">
        <f t="array" ref="D3090">IF(AND(A3090="2021-01", ISNA(MATCH(B3090, _xlfn._xlws.FILTER(B:B, A:A="2021-02"), 0))), "Left", "Ativo")</f>
        <v>Ativo</v>
      </c>
      <c r="E3090" s="10" t="str" cm="1">
        <f t="array" ref="E3090">IF(AND(A3090="2021-02", ISNA(MATCH(B3090, _xlfn._xlws.FILTER(B:B, A:A="2021-03"), 0))), "Left", "Ativo")</f>
        <v>Ativo</v>
      </c>
      <c r="F3090" s="12" t="str" cm="1">
        <f t="array" ref="F3090">IF(AND(A3090="2021-03", ISNA(MATCH(B3090, _xlfn._xlws.FILTER(B:B, A:A="2021-04"), 0))), "Left", "Ativo")</f>
        <v>Ativo</v>
      </c>
    </row>
    <row r="3091" spans="1:6" x14ac:dyDescent="0.25">
      <c r="A3091" t="s">
        <v>1531</v>
      </c>
      <c r="B3091" t="s">
        <v>1005</v>
      </c>
      <c r="C3091" s="10" t="str" cm="1">
        <f t="array" ref="C3091">IF(AND(A3091="2020-12", ISNA(MATCH(B3091, _xlfn._xlws.FILTER(B:B, A:A="2021-01"), 0))), "Left", "Ativo")</f>
        <v>Ativo</v>
      </c>
      <c r="D3091" s="10" t="str" cm="1">
        <f t="array" ref="D3091">IF(AND(A3091="2021-01", ISNA(MATCH(B3091, _xlfn._xlws.FILTER(B:B, A:A="2021-02"), 0))), "Left", "Ativo")</f>
        <v>Ativo</v>
      </c>
      <c r="E3091" s="10" t="str" cm="1">
        <f t="array" ref="E3091">IF(AND(A3091="2021-02", ISNA(MATCH(B3091, _xlfn._xlws.FILTER(B:B, A:A="2021-03"), 0))), "Left", "Ativo")</f>
        <v>Ativo</v>
      </c>
      <c r="F3091" s="12" t="str" cm="1">
        <f t="array" ref="F3091">IF(AND(A3091="2021-03", ISNA(MATCH(B3091, _xlfn._xlws.FILTER(B:B, A:A="2021-04"), 0))), "Left", "Ativo")</f>
        <v>Ativo</v>
      </c>
    </row>
    <row r="3092" spans="1:6" x14ac:dyDescent="0.25">
      <c r="A3092" t="s">
        <v>1531</v>
      </c>
      <c r="B3092" t="s">
        <v>1006</v>
      </c>
      <c r="C3092" s="10" t="str" cm="1">
        <f t="array" ref="C3092">IF(AND(A3092="2020-12", ISNA(MATCH(B3092, _xlfn._xlws.FILTER(B:B, A:A="2021-01"), 0))), "Left", "Ativo")</f>
        <v>Ativo</v>
      </c>
      <c r="D3092" s="10" t="str" cm="1">
        <f t="array" ref="D3092">IF(AND(A3092="2021-01", ISNA(MATCH(B3092, _xlfn._xlws.FILTER(B:B, A:A="2021-02"), 0))), "Left", "Ativo")</f>
        <v>Ativo</v>
      </c>
      <c r="E3092" s="10" t="str" cm="1">
        <f t="array" ref="E3092">IF(AND(A3092="2021-02", ISNA(MATCH(B3092, _xlfn._xlws.FILTER(B:B, A:A="2021-03"), 0))), "Left", "Ativo")</f>
        <v>Ativo</v>
      </c>
      <c r="F3092" s="12" t="str" cm="1">
        <f t="array" ref="F3092">IF(AND(A3092="2021-03", ISNA(MATCH(B3092, _xlfn._xlws.FILTER(B:B, A:A="2021-04"), 0))), "Left", "Ativo")</f>
        <v>Ativo</v>
      </c>
    </row>
    <row r="3093" spans="1:6" x14ac:dyDescent="0.25">
      <c r="A3093" t="s">
        <v>1531</v>
      </c>
      <c r="B3093" t="s">
        <v>1093</v>
      </c>
      <c r="C3093" s="10" t="str" cm="1">
        <f t="array" ref="C3093">IF(AND(A3093="2020-12", ISNA(MATCH(B3093, _xlfn._xlws.FILTER(B:B, A:A="2021-01"), 0))), "Left", "Ativo")</f>
        <v>Ativo</v>
      </c>
      <c r="D3093" s="10" t="str" cm="1">
        <f t="array" ref="D3093">IF(AND(A3093="2021-01", ISNA(MATCH(B3093, _xlfn._xlws.FILTER(B:B, A:A="2021-02"), 0))), "Left", "Ativo")</f>
        <v>Ativo</v>
      </c>
      <c r="E3093" s="10" t="str" cm="1">
        <f t="array" ref="E3093">IF(AND(A3093="2021-02", ISNA(MATCH(B3093, _xlfn._xlws.FILTER(B:B, A:A="2021-03"), 0))), "Left", "Ativo")</f>
        <v>Ativo</v>
      </c>
      <c r="F3093" s="12" t="str" cm="1">
        <f t="array" ref="F3093">IF(AND(A3093="2021-03", ISNA(MATCH(B3093, _xlfn._xlws.FILTER(B:B, A:A="2021-04"), 0))), "Left", "Ativo")</f>
        <v>Ativo</v>
      </c>
    </row>
    <row r="3094" spans="1:6" x14ac:dyDescent="0.25">
      <c r="A3094" t="s">
        <v>1531</v>
      </c>
      <c r="B3094" t="s">
        <v>1094</v>
      </c>
      <c r="C3094" s="10" t="str" cm="1">
        <f t="array" ref="C3094">IF(AND(A3094="2020-12", ISNA(MATCH(B3094, _xlfn._xlws.FILTER(B:B, A:A="2021-01"), 0))), "Left", "Ativo")</f>
        <v>Ativo</v>
      </c>
      <c r="D3094" s="10" t="str" cm="1">
        <f t="array" ref="D3094">IF(AND(A3094="2021-01", ISNA(MATCH(B3094, _xlfn._xlws.FILTER(B:B, A:A="2021-02"), 0))), "Left", "Ativo")</f>
        <v>Ativo</v>
      </c>
      <c r="E3094" s="10" t="str" cm="1">
        <f t="array" ref="E3094">IF(AND(A3094="2021-02", ISNA(MATCH(B3094, _xlfn._xlws.FILTER(B:B, A:A="2021-03"), 0))), "Left", "Ativo")</f>
        <v>Ativo</v>
      </c>
      <c r="F3094" s="12" t="str" cm="1">
        <f t="array" ref="F3094">IF(AND(A3094="2021-03", ISNA(MATCH(B3094, _xlfn._xlws.FILTER(B:B, A:A="2021-04"), 0))), "Left", "Ativo")</f>
        <v>Ativo</v>
      </c>
    </row>
    <row r="3095" spans="1:6" x14ac:dyDescent="0.25">
      <c r="A3095" t="s">
        <v>1531</v>
      </c>
      <c r="B3095" t="s">
        <v>1095</v>
      </c>
      <c r="C3095" s="10" t="str" cm="1">
        <f t="array" ref="C3095">IF(AND(A3095="2020-12", ISNA(MATCH(B3095, _xlfn._xlws.FILTER(B:B, A:A="2021-01"), 0))), "Left", "Ativo")</f>
        <v>Ativo</v>
      </c>
      <c r="D3095" s="10" t="str" cm="1">
        <f t="array" ref="D3095">IF(AND(A3095="2021-01", ISNA(MATCH(B3095, _xlfn._xlws.FILTER(B:B, A:A="2021-02"), 0))), "Left", "Ativo")</f>
        <v>Ativo</v>
      </c>
      <c r="E3095" s="10" t="str" cm="1">
        <f t="array" ref="E3095">IF(AND(A3095="2021-02", ISNA(MATCH(B3095, _xlfn._xlws.FILTER(B:B, A:A="2021-03"), 0))), "Left", "Ativo")</f>
        <v>Ativo</v>
      </c>
      <c r="F3095" s="12" t="str" cm="1">
        <f t="array" ref="F3095">IF(AND(A3095="2021-03", ISNA(MATCH(B3095, _xlfn._xlws.FILTER(B:B, A:A="2021-04"), 0))), "Left", "Ativo")</f>
        <v>Ativo</v>
      </c>
    </row>
    <row r="3096" spans="1:6" x14ac:dyDescent="0.25">
      <c r="A3096" t="s">
        <v>1531</v>
      </c>
      <c r="B3096" t="s">
        <v>1096</v>
      </c>
      <c r="C3096" s="10" t="str" cm="1">
        <f t="array" ref="C3096">IF(AND(A3096="2020-12", ISNA(MATCH(B3096, _xlfn._xlws.FILTER(B:B, A:A="2021-01"), 0))), "Left", "Ativo")</f>
        <v>Ativo</v>
      </c>
      <c r="D3096" s="10" t="str" cm="1">
        <f t="array" ref="D3096">IF(AND(A3096="2021-01", ISNA(MATCH(B3096, _xlfn._xlws.FILTER(B:B, A:A="2021-02"), 0))), "Left", "Ativo")</f>
        <v>Ativo</v>
      </c>
      <c r="E3096" s="10" t="str" cm="1">
        <f t="array" ref="E3096">IF(AND(A3096="2021-02", ISNA(MATCH(B3096, _xlfn._xlws.FILTER(B:B, A:A="2021-03"), 0))), "Left", "Ativo")</f>
        <v>Ativo</v>
      </c>
      <c r="F3096" s="12" t="str" cm="1">
        <f t="array" ref="F3096">IF(AND(A3096="2021-03", ISNA(MATCH(B3096, _xlfn._xlws.FILTER(B:B, A:A="2021-04"), 0))), "Left", "Ativo")</f>
        <v>Ativo</v>
      </c>
    </row>
    <row r="3097" spans="1:6" x14ac:dyDescent="0.25">
      <c r="A3097" t="s">
        <v>1531</v>
      </c>
      <c r="B3097" t="s">
        <v>1097</v>
      </c>
      <c r="C3097" s="10" t="str" cm="1">
        <f t="array" ref="C3097">IF(AND(A3097="2020-12", ISNA(MATCH(B3097, _xlfn._xlws.FILTER(B:B, A:A="2021-01"), 0))), "Left", "Ativo")</f>
        <v>Ativo</v>
      </c>
      <c r="D3097" s="10" t="str" cm="1">
        <f t="array" ref="D3097">IF(AND(A3097="2021-01", ISNA(MATCH(B3097, _xlfn._xlws.FILTER(B:B, A:A="2021-02"), 0))), "Left", "Ativo")</f>
        <v>Ativo</v>
      </c>
      <c r="E3097" s="10" t="str" cm="1">
        <f t="array" ref="E3097">IF(AND(A3097="2021-02", ISNA(MATCH(B3097, _xlfn._xlws.FILTER(B:B, A:A="2021-03"), 0))), "Left", "Ativo")</f>
        <v>Ativo</v>
      </c>
      <c r="F3097" s="12" t="str" cm="1">
        <f t="array" ref="F3097">IF(AND(A3097="2021-03", ISNA(MATCH(B3097, _xlfn._xlws.FILTER(B:B, A:A="2021-04"), 0))), "Left", "Ativo")</f>
        <v>Ativo</v>
      </c>
    </row>
    <row r="3098" spans="1:6" x14ac:dyDescent="0.25">
      <c r="A3098" t="s">
        <v>1531</v>
      </c>
      <c r="B3098" t="s">
        <v>1098</v>
      </c>
      <c r="C3098" s="10" t="str" cm="1">
        <f t="array" ref="C3098">IF(AND(A3098="2020-12", ISNA(MATCH(B3098, _xlfn._xlws.FILTER(B:B, A:A="2021-01"), 0))), "Left", "Ativo")</f>
        <v>Ativo</v>
      </c>
      <c r="D3098" s="10" t="str" cm="1">
        <f t="array" ref="D3098">IF(AND(A3098="2021-01", ISNA(MATCH(B3098, _xlfn._xlws.FILTER(B:B, A:A="2021-02"), 0))), "Left", "Ativo")</f>
        <v>Ativo</v>
      </c>
      <c r="E3098" s="10" t="str" cm="1">
        <f t="array" ref="E3098">IF(AND(A3098="2021-02", ISNA(MATCH(B3098, _xlfn._xlws.FILTER(B:B, A:A="2021-03"), 0))), "Left", "Ativo")</f>
        <v>Ativo</v>
      </c>
      <c r="F3098" s="12" t="str" cm="1">
        <f t="array" ref="F3098">IF(AND(A3098="2021-03", ISNA(MATCH(B3098, _xlfn._xlws.FILTER(B:B, A:A="2021-04"), 0))), "Left", "Ativo")</f>
        <v>Ativo</v>
      </c>
    </row>
    <row r="3099" spans="1:6" x14ac:dyDescent="0.25">
      <c r="A3099" t="s">
        <v>1531</v>
      </c>
      <c r="B3099" t="s">
        <v>1099</v>
      </c>
      <c r="C3099" s="10" t="str" cm="1">
        <f t="array" ref="C3099">IF(AND(A3099="2020-12", ISNA(MATCH(B3099, _xlfn._xlws.FILTER(B:B, A:A="2021-01"), 0))), "Left", "Ativo")</f>
        <v>Ativo</v>
      </c>
      <c r="D3099" s="10" t="str" cm="1">
        <f t="array" ref="D3099">IF(AND(A3099="2021-01", ISNA(MATCH(B3099, _xlfn._xlws.FILTER(B:B, A:A="2021-02"), 0))), "Left", "Ativo")</f>
        <v>Ativo</v>
      </c>
      <c r="E3099" s="10" t="str" cm="1">
        <f t="array" ref="E3099">IF(AND(A3099="2021-02", ISNA(MATCH(B3099, _xlfn._xlws.FILTER(B:B, A:A="2021-03"), 0))), "Left", "Ativo")</f>
        <v>Ativo</v>
      </c>
      <c r="F3099" s="12" t="str" cm="1">
        <f t="array" ref="F3099">IF(AND(A3099="2021-03", ISNA(MATCH(B3099, _xlfn._xlws.FILTER(B:B, A:A="2021-04"), 0))), "Left", "Ativo")</f>
        <v>Ativo</v>
      </c>
    </row>
    <row r="3100" spans="1:6" x14ac:dyDescent="0.25">
      <c r="A3100" t="s">
        <v>1531</v>
      </c>
      <c r="B3100" t="s">
        <v>1100</v>
      </c>
      <c r="C3100" s="10" t="str" cm="1">
        <f t="array" ref="C3100">IF(AND(A3100="2020-12", ISNA(MATCH(B3100, _xlfn._xlws.FILTER(B:B, A:A="2021-01"), 0))), "Left", "Ativo")</f>
        <v>Ativo</v>
      </c>
      <c r="D3100" s="10" t="str" cm="1">
        <f t="array" ref="D3100">IF(AND(A3100="2021-01", ISNA(MATCH(B3100, _xlfn._xlws.FILTER(B:B, A:A="2021-02"), 0))), "Left", "Ativo")</f>
        <v>Ativo</v>
      </c>
      <c r="E3100" s="10" t="str" cm="1">
        <f t="array" ref="E3100">IF(AND(A3100="2021-02", ISNA(MATCH(B3100, _xlfn._xlws.FILTER(B:B, A:A="2021-03"), 0))), "Left", "Ativo")</f>
        <v>Ativo</v>
      </c>
      <c r="F3100" s="12" t="str" cm="1">
        <f t="array" ref="F3100">IF(AND(A3100="2021-03", ISNA(MATCH(B3100, _xlfn._xlws.FILTER(B:B, A:A="2021-04"), 0))), "Left", "Ativo")</f>
        <v>Left</v>
      </c>
    </row>
    <row r="3101" spans="1:6" x14ac:dyDescent="0.25">
      <c r="A3101" t="s">
        <v>1531</v>
      </c>
      <c r="B3101" t="s">
        <v>1101</v>
      </c>
      <c r="C3101" s="10" t="str" cm="1">
        <f t="array" ref="C3101">IF(AND(A3101="2020-12", ISNA(MATCH(B3101, _xlfn._xlws.FILTER(B:B, A:A="2021-01"), 0))), "Left", "Ativo")</f>
        <v>Ativo</v>
      </c>
      <c r="D3101" s="10" t="str" cm="1">
        <f t="array" ref="D3101">IF(AND(A3101="2021-01", ISNA(MATCH(B3101, _xlfn._xlws.FILTER(B:B, A:A="2021-02"), 0))), "Left", "Ativo")</f>
        <v>Ativo</v>
      </c>
      <c r="E3101" s="10" t="str" cm="1">
        <f t="array" ref="E3101">IF(AND(A3101="2021-02", ISNA(MATCH(B3101, _xlfn._xlws.FILTER(B:B, A:A="2021-03"), 0))), "Left", "Ativo")</f>
        <v>Ativo</v>
      </c>
      <c r="F3101" s="12" t="str" cm="1">
        <f t="array" ref="F3101">IF(AND(A3101="2021-03", ISNA(MATCH(B3101, _xlfn._xlws.FILTER(B:B, A:A="2021-04"), 0))), "Left", "Ativo")</f>
        <v>Left</v>
      </c>
    </row>
    <row r="3102" spans="1:6" x14ac:dyDescent="0.25">
      <c r="A3102" t="s">
        <v>1531</v>
      </c>
      <c r="B3102" t="s">
        <v>1102</v>
      </c>
      <c r="C3102" s="10" t="str" cm="1">
        <f t="array" ref="C3102">IF(AND(A3102="2020-12", ISNA(MATCH(B3102, _xlfn._xlws.FILTER(B:B, A:A="2021-01"), 0))), "Left", "Ativo")</f>
        <v>Ativo</v>
      </c>
      <c r="D3102" s="10" t="str" cm="1">
        <f t="array" ref="D3102">IF(AND(A3102="2021-01", ISNA(MATCH(B3102, _xlfn._xlws.FILTER(B:B, A:A="2021-02"), 0))), "Left", "Ativo")</f>
        <v>Ativo</v>
      </c>
      <c r="E3102" s="10" t="str" cm="1">
        <f t="array" ref="E3102">IF(AND(A3102="2021-02", ISNA(MATCH(B3102, _xlfn._xlws.FILTER(B:B, A:A="2021-03"), 0))), "Left", "Ativo")</f>
        <v>Ativo</v>
      </c>
      <c r="F3102" s="12" t="str" cm="1">
        <f t="array" ref="F3102">IF(AND(A3102="2021-03", ISNA(MATCH(B3102, _xlfn._xlws.FILTER(B:B, A:A="2021-04"), 0))), "Left", "Ativo")</f>
        <v>Ativo</v>
      </c>
    </row>
    <row r="3103" spans="1:6" x14ac:dyDescent="0.25">
      <c r="A3103" t="s">
        <v>1531</v>
      </c>
      <c r="B3103" t="s">
        <v>1103</v>
      </c>
      <c r="C3103" s="10" t="str" cm="1">
        <f t="array" ref="C3103">IF(AND(A3103="2020-12", ISNA(MATCH(B3103, _xlfn._xlws.FILTER(B:B, A:A="2021-01"), 0))), "Left", "Ativo")</f>
        <v>Ativo</v>
      </c>
      <c r="D3103" s="10" t="str" cm="1">
        <f t="array" ref="D3103">IF(AND(A3103="2021-01", ISNA(MATCH(B3103, _xlfn._xlws.FILTER(B:B, A:A="2021-02"), 0))), "Left", "Ativo")</f>
        <v>Ativo</v>
      </c>
      <c r="E3103" s="10" t="str" cm="1">
        <f t="array" ref="E3103">IF(AND(A3103="2021-02", ISNA(MATCH(B3103, _xlfn._xlws.FILTER(B:B, A:A="2021-03"), 0))), "Left", "Ativo")</f>
        <v>Ativo</v>
      </c>
      <c r="F3103" s="12" t="str" cm="1">
        <f t="array" ref="F3103">IF(AND(A3103="2021-03", ISNA(MATCH(B3103, _xlfn._xlws.FILTER(B:B, A:A="2021-04"), 0))), "Left", "Ativo")</f>
        <v>Ativo</v>
      </c>
    </row>
    <row r="3104" spans="1:6" x14ac:dyDescent="0.25">
      <c r="A3104" t="s">
        <v>1531</v>
      </c>
      <c r="B3104" t="s">
        <v>1104</v>
      </c>
      <c r="C3104" s="10" t="str" cm="1">
        <f t="array" ref="C3104">IF(AND(A3104="2020-12", ISNA(MATCH(B3104, _xlfn._xlws.FILTER(B:B, A:A="2021-01"), 0))), "Left", "Ativo")</f>
        <v>Ativo</v>
      </c>
      <c r="D3104" s="10" t="str" cm="1">
        <f t="array" ref="D3104">IF(AND(A3104="2021-01", ISNA(MATCH(B3104, _xlfn._xlws.FILTER(B:B, A:A="2021-02"), 0))), "Left", "Ativo")</f>
        <v>Ativo</v>
      </c>
      <c r="E3104" s="10" t="str" cm="1">
        <f t="array" ref="E3104">IF(AND(A3104="2021-02", ISNA(MATCH(B3104, _xlfn._xlws.FILTER(B:B, A:A="2021-03"), 0))), "Left", "Ativo")</f>
        <v>Ativo</v>
      </c>
      <c r="F3104" s="12" t="str" cm="1">
        <f t="array" ref="F3104">IF(AND(A3104="2021-03", ISNA(MATCH(B3104, _xlfn._xlws.FILTER(B:B, A:A="2021-04"), 0))), "Left", "Ativo")</f>
        <v>Ativo</v>
      </c>
    </row>
    <row r="3105" spans="1:6" x14ac:dyDescent="0.25">
      <c r="A3105" t="s">
        <v>1531</v>
      </c>
      <c r="B3105" t="s">
        <v>199</v>
      </c>
      <c r="C3105" s="10" t="str" cm="1">
        <f t="array" ref="C3105">IF(AND(A3105="2020-12", ISNA(MATCH(B3105, _xlfn._xlws.FILTER(B:B, A:A="2021-01"), 0))), "Left", "Ativo")</f>
        <v>Ativo</v>
      </c>
      <c r="D3105" s="10" t="str" cm="1">
        <f t="array" ref="D3105">IF(AND(A3105="2021-01", ISNA(MATCH(B3105, _xlfn._xlws.FILTER(B:B, A:A="2021-02"), 0))), "Left", "Ativo")</f>
        <v>Ativo</v>
      </c>
      <c r="E3105" s="10" t="str" cm="1">
        <f t="array" ref="E3105">IF(AND(A3105="2021-02", ISNA(MATCH(B3105, _xlfn._xlws.FILTER(B:B, A:A="2021-03"), 0))), "Left", "Ativo")</f>
        <v>Ativo</v>
      </c>
      <c r="F3105" s="12" t="str" cm="1">
        <f t="array" ref="F3105">IF(AND(A3105="2021-03", ISNA(MATCH(B3105, _xlfn._xlws.FILTER(B:B, A:A="2021-04"), 0))), "Left", "Ativo")</f>
        <v>Ativo</v>
      </c>
    </row>
    <row r="3106" spans="1:6" x14ac:dyDescent="0.25">
      <c r="A3106" t="s">
        <v>1531</v>
      </c>
      <c r="B3106" t="s">
        <v>200</v>
      </c>
      <c r="C3106" s="10" t="str" cm="1">
        <f t="array" ref="C3106">IF(AND(A3106="2020-12", ISNA(MATCH(B3106, _xlfn._xlws.FILTER(B:B, A:A="2021-01"), 0))), "Left", "Ativo")</f>
        <v>Ativo</v>
      </c>
      <c r="D3106" s="10" t="str" cm="1">
        <f t="array" ref="D3106">IF(AND(A3106="2021-01", ISNA(MATCH(B3106, _xlfn._xlws.FILTER(B:B, A:A="2021-02"), 0))), "Left", "Ativo")</f>
        <v>Ativo</v>
      </c>
      <c r="E3106" s="10" t="str" cm="1">
        <f t="array" ref="E3106">IF(AND(A3106="2021-02", ISNA(MATCH(B3106, _xlfn._xlws.FILTER(B:B, A:A="2021-03"), 0))), "Left", "Ativo")</f>
        <v>Ativo</v>
      </c>
      <c r="F3106" s="12" t="str" cm="1">
        <f t="array" ref="F3106">IF(AND(A3106="2021-03", ISNA(MATCH(B3106, _xlfn._xlws.FILTER(B:B, A:A="2021-04"), 0))), "Left", "Ativo")</f>
        <v>Ativo</v>
      </c>
    </row>
    <row r="3107" spans="1:6" x14ac:dyDescent="0.25">
      <c r="A3107" t="s">
        <v>1531</v>
      </c>
      <c r="B3107" t="s">
        <v>201</v>
      </c>
      <c r="C3107" s="10" t="str" cm="1">
        <f t="array" ref="C3107">IF(AND(A3107="2020-12", ISNA(MATCH(B3107, _xlfn._xlws.FILTER(B:B, A:A="2021-01"), 0))), "Left", "Ativo")</f>
        <v>Ativo</v>
      </c>
      <c r="D3107" s="10" t="str" cm="1">
        <f t="array" ref="D3107">IF(AND(A3107="2021-01", ISNA(MATCH(B3107, _xlfn._xlws.FILTER(B:B, A:A="2021-02"), 0))), "Left", "Ativo")</f>
        <v>Ativo</v>
      </c>
      <c r="E3107" s="10" t="str" cm="1">
        <f t="array" ref="E3107">IF(AND(A3107="2021-02", ISNA(MATCH(B3107, _xlfn._xlws.FILTER(B:B, A:A="2021-03"), 0))), "Left", "Ativo")</f>
        <v>Ativo</v>
      </c>
      <c r="F3107" s="12" t="str" cm="1">
        <f t="array" ref="F3107">IF(AND(A3107="2021-03", ISNA(MATCH(B3107, _xlfn._xlws.FILTER(B:B, A:A="2021-04"), 0))), "Left", "Ativo")</f>
        <v>Ativo</v>
      </c>
    </row>
    <row r="3108" spans="1:6" x14ac:dyDescent="0.25">
      <c r="A3108" t="s">
        <v>1531</v>
      </c>
      <c r="B3108" t="s">
        <v>206</v>
      </c>
      <c r="C3108" s="10" t="str" cm="1">
        <f t="array" ref="C3108">IF(AND(A3108="2020-12", ISNA(MATCH(B3108, _xlfn._xlws.FILTER(B:B, A:A="2021-01"), 0))), "Left", "Ativo")</f>
        <v>Ativo</v>
      </c>
      <c r="D3108" s="10" t="str" cm="1">
        <f t="array" ref="D3108">IF(AND(A3108="2021-01", ISNA(MATCH(B3108, _xlfn._xlws.FILTER(B:B, A:A="2021-02"), 0))), "Left", "Ativo")</f>
        <v>Ativo</v>
      </c>
      <c r="E3108" s="10" t="str" cm="1">
        <f t="array" ref="E3108">IF(AND(A3108="2021-02", ISNA(MATCH(B3108, _xlfn._xlws.FILTER(B:B, A:A="2021-03"), 0))), "Left", "Ativo")</f>
        <v>Ativo</v>
      </c>
      <c r="F3108" s="12" t="str" cm="1">
        <f t="array" ref="F3108">IF(AND(A3108="2021-03", ISNA(MATCH(B3108, _xlfn._xlws.FILTER(B:B, A:A="2021-04"), 0))), "Left", "Ativo")</f>
        <v>Ativo</v>
      </c>
    </row>
    <row r="3109" spans="1:6" x14ac:dyDescent="0.25">
      <c r="A3109" t="s">
        <v>1531</v>
      </c>
      <c r="B3109" t="s">
        <v>207</v>
      </c>
      <c r="C3109" s="10" t="str" cm="1">
        <f t="array" ref="C3109">IF(AND(A3109="2020-12", ISNA(MATCH(B3109, _xlfn._xlws.FILTER(B:B, A:A="2021-01"), 0))), "Left", "Ativo")</f>
        <v>Ativo</v>
      </c>
      <c r="D3109" s="10" t="str" cm="1">
        <f t="array" ref="D3109">IF(AND(A3109="2021-01", ISNA(MATCH(B3109, _xlfn._xlws.FILTER(B:B, A:A="2021-02"), 0))), "Left", "Ativo")</f>
        <v>Ativo</v>
      </c>
      <c r="E3109" s="10" t="str" cm="1">
        <f t="array" ref="E3109">IF(AND(A3109="2021-02", ISNA(MATCH(B3109, _xlfn._xlws.FILTER(B:B, A:A="2021-03"), 0))), "Left", "Ativo")</f>
        <v>Ativo</v>
      </c>
      <c r="F3109" s="12" t="str" cm="1">
        <f t="array" ref="F3109">IF(AND(A3109="2021-03", ISNA(MATCH(B3109, _xlfn._xlws.FILTER(B:B, A:A="2021-04"), 0))), "Left", "Ativo")</f>
        <v>Ativo</v>
      </c>
    </row>
    <row r="3110" spans="1:6" x14ac:dyDescent="0.25">
      <c r="A3110" t="s">
        <v>1531</v>
      </c>
      <c r="B3110" t="s">
        <v>208</v>
      </c>
      <c r="C3110" s="10" t="str" cm="1">
        <f t="array" ref="C3110">IF(AND(A3110="2020-12", ISNA(MATCH(B3110, _xlfn._xlws.FILTER(B:B, A:A="2021-01"), 0))), "Left", "Ativo")</f>
        <v>Ativo</v>
      </c>
      <c r="D3110" s="10" t="str" cm="1">
        <f t="array" ref="D3110">IF(AND(A3110="2021-01", ISNA(MATCH(B3110, _xlfn._xlws.FILTER(B:B, A:A="2021-02"), 0))), "Left", "Ativo")</f>
        <v>Ativo</v>
      </c>
      <c r="E3110" s="10" t="str" cm="1">
        <f t="array" ref="E3110">IF(AND(A3110="2021-02", ISNA(MATCH(B3110, _xlfn._xlws.FILTER(B:B, A:A="2021-03"), 0))), "Left", "Ativo")</f>
        <v>Ativo</v>
      </c>
      <c r="F3110" s="12" t="str" cm="1">
        <f t="array" ref="F3110">IF(AND(A3110="2021-03", ISNA(MATCH(B3110, _xlfn._xlws.FILTER(B:B, A:A="2021-04"), 0))), "Left", "Ativo")</f>
        <v>Ativo</v>
      </c>
    </row>
    <row r="3111" spans="1:6" x14ac:dyDescent="0.25">
      <c r="A3111" t="s">
        <v>1531</v>
      </c>
      <c r="B3111" t="s">
        <v>209</v>
      </c>
      <c r="C3111" s="10" t="str" cm="1">
        <f t="array" ref="C3111">IF(AND(A3111="2020-12", ISNA(MATCH(B3111, _xlfn._xlws.FILTER(B:B, A:A="2021-01"), 0))), "Left", "Ativo")</f>
        <v>Ativo</v>
      </c>
      <c r="D3111" s="10" t="str" cm="1">
        <f t="array" ref="D3111">IF(AND(A3111="2021-01", ISNA(MATCH(B3111, _xlfn._xlws.FILTER(B:B, A:A="2021-02"), 0))), "Left", "Ativo")</f>
        <v>Ativo</v>
      </c>
      <c r="E3111" s="10" t="str" cm="1">
        <f t="array" ref="E3111">IF(AND(A3111="2021-02", ISNA(MATCH(B3111, _xlfn._xlws.FILTER(B:B, A:A="2021-03"), 0))), "Left", "Ativo")</f>
        <v>Ativo</v>
      </c>
      <c r="F3111" s="12" t="str" cm="1">
        <f t="array" ref="F3111">IF(AND(A3111="2021-03", ISNA(MATCH(B3111, _xlfn._xlws.FILTER(B:B, A:A="2021-04"), 0))), "Left", "Ativo")</f>
        <v>Ativo</v>
      </c>
    </row>
    <row r="3112" spans="1:6" x14ac:dyDescent="0.25">
      <c r="A3112" t="s">
        <v>1531</v>
      </c>
      <c r="B3112" t="s">
        <v>210</v>
      </c>
      <c r="C3112" s="10" t="str" cm="1">
        <f t="array" ref="C3112">IF(AND(A3112="2020-12", ISNA(MATCH(B3112, _xlfn._xlws.FILTER(B:B, A:A="2021-01"), 0))), "Left", "Ativo")</f>
        <v>Ativo</v>
      </c>
      <c r="D3112" s="10" t="str" cm="1">
        <f t="array" ref="D3112">IF(AND(A3112="2021-01", ISNA(MATCH(B3112, _xlfn._xlws.FILTER(B:B, A:A="2021-02"), 0))), "Left", "Ativo")</f>
        <v>Ativo</v>
      </c>
      <c r="E3112" s="10" t="str" cm="1">
        <f t="array" ref="E3112">IF(AND(A3112="2021-02", ISNA(MATCH(B3112, _xlfn._xlws.FILTER(B:B, A:A="2021-03"), 0))), "Left", "Ativo")</f>
        <v>Ativo</v>
      </c>
      <c r="F3112" s="12" t="str" cm="1">
        <f t="array" ref="F3112">IF(AND(A3112="2021-03", ISNA(MATCH(B3112, _xlfn._xlws.FILTER(B:B, A:A="2021-04"), 0))), "Left", "Ativo")</f>
        <v>Ativo</v>
      </c>
    </row>
    <row r="3113" spans="1:6" x14ac:dyDescent="0.25">
      <c r="A3113" t="s">
        <v>1531</v>
      </c>
      <c r="B3113" t="s">
        <v>211</v>
      </c>
      <c r="C3113" s="10" t="str" cm="1">
        <f t="array" ref="C3113">IF(AND(A3113="2020-12", ISNA(MATCH(B3113, _xlfn._xlws.FILTER(B:B, A:A="2021-01"), 0))), "Left", "Ativo")</f>
        <v>Ativo</v>
      </c>
      <c r="D3113" s="10" t="str" cm="1">
        <f t="array" ref="D3113">IF(AND(A3113="2021-01", ISNA(MATCH(B3113, _xlfn._xlws.FILTER(B:B, A:A="2021-02"), 0))), "Left", "Ativo")</f>
        <v>Ativo</v>
      </c>
      <c r="E3113" s="10" t="str" cm="1">
        <f t="array" ref="E3113">IF(AND(A3113="2021-02", ISNA(MATCH(B3113, _xlfn._xlws.FILTER(B:B, A:A="2021-03"), 0))), "Left", "Ativo")</f>
        <v>Ativo</v>
      </c>
      <c r="F3113" s="12" t="str" cm="1">
        <f t="array" ref="F3113">IF(AND(A3113="2021-03", ISNA(MATCH(B3113, _xlfn._xlws.FILTER(B:B, A:A="2021-04"), 0))), "Left", "Ativo")</f>
        <v>Ativo</v>
      </c>
    </row>
    <row r="3114" spans="1:6" x14ac:dyDescent="0.25">
      <c r="A3114" t="s">
        <v>1531</v>
      </c>
      <c r="B3114" t="s">
        <v>212</v>
      </c>
      <c r="C3114" s="10" t="str" cm="1">
        <f t="array" ref="C3114">IF(AND(A3114="2020-12", ISNA(MATCH(B3114, _xlfn._xlws.FILTER(B:B, A:A="2021-01"), 0))), "Left", "Ativo")</f>
        <v>Ativo</v>
      </c>
      <c r="D3114" s="10" t="str" cm="1">
        <f t="array" ref="D3114">IF(AND(A3114="2021-01", ISNA(MATCH(B3114, _xlfn._xlws.FILTER(B:B, A:A="2021-02"), 0))), "Left", "Ativo")</f>
        <v>Ativo</v>
      </c>
      <c r="E3114" s="10" t="str" cm="1">
        <f t="array" ref="E3114">IF(AND(A3114="2021-02", ISNA(MATCH(B3114, _xlfn._xlws.FILTER(B:B, A:A="2021-03"), 0))), "Left", "Ativo")</f>
        <v>Ativo</v>
      </c>
      <c r="F3114" s="12" t="str" cm="1">
        <f t="array" ref="F3114">IF(AND(A3114="2021-03", ISNA(MATCH(B3114, _xlfn._xlws.FILTER(B:B, A:A="2021-04"), 0))), "Left", "Ativo")</f>
        <v>Ativo</v>
      </c>
    </row>
    <row r="3115" spans="1:6" x14ac:dyDescent="0.25">
      <c r="A3115" t="s">
        <v>1531</v>
      </c>
      <c r="B3115" t="s">
        <v>213</v>
      </c>
      <c r="C3115" s="10" t="str" cm="1">
        <f t="array" ref="C3115">IF(AND(A3115="2020-12", ISNA(MATCH(B3115, _xlfn._xlws.FILTER(B:B, A:A="2021-01"), 0))), "Left", "Ativo")</f>
        <v>Ativo</v>
      </c>
      <c r="D3115" s="10" t="str" cm="1">
        <f t="array" ref="D3115">IF(AND(A3115="2021-01", ISNA(MATCH(B3115, _xlfn._xlws.FILTER(B:B, A:A="2021-02"), 0))), "Left", "Ativo")</f>
        <v>Ativo</v>
      </c>
      <c r="E3115" s="10" t="str" cm="1">
        <f t="array" ref="E3115">IF(AND(A3115="2021-02", ISNA(MATCH(B3115, _xlfn._xlws.FILTER(B:B, A:A="2021-03"), 0))), "Left", "Ativo")</f>
        <v>Ativo</v>
      </c>
      <c r="F3115" s="12" t="str" cm="1">
        <f t="array" ref="F3115">IF(AND(A3115="2021-03", ISNA(MATCH(B3115, _xlfn._xlws.FILTER(B:B, A:A="2021-04"), 0))), "Left", "Ativo")</f>
        <v>Ativo</v>
      </c>
    </row>
    <row r="3116" spans="1:6" x14ac:dyDescent="0.25">
      <c r="A3116" t="s">
        <v>1531</v>
      </c>
      <c r="B3116" t="s">
        <v>214</v>
      </c>
      <c r="C3116" s="10" t="str" cm="1">
        <f t="array" ref="C3116">IF(AND(A3116="2020-12", ISNA(MATCH(B3116, _xlfn._xlws.FILTER(B:B, A:A="2021-01"), 0))), "Left", "Ativo")</f>
        <v>Ativo</v>
      </c>
      <c r="D3116" s="10" t="str" cm="1">
        <f t="array" ref="D3116">IF(AND(A3116="2021-01", ISNA(MATCH(B3116, _xlfn._xlws.FILTER(B:B, A:A="2021-02"), 0))), "Left", "Ativo")</f>
        <v>Ativo</v>
      </c>
      <c r="E3116" s="10" t="str" cm="1">
        <f t="array" ref="E3116">IF(AND(A3116="2021-02", ISNA(MATCH(B3116, _xlfn._xlws.FILTER(B:B, A:A="2021-03"), 0))), "Left", "Ativo")</f>
        <v>Ativo</v>
      </c>
      <c r="F3116" s="12" t="str" cm="1">
        <f t="array" ref="F3116">IF(AND(A3116="2021-03", ISNA(MATCH(B3116, _xlfn._xlws.FILTER(B:B, A:A="2021-04"), 0))), "Left", "Ativo")</f>
        <v>Ativo</v>
      </c>
    </row>
    <row r="3117" spans="1:6" x14ac:dyDescent="0.25">
      <c r="A3117" t="s">
        <v>1531</v>
      </c>
      <c r="B3117" t="s">
        <v>215</v>
      </c>
      <c r="C3117" s="10" t="str" cm="1">
        <f t="array" ref="C3117">IF(AND(A3117="2020-12", ISNA(MATCH(B3117, _xlfn._xlws.FILTER(B:B, A:A="2021-01"), 0))), "Left", "Ativo")</f>
        <v>Ativo</v>
      </c>
      <c r="D3117" s="10" t="str" cm="1">
        <f t="array" ref="D3117">IF(AND(A3117="2021-01", ISNA(MATCH(B3117, _xlfn._xlws.FILTER(B:B, A:A="2021-02"), 0))), "Left", "Ativo")</f>
        <v>Ativo</v>
      </c>
      <c r="E3117" s="10" t="str" cm="1">
        <f t="array" ref="E3117">IF(AND(A3117="2021-02", ISNA(MATCH(B3117, _xlfn._xlws.FILTER(B:B, A:A="2021-03"), 0))), "Left", "Ativo")</f>
        <v>Ativo</v>
      </c>
      <c r="F3117" s="12" t="str" cm="1">
        <f t="array" ref="F3117">IF(AND(A3117="2021-03", ISNA(MATCH(B3117, _xlfn._xlws.FILTER(B:B, A:A="2021-04"), 0))), "Left", "Ativo")</f>
        <v>Ativo</v>
      </c>
    </row>
    <row r="3118" spans="1:6" x14ac:dyDescent="0.25">
      <c r="A3118" t="s">
        <v>1531</v>
      </c>
      <c r="B3118" t="s">
        <v>216</v>
      </c>
      <c r="C3118" s="10" t="str" cm="1">
        <f t="array" ref="C3118">IF(AND(A3118="2020-12", ISNA(MATCH(B3118, _xlfn._xlws.FILTER(B:B, A:A="2021-01"), 0))), "Left", "Ativo")</f>
        <v>Ativo</v>
      </c>
      <c r="D3118" s="10" t="str" cm="1">
        <f t="array" ref="D3118">IF(AND(A3118="2021-01", ISNA(MATCH(B3118, _xlfn._xlws.FILTER(B:B, A:A="2021-02"), 0))), "Left", "Ativo")</f>
        <v>Ativo</v>
      </c>
      <c r="E3118" s="10" t="str" cm="1">
        <f t="array" ref="E3118">IF(AND(A3118="2021-02", ISNA(MATCH(B3118, _xlfn._xlws.FILTER(B:B, A:A="2021-03"), 0))), "Left", "Ativo")</f>
        <v>Ativo</v>
      </c>
      <c r="F3118" s="12" t="str" cm="1">
        <f t="array" ref="F3118">IF(AND(A3118="2021-03", ISNA(MATCH(B3118, _xlfn._xlws.FILTER(B:B, A:A="2021-04"), 0))), "Left", "Ativo")</f>
        <v>Ativo</v>
      </c>
    </row>
    <row r="3119" spans="1:6" x14ac:dyDescent="0.25">
      <c r="A3119" t="s">
        <v>1531</v>
      </c>
      <c r="B3119" t="s">
        <v>217</v>
      </c>
      <c r="C3119" s="10" t="str" cm="1">
        <f t="array" ref="C3119">IF(AND(A3119="2020-12", ISNA(MATCH(B3119, _xlfn._xlws.FILTER(B:B, A:A="2021-01"), 0))), "Left", "Ativo")</f>
        <v>Ativo</v>
      </c>
      <c r="D3119" s="10" t="str" cm="1">
        <f t="array" ref="D3119">IF(AND(A3119="2021-01", ISNA(MATCH(B3119, _xlfn._xlws.FILTER(B:B, A:A="2021-02"), 0))), "Left", "Ativo")</f>
        <v>Ativo</v>
      </c>
      <c r="E3119" s="10" t="str" cm="1">
        <f t="array" ref="E3119">IF(AND(A3119="2021-02", ISNA(MATCH(B3119, _xlfn._xlws.FILTER(B:B, A:A="2021-03"), 0))), "Left", "Ativo")</f>
        <v>Ativo</v>
      </c>
      <c r="F3119" s="12" t="str" cm="1">
        <f t="array" ref="F3119">IF(AND(A3119="2021-03", ISNA(MATCH(B3119, _xlfn._xlws.FILTER(B:B, A:A="2021-04"), 0))), "Left", "Ativo")</f>
        <v>Ativo</v>
      </c>
    </row>
    <row r="3120" spans="1:6" x14ac:dyDescent="0.25">
      <c r="A3120" t="s">
        <v>1531</v>
      </c>
      <c r="B3120" t="s">
        <v>218</v>
      </c>
      <c r="C3120" s="10" t="str" cm="1">
        <f t="array" ref="C3120">IF(AND(A3120="2020-12", ISNA(MATCH(B3120, _xlfn._xlws.FILTER(B:B, A:A="2021-01"), 0))), "Left", "Ativo")</f>
        <v>Ativo</v>
      </c>
      <c r="D3120" s="10" t="str" cm="1">
        <f t="array" ref="D3120">IF(AND(A3120="2021-01", ISNA(MATCH(B3120, _xlfn._xlws.FILTER(B:B, A:A="2021-02"), 0))), "Left", "Ativo")</f>
        <v>Ativo</v>
      </c>
      <c r="E3120" s="10" t="str" cm="1">
        <f t="array" ref="E3120">IF(AND(A3120="2021-02", ISNA(MATCH(B3120, _xlfn._xlws.FILTER(B:B, A:A="2021-03"), 0))), "Left", "Ativo")</f>
        <v>Ativo</v>
      </c>
      <c r="F3120" s="12" t="str" cm="1">
        <f t="array" ref="F3120">IF(AND(A3120="2021-03", ISNA(MATCH(B3120, _xlfn._xlws.FILTER(B:B, A:A="2021-04"), 0))), "Left", "Ativo")</f>
        <v>Ativo</v>
      </c>
    </row>
    <row r="3121" spans="1:6" x14ac:dyDescent="0.25">
      <c r="A3121" t="s">
        <v>1531</v>
      </c>
      <c r="B3121" t="s">
        <v>219</v>
      </c>
      <c r="C3121" s="10" t="str" cm="1">
        <f t="array" ref="C3121">IF(AND(A3121="2020-12", ISNA(MATCH(B3121, _xlfn._xlws.FILTER(B:B, A:A="2021-01"), 0))), "Left", "Ativo")</f>
        <v>Ativo</v>
      </c>
      <c r="D3121" s="10" t="str" cm="1">
        <f t="array" ref="D3121">IF(AND(A3121="2021-01", ISNA(MATCH(B3121, _xlfn._xlws.FILTER(B:B, A:A="2021-02"), 0))), "Left", "Ativo")</f>
        <v>Ativo</v>
      </c>
      <c r="E3121" s="10" t="str" cm="1">
        <f t="array" ref="E3121">IF(AND(A3121="2021-02", ISNA(MATCH(B3121, _xlfn._xlws.FILTER(B:B, A:A="2021-03"), 0))), "Left", "Ativo")</f>
        <v>Ativo</v>
      </c>
      <c r="F3121" s="12" t="str" cm="1">
        <f t="array" ref="F3121">IF(AND(A3121="2021-03", ISNA(MATCH(B3121, _xlfn._xlws.FILTER(B:B, A:A="2021-04"), 0))), "Left", "Ativo")</f>
        <v>Ativo</v>
      </c>
    </row>
    <row r="3122" spans="1:6" x14ac:dyDescent="0.25">
      <c r="A3122" t="s">
        <v>1531</v>
      </c>
      <c r="B3122" t="s">
        <v>220</v>
      </c>
      <c r="C3122" s="10" t="str" cm="1">
        <f t="array" ref="C3122">IF(AND(A3122="2020-12", ISNA(MATCH(B3122, _xlfn._xlws.FILTER(B:B, A:A="2021-01"), 0))), "Left", "Ativo")</f>
        <v>Ativo</v>
      </c>
      <c r="D3122" s="10" t="str" cm="1">
        <f t="array" ref="D3122">IF(AND(A3122="2021-01", ISNA(MATCH(B3122, _xlfn._xlws.FILTER(B:B, A:A="2021-02"), 0))), "Left", "Ativo")</f>
        <v>Ativo</v>
      </c>
      <c r="E3122" s="10" t="str" cm="1">
        <f t="array" ref="E3122">IF(AND(A3122="2021-02", ISNA(MATCH(B3122, _xlfn._xlws.FILTER(B:B, A:A="2021-03"), 0))), "Left", "Ativo")</f>
        <v>Ativo</v>
      </c>
      <c r="F3122" s="12" t="str" cm="1">
        <f t="array" ref="F3122">IF(AND(A3122="2021-03", ISNA(MATCH(B3122, _xlfn._xlws.FILTER(B:B, A:A="2021-04"), 0))), "Left", "Ativo")</f>
        <v>Ativo</v>
      </c>
    </row>
    <row r="3123" spans="1:6" x14ac:dyDescent="0.25">
      <c r="A3123" t="s">
        <v>1531</v>
      </c>
      <c r="B3123" t="s">
        <v>221</v>
      </c>
      <c r="C3123" s="10" t="str" cm="1">
        <f t="array" ref="C3123">IF(AND(A3123="2020-12", ISNA(MATCH(B3123, _xlfn._xlws.FILTER(B:B, A:A="2021-01"), 0))), "Left", "Ativo")</f>
        <v>Ativo</v>
      </c>
      <c r="D3123" s="10" t="str" cm="1">
        <f t="array" ref="D3123">IF(AND(A3123="2021-01", ISNA(MATCH(B3123, _xlfn._xlws.FILTER(B:B, A:A="2021-02"), 0))), "Left", "Ativo")</f>
        <v>Ativo</v>
      </c>
      <c r="E3123" s="10" t="str" cm="1">
        <f t="array" ref="E3123">IF(AND(A3123="2021-02", ISNA(MATCH(B3123, _xlfn._xlws.FILTER(B:B, A:A="2021-03"), 0))), "Left", "Ativo")</f>
        <v>Ativo</v>
      </c>
      <c r="F3123" s="12" t="str" cm="1">
        <f t="array" ref="F3123">IF(AND(A3123="2021-03", ISNA(MATCH(B3123, _xlfn._xlws.FILTER(B:B, A:A="2021-04"), 0))), "Left", "Ativo")</f>
        <v>Ativo</v>
      </c>
    </row>
    <row r="3124" spans="1:6" x14ac:dyDescent="0.25">
      <c r="A3124" t="s">
        <v>1531</v>
      </c>
      <c r="B3124" t="s">
        <v>222</v>
      </c>
      <c r="C3124" s="10" t="str" cm="1">
        <f t="array" ref="C3124">IF(AND(A3124="2020-12", ISNA(MATCH(B3124, _xlfn._xlws.FILTER(B:B, A:A="2021-01"), 0))), "Left", "Ativo")</f>
        <v>Ativo</v>
      </c>
      <c r="D3124" s="10" t="str" cm="1">
        <f t="array" ref="D3124">IF(AND(A3124="2021-01", ISNA(MATCH(B3124, _xlfn._xlws.FILTER(B:B, A:A="2021-02"), 0))), "Left", "Ativo")</f>
        <v>Ativo</v>
      </c>
      <c r="E3124" s="10" t="str" cm="1">
        <f t="array" ref="E3124">IF(AND(A3124="2021-02", ISNA(MATCH(B3124, _xlfn._xlws.FILTER(B:B, A:A="2021-03"), 0))), "Left", "Ativo")</f>
        <v>Ativo</v>
      </c>
      <c r="F3124" s="12" t="str" cm="1">
        <f t="array" ref="F3124">IF(AND(A3124="2021-03", ISNA(MATCH(B3124, _xlfn._xlws.FILTER(B:B, A:A="2021-04"), 0))), "Left", "Ativo")</f>
        <v>Ativo</v>
      </c>
    </row>
    <row r="3125" spans="1:6" x14ac:dyDescent="0.25">
      <c r="A3125" t="s">
        <v>1531</v>
      </c>
      <c r="B3125" t="s">
        <v>223</v>
      </c>
      <c r="C3125" s="10" t="str" cm="1">
        <f t="array" ref="C3125">IF(AND(A3125="2020-12", ISNA(MATCH(B3125, _xlfn._xlws.FILTER(B:B, A:A="2021-01"), 0))), "Left", "Ativo")</f>
        <v>Ativo</v>
      </c>
      <c r="D3125" s="10" t="str" cm="1">
        <f t="array" ref="D3125">IF(AND(A3125="2021-01", ISNA(MATCH(B3125, _xlfn._xlws.FILTER(B:B, A:A="2021-02"), 0))), "Left", "Ativo")</f>
        <v>Ativo</v>
      </c>
      <c r="E3125" s="10" t="str" cm="1">
        <f t="array" ref="E3125">IF(AND(A3125="2021-02", ISNA(MATCH(B3125, _xlfn._xlws.FILTER(B:B, A:A="2021-03"), 0))), "Left", "Ativo")</f>
        <v>Ativo</v>
      </c>
      <c r="F3125" s="12" t="str" cm="1">
        <f t="array" ref="F3125">IF(AND(A3125="2021-03", ISNA(MATCH(B3125, _xlfn._xlws.FILTER(B:B, A:A="2021-04"), 0))), "Left", "Ativo")</f>
        <v>Ativo</v>
      </c>
    </row>
    <row r="3126" spans="1:6" x14ac:dyDescent="0.25">
      <c r="A3126" t="s">
        <v>1531</v>
      </c>
      <c r="B3126" t="s">
        <v>224</v>
      </c>
      <c r="C3126" s="10" t="str" cm="1">
        <f t="array" ref="C3126">IF(AND(A3126="2020-12", ISNA(MATCH(B3126, _xlfn._xlws.FILTER(B:B, A:A="2021-01"), 0))), "Left", "Ativo")</f>
        <v>Ativo</v>
      </c>
      <c r="D3126" s="10" t="str" cm="1">
        <f t="array" ref="D3126">IF(AND(A3126="2021-01", ISNA(MATCH(B3126, _xlfn._xlws.FILTER(B:B, A:A="2021-02"), 0))), "Left", "Ativo")</f>
        <v>Ativo</v>
      </c>
      <c r="E3126" s="10" t="str" cm="1">
        <f t="array" ref="E3126">IF(AND(A3126="2021-02", ISNA(MATCH(B3126, _xlfn._xlws.FILTER(B:B, A:A="2021-03"), 0))), "Left", "Ativo")</f>
        <v>Ativo</v>
      </c>
      <c r="F3126" s="12" t="str" cm="1">
        <f t="array" ref="F3126">IF(AND(A3126="2021-03", ISNA(MATCH(B3126, _xlfn._xlws.FILTER(B:B, A:A="2021-04"), 0))), "Left", "Ativo")</f>
        <v>Ativo</v>
      </c>
    </row>
    <row r="3127" spans="1:6" x14ac:dyDescent="0.25">
      <c r="A3127" t="s">
        <v>1531</v>
      </c>
      <c r="B3127" t="s">
        <v>225</v>
      </c>
      <c r="C3127" s="10" t="str" cm="1">
        <f t="array" ref="C3127">IF(AND(A3127="2020-12", ISNA(MATCH(B3127, _xlfn._xlws.FILTER(B:B, A:A="2021-01"), 0))), "Left", "Ativo")</f>
        <v>Ativo</v>
      </c>
      <c r="D3127" s="10" t="str" cm="1">
        <f t="array" ref="D3127">IF(AND(A3127="2021-01", ISNA(MATCH(B3127, _xlfn._xlws.FILTER(B:B, A:A="2021-02"), 0))), "Left", "Ativo")</f>
        <v>Ativo</v>
      </c>
      <c r="E3127" s="10" t="str" cm="1">
        <f t="array" ref="E3127">IF(AND(A3127="2021-02", ISNA(MATCH(B3127, _xlfn._xlws.FILTER(B:B, A:A="2021-03"), 0))), "Left", "Ativo")</f>
        <v>Ativo</v>
      </c>
      <c r="F3127" s="12" t="str" cm="1">
        <f t="array" ref="F3127">IF(AND(A3127="2021-03", ISNA(MATCH(B3127, _xlfn._xlws.FILTER(B:B, A:A="2021-04"), 0))), "Left", "Ativo")</f>
        <v>Left</v>
      </c>
    </row>
    <row r="3128" spans="1:6" x14ac:dyDescent="0.25">
      <c r="A3128" t="s">
        <v>1531</v>
      </c>
      <c r="B3128" t="s">
        <v>226</v>
      </c>
      <c r="C3128" s="10" t="str" cm="1">
        <f t="array" ref="C3128">IF(AND(A3128="2020-12", ISNA(MATCH(B3128, _xlfn._xlws.FILTER(B:B, A:A="2021-01"), 0))), "Left", "Ativo")</f>
        <v>Ativo</v>
      </c>
      <c r="D3128" s="10" t="str" cm="1">
        <f t="array" ref="D3128">IF(AND(A3128="2021-01", ISNA(MATCH(B3128, _xlfn._xlws.FILTER(B:B, A:A="2021-02"), 0))), "Left", "Ativo")</f>
        <v>Ativo</v>
      </c>
      <c r="E3128" s="10" t="str" cm="1">
        <f t="array" ref="E3128">IF(AND(A3128="2021-02", ISNA(MATCH(B3128, _xlfn._xlws.FILTER(B:B, A:A="2021-03"), 0))), "Left", "Ativo")</f>
        <v>Ativo</v>
      </c>
      <c r="F3128" s="12" t="str" cm="1">
        <f t="array" ref="F3128">IF(AND(A3128="2021-03", ISNA(MATCH(B3128, _xlfn._xlws.FILTER(B:B, A:A="2021-04"), 0))), "Left", "Ativo")</f>
        <v>Left</v>
      </c>
    </row>
    <row r="3129" spans="1:6" x14ac:dyDescent="0.25">
      <c r="A3129" t="s">
        <v>1531</v>
      </c>
      <c r="B3129" t="s">
        <v>227</v>
      </c>
      <c r="C3129" s="10" t="str" cm="1">
        <f t="array" ref="C3129">IF(AND(A3129="2020-12", ISNA(MATCH(B3129, _xlfn._xlws.FILTER(B:B, A:A="2021-01"), 0))), "Left", "Ativo")</f>
        <v>Ativo</v>
      </c>
      <c r="D3129" s="10" t="str" cm="1">
        <f t="array" ref="D3129">IF(AND(A3129="2021-01", ISNA(MATCH(B3129, _xlfn._xlws.FILTER(B:B, A:A="2021-02"), 0))), "Left", "Ativo")</f>
        <v>Ativo</v>
      </c>
      <c r="E3129" s="10" t="str" cm="1">
        <f t="array" ref="E3129">IF(AND(A3129="2021-02", ISNA(MATCH(B3129, _xlfn._xlws.FILTER(B:B, A:A="2021-03"), 0))), "Left", "Ativo")</f>
        <v>Ativo</v>
      </c>
      <c r="F3129" s="12" t="str" cm="1">
        <f t="array" ref="F3129">IF(AND(A3129="2021-03", ISNA(MATCH(B3129, _xlfn._xlws.FILTER(B:B, A:A="2021-04"), 0))), "Left", "Ativo")</f>
        <v>Left</v>
      </c>
    </row>
    <row r="3130" spans="1:6" x14ac:dyDescent="0.25">
      <c r="A3130" t="s">
        <v>1531</v>
      </c>
      <c r="B3130" t="s">
        <v>228</v>
      </c>
      <c r="C3130" s="10" t="str" cm="1">
        <f t="array" ref="C3130">IF(AND(A3130="2020-12", ISNA(MATCH(B3130, _xlfn._xlws.FILTER(B:B, A:A="2021-01"), 0))), "Left", "Ativo")</f>
        <v>Ativo</v>
      </c>
      <c r="D3130" s="10" t="str" cm="1">
        <f t="array" ref="D3130">IF(AND(A3130="2021-01", ISNA(MATCH(B3130, _xlfn._xlws.FILTER(B:B, A:A="2021-02"), 0))), "Left", "Ativo")</f>
        <v>Ativo</v>
      </c>
      <c r="E3130" s="10" t="str" cm="1">
        <f t="array" ref="E3130">IF(AND(A3130="2021-02", ISNA(MATCH(B3130, _xlfn._xlws.FILTER(B:B, A:A="2021-03"), 0))), "Left", "Ativo")</f>
        <v>Ativo</v>
      </c>
      <c r="F3130" s="12" t="str" cm="1">
        <f t="array" ref="F3130">IF(AND(A3130="2021-03", ISNA(MATCH(B3130, _xlfn._xlws.FILTER(B:B, A:A="2021-04"), 0))), "Left", "Ativo")</f>
        <v>Left</v>
      </c>
    </row>
    <row r="3131" spans="1:6" x14ac:dyDescent="0.25">
      <c r="A3131" t="s">
        <v>1531</v>
      </c>
      <c r="B3131" t="s">
        <v>229</v>
      </c>
      <c r="C3131" s="10" t="str" cm="1">
        <f t="array" ref="C3131">IF(AND(A3131="2020-12", ISNA(MATCH(B3131, _xlfn._xlws.FILTER(B:B, A:A="2021-01"), 0))), "Left", "Ativo")</f>
        <v>Ativo</v>
      </c>
      <c r="D3131" s="10" t="str" cm="1">
        <f t="array" ref="D3131">IF(AND(A3131="2021-01", ISNA(MATCH(B3131, _xlfn._xlws.FILTER(B:B, A:A="2021-02"), 0))), "Left", "Ativo")</f>
        <v>Ativo</v>
      </c>
      <c r="E3131" s="10" t="str" cm="1">
        <f t="array" ref="E3131">IF(AND(A3131="2021-02", ISNA(MATCH(B3131, _xlfn._xlws.FILTER(B:B, A:A="2021-03"), 0))), "Left", "Ativo")</f>
        <v>Ativo</v>
      </c>
      <c r="F3131" s="12" t="str" cm="1">
        <f t="array" ref="F3131">IF(AND(A3131="2021-03", ISNA(MATCH(B3131, _xlfn._xlws.FILTER(B:B, A:A="2021-04"), 0))), "Left", "Ativo")</f>
        <v>Left</v>
      </c>
    </row>
    <row r="3132" spans="1:6" x14ac:dyDescent="0.25">
      <c r="A3132" t="s">
        <v>1531</v>
      </c>
      <c r="B3132" t="s">
        <v>230</v>
      </c>
      <c r="C3132" s="10" t="str" cm="1">
        <f t="array" ref="C3132">IF(AND(A3132="2020-12", ISNA(MATCH(B3132, _xlfn._xlws.FILTER(B:B, A:A="2021-01"), 0))), "Left", "Ativo")</f>
        <v>Ativo</v>
      </c>
      <c r="D3132" s="10" t="str" cm="1">
        <f t="array" ref="D3132">IF(AND(A3132="2021-01", ISNA(MATCH(B3132, _xlfn._xlws.FILTER(B:B, A:A="2021-02"), 0))), "Left", "Ativo")</f>
        <v>Ativo</v>
      </c>
      <c r="E3132" s="10" t="str" cm="1">
        <f t="array" ref="E3132">IF(AND(A3132="2021-02", ISNA(MATCH(B3132, _xlfn._xlws.FILTER(B:B, A:A="2021-03"), 0))), "Left", "Ativo")</f>
        <v>Ativo</v>
      </c>
      <c r="F3132" s="12" t="str" cm="1">
        <f t="array" ref="F3132">IF(AND(A3132="2021-03", ISNA(MATCH(B3132, _xlfn._xlws.FILTER(B:B, A:A="2021-04"), 0))), "Left", "Ativo")</f>
        <v>Ativo</v>
      </c>
    </row>
    <row r="3133" spans="1:6" x14ac:dyDescent="0.25">
      <c r="A3133" t="s">
        <v>1531</v>
      </c>
      <c r="B3133" t="s">
        <v>231</v>
      </c>
      <c r="C3133" s="10" t="str" cm="1">
        <f t="array" ref="C3133">IF(AND(A3133="2020-12", ISNA(MATCH(B3133, _xlfn._xlws.FILTER(B:B, A:A="2021-01"), 0))), "Left", "Ativo")</f>
        <v>Ativo</v>
      </c>
      <c r="D3133" s="10" t="str" cm="1">
        <f t="array" ref="D3133">IF(AND(A3133="2021-01", ISNA(MATCH(B3133, _xlfn._xlws.FILTER(B:B, A:A="2021-02"), 0))), "Left", "Ativo")</f>
        <v>Ativo</v>
      </c>
      <c r="E3133" s="10" t="str" cm="1">
        <f t="array" ref="E3133">IF(AND(A3133="2021-02", ISNA(MATCH(B3133, _xlfn._xlws.FILTER(B:B, A:A="2021-03"), 0))), "Left", "Ativo")</f>
        <v>Ativo</v>
      </c>
      <c r="F3133" s="12" t="str" cm="1">
        <f t="array" ref="F3133">IF(AND(A3133="2021-03", ISNA(MATCH(B3133, _xlfn._xlws.FILTER(B:B, A:A="2021-04"), 0))), "Left", "Ativo")</f>
        <v>Ativo</v>
      </c>
    </row>
    <row r="3134" spans="1:6" x14ac:dyDescent="0.25">
      <c r="A3134" t="s">
        <v>1531</v>
      </c>
      <c r="B3134" t="s">
        <v>232</v>
      </c>
      <c r="C3134" s="10" t="str" cm="1">
        <f t="array" ref="C3134">IF(AND(A3134="2020-12", ISNA(MATCH(B3134, _xlfn._xlws.FILTER(B:B, A:A="2021-01"), 0))), "Left", "Ativo")</f>
        <v>Ativo</v>
      </c>
      <c r="D3134" s="10" t="str" cm="1">
        <f t="array" ref="D3134">IF(AND(A3134="2021-01", ISNA(MATCH(B3134, _xlfn._xlws.FILTER(B:B, A:A="2021-02"), 0))), "Left", "Ativo")</f>
        <v>Ativo</v>
      </c>
      <c r="E3134" s="10" t="str" cm="1">
        <f t="array" ref="E3134">IF(AND(A3134="2021-02", ISNA(MATCH(B3134, _xlfn._xlws.FILTER(B:B, A:A="2021-03"), 0))), "Left", "Ativo")</f>
        <v>Ativo</v>
      </c>
      <c r="F3134" s="12" t="str" cm="1">
        <f t="array" ref="F3134">IF(AND(A3134="2021-03", ISNA(MATCH(B3134, _xlfn._xlws.FILTER(B:B, A:A="2021-04"), 0))), "Left", "Ativo")</f>
        <v>Ativo</v>
      </c>
    </row>
    <row r="3135" spans="1:6" x14ac:dyDescent="0.25">
      <c r="A3135" t="s">
        <v>1531</v>
      </c>
      <c r="B3135" t="s">
        <v>233</v>
      </c>
      <c r="C3135" s="10" t="str" cm="1">
        <f t="array" ref="C3135">IF(AND(A3135="2020-12", ISNA(MATCH(B3135, _xlfn._xlws.FILTER(B:B, A:A="2021-01"), 0))), "Left", "Ativo")</f>
        <v>Ativo</v>
      </c>
      <c r="D3135" s="10" t="str" cm="1">
        <f t="array" ref="D3135">IF(AND(A3135="2021-01", ISNA(MATCH(B3135, _xlfn._xlws.FILTER(B:B, A:A="2021-02"), 0))), "Left", "Ativo")</f>
        <v>Ativo</v>
      </c>
      <c r="E3135" s="10" t="str" cm="1">
        <f t="array" ref="E3135">IF(AND(A3135="2021-02", ISNA(MATCH(B3135, _xlfn._xlws.FILTER(B:B, A:A="2021-03"), 0))), "Left", "Ativo")</f>
        <v>Ativo</v>
      </c>
      <c r="F3135" s="12" t="str" cm="1">
        <f t="array" ref="F3135">IF(AND(A3135="2021-03", ISNA(MATCH(B3135, _xlfn._xlws.FILTER(B:B, A:A="2021-04"), 0))), "Left", "Ativo")</f>
        <v>Ativo</v>
      </c>
    </row>
    <row r="3136" spans="1:6" x14ac:dyDescent="0.25">
      <c r="A3136" t="s">
        <v>1531</v>
      </c>
      <c r="B3136" t="s">
        <v>1105</v>
      </c>
      <c r="C3136" s="10" t="str" cm="1">
        <f t="array" ref="C3136">IF(AND(A3136="2020-12", ISNA(MATCH(B3136, _xlfn._xlws.FILTER(B:B, A:A="2021-01"), 0))), "Left", "Ativo")</f>
        <v>Ativo</v>
      </c>
      <c r="D3136" s="10" t="str" cm="1">
        <f t="array" ref="D3136">IF(AND(A3136="2021-01", ISNA(MATCH(B3136, _xlfn._xlws.FILTER(B:B, A:A="2021-02"), 0))), "Left", "Ativo")</f>
        <v>Ativo</v>
      </c>
      <c r="E3136" s="10" t="str" cm="1">
        <f t="array" ref="E3136">IF(AND(A3136="2021-02", ISNA(MATCH(B3136, _xlfn._xlws.FILTER(B:B, A:A="2021-03"), 0))), "Left", "Ativo")</f>
        <v>Ativo</v>
      </c>
      <c r="F3136" s="12" t="str" cm="1">
        <f t="array" ref="F3136">IF(AND(A3136="2021-03", ISNA(MATCH(B3136, _xlfn._xlws.FILTER(B:B, A:A="2021-04"), 0))), "Left", "Ativo")</f>
        <v>Left</v>
      </c>
    </row>
    <row r="3137" spans="1:6" x14ac:dyDescent="0.25">
      <c r="A3137" t="s">
        <v>1531</v>
      </c>
      <c r="B3137" t="s">
        <v>235</v>
      </c>
      <c r="C3137" s="10" t="str" cm="1">
        <f t="array" ref="C3137">IF(AND(A3137="2020-12", ISNA(MATCH(B3137, _xlfn._xlws.FILTER(B:B, A:A="2021-01"), 0))), "Left", "Ativo")</f>
        <v>Ativo</v>
      </c>
      <c r="D3137" s="10" t="str" cm="1">
        <f t="array" ref="D3137">IF(AND(A3137="2021-01", ISNA(MATCH(B3137, _xlfn._xlws.FILTER(B:B, A:A="2021-02"), 0))), "Left", "Ativo")</f>
        <v>Ativo</v>
      </c>
      <c r="E3137" s="10" t="str" cm="1">
        <f t="array" ref="E3137">IF(AND(A3137="2021-02", ISNA(MATCH(B3137, _xlfn._xlws.FILTER(B:B, A:A="2021-03"), 0))), "Left", "Ativo")</f>
        <v>Ativo</v>
      </c>
      <c r="F3137" s="12" t="str" cm="1">
        <f t="array" ref="F3137">IF(AND(A3137="2021-03", ISNA(MATCH(B3137, _xlfn._xlws.FILTER(B:B, A:A="2021-04"), 0))), "Left", "Ativo")</f>
        <v>Ativo</v>
      </c>
    </row>
    <row r="3138" spans="1:6" x14ac:dyDescent="0.25">
      <c r="A3138" t="s">
        <v>1531</v>
      </c>
      <c r="B3138" t="s">
        <v>236</v>
      </c>
      <c r="C3138" s="10" t="str" cm="1">
        <f t="array" ref="C3138">IF(AND(A3138="2020-12", ISNA(MATCH(B3138, _xlfn._xlws.FILTER(B:B, A:A="2021-01"), 0))), "Left", "Ativo")</f>
        <v>Ativo</v>
      </c>
      <c r="D3138" s="10" t="str" cm="1">
        <f t="array" ref="D3138">IF(AND(A3138="2021-01", ISNA(MATCH(B3138, _xlfn._xlws.FILTER(B:B, A:A="2021-02"), 0))), "Left", "Ativo")</f>
        <v>Ativo</v>
      </c>
      <c r="E3138" s="10" t="str" cm="1">
        <f t="array" ref="E3138">IF(AND(A3138="2021-02", ISNA(MATCH(B3138, _xlfn._xlws.FILTER(B:B, A:A="2021-03"), 0))), "Left", "Ativo")</f>
        <v>Ativo</v>
      </c>
      <c r="F3138" s="12" t="str" cm="1">
        <f t="array" ref="F3138">IF(AND(A3138="2021-03", ISNA(MATCH(B3138, _xlfn._xlws.FILTER(B:B, A:A="2021-04"), 0))), "Left", "Ativo")</f>
        <v>Ativo</v>
      </c>
    </row>
    <row r="3139" spans="1:6" x14ac:dyDescent="0.25">
      <c r="A3139" t="s">
        <v>1531</v>
      </c>
      <c r="B3139" t="s">
        <v>239</v>
      </c>
      <c r="C3139" s="10" t="str" cm="1">
        <f t="array" ref="C3139">IF(AND(A3139="2020-12", ISNA(MATCH(B3139, _xlfn._xlws.FILTER(B:B, A:A="2021-01"), 0))), "Left", "Ativo")</f>
        <v>Ativo</v>
      </c>
      <c r="D3139" s="10" t="str" cm="1">
        <f t="array" ref="D3139">IF(AND(A3139="2021-01", ISNA(MATCH(B3139, _xlfn._xlws.FILTER(B:B, A:A="2021-02"), 0))), "Left", "Ativo")</f>
        <v>Ativo</v>
      </c>
      <c r="E3139" s="10" t="str" cm="1">
        <f t="array" ref="E3139">IF(AND(A3139="2021-02", ISNA(MATCH(B3139, _xlfn._xlws.FILTER(B:B, A:A="2021-03"), 0))), "Left", "Ativo")</f>
        <v>Ativo</v>
      </c>
      <c r="F3139" s="12" t="str" cm="1">
        <f t="array" ref="F3139">IF(AND(A3139="2021-03", ISNA(MATCH(B3139, _xlfn._xlws.FILTER(B:B, A:A="2021-04"), 0))), "Left", "Ativo")</f>
        <v>Ativo</v>
      </c>
    </row>
    <row r="3140" spans="1:6" x14ac:dyDescent="0.25">
      <c r="A3140" t="s">
        <v>1531</v>
      </c>
      <c r="B3140" t="s">
        <v>240</v>
      </c>
      <c r="C3140" s="10" t="str" cm="1">
        <f t="array" ref="C3140">IF(AND(A3140="2020-12", ISNA(MATCH(B3140, _xlfn._xlws.FILTER(B:B, A:A="2021-01"), 0))), "Left", "Ativo")</f>
        <v>Ativo</v>
      </c>
      <c r="D3140" s="10" t="str" cm="1">
        <f t="array" ref="D3140">IF(AND(A3140="2021-01", ISNA(MATCH(B3140, _xlfn._xlws.FILTER(B:B, A:A="2021-02"), 0))), "Left", "Ativo")</f>
        <v>Ativo</v>
      </c>
      <c r="E3140" s="10" t="str" cm="1">
        <f t="array" ref="E3140">IF(AND(A3140="2021-02", ISNA(MATCH(B3140, _xlfn._xlws.FILTER(B:B, A:A="2021-03"), 0))), "Left", "Ativo")</f>
        <v>Ativo</v>
      </c>
      <c r="F3140" s="12" t="str" cm="1">
        <f t="array" ref="F3140">IF(AND(A3140="2021-03", ISNA(MATCH(B3140, _xlfn._xlws.FILTER(B:B, A:A="2021-04"), 0))), "Left", "Ativo")</f>
        <v>Ativo</v>
      </c>
    </row>
    <row r="3141" spans="1:6" x14ac:dyDescent="0.25">
      <c r="A3141" t="s">
        <v>1531</v>
      </c>
      <c r="B3141" t="s">
        <v>241</v>
      </c>
      <c r="C3141" s="10" t="str" cm="1">
        <f t="array" ref="C3141">IF(AND(A3141="2020-12", ISNA(MATCH(B3141, _xlfn._xlws.FILTER(B:B, A:A="2021-01"), 0))), "Left", "Ativo")</f>
        <v>Ativo</v>
      </c>
      <c r="D3141" s="10" t="str" cm="1">
        <f t="array" ref="D3141">IF(AND(A3141="2021-01", ISNA(MATCH(B3141, _xlfn._xlws.FILTER(B:B, A:A="2021-02"), 0))), "Left", "Ativo")</f>
        <v>Ativo</v>
      </c>
      <c r="E3141" s="10" t="str" cm="1">
        <f t="array" ref="E3141">IF(AND(A3141="2021-02", ISNA(MATCH(B3141, _xlfn._xlws.FILTER(B:B, A:A="2021-03"), 0))), "Left", "Ativo")</f>
        <v>Ativo</v>
      </c>
      <c r="F3141" s="12" t="str" cm="1">
        <f t="array" ref="F3141">IF(AND(A3141="2021-03", ISNA(MATCH(B3141, _xlfn._xlws.FILTER(B:B, A:A="2021-04"), 0))), "Left", "Ativo")</f>
        <v>Ativo</v>
      </c>
    </row>
    <row r="3142" spans="1:6" x14ac:dyDescent="0.25">
      <c r="A3142" t="s">
        <v>1531</v>
      </c>
      <c r="B3142" t="s">
        <v>242</v>
      </c>
      <c r="C3142" s="10" t="str" cm="1">
        <f t="array" ref="C3142">IF(AND(A3142="2020-12", ISNA(MATCH(B3142, _xlfn._xlws.FILTER(B:B, A:A="2021-01"), 0))), "Left", "Ativo")</f>
        <v>Ativo</v>
      </c>
      <c r="D3142" s="10" t="str" cm="1">
        <f t="array" ref="D3142">IF(AND(A3142="2021-01", ISNA(MATCH(B3142, _xlfn._xlws.FILTER(B:B, A:A="2021-02"), 0))), "Left", "Ativo")</f>
        <v>Ativo</v>
      </c>
      <c r="E3142" s="10" t="str" cm="1">
        <f t="array" ref="E3142">IF(AND(A3142="2021-02", ISNA(MATCH(B3142, _xlfn._xlws.FILTER(B:B, A:A="2021-03"), 0))), "Left", "Ativo")</f>
        <v>Ativo</v>
      </c>
      <c r="F3142" s="12" t="str" cm="1">
        <f t="array" ref="F3142">IF(AND(A3142="2021-03", ISNA(MATCH(B3142, _xlfn._xlws.FILTER(B:B, A:A="2021-04"), 0))), "Left", "Ativo")</f>
        <v>Ativo</v>
      </c>
    </row>
    <row r="3143" spans="1:6" x14ac:dyDescent="0.25">
      <c r="A3143" t="s">
        <v>1531</v>
      </c>
      <c r="B3143" t="s">
        <v>243</v>
      </c>
      <c r="C3143" s="10" t="str" cm="1">
        <f t="array" ref="C3143">IF(AND(A3143="2020-12", ISNA(MATCH(B3143, _xlfn._xlws.FILTER(B:B, A:A="2021-01"), 0))), "Left", "Ativo")</f>
        <v>Ativo</v>
      </c>
      <c r="D3143" s="10" t="str" cm="1">
        <f t="array" ref="D3143">IF(AND(A3143="2021-01", ISNA(MATCH(B3143, _xlfn._xlws.FILTER(B:B, A:A="2021-02"), 0))), "Left", "Ativo")</f>
        <v>Ativo</v>
      </c>
      <c r="E3143" s="10" t="str" cm="1">
        <f t="array" ref="E3143">IF(AND(A3143="2021-02", ISNA(MATCH(B3143, _xlfn._xlws.FILTER(B:B, A:A="2021-03"), 0))), "Left", "Ativo")</f>
        <v>Ativo</v>
      </c>
      <c r="F3143" s="12" t="str" cm="1">
        <f t="array" ref="F3143">IF(AND(A3143="2021-03", ISNA(MATCH(B3143, _xlfn._xlws.FILTER(B:B, A:A="2021-04"), 0))), "Left", "Ativo")</f>
        <v>Ativo</v>
      </c>
    </row>
    <row r="3144" spans="1:6" x14ac:dyDescent="0.25">
      <c r="A3144" t="s">
        <v>1531</v>
      </c>
      <c r="B3144" t="s">
        <v>244</v>
      </c>
      <c r="C3144" s="10" t="str" cm="1">
        <f t="array" ref="C3144">IF(AND(A3144="2020-12", ISNA(MATCH(B3144, _xlfn._xlws.FILTER(B:B, A:A="2021-01"), 0))), "Left", "Ativo")</f>
        <v>Ativo</v>
      </c>
      <c r="D3144" s="10" t="str" cm="1">
        <f t="array" ref="D3144">IF(AND(A3144="2021-01", ISNA(MATCH(B3144, _xlfn._xlws.FILTER(B:B, A:A="2021-02"), 0))), "Left", "Ativo")</f>
        <v>Ativo</v>
      </c>
      <c r="E3144" s="10" t="str" cm="1">
        <f t="array" ref="E3144">IF(AND(A3144="2021-02", ISNA(MATCH(B3144, _xlfn._xlws.FILTER(B:B, A:A="2021-03"), 0))), "Left", "Ativo")</f>
        <v>Ativo</v>
      </c>
      <c r="F3144" s="12" t="str" cm="1">
        <f t="array" ref="F3144">IF(AND(A3144="2021-03", ISNA(MATCH(B3144, _xlfn._xlws.FILTER(B:B, A:A="2021-04"), 0))), "Left", "Ativo")</f>
        <v>Ativo</v>
      </c>
    </row>
    <row r="3145" spans="1:6" x14ac:dyDescent="0.25">
      <c r="A3145" t="s">
        <v>1531</v>
      </c>
      <c r="B3145" t="s">
        <v>245</v>
      </c>
      <c r="C3145" s="10" t="str" cm="1">
        <f t="array" ref="C3145">IF(AND(A3145="2020-12", ISNA(MATCH(B3145, _xlfn._xlws.FILTER(B:B, A:A="2021-01"), 0))), "Left", "Ativo")</f>
        <v>Ativo</v>
      </c>
      <c r="D3145" s="10" t="str" cm="1">
        <f t="array" ref="D3145">IF(AND(A3145="2021-01", ISNA(MATCH(B3145, _xlfn._xlws.FILTER(B:B, A:A="2021-02"), 0))), "Left", "Ativo")</f>
        <v>Ativo</v>
      </c>
      <c r="E3145" s="10" t="str" cm="1">
        <f t="array" ref="E3145">IF(AND(A3145="2021-02", ISNA(MATCH(B3145, _xlfn._xlws.FILTER(B:B, A:A="2021-03"), 0))), "Left", "Ativo")</f>
        <v>Ativo</v>
      </c>
      <c r="F3145" s="12" t="str" cm="1">
        <f t="array" ref="F3145">IF(AND(A3145="2021-03", ISNA(MATCH(B3145, _xlfn._xlws.FILTER(B:B, A:A="2021-04"), 0))), "Left", "Ativo")</f>
        <v>Ativo</v>
      </c>
    </row>
    <row r="3146" spans="1:6" x14ac:dyDescent="0.25">
      <c r="A3146" t="s">
        <v>1531</v>
      </c>
      <c r="B3146" t="s">
        <v>246</v>
      </c>
      <c r="C3146" s="10" t="str" cm="1">
        <f t="array" ref="C3146">IF(AND(A3146="2020-12", ISNA(MATCH(B3146, _xlfn._xlws.FILTER(B:B, A:A="2021-01"), 0))), "Left", "Ativo")</f>
        <v>Ativo</v>
      </c>
      <c r="D3146" s="10" t="str" cm="1">
        <f t="array" ref="D3146">IF(AND(A3146="2021-01", ISNA(MATCH(B3146, _xlfn._xlws.FILTER(B:B, A:A="2021-02"), 0))), "Left", "Ativo")</f>
        <v>Ativo</v>
      </c>
      <c r="E3146" s="10" t="str" cm="1">
        <f t="array" ref="E3146">IF(AND(A3146="2021-02", ISNA(MATCH(B3146, _xlfn._xlws.FILTER(B:B, A:A="2021-03"), 0))), "Left", "Ativo")</f>
        <v>Ativo</v>
      </c>
      <c r="F3146" s="12" t="str" cm="1">
        <f t="array" ref="F3146">IF(AND(A3146="2021-03", ISNA(MATCH(B3146, _xlfn._xlws.FILTER(B:B, A:A="2021-04"), 0))), "Left", "Ativo")</f>
        <v>Ativo</v>
      </c>
    </row>
    <row r="3147" spans="1:6" x14ac:dyDescent="0.25">
      <c r="A3147" t="s">
        <v>1531</v>
      </c>
      <c r="B3147" t="s">
        <v>247</v>
      </c>
      <c r="C3147" s="10" t="str" cm="1">
        <f t="array" ref="C3147">IF(AND(A3147="2020-12", ISNA(MATCH(B3147, _xlfn._xlws.FILTER(B:B, A:A="2021-01"), 0))), "Left", "Ativo")</f>
        <v>Ativo</v>
      </c>
      <c r="D3147" s="10" t="str" cm="1">
        <f t="array" ref="D3147">IF(AND(A3147="2021-01", ISNA(MATCH(B3147, _xlfn._xlws.FILTER(B:B, A:A="2021-02"), 0))), "Left", "Ativo")</f>
        <v>Ativo</v>
      </c>
      <c r="E3147" s="10" t="str" cm="1">
        <f t="array" ref="E3147">IF(AND(A3147="2021-02", ISNA(MATCH(B3147, _xlfn._xlws.FILTER(B:B, A:A="2021-03"), 0))), "Left", "Ativo")</f>
        <v>Ativo</v>
      </c>
      <c r="F3147" s="12" t="str" cm="1">
        <f t="array" ref="F3147">IF(AND(A3147="2021-03", ISNA(MATCH(B3147, _xlfn._xlws.FILTER(B:B, A:A="2021-04"), 0))), "Left", "Ativo")</f>
        <v>Ativo</v>
      </c>
    </row>
    <row r="3148" spans="1:6" x14ac:dyDescent="0.25">
      <c r="A3148" t="s">
        <v>1531</v>
      </c>
      <c r="B3148" t="s">
        <v>248</v>
      </c>
      <c r="C3148" s="10" t="str" cm="1">
        <f t="array" ref="C3148">IF(AND(A3148="2020-12", ISNA(MATCH(B3148, _xlfn._xlws.FILTER(B:B, A:A="2021-01"), 0))), "Left", "Ativo")</f>
        <v>Ativo</v>
      </c>
      <c r="D3148" s="10" t="str" cm="1">
        <f t="array" ref="D3148">IF(AND(A3148="2021-01", ISNA(MATCH(B3148, _xlfn._xlws.FILTER(B:B, A:A="2021-02"), 0))), "Left", "Ativo")</f>
        <v>Ativo</v>
      </c>
      <c r="E3148" s="10" t="str" cm="1">
        <f t="array" ref="E3148">IF(AND(A3148="2021-02", ISNA(MATCH(B3148, _xlfn._xlws.FILTER(B:B, A:A="2021-03"), 0))), "Left", "Ativo")</f>
        <v>Ativo</v>
      </c>
      <c r="F3148" s="12" t="str" cm="1">
        <f t="array" ref="F3148">IF(AND(A3148="2021-03", ISNA(MATCH(B3148, _xlfn._xlws.FILTER(B:B, A:A="2021-04"), 0))), "Left", "Ativo")</f>
        <v>Ativo</v>
      </c>
    </row>
    <row r="3149" spans="1:6" x14ac:dyDescent="0.25">
      <c r="A3149" t="s">
        <v>1531</v>
      </c>
      <c r="B3149" t="s">
        <v>249</v>
      </c>
      <c r="C3149" s="10" t="str" cm="1">
        <f t="array" ref="C3149">IF(AND(A3149="2020-12", ISNA(MATCH(B3149, _xlfn._xlws.FILTER(B:B, A:A="2021-01"), 0))), "Left", "Ativo")</f>
        <v>Ativo</v>
      </c>
      <c r="D3149" s="10" t="str" cm="1">
        <f t="array" ref="D3149">IF(AND(A3149="2021-01", ISNA(MATCH(B3149, _xlfn._xlws.FILTER(B:B, A:A="2021-02"), 0))), "Left", "Ativo")</f>
        <v>Ativo</v>
      </c>
      <c r="E3149" s="10" t="str" cm="1">
        <f t="array" ref="E3149">IF(AND(A3149="2021-02", ISNA(MATCH(B3149, _xlfn._xlws.FILTER(B:B, A:A="2021-03"), 0))), "Left", "Ativo")</f>
        <v>Ativo</v>
      </c>
      <c r="F3149" s="12" t="str" cm="1">
        <f t="array" ref="F3149">IF(AND(A3149="2021-03", ISNA(MATCH(B3149, _xlfn._xlws.FILTER(B:B, A:A="2021-04"), 0))), "Left", "Ativo")</f>
        <v>Ativo</v>
      </c>
    </row>
    <row r="3150" spans="1:6" x14ac:dyDescent="0.25">
      <c r="A3150" t="s">
        <v>1531</v>
      </c>
      <c r="B3150" t="s">
        <v>250</v>
      </c>
      <c r="C3150" s="10" t="str" cm="1">
        <f t="array" ref="C3150">IF(AND(A3150="2020-12", ISNA(MATCH(B3150, _xlfn._xlws.FILTER(B:B, A:A="2021-01"), 0))), "Left", "Ativo")</f>
        <v>Ativo</v>
      </c>
      <c r="D3150" s="10" t="str" cm="1">
        <f t="array" ref="D3150">IF(AND(A3150="2021-01", ISNA(MATCH(B3150, _xlfn._xlws.FILTER(B:B, A:A="2021-02"), 0))), "Left", "Ativo")</f>
        <v>Ativo</v>
      </c>
      <c r="E3150" s="10" t="str" cm="1">
        <f t="array" ref="E3150">IF(AND(A3150="2021-02", ISNA(MATCH(B3150, _xlfn._xlws.FILTER(B:B, A:A="2021-03"), 0))), "Left", "Ativo")</f>
        <v>Ativo</v>
      </c>
      <c r="F3150" s="12" t="str" cm="1">
        <f t="array" ref="F3150">IF(AND(A3150="2021-03", ISNA(MATCH(B3150, _xlfn._xlws.FILTER(B:B, A:A="2021-04"), 0))), "Left", "Ativo")</f>
        <v>Ativo</v>
      </c>
    </row>
    <row r="3151" spans="1:6" x14ac:dyDescent="0.25">
      <c r="A3151" t="s">
        <v>1531</v>
      </c>
      <c r="B3151" t="s">
        <v>251</v>
      </c>
      <c r="C3151" s="10" t="str" cm="1">
        <f t="array" ref="C3151">IF(AND(A3151="2020-12", ISNA(MATCH(B3151, _xlfn._xlws.FILTER(B:B, A:A="2021-01"), 0))), "Left", "Ativo")</f>
        <v>Ativo</v>
      </c>
      <c r="D3151" s="10" t="str" cm="1">
        <f t="array" ref="D3151">IF(AND(A3151="2021-01", ISNA(MATCH(B3151, _xlfn._xlws.FILTER(B:B, A:A="2021-02"), 0))), "Left", "Ativo")</f>
        <v>Ativo</v>
      </c>
      <c r="E3151" s="10" t="str" cm="1">
        <f t="array" ref="E3151">IF(AND(A3151="2021-02", ISNA(MATCH(B3151, _xlfn._xlws.FILTER(B:B, A:A="2021-03"), 0))), "Left", "Ativo")</f>
        <v>Ativo</v>
      </c>
      <c r="F3151" s="12" t="str" cm="1">
        <f t="array" ref="F3151">IF(AND(A3151="2021-03", ISNA(MATCH(B3151, _xlfn._xlws.FILTER(B:B, A:A="2021-04"), 0))), "Left", "Ativo")</f>
        <v>Ativo</v>
      </c>
    </row>
    <row r="3152" spans="1:6" x14ac:dyDescent="0.25">
      <c r="A3152" t="s">
        <v>1531</v>
      </c>
      <c r="B3152" t="s">
        <v>1106</v>
      </c>
      <c r="C3152" s="10" t="str" cm="1">
        <f t="array" ref="C3152">IF(AND(A3152="2020-12", ISNA(MATCH(B3152, _xlfn._xlws.FILTER(B:B, A:A="2021-01"), 0))), "Left", "Ativo")</f>
        <v>Ativo</v>
      </c>
      <c r="D3152" s="10" t="str" cm="1">
        <f t="array" ref="D3152">IF(AND(A3152="2021-01", ISNA(MATCH(B3152, _xlfn._xlws.FILTER(B:B, A:A="2021-02"), 0))), "Left", "Ativo")</f>
        <v>Ativo</v>
      </c>
      <c r="E3152" s="10" t="str" cm="1">
        <f t="array" ref="E3152">IF(AND(A3152="2021-02", ISNA(MATCH(B3152, _xlfn._xlws.FILTER(B:B, A:A="2021-03"), 0))), "Left", "Ativo")</f>
        <v>Ativo</v>
      </c>
      <c r="F3152" s="12" t="str" cm="1">
        <f t="array" ref="F3152">IF(AND(A3152="2021-03", ISNA(MATCH(B3152, _xlfn._xlws.FILTER(B:B, A:A="2021-04"), 0))), "Left", "Ativo")</f>
        <v>Left</v>
      </c>
    </row>
    <row r="3153" spans="1:6" x14ac:dyDescent="0.25">
      <c r="A3153" t="s">
        <v>1531</v>
      </c>
      <c r="B3153" t="s">
        <v>253</v>
      </c>
      <c r="C3153" s="10" t="str" cm="1">
        <f t="array" ref="C3153">IF(AND(A3153="2020-12", ISNA(MATCH(B3153, _xlfn._xlws.FILTER(B:B, A:A="2021-01"), 0))), "Left", "Ativo")</f>
        <v>Ativo</v>
      </c>
      <c r="D3153" s="10" t="str" cm="1">
        <f t="array" ref="D3153">IF(AND(A3153="2021-01", ISNA(MATCH(B3153, _xlfn._xlws.FILTER(B:B, A:A="2021-02"), 0))), "Left", "Ativo")</f>
        <v>Ativo</v>
      </c>
      <c r="E3153" s="10" t="str" cm="1">
        <f t="array" ref="E3153">IF(AND(A3153="2021-02", ISNA(MATCH(B3153, _xlfn._xlws.FILTER(B:B, A:A="2021-03"), 0))), "Left", "Ativo")</f>
        <v>Ativo</v>
      </c>
      <c r="F3153" s="12" t="str" cm="1">
        <f t="array" ref="F3153">IF(AND(A3153="2021-03", ISNA(MATCH(B3153, _xlfn._xlws.FILTER(B:B, A:A="2021-04"), 0))), "Left", "Ativo")</f>
        <v>Ativo</v>
      </c>
    </row>
    <row r="3154" spans="1:6" x14ac:dyDescent="0.25">
      <c r="A3154" t="s">
        <v>1531</v>
      </c>
      <c r="B3154" t="s">
        <v>254</v>
      </c>
      <c r="C3154" s="10" t="str" cm="1">
        <f t="array" ref="C3154">IF(AND(A3154="2020-12", ISNA(MATCH(B3154, _xlfn._xlws.FILTER(B:B, A:A="2021-01"), 0))), "Left", "Ativo")</f>
        <v>Ativo</v>
      </c>
      <c r="D3154" s="10" t="str" cm="1">
        <f t="array" ref="D3154">IF(AND(A3154="2021-01", ISNA(MATCH(B3154, _xlfn._xlws.FILTER(B:B, A:A="2021-02"), 0))), "Left", "Ativo")</f>
        <v>Ativo</v>
      </c>
      <c r="E3154" s="10" t="str" cm="1">
        <f t="array" ref="E3154">IF(AND(A3154="2021-02", ISNA(MATCH(B3154, _xlfn._xlws.FILTER(B:B, A:A="2021-03"), 0))), "Left", "Ativo")</f>
        <v>Ativo</v>
      </c>
      <c r="F3154" s="12" t="str" cm="1">
        <f t="array" ref="F3154">IF(AND(A3154="2021-03", ISNA(MATCH(B3154, _xlfn._xlws.FILTER(B:B, A:A="2021-04"), 0))), "Left", "Ativo")</f>
        <v>Ativo</v>
      </c>
    </row>
    <row r="3155" spans="1:6" x14ac:dyDescent="0.25">
      <c r="A3155" t="s">
        <v>1531</v>
      </c>
      <c r="B3155" t="s">
        <v>255</v>
      </c>
      <c r="C3155" s="10" t="str" cm="1">
        <f t="array" ref="C3155">IF(AND(A3155="2020-12", ISNA(MATCH(B3155, _xlfn._xlws.FILTER(B:B, A:A="2021-01"), 0))), "Left", "Ativo")</f>
        <v>Ativo</v>
      </c>
      <c r="D3155" s="10" t="str" cm="1">
        <f t="array" ref="D3155">IF(AND(A3155="2021-01", ISNA(MATCH(B3155, _xlfn._xlws.FILTER(B:B, A:A="2021-02"), 0))), "Left", "Ativo")</f>
        <v>Ativo</v>
      </c>
      <c r="E3155" s="10" t="str" cm="1">
        <f t="array" ref="E3155">IF(AND(A3155="2021-02", ISNA(MATCH(B3155, _xlfn._xlws.FILTER(B:B, A:A="2021-03"), 0))), "Left", "Ativo")</f>
        <v>Ativo</v>
      </c>
      <c r="F3155" s="12" t="str" cm="1">
        <f t="array" ref="F3155">IF(AND(A3155="2021-03", ISNA(MATCH(B3155, _xlfn._xlws.FILTER(B:B, A:A="2021-04"), 0))), "Left", "Ativo")</f>
        <v>Ativo</v>
      </c>
    </row>
    <row r="3156" spans="1:6" x14ac:dyDescent="0.25">
      <c r="A3156" t="s">
        <v>1531</v>
      </c>
      <c r="B3156" t="s">
        <v>256</v>
      </c>
      <c r="C3156" s="10" t="str" cm="1">
        <f t="array" ref="C3156">IF(AND(A3156="2020-12", ISNA(MATCH(B3156, _xlfn._xlws.FILTER(B:B, A:A="2021-01"), 0))), "Left", "Ativo")</f>
        <v>Ativo</v>
      </c>
      <c r="D3156" s="10" t="str" cm="1">
        <f t="array" ref="D3156">IF(AND(A3156="2021-01", ISNA(MATCH(B3156, _xlfn._xlws.FILTER(B:B, A:A="2021-02"), 0))), "Left", "Ativo")</f>
        <v>Ativo</v>
      </c>
      <c r="E3156" s="10" t="str" cm="1">
        <f t="array" ref="E3156">IF(AND(A3156="2021-02", ISNA(MATCH(B3156, _xlfn._xlws.FILTER(B:B, A:A="2021-03"), 0))), "Left", "Ativo")</f>
        <v>Ativo</v>
      </c>
      <c r="F3156" s="12" t="str" cm="1">
        <f t="array" ref="F3156">IF(AND(A3156="2021-03", ISNA(MATCH(B3156, _xlfn._xlws.FILTER(B:B, A:A="2021-04"), 0))), "Left", "Ativo")</f>
        <v>Ativo</v>
      </c>
    </row>
    <row r="3157" spans="1:6" x14ac:dyDescent="0.25">
      <c r="A3157" t="s">
        <v>1531</v>
      </c>
      <c r="B3157" t="s">
        <v>257</v>
      </c>
      <c r="C3157" s="10" t="str" cm="1">
        <f t="array" ref="C3157">IF(AND(A3157="2020-12", ISNA(MATCH(B3157, _xlfn._xlws.FILTER(B:B, A:A="2021-01"), 0))), "Left", "Ativo")</f>
        <v>Ativo</v>
      </c>
      <c r="D3157" s="10" t="str" cm="1">
        <f t="array" ref="D3157">IF(AND(A3157="2021-01", ISNA(MATCH(B3157, _xlfn._xlws.FILTER(B:B, A:A="2021-02"), 0))), "Left", "Ativo")</f>
        <v>Ativo</v>
      </c>
      <c r="E3157" s="10" t="str" cm="1">
        <f t="array" ref="E3157">IF(AND(A3157="2021-02", ISNA(MATCH(B3157, _xlfn._xlws.FILTER(B:B, A:A="2021-03"), 0))), "Left", "Ativo")</f>
        <v>Ativo</v>
      </c>
      <c r="F3157" s="12" t="str" cm="1">
        <f t="array" ref="F3157">IF(AND(A3157="2021-03", ISNA(MATCH(B3157, _xlfn._xlws.FILTER(B:B, A:A="2021-04"), 0))), "Left", "Ativo")</f>
        <v>Ativo</v>
      </c>
    </row>
    <row r="3158" spans="1:6" x14ac:dyDescent="0.25">
      <c r="A3158" t="s">
        <v>1531</v>
      </c>
      <c r="B3158" t="s">
        <v>258</v>
      </c>
      <c r="C3158" s="10" t="str" cm="1">
        <f t="array" ref="C3158">IF(AND(A3158="2020-12", ISNA(MATCH(B3158, _xlfn._xlws.FILTER(B:B, A:A="2021-01"), 0))), "Left", "Ativo")</f>
        <v>Ativo</v>
      </c>
      <c r="D3158" s="10" t="str" cm="1">
        <f t="array" ref="D3158">IF(AND(A3158="2021-01", ISNA(MATCH(B3158, _xlfn._xlws.FILTER(B:B, A:A="2021-02"), 0))), "Left", "Ativo")</f>
        <v>Ativo</v>
      </c>
      <c r="E3158" s="10" t="str" cm="1">
        <f t="array" ref="E3158">IF(AND(A3158="2021-02", ISNA(MATCH(B3158, _xlfn._xlws.FILTER(B:B, A:A="2021-03"), 0))), "Left", "Ativo")</f>
        <v>Ativo</v>
      </c>
      <c r="F3158" s="12" t="str" cm="1">
        <f t="array" ref="F3158">IF(AND(A3158="2021-03", ISNA(MATCH(B3158, _xlfn._xlws.FILTER(B:B, A:A="2021-04"), 0))), "Left", "Ativo")</f>
        <v>Ativo</v>
      </c>
    </row>
    <row r="3159" spans="1:6" x14ac:dyDescent="0.25">
      <c r="A3159" t="s">
        <v>1531</v>
      </c>
      <c r="B3159" t="s">
        <v>259</v>
      </c>
      <c r="C3159" s="10" t="str" cm="1">
        <f t="array" ref="C3159">IF(AND(A3159="2020-12", ISNA(MATCH(B3159, _xlfn._xlws.FILTER(B:B, A:A="2021-01"), 0))), "Left", "Ativo")</f>
        <v>Ativo</v>
      </c>
      <c r="D3159" s="10" t="str" cm="1">
        <f t="array" ref="D3159">IF(AND(A3159="2021-01", ISNA(MATCH(B3159, _xlfn._xlws.FILTER(B:B, A:A="2021-02"), 0))), "Left", "Ativo")</f>
        <v>Ativo</v>
      </c>
      <c r="E3159" s="10" t="str" cm="1">
        <f t="array" ref="E3159">IF(AND(A3159="2021-02", ISNA(MATCH(B3159, _xlfn._xlws.FILTER(B:B, A:A="2021-03"), 0))), "Left", "Ativo")</f>
        <v>Ativo</v>
      </c>
      <c r="F3159" s="12" t="str" cm="1">
        <f t="array" ref="F3159">IF(AND(A3159="2021-03", ISNA(MATCH(B3159, _xlfn._xlws.FILTER(B:B, A:A="2021-04"), 0))), "Left", "Ativo")</f>
        <v>Ativo</v>
      </c>
    </row>
    <row r="3160" spans="1:6" x14ac:dyDescent="0.25">
      <c r="A3160" t="s">
        <v>1531</v>
      </c>
      <c r="B3160" t="s">
        <v>260</v>
      </c>
      <c r="C3160" s="10" t="str" cm="1">
        <f t="array" ref="C3160">IF(AND(A3160="2020-12", ISNA(MATCH(B3160, _xlfn._xlws.FILTER(B:B, A:A="2021-01"), 0))), "Left", "Ativo")</f>
        <v>Ativo</v>
      </c>
      <c r="D3160" s="10" t="str" cm="1">
        <f t="array" ref="D3160">IF(AND(A3160="2021-01", ISNA(MATCH(B3160, _xlfn._xlws.FILTER(B:B, A:A="2021-02"), 0))), "Left", "Ativo")</f>
        <v>Ativo</v>
      </c>
      <c r="E3160" s="10" t="str" cm="1">
        <f t="array" ref="E3160">IF(AND(A3160="2021-02", ISNA(MATCH(B3160, _xlfn._xlws.FILTER(B:B, A:A="2021-03"), 0))), "Left", "Ativo")</f>
        <v>Ativo</v>
      </c>
      <c r="F3160" s="12" t="str" cm="1">
        <f t="array" ref="F3160">IF(AND(A3160="2021-03", ISNA(MATCH(B3160, _xlfn._xlws.FILTER(B:B, A:A="2021-04"), 0))), "Left", "Ativo")</f>
        <v>Ativo</v>
      </c>
    </row>
    <row r="3161" spans="1:6" x14ac:dyDescent="0.25">
      <c r="A3161" t="s">
        <v>1531</v>
      </c>
      <c r="B3161" t="s">
        <v>261</v>
      </c>
      <c r="C3161" s="10" t="str" cm="1">
        <f t="array" ref="C3161">IF(AND(A3161="2020-12", ISNA(MATCH(B3161, _xlfn._xlws.FILTER(B:B, A:A="2021-01"), 0))), "Left", "Ativo")</f>
        <v>Ativo</v>
      </c>
      <c r="D3161" s="10" t="str" cm="1">
        <f t="array" ref="D3161">IF(AND(A3161="2021-01", ISNA(MATCH(B3161, _xlfn._xlws.FILTER(B:B, A:A="2021-02"), 0))), "Left", "Ativo")</f>
        <v>Ativo</v>
      </c>
      <c r="E3161" s="10" t="str" cm="1">
        <f t="array" ref="E3161">IF(AND(A3161="2021-02", ISNA(MATCH(B3161, _xlfn._xlws.FILTER(B:B, A:A="2021-03"), 0))), "Left", "Ativo")</f>
        <v>Ativo</v>
      </c>
      <c r="F3161" s="12" t="str" cm="1">
        <f t="array" ref="F3161">IF(AND(A3161="2021-03", ISNA(MATCH(B3161, _xlfn._xlws.FILTER(B:B, A:A="2021-04"), 0))), "Left", "Ativo")</f>
        <v>Ativo</v>
      </c>
    </row>
    <row r="3162" spans="1:6" x14ac:dyDescent="0.25">
      <c r="A3162" t="s">
        <v>1531</v>
      </c>
      <c r="B3162" t="s">
        <v>262</v>
      </c>
      <c r="C3162" s="10" t="str" cm="1">
        <f t="array" ref="C3162">IF(AND(A3162="2020-12", ISNA(MATCH(B3162, _xlfn._xlws.FILTER(B:B, A:A="2021-01"), 0))), "Left", "Ativo")</f>
        <v>Ativo</v>
      </c>
      <c r="D3162" s="10" t="str" cm="1">
        <f t="array" ref="D3162">IF(AND(A3162="2021-01", ISNA(MATCH(B3162, _xlfn._xlws.FILTER(B:B, A:A="2021-02"), 0))), "Left", "Ativo")</f>
        <v>Ativo</v>
      </c>
      <c r="E3162" s="10" t="str" cm="1">
        <f t="array" ref="E3162">IF(AND(A3162="2021-02", ISNA(MATCH(B3162, _xlfn._xlws.FILTER(B:B, A:A="2021-03"), 0))), "Left", "Ativo")</f>
        <v>Ativo</v>
      </c>
      <c r="F3162" s="12" t="str" cm="1">
        <f t="array" ref="F3162">IF(AND(A3162="2021-03", ISNA(MATCH(B3162, _xlfn._xlws.FILTER(B:B, A:A="2021-04"), 0))), "Left", "Ativo")</f>
        <v>Ativo</v>
      </c>
    </row>
    <row r="3163" spans="1:6" x14ac:dyDescent="0.25">
      <c r="A3163" t="s">
        <v>1531</v>
      </c>
      <c r="B3163" t="s">
        <v>263</v>
      </c>
      <c r="C3163" s="10" t="str" cm="1">
        <f t="array" ref="C3163">IF(AND(A3163="2020-12", ISNA(MATCH(B3163, _xlfn._xlws.FILTER(B:B, A:A="2021-01"), 0))), "Left", "Ativo")</f>
        <v>Ativo</v>
      </c>
      <c r="D3163" s="10" t="str" cm="1">
        <f t="array" ref="D3163">IF(AND(A3163="2021-01", ISNA(MATCH(B3163, _xlfn._xlws.FILTER(B:B, A:A="2021-02"), 0))), "Left", "Ativo")</f>
        <v>Ativo</v>
      </c>
      <c r="E3163" s="10" t="str" cm="1">
        <f t="array" ref="E3163">IF(AND(A3163="2021-02", ISNA(MATCH(B3163, _xlfn._xlws.FILTER(B:B, A:A="2021-03"), 0))), "Left", "Ativo")</f>
        <v>Ativo</v>
      </c>
      <c r="F3163" s="12" t="str" cm="1">
        <f t="array" ref="F3163">IF(AND(A3163="2021-03", ISNA(MATCH(B3163, _xlfn._xlws.FILTER(B:B, A:A="2021-04"), 0))), "Left", "Ativo")</f>
        <v>Ativo</v>
      </c>
    </row>
    <row r="3164" spans="1:6" x14ac:dyDescent="0.25">
      <c r="A3164" t="s">
        <v>1531</v>
      </c>
      <c r="B3164" t="s">
        <v>264</v>
      </c>
      <c r="C3164" s="10" t="str" cm="1">
        <f t="array" ref="C3164">IF(AND(A3164="2020-12", ISNA(MATCH(B3164, _xlfn._xlws.FILTER(B:B, A:A="2021-01"), 0))), "Left", "Ativo")</f>
        <v>Ativo</v>
      </c>
      <c r="D3164" s="10" t="str" cm="1">
        <f t="array" ref="D3164">IF(AND(A3164="2021-01", ISNA(MATCH(B3164, _xlfn._xlws.FILTER(B:B, A:A="2021-02"), 0))), "Left", "Ativo")</f>
        <v>Ativo</v>
      </c>
      <c r="E3164" s="10" t="str" cm="1">
        <f t="array" ref="E3164">IF(AND(A3164="2021-02", ISNA(MATCH(B3164, _xlfn._xlws.FILTER(B:B, A:A="2021-03"), 0))), "Left", "Ativo")</f>
        <v>Ativo</v>
      </c>
      <c r="F3164" s="12" t="str" cm="1">
        <f t="array" ref="F3164">IF(AND(A3164="2021-03", ISNA(MATCH(B3164, _xlfn._xlws.FILTER(B:B, A:A="2021-04"), 0))), "Left", "Ativo")</f>
        <v>Ativo</v>
      </c>
    </row>
    <row r="3165" spans="1:6" x14ac:dyDescent="0.25">
      <c r="A3165" t="s">
        <v>1531</v>
      </c>
      <c r="B3165" t="s">
        <v>265</v>
      </c>
      <c r="C3165" s="10" t="str" cm="1">
        <f t="array" ref="C3165">IF(AND(A3165="2020-12", ISNA(MATCH(B3165, _xlfn._xlws.FILTER(B:B, A:A="2021-01"), 0))), "Left", "Ativo")</f>
        <v>Ativo</v>
      </c>
      <c r="D3165" s="10" t="str" cm="1">
        <f t="array" ref="D3165">IF(AND(A3165="2021-01", ISNA(MATCH(B3165, _xlfn._xlws.FILTER(B:B, A:A="2021-02"), 0))), "Left", "Ativo")</f>
        <v>Ativo</v>
      </c>
      <c r="E3165" s="10" t="str" cm="1">
        <f t="array" ref="E3165">IF(AND(A3165="2021-02", ISNA(MATCH(B3165, _xlfn._xlws.FILTER(B:B, A:A="2021-03"), 0))), "Left", "Ativo")</f>
        <v>Ativo</v>
      </c>
      <c r="F3165" s="12" t="str" cm="1">
        <f t="array" ref="F3165">IF(AND(A3165="2021-03", ISNA(MATCH(B3165, _xlfn._xlws.FILTER(B:B, A:A="2021-04"), 0))), "Left", "Ativo")</f>
        <v>Ativo</v>
      </c>
    </row>
    <row r="3166" spans="1:6" x14ac:dyDescent="0.25">
      <c r="A3166" t="s">
        <v>1531</v>
      </c>
      <c r="B3166" t="s">
        <v>266</v>
      </c>
      <c r="C3166" s="10" t="str" cm="1">
        <f t="array" ref="C3166">IF(AND(A3166="2020-12", ISNA(MATCH(B3166, _xlfn._xlws.FILTER(B:B, A:A="2021-01"), 0))), "Left", "Ativo")</f>
        <v>Ativo</v>
      </c>
      <c r="D3166" s="10" t="str" cm="1">
        <f t="array" ref="D3166">IF(AND(A3166="2021-01", ISNA(MATCH(B3166, _xlfn._xlws.FILTER(B:B, A:A="2021-02"), 0))), "Left", "Ativo")</f>
        <v>Ativo</v>
      </c>
      <c r="E3166" s="10" t="str" cm="1">
        <f t="array" ref="E3166">IF(AND(A3166="2021-02", ISNA(MATCH(B3166, _xlfn._xlws.FILTER(B:B, A:A="2021-03"), 0))), "Left", "Ativo")</f>
        <v>Ativo</v>
      </c>
      <c r="F3166" s="12" t="str" cm="1">
        <f t="array" ref="F3166">IF(AND(A3166="2021-03", ISNA(MATCH(B3166, _xlfn._xlws.FILTER(B:B, A:A="2021-04"), 0))), "Left", "Ativo")</f>
        <v>Ativo</v>
      </c>
    </row>
    <row r="3167" spans="1:6" x14ac:dyDescent="0.25">
      <c r="A3167" t="s">
        <v>1531</v>
      </c>
      <c r="B3167" t="s">
        <v>267</v>
      </c>
      <c r="C3167" s="10" t="str" cm="1">
        <f t="array" ref="C3167">IF(AND(A3167="2020-12", ISNA(MATCH(B3167, _xlfn._xlws.FILTER(B:B, A:A="2021-01"), 0))), "Left", "Ativo")</f>
        <v>Ativo</v>
      </c>
      <c r="D3167" s="10" t="str" cm="1">
        <f t="array" ref="D3167">IF(AND(A3167="2021-01", ISNA(MATCH(B3167, _xlfn._xlws.FILTER(B:B, A:A="2021-02"), 0))), "Left", "Ativo")</f>
        <v>Ativo</v>
      </c>
      <c r="E3167" s="10" t="str" cm="1">
        <f t="array" ref="E3167">IF(AND(A3167="2021-02", ISNA(MATCH(B3167, _xlfn._xlws.FILTER(B:B, A:A="2021-03"), 0))), "Left", "Ativo")</f>
        <v>Ativo</v>
      </c>
      <c r="F3167" s="12" t="str" cm="1">
        <f t="array" ref="F3167">IF(AND(A3167="2021-03", ISNA(MATCH(B3167, _xlfn._xlws.FILTER(B:B, A:A="2021-04"), 0))), "Left", "Ativo")</f>
        <v>Ativo</v>
      </c>
    </row>
    <row r="3168" spans="1:6" x14ac:dyDescent="0.25">
      <c r="A3168" t="s">
        <v>1531</v>
      </c>
      <c r="B3168" t="s">
        <v>268</v>
      </c>
      <c r="C3168" s="10" t="str" cm="1">
        <f t="array" ref="C3168">IF(AND(A3168="2020-12", ISNA(MATCH(B3168, _xlfn._xlws.FILTER(B:B, A:A="2021-01"), 0))), "Left", "Ativo")</f>
        <v>Ativo</v>
      </c>
      <c r="D3168" s="10" t="str" cm="1">
        <f t="array" ref="D3168">IF(AND(A3168="2021-01", ISNA(MATCH(B3168, _xlfn._xlws.FILTER(B:B, A:A="2021-02"), 0))), "Left", "Ativo")</f>
        <v>Ativo</v>
      </c>
      <c r="E3168" s="10" t="str" cm="1">
        <f t="array" ref="E3168">IF(AND(A3168="2021-02", ISNA(MATCH(B3168, _xlfn._xlws.FILTER(B:B, A:A="2021-03"), 0))), "Left", "Ativo")</f>
        <v>Ativo</v>
      </c>
      <c r="F3168" s="12" t="str" cm="1">
        <f t="array" ref="F3168">IF(AND(A3168="2021-03", ISNA(MATCH(B3168, _xlfn._xlws.FILTER(B:B, A:A="2021-04"), 0))), "Left", "Ativo")</f>
        <v>Left</v>
      </c>
    </row>
    <row r="3169" spans="1:6" x14ac:dyDescent="0.25">
      <c r="A3169" t="s">
        <v>1531</v>
      </c>
      <c r="B3169" t="s">
        <v>269</v>
      </c>
      <c r="C3169" s="10" t="str" cm="1">
        <f t="array" ref="C3169">IF(AND(A3169="2020-12", ISNA(MATCH(B3169, _xlfn._xlws.FILTER(B:B, A:A="2021-01"), 0))), "Left", "Ativo")</f>
        <v>Ativo</v>
      </c>
      <c r="D3169" s="10" t="str" cm="1">
        <f t="array" ref="D3169">IF(AND(A3169="2021-01", ISNA(MATCH(B3169, _xlfn._xlws.FILTER(B:B, A:A="2021-02"), 0))), "Left", "Ativo")</f>
        <v>Ativo</v>
      </c>
      <c r="E3169" s="10" t="str" cm="1">
        <f t="array" ref="E3169">IF(AND(A3169="2021-02", ISNA(MATCH(B3169, _xlfn._xlws.FILTER(B:B, A:A="2021-03"), 0))), "Left", "Ativo")</f>
        <v>Ativo</v>
      </c>
      <c r="F3169" s="12" t="str" cm="1">
        <f t="array" ref="F3169">IF(AND(A3169="2021-03", ISNA(MATCH(B3169, _xlfn._xlws.FILTER(B:B, A:A="2021-04"), 0))), "Left", "Ativo")</f>
        <v>Left</v>
      </c>
    </row>
    <row r="3170" spans="1:6" x14ac:dyDescent="0.25">
      <c r="A3170" t="s">
        <v>1531</v>
      </c>
      <c r="B3170" t="s">
        <v>270</v>
      </c>
      <c r="C3170" s="10" t="str" cm="1">
        <f t="array" ref="C3170">IF(AND(A3170="2020-12", ISNA(MATCH(B3170, _xlfn._xlws.FILTER(B:B, A:A="2021-01"), 0))), "Left", "Ativo")</f>
        <v>Ativo</v>
      </c>
      <c r="D3170" s="10" t="str" cm="1">
        <f t="array" ref="D3170">IF(AND(A3170="2021-01", ISNA(MATCH(B3170, _xlfn._xlws.FILTER(B:B, A:A="2021-02"), 0))), "Left", "Ativo")</f>
        <v>Ativo</v>
      </c>
      <c r="E3170" s="10" t="str" cm="1">
        <f t="array" ref="E3170">IF(AND(A3170="2021-02", ISNA(MATCH(B3170, _xlfn._xlws.FILTER(B:B, A:A="2021-03"), 0))), "Left", "Ativo")</f>
        <v>Ativo</v>
      </c>
      <c r="F3170" s="12" t="str" cm="1">
        <f t="array" ref="F3170">IF(AND(A3170="2021-03", ISNA(MATCH(B3170, _xlfn._xlws.FILTER(B:B, A:A="2021-04"), 0))), "Left", "Ativo")</f>
        <v>Ativo</v>
      </c>
    </row>
    <row r="3171" spans="1:6" x14ac:dyDescent="0.25">
      <c r="A3171" t="s">
        <v>1531</v>
      </c>
      <c r="B3171" t="s">
        <v>271</v>
      </c>
      <c r="C3171" s="10" t="str" cm="1">
        <f t="array" ref="C3171">IF(AND(A3171="2020-12", ISNA(MATCH(B3171, _xlfn._xlws.FILTER(B:B, A:A="2021-01"), 0))), "Left", "Ativo")</f>
        <v>Ativo</v>
      </c>
      <c r="D3171" s="10" t="str" cm="1">
        <f t="array" ref="D3171">IF(AND(A3171="2021-01", ISNA(MATCH(B3171, _xlfn._xlws.FILTER(B:B, A:A="2021-02"), 0))), "Left", "Ativo")</f>
        <v>Ativo</v>
      </c>
      <c r="E3171" s="10" t="str" cm="1">
        <f t="array" ref="E3171">IF(AND(A3171="2021-02", ISNA(MATCH(B3171, _xlfn._xlws.FILTER(B:B, A:A="2021-03"), 0))), "Left", "Ativo")</f>
        <v>Ativo</v>
      </c>
      <c r="F3171" s="12" t="str" cm="1">
        <f t="array" ref="F3171">IF(AND(A3171="2021-03", ISNA(MATCH(B3171, _xlfn._xlws.FILTER(B:B, A:A="2021-04"), 0))), "Left", "Ativo")</f>
        <v>Ativo</v>
      </c>
    </row>
    <row r="3172" spans="1:6" x14ac:dyDescent="0.25">
      <c r="A3172" t="s">
        <v>1531</v>
      </c>
      <c r="B3172" t="s">
        <v>273</v>
      </c>
      <c r="C3172" s="10" t="str" cm="1">
        <f t="array" ref="C3172">IF(AND(A3172="2020-12", ISNA(MATCH(B3172, _xlfn._xlws.FILTER(B:B, A:A="2021-01"), 0))), "Left", "Ativo")</f>
        <v>Ativo</v>
      </c>
      <c r="D3172" s="10" t="str" cm="1">
        <f t="array" ref="D3172">IF(AND(A3172="2021-01", ISNA(MATCH(B3172, _xlfn._xlws.FILTER(B:B, A:A="2021-02"), 0))), "Left", "Ativo")</f>
        <v>Ativo</v>
      </c>
      <c r="E3172" s="10" t="str" cm="1">
        <f t="array" ref="E3172">IF(AND(A3172="2021-02", ISNA(MATCH(B3172, _xlfn._xlws.FILTER(B:B, A:A="2021-03"), 0))), "Left", "Ativo")</f>
        <v>Ativo</v>
      </c>
      <c r="F3172" s="12" t="str" cm="1">
        <f t="array" ref="F3172">IF(AND(A3172="2021-03", ISNA(MATCH(B3172, _xlfn._xlws.FILTER(B:B, A:A="2021-04"), 0))), "Left", "Ativo")</f>
        <v>Ativo</v>
      </c>
    </row>
    <row r="3173" spans="1:6" x14ac:dyDescent="0.25">
      <c r="A3173" t="s">
        <v>1531</v>
      </c>
      <c r="B3173" t="s">
        <v>274</v>
      </c>
      <c r="C3173" s="10" t="str" cm="1">
        <f t="array" ref="C3173">IF(AND(A3173="2020-12", ISNA(MATCH(B3173, _xlfn._xlws.FILTER(B:B, A:A="2021-01"), 0))), "Left", "Ativo")</f>
        <v>Ativo</v>
      </c>
      <c r="D3173" s="10" t="str" cm="1">
        <f t="array" ref="D3173">IF(AND(A3173="2021-01", ISNA(MATCH(B3173, _xlfn._xlws.FILTER(B:B, A:A="2021-02"), 0))), "Left", "Ativo")</f>
        <v>Ativo</v>
      </c>
      <c r="E3173" s="10" t="str" cm="1">
        <f t="array" ref="E3173">IF(AND(A3173="2021-02", ISNA(MATCH(B3173, _xlfn._xlws.FILTER(B:B, A:A="2021-03"), 0))), "Left", "Ativo")</f>
        <v>Ativo</v>
      </c>
      <c r="F3173" s="12" t="str" cm="1">
        <f t="array" ref="F3173">IF(AND(A3173="2021-03", ISNA(MATCH(B3173, _xlfn._xlws.FILTER(B:B, A:A="2021-04"), 0))), "Left", "Ativo")</f>
        <v>Ativo</v>
      </c>
    </row>
    <row r="3174" spans="1:6" x14ac:dyDescent="0.25">
      <c r="A3174" t="s">
        <v>1531</v>
      </c>
      <c r="B3174" t="s">
        <v>275</v>
      </c>
      <c r="C3174" s="10" t="str" cm="1">
        <f t="array" ref="C3174">IF(AND(A3174="2020-12", ISNA(MATCH(B3174, _xlfn._xlws.FILTER(B:B, A:A="2021-01"), 0))), "Left", "Ativo")</f>
        <v>Ativo</v>
      </c>
      <c r="D3174" s="10" t="str" cm="1">
        <f t="array" ref="D3174">IF(AND(A3174="2021-01", ISNA(MATCH(B3174, _xlfn._xlws.FILTER(B:B, A:A="2021-02"), 0))), "Left", "Ativo")</f>
        <v>Ativo</v>
      </c>
      <c r="E3174" s="10" t="str" cm="1">
        <f t="array" ref="E3174">IF(AND(A3174="2021-02", ISNA(MATCH(B3174, _xlfn._xlws.FILTER(B:B, A:A="2021-03"), 0))), "Left", "Ativo")</f>
        <v>Ativo</v>
      </c>
      <c r="F3174" s="12" t="str" cm="1">
        <f t="array" ref="F3174">IF(AND(A3174="2021-03", ISNA(MATCH(B3174, _xlfn._xlws.FILTER(B:B, A:A="2021-04"), 0))), "Left", "Ativo")</f>
        <v>Ativo</v>
      </c>
    </row>
    <row r="3175" spans="1:6" x14ac:dyDescent="0.25">
      <c r="A3175" t="s">
        <v>1531</v>
      </c>
      <c r="B3175" t="s">
        <v>276</v>
      </c>
      <c r="C3175" s="10" t="str" cm="1">
        <f t="array" ref="C3175">IF(AND(A3175="2020-12", ISNA(MATCH(B3175, _xlfn._xlws.FILTER(B:B, A:A="2021-01"), 0))), "Left", "Ativo")</f>
        <v>Ativo</v>
      </c>
      <c r="D3175" s="10" t="str" cm="1">
        <f t="array" ref="D3175">IF(AND(A3175="2021-01", ISNA(MATCH(B3175, _xlfn._xlws.FILTER(B:B, A:A="2021-02"), 0))), "Left", "Ativo")</f>
        <v>Ativo</v>
      </c>
      <c r="E3175" s="10" t="str" cm="1">
        <f t="array" ref="E3175">IF(AND(A3175="2021-02", ISNA(MATCH(B3175, _xlfn._xlws.FILTER(B:B, A:A="2021-03"), 0))), "Left", "Ativo")</f>
        <v>Ativo</v>
      </c>
      <c r="F3175" s="12" t="str" cm="1">
        <f t="array" ref="F3175">IF(AND(A3175="2021-03", ISNA(MATCH(B3175, _xlfn._xlws.FILTER(B:B, A:A="2021-04"), 0))), "Left", "Ativo")</f>
        <v>Ativo</v>
      </c>
    </row>
    <row r="3176" spans="1:6" x14ac:dyDescent="0.25">
      <c r="A3176" t="s">
        <v>1531</v>
      </c>
      <c r="B3176" t="s">
        <v>277</v>
      </c>
      <c r="C3176" s="10" t="str" cm="1">
        <f t="array" ref="C3176">IF(AND(A3176="2020-12", ISNA(MATCH(B3176, _xlfn._xlws.FILTER(B:B, A:A="2021-01"), 0))), "Left", "Ativo")</f>
        <v>Ativo</v>
      </c>
      <c r="D3176" s="10" t="str" cm="1">
        <f t="array" ref="D3176">IF(AND(A3176="2021-01", ISNA(MATCH(B3176, _xlfn._xlws.FILTER(B:B, A:A="2021-02"), 0))), "Left", "Ativo")</f>
        <v>Ativo</v>
      </c>
      <c r="E3176" s="10" t="str" cm="1">
        <f t="array" ref="E3176">IF(AND(A3176="2021-02", ISNA(MATCH(B3176, _xlfn._xlws.FILTER(B:B, A:A="2021-03"), 0))), "Left", "Ativo")</f>
        <v>Ativo</v>
      </c>
      <c r="F3176" s="12" t="str" cm="1">
        <f t="array" ref="F3176">IF(AND(A3176="2021-03", ISNA(MATCH(B3176, _xlfn._xlws.FILTER(B:B, A:A="2021-04"), 0))), "Left", "Ativo")</f>
        <v>Ativo</v>
      </c>
    </row>
    <row r="3177" spans="1:6" x14ac:dyDescent="0.25">
      <c r="A3177" t="s">
        <v>1531</v>
      </c>
      <c r="B3177" t="s">
        <v>278</v>
      </c>
      <c r="C3177" s="10" t="str" cm="1">
        <f t="array" ref="C3177">IF(AND(A3177="2020-12", ISNA(MATCH(B3177, _xlfn._xlws.FILTER(B:B, A:A="2021-01"), 0))), "Left", "Ativo")</f>
        <v>Ativo</v>
      </c>
      <c r="D3177" s="10" t="str" cm="1">
        <f t="array" ref="D3177">IF(AND(A3177="2021-01", ISNA(MATCH(B3177, _xlfn._xlws.FILTER(B:B, A:A="2021-02"), 0))), "Left", "Ativo")</f>
        <v>Ativo</v>
      </c>
      <c r="E3177" s="10" t="str" cm="1">
        <f t="array" ref="E3177">IF(AND(A3177="2021-02", ISNA(MATCH(B3177, _xlfn._xlws.FILTER(B:B, A:A="2021-03"), 0))), "Left", "Ativo")</f>
        <v>Ativo</v>
      </c>
      <c r="F3177" s="12" t="str" cm="1">
        <f t="array" ref="F3177">IF(AND(A3177="2021-03", ISNA(MATCH(B3177, _xlfn._xlws.FILTER(B:B, A:A="2021-04"), 0))), "Left", "Ativo")</f>
        <v>Ativo</v>
      </c>
    </row>
    <row r="3178" spans="1:6" x14ac:dyDescent="0.25">
      <c r="A3178" t="s">
        <v>1531</v>
      </c>
      <c r="B3178" t="s">
        <v>279</v>
      </c>
      <c r="C3178" s="10" t="str" cm="1">
        <f t="array" ref="C3178">IF(AND(A3178="2020-12", ISNA(MATCH(B3178, _xlfn._xlws.FILTER(B:B, A:A="2021-01"), 0))), "Left", "Ativo")</f>
        <v>Ativo</v>
      </c>
      <c r="D3178" s="10" t="str" cm="1">
        <f t="array" ref="D3178">IF(AND(A3178="2021-01", ISNA(MATCH(B3178, _xlfn._xlws.FILTER(B:B, A:A="2021-02"), 0))), "Left", "Ativo")</f>
        <v>Ativo</v>
      </c>
      <c r="E3178" s="10" t="str" cm="1">
        <f t="array" ref="E3178">IF(AND(A3178="2021-02", ISNA(MATCH(B3178, _xlfn._xlws.FILTER(B:B, A:A="2021-03"), 0))), "Left", "Ativo")</f>
        <v>Ativo</v>
      </c>
      <c r="F3178" s="12" t="str" cm="1">
        <f t="array" ref="F3178">IF(AND(A3178="2021-03", ISNA(MATCH(B3178, _xlfn._xlws.FILTER(B:B, A:A="2021-04"), 0))), "Left", "Ativo")</f>
        <v>Ativo</v>
      </c>
    </row>
    <row r="3179" spans="1:6" x14ac:dyDescent="0.25">
      <c r="A3179" t="s">
        <v>1531</v>
      </c>
      <c r="B3179" t="s">
        <v>280</v>
      </c>
      <c r="C3179" s="10" t="str" cm="1">
        <f t="array" ref="C3179">IF(AND(A3179="2020-12", ISNA(MATCH(B3179, _xlfn._xlws.FILTER(B:B, A:A="2021-01"), 0))), "Left", "Ativo")</f>
        <v>Ativo</v>
      </c>
      <c r="D3179" s="10" t="str" cm="1">
        <f t="array" ref="D3179">IF(AND(A3179="2021-01", ISNA(MATCH(B3179, _xlfn._xlws.FILTER(B:B, A:A="2021-02"), 0))), "Left", "Ativo")</f>
        <v>Ativo</v>
      </c>
      <c r="E3179" s="10" t="str" cm="1">
        <f t="array" ref="E3179">IF(AND(A3179="2021-02", ISNA(MATCH(B3179, _xlfn._xlws.FILTER(B:B, A:A="2021-03"), 0))), "Left", "Ativo")</f>
        <v>Ativo</v>
      </c>
      <c r="F3179" s="12" t="str" cm="1">
        <f t="array" ref="F3179">IF(AND(A3179="2021-03", ISNA(MATCH(B3179, _xlfn._xlws.FILTER(B:B, A:A="2021-04"), 0))), "Left", "Ativo")</f>
        <v>Ativo</v>
      </c>
    </row>
    <row r="3180" spans="1:6" x14ac:dyDescent="0.25">
      <c r="A3180" t="s">
        <v>1531</v>
      </c>
      <c r="B3180" t="s">
        <v>281</v>
      </c>
      <c r="C3180" s="10" t="str" cm="1">
        <f t="array" ref="C3180">IF(AND(A3180="2020-12", ISNA(MATCH(B3180, _xlfn._xlws.FILTER(B:B, A:A="2021-01"), 0))), "Left", "Ativo")</f>
        <v>Ativo</v>
      </c>
      <c r="D3180" s="10" t="str" cm="1">
        <f t="array" ref="D3180">IF(AND(A3180="2021-01", ISNA(MATCH(B3180, _xlfn._xlws.FILTER(B:B, A:A="2021-02"), 0))), "Left", "Ativo")</f>
        <v>Ativo</v>
      </c>
      <c r="E3180" s="10" t="str" cm="1">
        <f t="array" ref="E3180">IF(AND(A3180="2021-02", ISNA(MATCH(B3180, _xlfn._xlws.FILTER(B:B, A:A="2021-03"), 0))), "Left", "Ativo")</f>
        <v>Ativo</v>
      </c>
      <c r="F3180" s="12" t="str" cm="1">
        <f t="array" ref="F3180">IF(AND(A3180="2021-03", ISNA(MATCH(B3180, _xlfn._xlws.FILTER(B:B, A:A="2021-04"), 0))), "Left", "Ativo")</f>
        <v>Ativo</v>
      </c>
    </row>
    <row r="3181" spans="1:6" x14ac:dyDescent="0.25">
      <c r="A3181" t="s">
        <v>1531</v>
      </c>
      <c r="B3181" t="s">
        <v>282</v>
      </c>
      <c r="C3181" s="10" t="str" cm="1">
        <f t="array" ref="C3181">IF(AND(A3181="2020-12", ISNA(MATCH(B3181, _xlfn._xlws.FILTER(B:B, A:A="2021-01"), 0))), "Left", "Ativo")</f>
        <v>Ativo</v>
      </c>
      <c r="D3181" s="10" t="str" cm="1">
        <f t="array" ref="D3181">IF(AND(A3181="2021-01", ISNA(MATCH(B3181, _xlfn._xlws.FILTER(B:B, A:A="2021-02"), 0))), "Left", "Ativo")</f>
        <v>Ativo</v>
      </c>
      <c r="E3181" s="10" t="str" cm="1">
        <f t="array" ref="E3181">IF(AND(A3181="2021-02", ISNA(MATCH(B3181, _xlfn._xlws.FILTER(B:B, A:A="2021-03"), 0))), "Left", "Ativo")</f>
        <v>Ativo</v>
      </c>
      <c r="F3181" s="12" t="str" cm="1">
        <f t="array" ref="F3181">IF(AND(A3181="2021-03", ISNA(MATCH(B3181, _xlfn._xlws.FILTER(B:B, A:A="2021-04"), 0))), "Left", "Ativo")</f>
        <v>Ativo</v>
      </c>
    </row>
    <row r="3182" spans="1:6" x14ac:dyDescent="0.25">
      <c r="A3182" t="s">
        <v>1531</v>
      </c>
      <c r="B3182" t="s">
        <v>283</v>
      </c>
      <c r="C3182" s="10" t="str" cm="1">
        <f t="array" ref="C3182">IF(AND(A3182="2020-12", ISNA(MATCH(B3182, _xlfn._xlws.FILTER(B:B, A:A="2021-01"), 0))), "Left", "Ativo")</f>
        <v>Ativo</v>
      </c>
      <c r="D3182" s="10" t="str" cm="1">
        <f t="array" ref="D3182">IF(AND(A3182="2021-01", ISNA(MATCH(B3182, _xlfn._xlws.FILTER(B:B, A:A="2021-02"), 0))), "Left", "Ativo")</f>
        <v>Ativo</v>
      </c>
      <c r="E3182" s="10" t="str" cm="1">
        <f t="array" ref="E3182">IF(AND(A3182="2021-02", ISNA(MATCH(B3182, _xlfn._xlws.FILTER(B:B, A:A="2021-03"), 0))), "Left", "Ativo")</f>
        <v>Ativo</v>
      </c>
      <c r="F3182" s="12" t="str" cm="1">
        <f t="array" ref="F3182">IF(AND(A3182="2021-03", ISNA(MATCH(B3182, _xlfn._xlws.FILTER(B:B, A:A="2021-04"), 0))), "Left", "Ativo")</f>
        <v>Ativo</v>
      </c>
    </row>
    <row r="3183" spans="1:6" x14ac:dyDescent="0.25">
      <c r="A3183" t="s">
        <v>1531</v>
      </c>
      <c r="B3183" t="s">
        <v>284</v>
      </c>
      <c r="C3183" s="10" t="str" cm="1">
        <f t="array" ref="C3183">IF(AND(A3183="2020-12", ISNA(MATCH(B3183, _xlfn._xlws.FILTER(B:B, A:A="2021-01"), 0))), "Left", "Ativo")</f>
        <v>Ativo</v>
      </c>
      <c r="D3183" s="10" t="str" cm="1">
        <f t="array" ref="D3183">IF(AND(A3183="2021-01", ISNA(MATCH(B3183, _xlfn._xlws.FILTER(B:B, A:A="2021-02"), 0))), "Left", "Ativo")</f>
        <v>Ativo</v>
      </c>
      <c r="E3183" s="10" t="str" cm="1">
        <f t="array" ref="E3183">IF(AND(A3183="2021-02", ISNA(MATCH(B3183, _xlfn._xlws.FILTER(B:B, A:A="2021-03"), 0))), "Left", "Ativo")</f>
        <v>Ativo</v>
      </c>
      <c r="F3183" s="12" t="str" cm="1">
        <f t="array" ref="F3183">IF(AND(A3183="2021-03", ISNA(MATCH(B3183, _xlfn._xlws.FILTER(B:B, A:A="2021-04"), 0))), "Left", "Ativo")</f>
        <v>Ativo</v>
      </c>
    </row>
    <row r="3184" spans="1:6" x14ac:dyDescent="0.25">
      <c r="A3184" t="s">
        <v>1531</v>
      </c>
      <c r="B3184" t="s">
        <v>285</v>
      </c>
      <c r="C3184" s="10" t="str" cm="1">
        <f t="array" ref="C3184">IF(AND(A3184="2020-12", ISNA(MATCH(B3184, _xlfn._xlws.FILTER(B:B, A:A="2021-01"), 0))), "Left", "Ativo")</f>
        <v>Ativo</v>
      </c>
      <c r="D3184" s="10" t="str" cm="1">
        <f t="array" ref="D3184">IF(AND(A3184="2021-01", ISNA(MATCH(B3184, _xlfn._xlws.FILTER(B:B, A:A="2021-02"), 0))), "Left", "Ativo")</f>
        <v>Ativo</v>
      </c>
      <c r="E3184" s="10" t="str" cm="1">
        <f t="array" ref="E3184">IF(AND(A3184="2021-02", ISNA(MATCH(B3184, _xlfn._xlws.FILTER(B:B, A:A="2021-03"), 0))), "Left", "Ativo")</f>
        <v>Ativo</v>
      </c>
      <c r="F3184" s="12" t="str" cm="1">
        <f t="array" ref="F3184">IF(AND(A3184="2021-03", ISNA(MATCH(B3184, _xlfn._xlws.FILTER(B:B, A:A="2021-04"), 0))), "Left", "Ativo")</f>
        <v>Ativo</v>
      </c>
    </row>
    <row r="3185" spans="1:6" x14ac:dyDescent="0.25">
      <c r="A3185" t="s">
        <v>1531</v>
      </c>
      <c r="B3185" t="s">
        <v>286</v>
      </c>
      <c r="C3185" s="10" t="str" cm="1">
        <f t="array" ref="C3185">IF(AND(A3185="2020-12", ISNA(MATCH(B3185, _xlfn._xlws.FILTER(B:B, A:A="2021-01"), 0))), "Left", "Ativo")</f>
        <v>Ativo</v>
      </c>
      <c r="D3185" s="10" t="str" cm="1">
        <f t="array" ref="D3185">IF(AND(A3185="2021-01", ISNA(MATCH(B3185, _xlfn._xlws.FILTER(B:B, A:A="2021-02"), 0))), "Left", "Ativo")</f>
        <v>Ativo</v>
      </c>
      <c r="E3185" s="10" t="str" cm="1">
        <f t="array" ref="E3185">IF(AND(A3185="2021-02", ISNA(MATCH(B3185, _xlfn._xlws.FILTER(B:B, A:A="2021-03"), 0))), "Left", "Ativo")</f>
        <v>Ativo</v>
      </c>
      <c r="F3185" s="12" t="str" cm="1">
        <f t="array" ref="F3185">IF(AND(A3185="2021-03", ISNA(MATCH(B3185, _xlfn._xlws.FILTER(B:B, A:A="2021-04"), 0))), "Left", "Ativo")</f>
        <v>Ativo</v>
      </c>
    </row>
    <row r="3186" spans="1:6" x14ac:dyDescent="0.25">
      <c r="A3186" t="s">
        <v>1531</v>
      </c>
      <c r="B3186" t="s">
        <v>287</v>
      </c>
      <c r="C3186" s="10" t="str" cm="1">
        <f t="array" ref="C3186">IF(AND(A3186="2020-12", ISNA(MATCH(B3186, _xlfn._xlws.FILTER(B:B, A:A="2021-01"), 0))), "Left", "Ativo")</f>
        <v>Ativo</v>
      </c>
      <c r="D3186" s="10" t="str" cm="1">
        <f t="array" ref="D3186">IF(AND(A3186="2021-01", ISNA(MATCH(B3186, _xlfn._xlws.FILTER(B:B, A:A="2021-02"), 0))), "Left", "Ativo")</f>
        <v>Ativo</v>
      </c>
      <c r="E3186" s="10" t="str" cm="1">
        <f t="array" ref="E3186">IF(AND(A3186="2021-02", ISNA(MATCH(B3186, _xlfn._xlws.FILTER(B:B, A:A="2021-03"), 0))), "Left", "Ativo")</f>
        <v>Ativo</v>
      </c>
      <c r="F3186" s="12" t="str" cm="1">
        <f t="array" ref="F3186">IF(AND(A3186="2021-03", ISNA(MATCH(B3186, _xlfn._xlws.FILTER(B:B, A:A="2021-04"), 0))), "Left", "Ativo")</f>
        <v>Ativo</v>
      </c>
    </row>
    <row r="3187" spans="1:6" x14ac:dyDescent="0.25">
      <c r="A3187" t="s">
        <v>1531</v>
      </c>
      <c r="B3187" t="s">
        <v>288</v>
      </c>
      <c r="C3187" s="10" t="str" cm="1">
        <f t="array" ref="C3187">IF(AND(A3187="2020-12", ISNA(MATCH(B3187, _xlfn._xlws.FILTER(B:B, A:A="2021-01"), 0))), "Left", "Ativo")</f>
        <v>Ativo</v>
      </c>
      <c r="D3187" s="10" t="str" cm="1">
        <f t="array" ref="D3187">IF(AND(A3187="2021-01", ISNA(MATCH(B3187, _xlfn._xlws.FILTER(B:B, A:A="2021-02"), 0))), "Left", "Ativo")</f>
        <v>Ativo</v>
      </c>
      <c r="E3187" s="10" t="str" cm="1">
        <f t="array" ref="E3187">IF(AND(A3187="2021-02", ISNA(MATCH(B3187, _xlfn._xlws.FILTER(B:B, A:A="2021-03"), 0))), "Left", "Ativo")</f>
        <v>Ativo</v>
      </c>
      <c r="F3187" s="12" t="str" cm="1">
        <f t="array" ref="F3187">IF(AND(A3187="2021-03", ISNA(MATCH(B3187, _xlfn._xlws.FILTER(B:B, A:A="2021-04"), 0))), "Left", "Ativo")</f>
        <v>Ativo</v>
      </c>
    </row>
    <row r="3188" spans="1:6" x14ac:dyDescent="0.25">
      <c r="A3188" t="s">
        <v>1531</v>
      </c>
      <c r="B3188" t="s">
        <v>289</v>
      </c>
      <c r="C3188" s="10" t="str" cm="1">
        <f t="array" ref="C3188">IF(AND(A3188="2020-12", ISNA(MATCH(B3188, _xlfn._xlws.FILTER(B:B, A:A="2021-01"), 0))), "Left", "Ativo")</f>
        <v>Ativo</v>
      </c>
      <c r="D3188" s="10" t="str" cm="1">
        <f t="array" ref="D3188">IF(AND(A3188="2021-01", ISNA(MATCH(B3188, _xlfn._xlws.FILTER(B:B, A:A="2021-02"), 0))), "Left", "Ativo")</f>
        <v>Ativo</v>
      </c>
      <c r="E3188" s="10" t="str" cm="1">
        <f t="array" ref="E3188">IF(AND(A3188="2021-02", ISNA(MATCH(B3188, _xlfn._xlws.FILTER(B:B, A:A="2021-03"), 0))), "Left", "Ativo")</f>
        <v>Ativo</v>
      </c>
      <c r="F3188" s="12" t="str" cm="1">
        <f t="array" ref="F3188">IF(AND(A3188="2021-03", ISNA(MATCH(B3188, _xlfn._xlws.FILTER(B:B, A:A="2021-04"), 0))), "Left", "Ativo")</f>
        <v>Ativo</v>
      </c>
    </row>
    <row r="3189" spans="1:6" x14ac:dyDescent="0.25">
      <c r="A3189" t="s">
        <v>1531</v>
      </c>
      <c r="B3189" t="s">
        <v>290</v>
      </c>
      <c r="C3189" s="10" t="str" cm="1">
        <f t="array" ref="C3189">IF(AND(A3189="2020-12", ISNA(MATCH(B3189, _xlfn._xlws.FILTER(B:B, A:A="2021-01"), 0))), "Left", "Ativo")</f>
        <v>Ativo</v>
      </c>
      <c r="D3189" s="10" t="str" cm="1">
        <f t="array" ref="D3189">IF(AND(A3189="2021-01", ISNA(MATCH(B3189, _xlfn._xlws.FILTER(B:B, A:A="2021-02"), 0))), "Left", "Ativo")</f>
        <v>Ativo</v>
      </c>
      <c r="E3189" s="10" t="str" cm="1">
        <f t="array" ref="E3189">IF(AND(A3189="2021-02", ISNA(MATCH(B3189, _xlfn._xlws.FILTER(B:B, A:A="2021-03"), 0))), "Left", "Ativo")</f>
        <v>Ativo</v>
      </c>
      <c r="F3189" s="12" t="str" cm="1">
        <f t="array" ref="F3189">IF(AND(A3189="2021-03", ISNA(MATCH(B3189, _xlfn._xlws.FILTER(B:B, A:A="2021-04"), 0))), "Left", "Ativo")</f>
        <v>Ativo</v>
      </c>
    </row>
    <row r="3190" spans="1:6" x14ac:dyDescent="0.25">
      <c r="A3190" t="s">
        <v>1531</v>
      </c>
      <c r="B3190" t="s">
        <v>291</v>
      </c>
      <c r="C3190" s="10" t="str" cm="1">
        <f t="array" ref="C3190">IF(AND(A3190="2020-12", ISNA(MATCH(B3190, _xlfn._xlws.FILTER(B:B, A:A="2021-01"), 0))), "Left", "Ativo")</f>
        <v>Ativo</v>
      </c>
      <c r="D3190" s="10" t="str" cm="1">
        <f t="array" ref="D3190">IF(AND(A3190="2021-01", ISNA(MATCH(B3190, _xlfn._xlws.FILTER(B:B, A:A="2021-02"), 0))), "Left", "Ativo")</f>
        <v>Ativo</v>
      </c>
      <c r="E3190" s="10" t="str" cm="1">
        <f t="array" ref="E3190">IF(AND(A3190="2021-02", ISNA(MATCH(B3190, _xlfn._xlws.FILTER(B:B, A:A="2021-03"), 0))), "Left", "Ativo")</f>
        <v>Ativo</v>
      </c>
      <c r="F3190" s="12" t="str" cm="1">
        <f t="array" ref="F3190">IF(AND(A3190="2021-03", ISNA(MATCH(B3190, _xlfn._xlws.FILTER(B:B, A:A="2021-04"), 0))), "Left", "Ativo")</f>
        <v>Ativo</v>
      </c>
    </row>
    <row r="3191" spans="1:6" x14ac:dyDescent="0.25">
      <c r="A3191" t="s">
        <v>1531</v>
      </c>
      <c r="B3191" t="s">
        <v>292</v>
      </c>
      <c r="C3191" s="10" t="str" cm="1">
        <f t="array" ref="C3191">IF(AND(A3191="2020-12", ISNA(MATCH(B3191, _xlfn._xlws.FILTER(B:B, A:A="2021-01"), 0))), "Left", "Ativo")</f>
        <v>Ativo</v>
      </c>
      <c r="D3191" s="10" t="str" cm="1">
        <f t="array" ref="D3191">IF(AND(A3191="2021-01", ISNA(MATCH(B3191, _xlfn._xlws.FILTER(B:B, A:A="2021-02"), 0))), "Left", "Ativo")</f>
        <v>Ativo</v>
      </c>
      <c r="E3191" s="10" t="str" cm="1">
        <f t="array" ref="E3191">IF(AND(A3191="2021-02", ISNA(MATCH(B3191, _xlfn._xlws.FILTER(B:B, A:A="2021-03"), 0))), "Left", "Ativo")</f>
        <v>Ativo</v>
      </c>
      <c r="F3191" s="12" t="str" cm="1">
        <f t="array" ref="F3191">IF(AND(A3191="2021-03", ISNA(MATCH(B3191, _xlfn._xlws.FILTER(B:B, A:A="2021-04"), 0))), "Left", "Ativo")</f>
        <v>Ativo</v>
      </c>
    </row>
    <row r="3192" spans="1:6" x14ac:dyDescent="0.25">
      <c r="A3192" t="s">
        <v>1531</v>
      </c>
      <c r="B3192" t="s">
        <v>293</v>
      </c>
      <c r="C3192" s="10" t="str" cm="1">
        <f t="array" ref="C3192">IF(AND(A3192="2020-12", ISNA(MATCH(B3192, _xlfn._xlws.FILTER(B:B, A:A="2021-01"), 0))), "Left", "Ativo")</f>
        <v>Ativo</v>
      </c>
      <c r="D3192" s="10" t="str" cm="1">
        <f t="array" ref="D3192">IF(AND(A3192="2021-01", ISNA(MATCH(B3192, _xlfn._xlws.FILTER(B:B, A:A="2021-02"), 0))), "Left", "Ativo")</f>
        <v>Ativo</v>
      </c>
      <c r="E3192" s="10" t="str" cm="1">
        <f t="array" ref="E3192">IF(AND(A3192="2021-02", ISNA(MATCH(B3192, _xlfn._xlws.FILTER(B:B, A:A="2021-03"), 0))), "Left", "Ativo")</f>
        <v>Ativo</v>
      </c>
      <c r="F3192" s="12" t="str" cm="1">
        <f t="array" ref="F3192">IF(AND(A3192="2021-03", ISNA(MATCH(B3192, _xlfn._xlws.FILTER(B:B, A:A="2021-04"), 0))), "Left", "Ativo")</f>
        <v>Ativo</v>
      </c>
    </row>
    <row r="3193" spans="1:6" x14ac:dyDescent="0.25">
      <c r="A3193" t="s">
        <v>1531</v>
      </c>
      <c r="B3193" t="s">
        <v>294</v>
      </c>
      <c r="C3193" s="10" t="str" cm="1">
        <f t="array" ref="C3193">IF(AND(A3193="2020-12", ISNA(MATCH(B3193, _xlfn._xlws.FILTER(B:B, A:A="2021-01"), 0))), "Left", "Ativo")</f>
        <v>Ativo</v>
      </c>
      <c r="D3193" s="10" t="str" cm="1">
        <f t="array" ref="D3193">IF(AND(A3193="2021-01", ISNA(MATCH(B3193, _xlfn._xlws.FILTER(B:B, A:A="2021-02"), 0))), "Left", "Ativo")</f>
        <v>Ativo</v>
      </c>
      <c r="E3193" s="10" t="str" cm="1">
        <f t="array" ref="E3193">IF(AND(A3193="2021-02", ISNA(MATCH(B3193, _xlfn._xlws.FILTER(B:B, A:A="2021-03"), 0))), "Left", "Ativo")</f>
        <v>Ativo</v>
      </c>
      <c r="F3193" s="12" t="str" cm="1">
        <f t="array" ref="F3193">IF(AND(A3193="2021-03", ISNA(MATCH(B3193, _xlfn._xlws.FILTER(B:B, A:A="2021-04"), 0))), "Left", "Ativo")</f>
        <v>Ativo</v>
      </c>
    </row>
    <row r="3194" spans="1:6" x14ac:dyDescent="0.25">
      <c r="A3194" t="s">
        <v>1531</v>
      </c>
      <c r="B3194" t="s">
        <v>295</v>
      </c>
      <c r="C3194" s="10" t="str" cm="1">
        <f t="array" ref="C3194">IF(AND(A3194="2020-12", ISNA(MATCH(B3194, _xlfn._xlws.FILTER(B:B, A:A="2021-01"), 0))), "Left", "Ativo")</f>
        <v>Ativo</v>
      </c>
      <c r="D3194" s="10" t="str" cm="1">
        <f t="array" ref="D3194">IF(AND(A3194="2021-01", ISNA(MATCH(B3194, _xlfn._xlws.FILTER(B:B, A:A="2021-02"), 0))), "Left", "Ativo")</f>
        <v>Ativo</v>
      </c>
      <c r="E3194" s="10" t="str" cm="1">
        <f t="array" ref="E3194">IF(AND(A3194="2021-02", ISNA(MATCH(B3194, _xlfn._xlws.FILTER(B:B, A:A="2021-03"), 0))), "Left", "Ativo")</f>
        <v>Ativo</v>
      </c>
      <c r="F3194" s="12" t="str" cm="1">
        <f t="array" ref="F3194">IF(AND(A3194="2021-03", ISNA(MATCH(B3194, _xlfn._xlws.FILTER(B:B, A:A="2021-04"), 0))), "Left", "Ativo")</f>
        <v>Ativo</v>
      </c>
    </row>
    <row r="3195" spans="1:6" x14ac:dyDescent="0.25">
      <c r="A3195" t="s">
        <v>1531</v>
      </c>
      <c r="B3195" t="s">
        <v>296</v>
      </c>
      <c r="C3195" s="10" t="str" cm="1">
        <f t="array" ref="C3195">IF(AND(A3195="2020-12", ISNA(MATCH(B3195, _xlfn._xlws.FILTER(B:B, A:A="2021-01"), 0))), "Left", "Ativo")</f>
        <v>Ativo</v>
      </c>
      <c r="D3195" s="10" t="str" cm="1">
        <f t="array" ref="D3195">IF(AND(A3195="2021-01", ISNA(MATCH(B3195, _xlfn._xlws.FILTER(B:B, A:A="2021-02"), 0))), "Left", "Ativo")</f>
        <v>Ativo</v>
      </c>
      <c r="E3195" s="10" t="str" cm="1">
        <f t="array" ref="E3195">IF(AND(A3195="2021-02", ISNA(MATCH(B3195, _xlfn._xlws.FILTER(B:B, A:A="2021-03"), 0))), "Left", "Ativo")</f>
        <v>Ativo</v>
      </c>
      <c r="F3195" s="12" t="str" cm="1">
        <f t="array" ref="F3195">IF(AND(A3195="2021-03", ISNA(MATCH(B3195, _xlfn._xlws.FILTER(B:B, A:A="2021-04"), 0))), "Left", "Ativo")</f>
        <v>Ativo</v>
      </c>
    </row>
    <row r="3196" spans="1:6" x14ac:dyDescent="0.25">
      <c r="A3196" t="s">
        <v>1531</v>
      </c>
      <c r="B3196" t="s">
        <v>297</v>
      </c>
      <c r="C3196" s="10" t="str" cm="1">
        <f t="array" ref="C3196">IF(AND(A3196="2020-12", ISNA(MATCH(B3196, _xlfn._xlws.FILTER(B:B, A:A="2021-01"), 0))), "Left", "Ativo")</f>
        <v>Ativo</v>
      </c>
      <c r="D3196" s="10" t="str" cm="1">
        <f t="array" ref="D3196">IF(AND(A3196="2021-01", ISNA(MATCH(B3196, _xlfn._xlws.FILTER(B:B, A:A="2021-02"), 0))), "Left", "Ativo")</f>
        <v>Ativo</v>
      </c>
      <c r="E3196" s="10" t="str" cm="1">
        <f t="array" ref="E3196">IF(AND(A3196="2021-02", ISNA(MATCH(B3196, _xlfn._xlws.FILTER(B:B, A:A="2021-03"), 0))), "Left", "Ativo")</f>
        <v>Ativo</v>
      </c>
      <c r="F3196" s="12" t="str" cm="1">
        <f t="array" ref="F3196">IF(AND(A3196="2021-03", ISNA(MATCH(B3196, _xlfn._xlws.FILTER(B:B, A:A="2021-04"), 0))), "Left", "Ativo")</f>
        <v>Ativo</v>
      </c>
    </row>
    <row r="3197" spans="1:6" x14ac:dyDescent="0.25">
      <c r="A3197" t="s">
        <v>1531</v>
      </c>
      <c r="B3197" t="s">
        <v>298</v>
      </c>
      <c r="C3197" s="10" t="str" cm="1">
        <f t="array" ref="C3197">IF(AND(A3197="2020-12", ISNA(MATCH(B3197, _xlfn._xlws.FILTER(B:B, A:A="2021-01"), 0))), "Left", "Ativo")</f>
        <v>Ativo</v>
      </c>
      <c r="D3197" s="10" t="str" cm="1">
        <f t="array" ref="D3197">IF(AND(A3197="2021-01", ISNA(MATCH(B3197, _xlfn._xlws.FILTER(B:B, A:A="2021-02"), 0))), "Left", "Ativo")</f>
        <v>Ativo</v>
      </c>
      <c r="E3197" s="10" t="str" cm="1">
        <f t="array" ref="E3197">IF(AND(A3197="2021-02", ISNA(MATCH(B3197, _xlfn._xlws.FILTER(B:B, A:A="2021-03"), 0))), "Left", "Ativo")</f>
        <v>Ativo</v>
      </c>
      <c r="F3197" s="12" t="str" cm="1">
        <f t="array" ref="F3197">IF(AND(A3197="2021-03", ISNA(MATCH(B3197, _xlfn._xlws.FILTER(B:B, A:A="2021-04"), 0))), "Left", "Ativo")</f>
        <v>Ativo</v>
      </c>
    </row>
    <row r="3198" spans="1:6" x14ac:dyDescent="0.25">
      <c r="A3198" t="s">
        <v>1531</v>
      </c>
      <c r="B3198" t="s">
        <v>299</v>
      </c>
      <c r="C3198" s="10" t="str" cm="1">
        <f t="array" ref="C3198">IF(AND(A3198="2020-12", ISNA(MATCH(B3198, _xlfn._xlws.FILTER(B:B, A:A="2021-01"), 0))), "Left", "Ativo")</f>
        <v>Ativo</v>
      </c>
      <c r="D3198" s="10" t="str" cm="1">
        <f t="array" ref="D3198">IF(AND(A3198="2021-01", ISNA(MATCH(B3198, _xlfn._xlws.FILTER(B:B, A:A="2021-02"), 0))), "Left", "Ativo")</f>
        <v>Ativo</v>
      </c>
      <c r="E3198" s="10" t="str" cm="1">
        <f t="array" ref="E3198">IF(AND(A3198="2021-02", ISNA(MATCH(B3198, _xlfn._xlws.FILTER(B:B, A:A="2021-03"), 0))), "Left", "Ativo")</f>
        <v>Ativo</v>
      </c>
      <c r="F3198" s="12" t="str" cm="1">
        <f t="array" ref="F3198">IF(AND(A3198="2021-03", ISNA(MATCH(B3198, _xlfn._xlws.FILTER(B:B, A:A="2021-04"), 0))), "Left", "Ativo")</f>
        <v>Ativo</v>
      </c>
    </row>
    <row r="3199" spans="1:6" x14ac:dyDescent="0.25">
      <c r="A3199" t="s">
        <v>1531</v>
      </c>
      <c r="B3199" t="s">
        <v>300</v>
      </c>
      <c r="C3199" s="10" t="str" cm="1">
        <f t="array" ref="C3199">IF(AND(A3199="2020-12", ISNA(MATCH(B3199, _xlfn._xlws.FILTER(B:B, A:A="2021-01"), 0))), "Left", "Ativo")</f>
        <v>Ativo</v>
      </c>
      <c r="D3199" s="10" t="str" cm="1">
        <f t="array" ref="D3199">IF(AND(A3199="2021-01", ISNA(MATCH(B3199, _xlfn._xlws.FILTER(B:B, A:A="2021-02"), 0))), "Left", "Ativo")</f>
        <v>Ativo</v>
      </c>
      <c r="E3199" s="10" t="str" cm="1">
        <f t="array" ref="E3199">IF(AND(A3199="2021-02", ISNA(MATCH(B3199, _xlfn._xlws.FILTER(B:B, A:A="2021-03"), 0))), "Left", "Ativo")</f>
        <v>Ativo</v>
      </c>
      <c r="F3199" s="12" t="str" cm="1">
        <f t="array" ref="F3199">IF(AND(A3199="2021-03", ISNA(MATCH(B3199, _xlfn._xlws.FILTER(B:B, A:A="2021-04"), 0))), "Left", "Ativo")</f>
        <v>Ativo</v>
      </c>
    </row>
    <row r="3200" spans="1:6" x14ac:dyDescent="0.25">
      <c r="A3200" t="s">
        <v>1531</v>
      </c>
      <c r="B3200" t="s">
        <v>301</v>
      </c>
      <c r="C3200" s="10" t="str" cm="1">
        <f t="array" ref="C3200">IF(AND(A3200="2020-12", ISNA(MATCH(B3200, _xlfn._xlws.FILTER(B:B, A:A="2021-01"), 0))), "Left", "Ativo")</f>
        <v>Ativo</v>
      </c>
      <c r="D3200" s="10" t="str" cm="1">
        <f t="array" ref="D3200">IF(AND(A3200="2021-01", ISNA(MATCH(B3200, _xlfn._xlws.FILTER(B:B, A:A="2021-02"), 0))), "Left", "Ativo")</f>
        <v>Ativo</v>
      </c>
      <c r="E3200" s="10" t="str" cm="1">
        <f t="array" ref="E3200">IF(AND(A3200="2021-02", ISNA(MATCH(B3200, _xlfn._xlws.FILTER(B:B, A:A="2021-03"), 0))), "Left", "Ativo")</f>
        <v>Ativo</v>
      </c>
      <c r="F3200" s="12" t="str" cm="1">
        <f t="array" ref="F3200">IF(AND(A3200="2021-03", ISNA(MATCH(B3200, _xlfn._xlws.FILTER(B:B, A:A="2021-04"), 0))), "Left", "Ativo")</f>
        <v>Left</v>
      </c>
    </row>
    <row r="3201" spans="1:6" x14ac:dyDescent="0.25">
      <c r="A3201" t="s">
        <v>1531</v>
      </c>
      <c r="B3201" t="s">
        <v>302</v>
      </c>
      <c r="C3201" s="10" t="str" cm="1">
        <f t="array" ref="C3201">IF(AND(A3201="2020-12", ISNA(MATCH(B3201, _xlfn._xlws.FILTER(B:B, A:A="2021-01"), 0))), "Left", "Ativo")</f>
        <v>Ativo</v>
      </c>
      <c r="D3201" s="10" t="str" cm="1">
        <f t="array" ref="D3201">IF(AND(A3201="2021-01", ISNA(MATCH(B3201, _xlfn._xlws.FILTER(B:B, A:A="2021-02"), 0))), "Left", "Ativo")</f>
        <v>Ativo</v>
      </c>
      <c r="E3201" s="10" t="str" cm="1">
        <f t="array" ref="E3201">IF(AND(A3201="2021-02", ISNA(MATCH(B3201, _xlfn._xlws.FILTER(B:B, A:A="2021-03"), 0))), "Left", "Ativo")</f>
        <v>Ativo</v>
      </c>
      <c r="F3201" s="12" t="str" cm="1">
        <f t="array" ref="F3201">IF(AND(A3201="2021-03", ISNA(MATCH(B3201, _xlfn._xlws.FILTER(B:B, A:A="2021-04"), 0))), "Left", "Ativo")</f>
        <v>Ativo</v>
      </c>
    </row>
    <row r="3202" spans="1:6" x14ac:dyDescent="0.25">
      <c r="A3202" t="s">
        <v>1531</v>
      </c>
      <c r="B3202" t="s">
        <v>303</v>
      </c>
      <c r="C3202" s="10" t="str" cm="1">
        <f t="array" ref="C3202">IF(AND(A3202="2020-12", ISNA(MATCH(B3202, _xlfn._xlws.FILTER(B:B, A:A="2021-01"), 0))), "Left", "Ativo")</f>
        <v>Ativo</v>
      </c>
      <c r="D3202" s="10" t="str" cm="1">
        <f t="array" ref="D3202">IF(AND(A3202="2021-01", ISNA(MATCH(B3202, _xlfn._xlws.FILTER(B:B, A:A="2021-02"), 0))), "Left", "Ativo")</f>
        <v>Ativo</v>
      </c>
      <c r="E3202" s="10" t="str" cm="1">
        <f t="array" ref="E3202">IF(AND(A3202="2021-02", ISNA(MATCH(B3202, _xlfn._xlws.FILTER(B:B, A:A="2021-03"), 0))), "Left", "Ativo")</f>
        <v>Ativo</v>
      </c>
      <c r="F3202" s="12" t="str" cm="1">
        <f t="array" ref="F3202">IF(AND(A3202="2021-03", ISNA(MATCH(B3202, _xlfn._xlws.FILTER(B:B, A:A="2021-04"), 0))), "Left", "Ativo")</f>
        <v>Ativo</v>
      </c>
    </row>
    <row r="3203" spans="1:6" x14ac:dyDescent="0.25">
      <c r="A3203" t="s">
        <v>1531</v>
      </c>
      <c r="B3203" t="s">
        <v>305</v>
      </c>
      <c r="C3203" s="10" t="str" cm="1">
        <f t="array" ref="C3203">IF(AND(A3203="2020-12", ISNA(MATCH(B3203, _xlfn._xlws.FILTER(B:B, A:A="2021-01"), 0))), "Left", "Ativo")</f>
        <v>Ativo</v>
      </c>
      <c r="D3203" s="10" t="str" cm="1">
        <f t="array" ref="D3203">IF(AND(A3203="2021-01", ISNA(MATCH(B3203, _xlfn._xlws.FILTER(B:B, A:A="2021-02"), 0))), "Left", "Ativo")</f>
        <v>Ativo</v>
      </c>
      <c r="E3203" s="10" t="str" cm="1">
        <f t="array" ref="E3203">IF(AND(A3203="2021-02", ISNA(MATCH(B3203, _xlfn._xlws.FILTER(B:B, A:A="2021-03"), 0))), "Left", "Ativo")</f>
        <v>Ativo</v>
      </c>
      <c r="F3203" s="12" t="str" cm="1">
        <f t="array" ref="F3203">IF(AND(A3203="2021-03", ISNA(MATCH(B3203, _xlfn._xlws.FILTER(B:B, A:A="2021-04"), 0))), "Left", "Ativo")</f>
        <v>Ativo</v>
      </c>
    </row>
    <row r="3204" spans="1:6" x14ac:dyDescent="0.25">
      <c r="A3204" t="s">
        <v>1531</v>
      </c>
      <c r="B3204" t="s">
        <v>306</v>
      </c>
      <c r="C3204" s="10" t="str" cm="1">
        <f t="array" ref="C3204">IF(AND(A3204="2020-12", ISNA(MATCH(B3204, _xlfn._xlws.FILTER(B:B, A:A="2021-01"), 0))), "Left", "Ativo")</f>
        <v>Ativo</v>
      </c>
      <c r="D3204" s="10" t="str" cm="1">
        <f t="array" ref="D3204">IF(AND(A3204="2021-01", ISNA(MATCH(B3204, _xlfn._xlws.FILTER(B:B, A:A="2021-02"), 0))), "Left", "Ativo")</f>
        <v>Ativo</v>
      </c>
      <c r="E3204" s="10" t="str" cm="1">
        <f t="array" ref="E3204">IF(AND(A3204="2021-02", ISNA(MATCH(B3204, _xlfn._xlws.FILTER(B:B, A:A="2021-03"), 0))), "Left", "Ativo")</f>
        <v>Ativo</v>
      </c>
      <c r="F3204" s="12" t="str" cm="1">
        <f t="array" ref="F3204">IF(AND(A3204="2021-03", ISNA(MATCH(B3204, _xlfn._xlws.FILTER(B:B, A:A="2021-04"), 0))), "Left", "Ativo")</f>
        <v>Ativo</v>
      </c>
    </row>
    <row r="3205" spans="1:6" x14ac:dyDescent="0.25">
      <c r="A3205" t="s">
        <v>1531</v>
      </c>
      <c r="B3205" t="s">
        <v>307</v>
      </c>
      <c r="C3205" s="10" t="str" cm="1">
        <f t="array" ref="C3205">IF(AND(A3205="2020-12", ISNA(MATCH(B3205, _xlfn._xlws.FILTER(B:B, A:A="2021-01"), 0))), "Left", "Ativo")</f>
        <v>Ativo</v>
      </c>
      <c r="D3205" s="10" t="str" cm="1">
        <f t="array" ref="D3205">IF(AND(A3205="2021-01", ISNA(MATCH(B3205, _xlfn._xlws.FILTER(B:B, A:A="2021-02"), 0))), "Left", "Ativo")</f>
        <v>Ativo</v>
      </c>
      <c r="E3205" s="10" t="str" cm="1">
        <f t="array" ref="E3205">IF(AND(A3205="2021-02", ISNA(MATCH(B3205, _xlfn._xlws.FILTER(B:B, A:A="2021-03"), 0))), "Left", "Ativo")</f>
        <v>Ativo</v>
      </c>
      <c r="F3205" s="12" t="str" cm="1">
        <f t="array" ref="F3205">IF(AND(A3205="2021-03", ISNA(MATCH(B3205, _xlfn._xlws.FILTER(B:B, A:A="2021-04"), 0))), "Left", "Ativo")</f>
        <v>Ativo</v>
      </c>
    </row>
    <row r="3206" spans="1:6" x14ac:dyDescent="0.25">
      <c r="A3206" t="s">
        <v>1531</v>
      </c>
      <c r="B3206" t="s">
        <v>308</v>
      </c>
      <c r="C3206" s="10" t="str" cm="1">
        <f t="array" ref="C3206">IF(AND(A3206="2020-12", ISNA(MATCH(B3206, _xlfn._xlws.FILTER(B:B, A:A="2021-01"), 0))), "Left", "Ativo")</f>
        <v>Ativo</v>
      </c>
      <c r="D3206" s="10" t="str" cm="1">
        <f t="array" ref="D3206">IF(AND(A3206="2021-01", ISNA(MATCH(B3206, _xlfn._xlws.FILTER(B:B, A:A="2021-02"), 0))), "Left", "Ativo")</f>
        <v>Ativo</v>
      </c>
      <c r="E3206" s="10" t="str" cm="1">
        <f t="array" ref="E3206">IF(AND(A3206="2021-02", ISNA(MATCH(B3206, _xlfn._xlws.FILTER(B:B, A:A="2021-03"), 0))), "Left", "Ativo")</f>
        <v>Ativo</v>
      </c>
      <c r="F3206" s="12" t="str" cm="1">
        <f t="array" ref="F3206">IF(AND(A3206="2021-03", ISNA(MATCH(B3206, _xlfn._xlws.FILTER(B:B, A:A="2021-04"), 0))), "Left", "Ativo")</f>
        <v>Ativo</v>
      </c>
    </row>
    <row r="3207" spans="1:6" x14ac:dyDescent="0.25">
      <c r="A3207" t="s">
        <v>1531</v>
      </c>
      <c r="B3207" t="s">
        <v>309</v>
      </c>
      <c r="C3207" s="10" t="str" cm="1">
        <f t="array" ref="C3207">IF(AND(A3207="2020-12", ISNA(MATCH(B3207, _xlfn._xlws.FILTER(B:B, A:A="2021-01"), 0))), "Left", "Ativo")</f>
        <v>Ativo</v>
      </c>
      <c r="D3207" s="10" t="str" cm="1">
        <f t="array" ref="D3207">IF(AND(A3207="2021-01", ISNA(MATCH(B3207, _xlfn._xlws.FILTER(B:B, A:A="2021-02"), 0))), "Left", "Ativo")</f>
        <v>Ativo</v>
      </c>
      <c r="E3207" s="10" t="str" cm="1">
        <f t="array" ref="E3207">IF(AND(A3207="2021-02", ISNA(MATCH(B3207, _xlfn._xlws.FILTER(B:B, A:A="2021-03"), 0))), "Left", "Ativo")</f>
        <v>Ativo</v>
      </c>
      <c r="F3207" s="12" t="str" cm="1">
        <f t="array" ref="F3207">IF(AND(A3207="2021-03", ISNA(MATCH(B3207, _xlfn._xlws.FILTER(B:B, A:A="2021-04"), 0))), "Left", "Ativo")</f>
        <v>Ativo</v>
      </c>
    </row>
    <row r="3208" spans="1:6" x14ac:dyDescent="0.25">
      <c r="A3208" t="s">
        <v>1531</v>
      </c>
      <c r="B3208" t="s">
        <v>310</v>
      </c>
      <c r="C3208" s="10" t="str" cm="1">
        <f t="array" ref="C3208">IF(AND(A3208="2020-12", ISNA(MATCH(B3208, _xlfn._xlws.FILTER(B:B, A:A="2021-01"), 0))), "Left", "Ativo")</f>
        <v>Ativo</v>
      </c>
      <c r="D3208" s="10" t="str" cm="1">
        <f t="array" ref="D3208">IF(AND(A3208="2021-01", ISNA(MATCH(B3208, _xlfn._xlws.FILTER(B:B, A:A="2021-02"), 0))), "Left", "Ativo")</f>
        <v>Ativo</v>
      </c>
      <c r="E3208" s="10" t="str" cm="1">
        <f t="array" ref="E3208">IF(AND(A3208="2021-02", ISNA(MATCH(B3208, _xlfn._xlws.FILTER(B:B, A:A="2021-03"), 0))), "Left", "Ativo")</f>
        <v>Ativo</v>
      </c>
      <c r="F3208" s="12" t="str" cm="1">
        <f t="array" ref="F3208">IF(AND(A3208="2021-03", ISNA(MATCH(B3208, _xlfn._xlws.FILTER(B:B, A:A="2021-04"), 0))), "Left", "Ativo")</f>
        <v>Ativo</v>
      </c>
    </row>
    <row r="3209" spans="1:6" x14ac:dyDescent="0.25">
      <c r="A3209" t="s">
        <v>1531</v>
      </c>
      <c r="B3209" t="s">
        <v>311</v>
      </c>
      <c r="C3209" s="10" t="str" cm="1">
        <f t="array" ref="C3209">IF(AND(A3209="2020-12", ISNA(MATCH(B3209, _xlfn._xlws.FILTER(B:B, A:A="2021-01"), 0))), "Left", "Ativo")</f>
        <v>Ativo</v>
      </c>
      <c r="D3209" s="10" t="str" cm="1">
        <f t="array" ref="D3209">IF(AND(A3209="2021-01", ISNA(MATCH(B3209, _xlfn._xlws.FILTER(B:B, A:A="2021-02"), 0))), "Left", "Ativo")</f>
        <v>Ativo</v>
      </c>
      <c r="E3209" s="10" t="str" cm="1">
        <f t="array" ref="E3209">IF(AND(A3209="2021-02", ISNA(MATCH(B3209, _xlfn._xlws.FILTER(B:B, A:A="2021-03"), 0))), "Left", "Ativo")</f>
        <v>Ativo</v>
      </c>
      <c r="F3209" s="12" t="str" cm="1">
        <f t="array" ref="F3209">IF(AND(A3209="2021-03", ISNA(MATCH(B3209, _xlfn._xlws.FILTER(B:B, A:A="2021-04"), 0))), "Left", "Ativo")</f>
        <v>Ativo</v>
      </c>
    </row>
    <row r="3210" spans="1:6" x14ac:dyDescent="0.25">
      <c r="A3210" t="s">
        <v>1531</v>
      </c>
      <c r="B3210" t="s">
        <v>312</v>
      </c>
      <c r="C3210" s="10" t="str" cm="1">
        <f t="array" ref="C3210">IF(AND(A3210="2020-12", ISNA(MATCH(B3210, _xlfn._xlws.FILTER(B:B, A:A="2021-01"), 0))), "Left", "Ativo")</f>
        <v>Ativo</v>
      </c>
      <c r="D3210" s="10" t="str" cm="1">
        <f t="array" ref="D3210">IF(AND(A3210="2021-01", ISNA(MATCH(B3210, _xlfn._xlws.FILTER(B:B, A:A="2021-02"), 0))), "Left", "Ativo")</f>
        <v>Ativo</v>
      </c>
      <c r="E3210" s="10" t="str" cm="1">
        <f t="array" ref="E3210">IF(AND(A3210="2021-02", ISNA(MATCH(B3210, _xlfn._xlws.FILTER(B:B, A:A="2021-03"), 0))), "Left", "Ativo")</f>
        <v>Ativo</v>
      </c>
      <c r="F3210" s="12" t="str" cm="1">
        <f t="array" ref="F3210">IF(AND(A3210="2021-03", ISNA(MATCH(B3210, _xlfn._xlws.FILTER(B:B, A:A="2021-04"), 0))), "Left", "Ativo")</f>
        <v>Ativo</v>
      </c>
    </row>
    <row r="3211" spans="1:6" x14ac:dyDescent="0.25">
      <c r="A3211" t="s">
        <v>1531</v>
      </c>
      <c r="B3211" t="s">
        <v>313</v>
      </c>
      <c r="C3211" s="10" t="str" cm="1">
        <f t="array" ref="C3211">IF(AND(A3211="2020-12", ISNA(MATCH(B3211, _xlfn._xlws.FILTER(B:B, A:A="2021-01"), 0))), "Left", "Ativo")</f>
        <v>Ativo</v>
      </c>
      <c r="D3211" s="10" t="str" cm="1">
        <f t="array" ref="D3211">IF(AND(A3211="2021-01", ISNA(MATCH(B3211, _xlfn._xlws.FILTER(B:B, A:A="2021-02"), 0))), "Left", "Ativo")</f>
        <v>Ativo</v>
      </c>
      <c r="E3211" s="10" t="str" cm="1">
        <f t="array" ref="E3211">IF(AND(A3211="2021-02", ISNA(MATCH(B3211, _xlfn._xlws.FILTER(B:B, A:A="2021-03"), 0))), "Left", "Ativo")</f>
        <v>Ativo</v>
      </c>
      <c r="F3211" s="12" t="str" cm="1">
        <f t="array" ref="F3211">IF(AND(A3211="2021-03", ISNA(MATCH(B3211, _xlfn._xlws.FILTER(B:B, A:A="2021-04"), 0))), "Left", "Ativo")</f>
        <v>Ativo</v>
      </c>
    </row>
    <row r="3212" spans="1:6" x14ac:dyDescent="0.25">
      <c r="A3212" t="s">
        <v>1531</v>
      </c>
      <c r="B3212" t="s">
        <v>314</v>
      </c>
      <c r="C3212" s="10" t="str" cm="1">
        <f t="array" ref="C3212">IF(AND(A3212="2020-12", ISNA(MATCH(B3212, _xlfn._xlws.FILTER(B:B, A:A="2021-01"), 0))), "Left", "Ativo")</f>
        <v>Ativo</v>
      </c>
      <c r="D3212" s="10" t="str" cm="1">
        <f t="array" ref="D3212">IF(AND(A3212="2021-01", ISNA(MATCH(B3212, _xlfn._xlws.FILTER(B:B, A:A="2021-02"), 0))), "Left", "Ativo")</f>
        <v>Ativo</v>
      </c>
      <c r="E3212" s="10" t="str" cm="1">
        <f t="array" ref="E3212">IF(AND(A3212="2021-02", ISNA(MATCH(B3212, _xlfn._xlws.FILTER(B:B, A:A="2021-03"), 0))), "Left", "Ativo")</f>
        <v>Ativo</v>
      </c>
      <c r="F3212" s="12" t="str" cm="1">
        <f t="array" ref="F3212">IF(AND(A3212="2021-03", ISNA(MATCH(B3212, _xlfn._xlws.FILTER(B:B, A:A="2021-04"), 0))), "Left", "Ativo")</f>
        <v>Ativo</v>
      </c>
    </row>
    <row r="3213" spans="1:6" x14ac:dyDescent="0.25">
      <c r="A3213" t="s">
        <v>1531</v>
      </c>
      <c r="B3213" t="s">
        <v>315</v>
      </c>
      <c r="C3213" s="10" t="str" cm="1">
        <f t="array" ref="C3213">IF(AND(A3213="2020-12", ISNA(MATCH(B3213, _xlfn._xlws.FILTER(B:B, A:A="2021-01"), 0))), "Left", "Ativo")</f>
        <v>Ativo</v>
      </c>
      <c r="D3213" s="10" t="str" cm="1">
        <f t="array" ref="D3213">IF(AND(A3213="2021-01", ISNA(MATCH(B3213, _xlfn._xlws.FILTER(B:B, A:A="2021-02"), 0))), "Left", "Ativo")</f>
        <v>Ativo</v>
      </c>
      <c r="E3213" s="10" t="str" cm="1">
        <f t="array" ref="E3213">IF(AND(A3213="2021-02", ISNA(MATCH(B3213, _xlfn._xlws.FILTER(B:B, A:A="2021-03"), 0))), "Left", "Ativo")</f>
        <v>Ativo</v>
      </c>
      <c r="F3213" s="12" t="str" cm="1">
        <f t="array" ref="F3213">IF(AND(A3213="2021-03", ISNA(MATCH(B3213, _xlfn._xlws.FILTER(B:B, A:A="2021-04"), 0))), "Left", "Ativo")</f>
        <v>Ativo</v>
      </c>
    </row>
    <row r="3214" spans="1:6" x14ac:dyDescent="0.25">
      <c r="A3214" t="s">
        <v>1531</v>
      </c>
      <c r="B3214" t="s">
        <v>316</v>
      </c>
      <c r="C3214" s="10" t="str" cm="1">
        <f t="array" ref="C3214">IF(AND(A3214="2020-12", ISNA(MATCH(B3214, _xlfn._xlws.FILTER(B:B, A:A="2021-01"), 0))), "Left", "Ativo")</f>
        <v>Ativo</v>
      </c>
      <c r="D3214" s="10" t="str" cm="1">
        <f t="array" ref="D3214">IF(AND(A3214="2021-01", ISNA(MATCH(B3214, _xlfn._xlws.FILTER(B:B, A:A="2021-02"), 0))), "Left", "Ativo")</f>
        <v>Ativo</v>
      </c>
      <c r="E3214" s="10" t="str" cm="1">
        <f t="array" ref="E3214">IF(AND(A3214="2021-02", ISNA(MATCH(B3214, _xlfn._xlws.FILTER(B:B, A:A="2021-03"), 0))), "Left", "Ativo")</f>
        <v>Ativo</v>
      </c>
      <c r="F3214" s="12" t="str" cm="1">
        <f t="array" ref="F3214">IF(AND(A3214="2021-03", ISNA(MATCH(B3214, _xlfn._xlws.FILTER(B:B, A:A="2021-04"), 0))), "Left", "Ativo")</f>
        <v>Ativo</v>
      </c>
    </row>
    <row r="3215" spans="1:6" x14ac:dyDescent="0.25">
      <c r="A3215" t="s">
        <v>1531</v>
      </c>
      <c r="B3215" t="s">
        <v>317</v>
      </c>
      <c r="C3215" s="10" t="str" cm="1">
        <f t="array" ref="C3215">IF(AND(A3215="2020-12", ISNA(MATCH(B3215, _xlfn._xlws.FILTER(B:B, A:A="2021-01"), 0))), "Left", "Ativo")</f>
        <v>Ativo</v>
      </c>
      <c r="D3215" s="10" t="str" cm="1">
        <f t="array" ref="D3215">IF(AND(A3215="2021-01", ISNA(MATCH(B3215, _xlfn._xlws.FILTER(B:B, A:A="2021-02"), 0))), "Left", "Ativo")</f>
        <v>Ativo</v>
      </c>
      <c r="E3215" s="10" t="str" cm="1">
        <f t="array" ref="E3215">IF(AND(A3215="2021-02", ISNA(MATCH(B3215, _xlfn._xlws.FILTER(B:B, A:A="2021-03"), 0))), "Left", "Ativo")</f>
        <v>Ativo</v>
      </c>
      <c r="F3215" s="12" t="str" cm="1">
        <f t="array" ref="F3215">IF(AND(A3215="2021-03", ISNA(MATCH(B3215, _xlfn._xlws.FILTER(B:B, A:A="2021-04"), 0))), "Left", "Ativo")</f>
        <v>Ativo</v>
      </c>
    </row>
    <row r="3216" spans="1:6" x14ac:dyDescent="0.25">
      <c r="A3216" t="s">
        <v>1531</v>
      </c>
      <c r="B3216" t="s">
        <v>318</v>
      </c>
      <c r="C3216" s="10" t="str" cm="1">
        <f t="array" ref="C3216">IF(AND(A3216="2020-12", ISNA(MATCH(B3216, _xlfn._xlws.FILTER(B:B, A:A="2021-01"), 0))), "Left", "Ativo")</f>
        <v>Ativo</v>
      </c>
      <c r="D3216" s="10" t="str" cm="1">
        <f t="array" ref="D3216">IF(AND(A3216="2021-01", ISNA(MATCH(B3216, _xlfn._xlws.FILTER(B:B, A:A="2021-02"), 0))), "Left", "Ativo")</f>
        <v>Ativo</v>
      </c>
      <c r="E3216" s="10" t="str" cm="1">
        <f t="array" ref="E3216">IF(AND(A3216="2021-02", ISNA(MATCH(B3216, _xlfn._xlws.FILTER(B:B, A:A="2021-03"), 0))), "Left", "Ativo")</f>
        <v>Ativo</v>
      </c>
      <c r="F3216" s="12" t="str" cm="1">
        <f t="array" ref="F3216">IF(AND(A3216="2021-03", ISNA(MATCH(B3216, _xlfn._xlws.FILTER(B:B, A:A="2021-04"), 0))), "Left", "Ativo")</f>
        <v>Ativo</v>
      </c>
    </row>
    <row r="3217" spans="1:6" x14ac:dyDescent="0.25">
      <c r="A3217" t="s">
        <v>1531</v>
      </c>
      <c r="B3217" t="s">
        <v>319</v>
      </c>
      <c r="C3217" s="10" t="str" cm="1">
        <f t="array" ref="C3217">IF(AND(A3217="2020-12", ISNA(MATCH(B3217, _xlfn._xlws.FILTER(B:B, A:A="2021-01"), 0))), "Left", "Ativo")</f>
        <v>Ativo</v>
      </c>
      <c r="D3217" s="10" t="str" cm="1">
        <f t="array" ref="D3217">IF(AND(A3217="2021-01", ISNA(MATCH(B3217, _xlfn._xlws.FILTER(B:B, A:A="2021-02"), 0))), "Left", "Ativo")</f>
        <v>Ativo</v>
      </c>
      <c r="E3217" s="10" t="str" cm="1">
        <f t="array" ref="E3217">IF(AND(A3217="2021-02", ISNA(MATCH(B3217, _xlfn._xlws.FILTER(B:B, A:A="2021-03"), 0))), "Left", "Ativo")</f>
        <v>Ativo</v>
      </c>
      <c r="F3217" s="12" t="str" cm="1">
        <f t="array" ref="F3217">IF(AND(A3217="2021-03", ISNA(MATCH(B3217, _xlfn._xlws.FILTER(B:B, A:A="2021-04"), 0))), "Left", "Ativo")</f>
        <v>Ativo</v>
      </c>
    </row>
    <row r="3218" spans="1:6" x14ac:dyDescent="0.25">
      <c r="A3218" t="s">
        <v>1531</v>
      </c>
      <c r="B3218" t="s">
        <v>320</v>
      </c>
      <c r="C3218" s="10" t="str" cm="1">
        <f t="array" ref="C3218">IF(AND(A3218="2020-12", ISNA(MATCH(B3218, _xlfn._xlws.FILTER(B:B, A:A="2021-01"), 0))), "Left", "Ativo")</f>
        <v>Ativo</v>
      </c>
      <c r="D3218" s="10" t="str" cm="1">
        <f t="array" ref="D3218">IF(AND(A3218="2021-01", ISNA(MATCH(B3218, _xlfn._xlws.FILTER(B:B, A:A="2021-02"), 0))), "Left", "Ativo")</f>
        <v>Ativo</v>
      </c>
      <c r="E3218" s="10" t="str" cm="1">
        <f t="array" ref="E3218">IF(AND(A3218="2021-02", ISNA(MATCH(B3218, _xlfn._xlws.FILTER(B:B, A:A="2021-03"), 0))), "Left", "Ativo")</f>
        <v>Ativo</v>
      </c>
      <c r="F3218" s="12" t="str" cm="1">
        <f t="array" ref="F3218">IF(AND(A3218="2021-03", ISNA(MATCH(B3218, _xlfn._xlws.FILTER(B:B, A:A="2021-04"), 0))), "Left", "Ativo")</f>
        <v>Ativo</v>
      </c>
    </row>
    <row r="3219" spans="1:6" x14ac:dyDescent="0.25">
      <c r="A3219" t="s">
        <v>1531</v>
      </c>
      <c r="B3219" t="s">
        <v>321</v>
      </c>
      <c r="C3219" s="10" t="str" cm="1">
        <f t="array" ref="C3219">IF(AND(A3219="2020-12", ISNA(MATCH(B3219, _xlfn._xlws.FILTER(B:B, A:A="2021-01"), 0))), "Left", "Ativo")</f>
        <v>Ativo</v>
      </c>
      <c r="D3219" s="10" t="str" cm="1">
        <f t="array" ref="D3219">IF(AND(A3219="2021-01", ISNA(MATCH(B3219, _xlfn._xlws.FILTER(B:B, A:A="2021-02"), 0))), "Left", "Ativo")</f>
        <v>Ativo</v>
      </c>
      <c r="E3219" s="10" t="str" cm="1">
        <f t="array" ref="E3219">IF(AND(A3219="2021-02", ISNA(MATCH(B3219, _xlfn._xlws.FILTER(B:B, A:A="2021-03"), 0))), "Left", "Ativo")</f>
        <v>Ativo</v>
      </c>
      <c r="F3219" s="12" t="str" cm="1">
        <f t="array" ref="F3219">IF(AND(A3219="2021-03", ISNA(MATCH(B3219, _xlfn._xlws.FILTER(B:B, A:A="2021-04"), 0))), "Left", "Ativo")</f>
        <v>Ativo</v>
      </c>
    </row>
    <row r="3220" spans="1:6" x14ac:dyDescent="0.25">
      <c r="A3220" t="s">
        <v>1531</v>
      </c>
      <c r="B3220" t="s">
        <v>322</v>
      </c>
      <c r="C3220" s="10" t="str" cm="1">
        <f t="array" ref="C3220">IF(AND(A3220="2020-12", ISNA(MATCH(B3220, _xlfn._xlws.FILTER(B:B, A:A="2021-01"), 0))), "Left", "Ativo")</f>
        <v>Ativo</v>
      </c>
      <c r="D3220" s="10" t="str" cm="1">
        <f t="array" ref="D3220">IF(AND(A3220="2021-01", ISNA(MATCH(B3220, _xlfn._xlws.FILTER(B:B, A:A="2021-02"), 0))), "Left", "Ativo")</f>
        <v>Ativo</v>
      </c>
      <c r="E3220" s="10" t="str" cm="1">
        <f t="array" ref="E3220">IF(AND(A3220="2021-02", ISNA(MATCH(B3220, _xlfn._xlws.FILTER(B:B, A:A="2021-03"), 0))), "Left", "Ativo")</f>
        <v>Ativo</v>
      </c>
      <c r="F3220" s="12" t="str" cm="1">
        <f t="array" ref="F3220">IF(AND(A3220="2021-03", ISNA(MATCH(B3220, _xlfn._xlws.FILTER(B:B, A:A="2021-04"), 0))), "Left", "Ativo")</f>
        <v>Ativo</v>
      </c>
    </row>
    <row r="3221" spans="1:6" x14ac:dyDescent="0.25">
      <c r="A3221" t="s">
        <v>1531</v>
      </c>
      <c r="B3221" t="s">
        <v>323</v>
      </c>
      <c r="C3221" s="10" t="str" cm="1">
        <f t="array" ref="C3221">IF(AND(A3221="2020-12", ISNA(MATCH(B3221, _xlfn._xlws.FILTER(B:B, A:A="2021-01"), 0))), "Left", "Ativo")</f>
        <v>Ativo</v>
      </c>
      <c r="D3221" s="10" t="str" cm="1">
        <f t="array" ref="D3221">IF(AND(A3221="2021-01", ISNA(MATCH(B3221, _xlfn._xlws.FILTER(B:B, A:A="2021-02"), 0))), "Left", "Ativo")</f>
        <v>Ativo</v>
      </c>
      <c r="E3221" s="10" t="str" cm="1">
        <f t="array" ref="E3221">IF(AND(A3221="2021-02", ISNA(MATCH(B3221, _xlfn._xlws.FILTER(B:B, A:A="2021-03"), 0))), "Left", "Ativo")</f>
        <v>Ativo</v>
      </c>
      <c r="F3221" s="12" t="str" cm="1">
        <f t="array" ref="F3221">IF(AND(A3221="2021-03", ISNA(MATCH(B3221, _xlfn._xlws.FILTER(B:B, A:A="2021-04"), 0))), "Left", "Ativo")</f>
        <v>Ativo</v>
      </c>
    </row>
    <row r="3222" spans="1:6" x14ac:dyDescent="0.25">
      <c r="A3222" t="s">
        <v>1531</v>
      </c>
      <c r="B3222" t="s">
        <v>324</v>
      </c>
      <c r="C3222" s="10" t="str" cm="1">
        <f t="array" ref="C3222">IF(AND(A3222="2020-12", ISNA(MATCH(B3222, _xlfn._xlws.FILTER(B:B, A:A="2021-01"), 0))), "Left", "Ativo")</f>
        <v>Ativo</v>
      </c>
      <c r="D3222" s="10" t="str" cm="1">
        <f t="array" ref="D3222">IF(AND(A3222="2021-01", ISNA(MATCH(B3222, _xlfn._xlws.FILTER(B:B, A:A="2021-02"), 0))), "Left", "Ativo")</f>
        <v>Ativo</v>
      </c>
      <c r="E3222" s="10" t="str" cm="1">
        <f t="array" ref="E3222">IF(AND(A3222="2021-02", ISNA(MATCH(B3222, _xlfn._xlws.FILTER(B:B, A:A="2021-03"), 0))), "Left", "Ativo")</f>
        <v>Ativo</v>
      </c>
      <c r="F3222" s="12" t="str" cm="1">
        <f t="array" ref="F3222">IF(AND(A3222="2021-03", ISNA(MATCH(B3222, _xlfn._xlws.FILTER(B:B, A:A="2021-04"), 0))), "Left", "Ativo")</f>
        <v>Ativo</v>
      </c>
    </row>
    <row r="3223" spans="1:6" x14ac:dyDescent="0.25">
      <c r="A3223" t="s">
        <v>1531</v>
      </c>
      <c r="B3223" t="s">
        <v>325</v>
      </c>
      <c r="C3223" s="10" t="str" cm="1">
        <f t="array" ref="C3223">IF(AND(A3223="2020-12", ISNA(MATCH(B3223, _xlfn._xlws.FILTER(B:B, A:A="2021-01"), 0))), "Left", "Ativo")</f>
        <v>Ativo</v>
      </c>
      <c r="D3223" s="10" t="str" cm="1">
        <f t="array" ref="D3223">IF(AND(A3223="2021-01", ISNA(MATCH(B3223, _xlfn._xlws.FILTER(B:B, A:A="2021-02"), 0))), "Left", "Ativo")</f>
        <v>Ativo</v>
      </c>
      <c r="E3223" s="10" t="str" cm="1">
        <f t="array" ref="E3223">IF(AND(A3223="2021-02", ISNA(MATCH(B3223, _xlfn._xlws.FILTER(B:B, A:A="2021-03"), 0))), "Left", "Ativo")</f>
        <v>Ativo</v>
      </c>
      <c r="F3223" s="12" t="str" cm="1">
        <f t="array" ref="F3223">IF(AND(A3223="2021-03", ISNA(MATCH(B3223, _xlfn._xlws.FILTER(B:B, A:A="2021-04"), 0))), "Left", "Ativo")</f>
        <v>Ativo</v>
      </c>
    </row>
    <row r="3224" spans="1:6" x14ac:dyDescent="0.25">
      <c r="A3224" t="s">
        <v>1531</v>
      </c>
      <c r="B3224" t="s">
        <v>326</v>
      </c>
      <c r="C3224" s="10" t="str" cm="1">
        <f t="array" ref="C3224">IF(AND(A3224="2020-12", ISNA(MATCH(B3224, _xlfn._xlws.FILTER(B:B, A:A="2021-01"), 0))), "Left", "Ativo")</f>
        <v>Ativo</v>
      </c>
      <c r="D3224" s="10" t="str" cm="1">
        <f t="array" ref="D3224">IF(AND(A3224="2021-01", ISNA(MATCH(B3224, _xlfn._xlws.FILTER(B:B, A:A="2021-02"), 0))), "Left", "Ativo")</f>
        <v>Ativo</v>
      </c>
      <c r="E3224" s="10" t="str" cm="1">
        <f t="array" ref="E3224">IF(AND(A3224="2021-02", ISNA(MATCH(B3224, _xlfn._xlws.FILTER(B:B, A:A="2021-03"), 0))), "Left", "Ativo")</f>
        <v>Ativo</v>
      </c>
      <c r="F3224" s="12" t="str" cm="1">
        <f t="array" ref="F3224">IF(AND(A3224="2021-03", ISNA(MATCH(B3224, _xlfn._xlws.FILTER(B:B, A:A="2021-04"), 0))), "Left", "Ativo")</f>
        <v>Ativo</v>
      </c>
    </row>
    <row r="3225" spans="1:6" x14ac:dyDescent="0.25">
      <c r="A3225" t="s">
        <v>1531</v>
      </c>
      <c r="B3225" t="s">
        <v>327</v>
      </c>
      <c r="C3225" s="10" t="str" cm="1">
        <f t="array" ref="C3225">IF(AND(A3225="2020-12", ISNA(MATCH(B3225, _xlfn._xlws.FILTER(B:B, A:A="2021-01"), 0))), "Left", "Ativo")</f>
        <v>Ativo</v>
      </c>
      <c r="D3225" s="10" t="str" cm="1">
        <f t="array" ref="D3225">IF(AND(A3225="2021-01", ISNA(MATCH(B3225, _xlfn._xlws.FILTER(B:B, A:A="2021-02"), 0))), "Left", "Ativo")</f>
        <v>Ativo</v>
      </c>
      <c r="E3225" s="10" t="str" cm="1">
        <f t="array" ref="E3225">IF(AND(A3225="2021-02", ISNA(MATCH(B3225, _xlfn._xlws.FILTER(B:B, A:A="2021-03"), 0))), "Left", "Ativo")</f>
        <v>Ativo</v>
      </c>
      <c r="F3225" s="12" t="str" cm="1">
        <f t="array" ref="F3225">IF(AND(A3225="2021-03", ISNA(MATCH(B3225, _xlfn._xlws.FILTER(B:B, A:A="2021-04"), 0))), "Left", "Ativo")</f>
        <v>Ativo</v>
      </c>
    </row>
    <row r="3226" spans="1:6" x14ac:dyDescent="0.25">
      <c r="A3226" t="s">
        <v>1531</v>
      </c>
      <c r="B3226" t="s">
        <v>328</v>
      </c>
      <c r="C3226" s="10" t="str" cm="1">
        <f t="array" ref="C3226">IF(AND(A3226="2020-12", ISNA(MATCH(B3226, _xlfn._xlws.FILTER(B:B, A:A="2021-01"), 0))), "Left", "Ativo")</f>
        <v>Ativo</v>
      </c>
      <c r="D3226" s="10" t="str" cm="1">
        <f t="array" ref="D3226">IF(AND(A3226="2021-01", ISNA(MATCH(B3226, _xlfn._xlws.FILTER(B:B, A:A="2021-02"), 0))), "Left", "Ativo")</f>
        <v>Ativo</v>
      </c>
      <c r="E3226" s="10" t="str" cm="1">
        <f t="array" ref="E3226">IF(AND(A3226="2021-02", ISNA(MATCH(B3226, _xlfn._xlws.FILTER(B:B, A:A="2021-03"), 0))), "Left", "Ativo")</f>
        <v>Ativo</v>
      </c>
      <c r="F3226" s="12" t="str" cm="1">
        <f t="array" ref="F3226">IF(AND(A3226="2021-03", ISNA(MATCH(B3226, _xlfn._xlws.FILTER(B:B, A:A="2021-04"), 0))), "Left", "Ativo")</f>
        <v>Ativo</v>
      </c>
    </row>
    <row r="3227" spans="1:6" x14ac:dyDescent="0.25">
      <c r="A3227" t="s">
        <v>1531</v>
      </c>
      <c r="B3227" t="s">
        <v>329</v>
      </c>
      <c r="C3227" s="10" t="str" cm="1">
        <f t="array" ref="C3227">IF(AND(A3227="2020-12", ISNA(MATCH(B3227, _xlfn._xlws.FILTER(B:B, A:A="2021-01"), 0))), "Left", "Ativo")</f>
        <v>Ativo</v>
      </c>
      <c r="D3227" s="10" t="str" cm="1">
        <f t="array" ref="D3227">IF(AND(A3227="2021-01", ISNA(MATCH(B3227, _xlfn._xlws.FILTER(B:B, A:A="2021-02"), 0))), "Left", "Ativo")</f>
        <v>Ativo</v>
      </c>
      <c r="E3227" s="10" t="str" cm="1">
        <f t="array" ref="E3227">IF(AND(A3227="2021-02", ISNA(MATCH(B3227, _xlfn._xlws.FILTER(B:B, A:A="2021-03"), 0))), "Left", "Ativo")</f>
        <v>Ativo</v>
      </c>
      <c r="F3227" s="12" t="str" cm="1">
        <f t="array" ref="F3227">IF(AND(A3227="2021-03", ISNA(MATCH(B3227, _xlfn._xlws.FILTER(B:B, A:A="2021-04"), 0))), "Left", "Ativo")</f>
        <v>Ativo</v>
      </c>
    </row>
    <row r="3228" spans="1:6" x14ac:dyDescent="0.25">
      <c r="A3228" t="s">
        <v>1531</v>
      </c>
      <c r="B3228" t="s">
        <v>330</v>
      </c>
      <c r="C3228" s="10" t="str" cm="1">
        <f t="array" ref="C3228">IF(AND(A3228="2020-12", ISNA(MATCH(B3228, _xlfn._xlws.FILTER(B:B, A:A="2021-01"), 0))), "Left", "Ativo")</f>
        <v>Ativo</v>
      </c>
      <c r="D3228" s="10" t="str" cm="1">
        <f t="array" ref="D3228">IF(AND(A3228="2021-01", ISNA(MATCH(B3228, _xlfn._xlws.FILTER(B:B, A:A="2021-02"), 0))), "Left", "Ativo")</f>
        <v>Ativo</v>
      </c>
      <c r="E3228" s="10" t="str" cm="1">
        <f t="array" ref="E3228">IF(AND(A3228="2021-02", ISNA(MATCH(B3228, _xlfn._xlws.FILTER(B:B, A:A="2021-03"), 0))), "Left", "Ativo")</f>
        <v>Ativo</v>
      </c>
      <c r="F3228" s="12" t="str" cm="1">
        <f t="array" ref="F3228">IF(AND(A3228="2021-03", ISNA(MATCH(B3228, _xlfn._xlws.FILTER(B:B, A:A="2021-04"), 0))), "Left", "Ativo")</f>
        <v>Ativo</v>
      </c>
    </row>
    <row r="3229" spans="1:6" x14ac:dyDescent="0.25">
      <c r="A3229" t="s">
        <v>1531</v>
      </c>
      <c r="B3229" t="s">
        <v>331</v>
      </c>
      <c r="C3229" s="10" t="str" cm="1">
        <f t="array" ref="C3229">IF(AND(A3229="2020-12", ISNA(MATCH(B3229, _xlfn._xlws.FILTER(B:B, A:A="2021-01"), 0))), "Left", "Ativo")</f>
        <v>Ativo</v>
      </c>
      <c r="D3229" s="10" t="str" cm="1">
        <f t="array" ref="D3229">IF(AND(A3229="2021-01", ISNA(MATCH(B3229, _xlfn._xlws.FILTER(B:B, A:A="2021-02"), 0))), "Left", "Ativo")</f>
        <v>Ativo</v>
      </c>
      <c r="E3229" s="10" t="str" cm="1">
        <f t="array" ref="E3229">IF(AND(A3229="2021-02", ISNA(MATCH(B3229, _xlfn._xlws.FILTER(B:B, A:A="2021-03"), 0))), "Left", "Ativo")</f>
        <v>Ativo</v>
      </c>
      <c r="F3229" s="12" t="str" cm="1">
        <f t="array" ref="F3229">IF(AND(A3229="2021-03", ISNA(MATCH(B3229, _xlfn._xlws.FILTER(B:B, A:A="2021-04"), 0))), "Left", "Ativo")</f>
        <v>Ativo</v>
      </c>
    </row>
    <row r="3230" spans="1:6" x14ac:dyDescent="0.25">
      <c r="A3230" t="s">
        <v>1531</v>
      </c>
      <c r="B3230" t="s">
        <v>332</v>
      </c>
      <c r="C3230" s="10" t="str" cm="1">
        <f t="array" ref="C3230">IF(AND(A3230="2020-12", ISNA(MATCH(B3230, _xlfn._xlws.FILTER(B:B, A:A="2021-01"), 0))), "Left", "Ativo")</f>
        <v>Ativo</v>
      </c>
      <c r="D3230" s="10" t="str" cm="1">
        <f t="array" ref="D3230">IF(AND(A3230="2021-01", ISNA(MATCH(B3230, _xlfn._xlws.FILTER(B:B, A:A="2021-02"), 0))), "Left", "Ativo")</f>
        <v>Ativo</v>
      </c>
      <c r="E3230" s="10" t="str" cm="1">
        <f t="array" ref="E3230">IF(AND(A3230="2021-02", ISNA(MATCH(B3230, _xlfn._xlws.FILTER(B:B, A:A="2021-03"), 0))), "Left", "Ativo")</f>
        <v>Ativo</v>
      </c>
      <c r="F3230" s="12" t="str" cm="1">
        <f t="array" ref="F3230">IF(AND(A3230="2021-03", ISNA(MATCH(B3230, _xlfn._xlws.FILTER(B:B, A:A="2021-04"), 0))), "Left", "Ativo")</f>
        <v>Ativo</v>
      </c>
    </row>
    <row r="3231" spans="1:6" x14ac:dyDescent="0.25">
      <c r="A3231" t="s">
        <v>1531</v>
      </c>
      <c r="B3231" t="s">
        <v>333</v>
      </c>
      <c r="C3231" s="10" t="str" cm="1">
        <f t="array" ref="C3231">IF(AND(A3231="2020-12", ISNA(MATCH(B3231, _xlfn._xlws.FILTER(B:B, A:A="2021-01"), 0))), "Left", "Ativo")</f>
        <v>Ativo</v>
      </c>
      <c r="D3231" s="10" t="str" cm="1">
        <f t="array" ref="D3231">IF(AND(A3231="2021-01", ISNA(MATCH(B3231, _xlfn._xlws.FILTER(B:B, A:A="2021-02"), 0))), "Left", "Ativo")</f>
        <v>Ativo</v>
      </c>
      <c r="E3231" s="10" t="str" cm="1">
        <f t="array" ref="E3231">IF(AND(A3231="2021-02", ISNA(MATCH(B3231, _xlfn._xlws.FILTER(B:B, A:A="2021-03"), 0))), "Left", "Ativo")</f>
        <v>Ativo</v>
      </c>
      <c r="F3231" s="12" t="str" cm="1">
        <f t="array" ref="F3231">IF(AND(A3231="2021-03", ISNA(MATCH(B3231, _xlfn._xlws.FILTER(B:B, A:A="2021-04"), 0))), "Left", "Ativo")</f>
        <v>Ativo</v>
      </c>
    </row>
    <row r="3232" spans="1:6" x14ac:dyDescent="0.25">
      <c r="A3232" t="s">
        <v>1531</v>
      </c>
      <c r="B3232" t="s">
        <v>334</v>
      </c>
      <c r="C3232" s="10" t="str" cm="1">
        <f t="array" ref="C3232">IF(AND(A3232="2020-12", ISNA(MATCH(B3232, _xlfn._xlws.FILTER(B:B, A:A="2021-01"), 0))), "Left", "Ativo")</f>
        <v>Ativo</v>
      </c>
      <c r="D3232" s="10" t="str" cm="1">
        <f t="array" ref="D3232">IF(AND(A3232="2021-01", ISNA(MATCH(B3232, _xlfn._xlws.FILTER(B:B, A:A="2021-02"), 0))), "Left", "Ativo")</f>
        <v>Ativo</v>
      </c>
      <c r="E3232" s="10" t="str" cm="1">
        <f t="array" ref="E3232">IF(AND(A3232="2021-02", ISNA(MATCH(B3232, _xlfn._xlws.FILTER(B:B, A:A="2021-03"), 0))), "Left", "Ativo")</f>
        <v>Ativo</v>
      </c>
      <c r="F3232" s="12" t="str" cm="1">
        <f t="array" ref="F3232">IF(AND(A3232="2021-03", ISNA(MATCH(B3232, _xlfn._xlws.FILTER(B:B, A:A="2021-04"), 0))), "Left", "Ativo")</f>
        <v>Ativo</v>
      </c>
    </row>
    <row r="3233" spans="1:6" x14ac:dyDescent="0.25">
      <c r="A3233" t="s">
        <v>1531</v>
      </c>
      <c r="B3233" t="s">
        <v>335</v>
      </c>
      <c r="C3233" s="10" t="str" cm="1">
        <f t="array" ref="C3233">IF(AND(A3233="2020-12", ISNA(MATCH(B3233, _xlfn._xlws.FILTER(B:B, A:A="2021-01"), 0))), "Left", "Ativo")</f>
        <v>Ativo</v>
      </c>
      <c r="D3233" s="10" t="str" cm="1">
        <f t="array" ref="D3233">IF(AND(A3233="2021-01", ISNA(MATCH(B3233, _xlfn._xlws.FILTER(B:B, A:A="2021-02"), 0))), "Left", "Ativo")</f>
        <v>Ativo</v>
      </c>
      <c r="E3233" s="10" t="str" cm="1">
        <f t="array" ref="E3233">IF(AND(A3233="2021-02", ISNA(MATCH(B3233, _xlfn._xlws.FILTER(B:B, A:A="2021-03"), 0))), "Left", "Ativo")</f>
        <v>Ativo</v>
      </c>
      <c r="F3233" s="12" t="str" cm="1">
        <f t="array" ref="F3233">IF(AND(A3233="2021-03", ISNA(MATCH(B3233, _xlfn._xlws.FILTER(B:B, A:A="2021-04"), 0))), "Left", "Ativo")</f>
        <v>Ativo</v>
      </c>
    </row>
    <row r="3234" spans="1:6" x14ac:dyDescent="0.25">
      <c r="A3234" t="s">
        <v>1531</v>
      </c>
      <c r="B3234" t="s">
        <v>336</v>
      </c>
      <c r="C3234" s="10" t="str" cm="1">
        <f t="array" ref="C3234">IF(AND(A3234="2020-12", ISNA(MATCH(B3234, _xlfn._xlws.FILTER(B:B, A:A="2021-01"), 0))), "Left", "Ativo")</f>
        <v>Ativo</v>
      </c>
      <c r="D3234" s="10" t="str" cm="1">
        <f t="array" ref="D3234">IF(AND(A3234="2021-01", ISNA(MATCH(B3234, _xlfn._xlws.FILTER(B:B, A:A="2021-02"), 0))), "Left", "Ativo")</f>
        <v>Ativo</v>
      </c>
      <c r="E3234" s="10" t="str" cm="1">
        <f t="array" ref="E3234">IF(AND(A3234="2021-02", ISNA(MATCH(B3234, _xlfn._xlws.FILTER(B:B, A:A="2021-03"), 0))), "Left", "Ativo")</f>
        <v>Ativo</v>
      </c>
      <c r="F3234" s="12" t="str" cm="1">
        <f t="array" ref="F3234">IF(AND(A3234="2021-03", ISNA(MATCH(B3234, _xlfn._xlws.FILTER(B:B, A:A="2021-04"), 0))), "Left", "Ativo")</f>
        <v>Ativo</v>
      </c>
    </row>
    <row r="3235" spans="1:6" x14ac:dyDescent="0.25">
      <c r="A3235" t="s">
        <v>1531</v>
      </c>
      <c r="B3235" t="s">
        <v>337</v>
      </c>
      <c r="C3235" s="10" t="str" cm="1">
        <f t="array" ref="C3235">IF(AND(A3235="2020-12", ISNA(MATCH(B3235, _xlfn._xlws.FILTER(B:B, A:A="2021-01"), 0))), "Left", "Ativo")</f>
        <v>Ativo</v>
      </c>
      <c r="D3235" s="10" t="str" cm="1">
        <f t="array" ref="D3235">IF(AND(A3235="2021-01", ISNA(MATCH(B3235, _xlfn._xlws.FILTER(B:B, A:A="2021-02"), 0))), "Left", "Ativo")</f>
        <v>Ativo</v>
      </c>
      <c r="E3235" s="10" t="str" cm="1">
        <f t="array" ref="E3235">IF(AND(A3235="2021-02", ISNA(MATCH(B3235, _xlfn._xlws.FILTER(B:B, A:A="2021-03"), 0))), "Left", "Ativo")</f>
        <v>Ativo</v>
      </c>
      <c r="F3235" s="12" t="str" cm="1">
        <f t="array" ref="F3235">IF(AND(A3235="2021-03", ISNA(MATCH(B3235, _xlfn._xlws.FILTER(B:B, A:A="2021-04"), 0))), "Left", "Ativo")</f>
        <v>Ativo</v>
      </c>
    </row>
    <row r="3236" spans="1:6" x14ac:dyDescent="0.25">
      <c r="A3236" t="s">
        <v>1531</v>
      </c>
      <c r="B3236" t="s">
        <v>338</v>
      </c>
      <c r="C3236" s="10" t="str" cm="1">
        <f t="array" ref="C3236">IF(AND(A3236="2020-12", ISNA(MATCH(B3236, _xlfn._xlws.FILTER(B:B, A:A="2021-01"), 0))), "Left", "Ativo")</f>
        <v>Ativo</v>
      </c>
      <c r="D3236" s="10" t="str" cm="1">
        <f t="array" ref="D3236">IF(AND(A3236="2021-01", ISNA(MATCH(B3236, _xlfn._xlws.FILTER(B:B, A:A="2021-02"), 0))), "Left", "Ativo")</f>
        <v>Ativo</v>
      </c>
      <c r="E3236" s="10" t="str" cm="1">
        <f t="array" ref="E3236">IF(AND(A3236="2021-02", ISNA(MATCH(B3236, _xlfn._xlws.FILTER(B:B, A:A="2021-03"), 0))), "Left", "Ativo")</f>
        <v>Ativo</v>
      </c>
      <c r="F3236" s="12" t="str" cm="1">
        <f t="array" ref="F3236">IF(AND(A3236="2021-03", ISNA(MATCH(B3236, _xlfn._xlws.FILTER(B:B, A:A="2021-04"), 0))), "Left", "Ativo")</f>
        <v>Ativo</v>
      </c>
    </row>
    <row r="3237" spans="1:6" x14ac:dyDescent="0.25">
      <c r="A3237" t="s">
        <v>1531</v>
      </c>
      <c r="B3237" t="s">
        <v>339</v>
      </c>
      <c r="C3237" s="10" t="str" cm="1">
        <f t="array" ref="C3237">IF(AND(A3237="2020-12", ISNA(MATCH(B3237, _xlfn._xlws.FILTER(B:B, A:A="2021-01"), 0))), "Left", "Ativo")</f>
        <v>Ativo</v>
      </c>
      <c r="D3237" s="10" t="str" cm="1">
        <f t="array" ref="D3237">IF(AND(A3237="2021-01", ISNA(MATCH(B3237, _xlfn._xlws.FILTER(B:B, A:A="2021-02"), 0))), "Left", "Ativo")</f>
        <v>Ativo</v>
      </c>
      <c r="E3237" s="10" t="str" cm="1">
        <f t="array" ref="E3237">IF(AND(A3237="2021-02", ISNA(MATCH(B3237, _xlfn._xlws.FILTER(B:B, A:A="2021-03"), 0))), "Left", "Ativo")</f>
        <v>Ativo</v>
      </c>
      <c r="F3237" s="12" t="str" cm="1">
        <f t="array" ref="F3237">IF(AND(A3237="2021-03", ISNA(MATCH(B3237, _xlfn._xlws.FILTER(B:B, A:A="2021-04"), 0))), "Left", "Ativo")</f>
        <v>Ativo</v>
      </c>
    </row>
    <row r="3238" spans="1:6" x14ac:dyDescent="0.25">
      <c r="A3238" t="s">
        <v>1531</v>
      </c>
      <c r="B3238" t="s">
        <v>340</v>
      </c>
      <c r="C3238" s="10" t="str" cm="1">
        <f t="array" ref="C3238">IF(AND(A3238="2020-12", ISNA(MATCH(B3238, _xlfn._xlws.FILTER(B:B, A:A="2021-01"), 0))), "Left", "Ativo")</f>
        <v>Ativo</v>
      </c>
      <c r="D3238" s="10" t="str" cm="1">
        <f t="array" ref="D3238">IF(AND(A3238="2021-01", ISNA(MATCH(B3238, _xlfn._xlws.FILTER(B:B, A:A="2021-02"), 0))), "Left", "Ativo")</f>
        <v>Ativo</v>
      </c>
      <c r="E3238" s="10" t="str" cm="1">
        <f t="array" ref="E3238">IF(AND(A3238="2021-02", ISNA(MATCH(B3238, _xlfn._xlws.FILTER(B:B, A:A="2021-03"), 0))), "Left", "Ativo")</f>
        <v>Ativo</v>
      </c>
      <c r="F3238" s="12" t="str" cm="1">
        <f t="array" ref="F3238">IF(AND(A3238="2021-03", ISNA(MATCH(B3238, _xlfn._xlws.FILTER(B:B, A:A="2021-04"), 0))), "Left", "Ativo")</f>
        <v>Ativo</v>
      </c>
    </row>
    <row r="3239" spans="1:6" x14ac:dyDescent="0.25">
      <c r="A3239" t="s">
        <v>1531</v>
      </c>
      <c r="B3239" t="s">
        <v>341</v>
      </c>
      <c r="C3239" s="10" t="str" cm="1">
        <f t="array" ref="C3239">IF(AND(A3239="2020-12", ISNA(MATCH(B3239, _xlfn._xlws.FILTER(B:B, A:A="2021-01"), 0))), "Left", "Ativo")</f>
        <v>Ativo</v>
      </c>
      <c r="D3239" s="10" t="str" cm="1">
        <f t="array" ref="D3239">IF(AND(A3239="2021-01", ISNA(MATCH(B3239, _xlfn._xlws.FILTER(B:B, A:A="2021-02"), 0))), "Left", "Ativo")</f>
        <v>Ativo</v>
      </c>
      <c r="E3239" s="10" t="str" cm="1">
        <f t="array" ref="E3239">IF(AND(A3239="2021-02", ISNA(MATCH(B3239, _xlfn._xlws.FILTER(B:B, A:A="2021-03"), 0))), "Left", "Ativo")</f>
        <v>Ativo</v>
      </c>
      <c r="F3239" s="12" t="str" cm="1">
        <f t="array" ref="F3239">IF(AND(A3239="2021-03", ISNA(MATCH(B3239, _xlfn._xlws.FILTER(B:B, A:A="2021-04"), 0))), "Left", "Ativo")</f>
        <v>Ativo</v>
      </c>
    </row>
    <row r="3240" spans="1:6" x14ac:dyDescent="0.25">
      <c r="A3240" t="s">
        <v>1531</v>
      </c>
      <c r="B3240" t="s">
        <v>342</v>
      </c>
      <c r="C3240" s="10" t="str" cm="1">
        <f t="array" ref="C3240">IF(AND(A3240="2020-12", ISNA(MATCH(B3240, _xlfn._xlws.FILTER(B:B, A:A="2021-01"), 0))), "Left", "Ativo")</f>
        <v>Ativo</v>
      </c>
      <c r="D3240" s="10" t="str" cm="1">
        <f t="array" ref="D3240">IF(AND(A3240="2021-01", ISNA(MATCH(B3240, _xlfn._xlws.FILTER(B:B, A:A="2021-02"), 0))), "Left", "Ativo")</f>
        <v>Ativo</v>
      </c>
      <c r="E3240" s="10" t="str" cm="1">
        <f t="array" ref="E3240">IF(AND(A3240="2021-02", ISNA(MATCH(B3240, _xlfn._xlws.FILTER(B:B, A:A="2021-03"), 0))), "Left", "Ativo")</f>
        <v>Ativo</v>
      </c>
      <c r="F3240" s="12" t="str" cm="1">
        <f t="array" ref="F3240">IF(AND(A3240="2021-03", ISNA(MATCH(B3240, _xlfn._xlws.FILTER(B:B, A:A="2021-04"), 0))), "Left", "Ativo")</f>
        <v>Ativo</v>
      </c>
    </row>
    <row r="3241" spans="1:6" x14ac:dyDescent="0.25">
      <c r="A3241" t="s">
        <v>1531</v>
      </c>
      <c r="B3241" t="s">
        <v>343</v>
      </c>
      <c r="C3241" s="10" t="str" cm="1">
        <f t="array" ref="C3241">IF(AND(A3241="2020-12", ISNA(MATCH(B3241, _xlfn._xlws.FILTER(B:B, A:A="2021-01"), 0))), "Left", "Ativo")</f>
        <v>Ativo</v>
      </c>
      <c r="D3241" s="10" t="str" cm="1">
        <f t="array" ref="D3241">IF(AND(A3241="2021-01", ISNA(MATCH(B3241, _xlfn._xlws.FILTER(B:B, A:A="2021-02"), 0))), "Left", "Ativo")</f>
        <v>Ativo</v>
      </c>
      <c r="E3241" s="10" t="str" cm="1">
        <f t="array" ref="E3241">IF(AND(A3241="2021-02", ISNA(MATCH(B3241, _xlfn._xlws.FILTER(B:B, A:A="2021-03"), 0))), "Left", "Ativo")</f>
        <v>Ativo</v>
      </c>
      <c r="F3241" s="12" t="str" cm="1">
        <f t="array" ref="F3241">IF(AND(A3241="2021-03", ISNA(MATCH(B3241, _xlfn._xlws.FILTER(B:B, A:A="2021-04"), 0))), "Left", "Ativo")</f>
        <v>Ativo</v>
      </c>
    </row>
    <row r="3242" spans="1:6" x14ac:dyDescent="0.25">
      <c r="A3242" t="s">
        <v>1531</v>
      </c>
      <c r="B3242" t="s">
        <v>344</v>
      </c>
      <c r="C3242" s="10" t="str" cm="1">
        <f t="array" ref="C3242">IF(AND(A3242="2020-12", ISNA(MATCH(B3242, _xlfn._xlws.FILTER(B:B, A:A="2021-01"), 0))), "Left", "Ativo")</f>
        <v>Ativo</v>
      </c>
      <c r="D3242" s="10" t="str" cm="1">
        <f t="array" ref="D3242">IF(AND(A3242="2021-01", ISNA(MATCH(B3242, _xlfn._xlws.FILTER(B:B, A:A="2021-02"), 0))), "Left", "Ativo")</f>
        <v>Ativo</v>
      </c>
      <c r="E3242" s="10" t="str" cm="1">
        <f t="array" ref="E3242">IF(AND(A3242="2021-02", ISNA(MATCH(B3242, _xlfn._xlws.FILTER(B:B, A:A="2021-03"), 0))), "Left", "Ativo")</f>
        <v>Ativo</v>
      </c>
      <c r="F3242" s="12" t="str" cm="1">
        <f t="array" ref="F3242">IF(AND(A3242="2021-03", ISNA(MATCH(B3242, _xlfn._xlws.FILTER(B:B, A:A="2021-04"), 0))), "Left", "Ativo")</f>
        <v>Ativo</v>
      </c>
    </row>
    <row r="3243" spans="1:6" x14ac:dyDescent="0.25">
      <c r="A3243" t="s">
        <v>1531</v>
      </c>
      <c r="B3243" t="s">
        <v>345</v>
      </c>
      <c r="C3243" s="10" t="str" cm="1">
        <f t="array" ref="C3243">IF(AND(A3243="2020-12", ISNA(MATCH(B3243, _xlfn._xlws.FILTER(B:B, A:A="2021-01"), 0))), "Left", "Ativo")</f>
        <v>Ativo</v>
      </c>
      <c r="D3243" s="10" t="str" cm="1">
        <f t="array" ref="D3243">IF(AND(A3243="2021-01", ISNA(MATCH(B3243, _xlfn._xlws.FILTER(B:B, A:A="2021-02"), 0))), "Left", "Ativo")</f>
        <v>Ativo</v>
      </c>
      <c r="E3243" s="10" t="str" cm="1">
        <f t="array" ref="E3243">IF(AND(A3243="2021-02", ISNA(MATCH(B3243, _xlfn._xlws.FILTER(B:B, A:A="2021-03"), 0))), "Left", "Ativo")</f>
        <v>Ativo</v>
      </c>
      <c r="F3243" s="12" t="str" cm="1">
        <f t="array" ref="F3243">IF(AND(A3243="2021-03", ISNA(MATCH(B3243, _xlfn._xlws.FILTER(B:B, A:A="2021-04"), 0))), "Left", "Ativo")</f>
        <v>Ativo</v>
      </c>
    </row>
    <row r="3244" spans="1:6" x14ac:dyDescent="0.25">
      <c r="A3244" t="s">
        <v>1531</v>
      </c>
      <c r="B3244" t="s">
        <v>346</v>
      </c>
      <c r="C3244" s="10" t="str" cm="1">
        <f t="array" ref="C3244">IF(AND(A3244="2020-12", ISNA(MATCH(B3244, _xlfn._xlws.FILTER(B:B, A:A="2021-01"), 0))), "Left", "Ativo")</f>
        <v>Ativo</v>
      </c>
      <c r="D3244" s="10" t="str" cm="1">
        <f t="array" ref="D3244">IF(AND(A3244="2021-01", ISNA(MATCH(B3244, _xlfn._xlws.FILTER(B:B, A:A="2021-02"), 0))), "Left", "Ativo")</f>
        <v>Ativo</v>
      </c>
      <c r="E3244" s="10" t="str" cm="1">
        <f t="array" ref="E3244">IF(AND(A3244="2021-02", ISNA(MATCH(B3244, _xlfn._xlws.FILTER(B:B, A:A="2021-03"), 0))), "Left", "Ativo")</f>
        <v>Ativo</v>
      </c>
      <c r="F3244" s="12" t="str" cm="1">
        <f t="array" ref="F3244">IF(AND(A3244="2021-03", ISNA(MATCH(B3244, _xlfn._xlws.FILTER(B:B, A:A="2021-04"), 0))), "Left", "Ativo")</f>
        <v>Ativo</v>
      </c>
    </row>
    <row r="3245" spans="1:6" x14ac:dyDescent="0.25">
      <c r="A3245" t="s">
        <v>1531</v>
      </c>
      <c r="B3245" t="s">
        <v>347</v>
      </c>
      <c r="C3245" s="10" t="str" cm="1">
        <f t="array" ref="C3245">IF(AND(A3245="2020-12", ISNA(MATCH(B3245, _xlfn._xlws.FILTER(B:B, A:A="2021-01"), 0))), "Left", "Ativo")</f>
        <v>Ativo</v>
      </c>
      <c r="D3245" s="10" t="str" cm="1">
        <f t="array" ref="D3245">IF(AND(A3245="2021-01", ISNA(MATCH(B3245, _xlfn._xlws.FILTER(B:B, A:A="2021-02"), 0))), "Left", "Ativo")</f>
        <v>Ativo</v>
      </c>
      <c r="E3245" s="10" t="str" cm="1">
        <f t="array" ref="E3245">IF(AND(A3245="2021-02", ISNA(MATCH(B3245, _xlfn._xlws.FILTER(B:B, A:A="2021-03"), 0))), "Left", "Ativo")</f>
        <v>Ativo</v>
      </c>
      <c r="F3245" s="12" t="str" cm="1">
        <f t="array" ref="F3245">IF(AND(A3245="2021-03", ISNA(MATCH(B3245, _xlfn._xlws.FILTER(B:B, A:A="2021-04"), 0))), "Left", "Ativo")</f>
        <v>Ativo</v>
      </c>
    </row>
    <row r="3246" spans="1:6" x14ac:dyDescent="0.25">
      <c r="A3246" t="s">
        <v>1531</v>
      </c>
      <c r="B3246" t="s">
        <v>348</v>
      </c>
      <c r="C3246" s="10" t="str" cm="1">
        <f t="array" ref="C3246">IF(AND(A3246="2020-12", ISNA(MATCH(B3246, _xlfn._xlws.FILTER(B:B, A:A="2021-01"), 0))), "Left", "Ativo")</f>
        <v>Ativo</v>
      </c>
      <c r="D3246" s="10" t="str" cm="1">
        <f t="array" ref="D3246">IF(AND(A3246="2021-01", ISNA(MATCH(B3246, _xlfn._xlws.FILTER(B:B, A:A="2021-02"), 0))), "Left", "Ativo")</f>
        <v>Ativo</v>
      </c>
      <c r="E3246" s="10" t="str" cm="1">
        <f t="array" ref="E3246">IF(AND(A3246="2021-02", ISNA(MATCH(B3246, _xlfn._xlws.FILTER(B:B, A:A="2021-03"), 0))), "Left", "Ativo")</f>
        <v>Ativo</v>
      </c>
      <c r="F3246" s="12" t="str" cm="1">
        <f t="array" ref="F3246">IF(AND(A3246="2021-03", ISNA(MATCH(B3246, _xlfn._xlws.FILTER(B:B, A:A="2021-04"), 0))), "Left", "Ativo")</f>
        <v>Ativo</v>
      </c>
    </row>
    <row r="3247" spans="1:6" x14ac:dyDescent="0.25">
      <c r="A3247" t="s">
        <v>1531</v>
      </c>
      <c r="B3247" t="s">
        <v>349</v>
      </c>
      <c r="C3247" s="10" t="str" cm="1">
        <f t="array" ref="C3247">IF(AND(A3247="2020-12", ISNA(MATCH(B3247, _xlfn._xlws.FILTER(B:B, A:A="2021-01"), 0))), "Left", "Ativo")</f>
        <v>Ativo</v>
      </c>
      <c r="D3247" s="10" t="str" cm="1">
        <f t="array" ref="D3247">IF(AND(A3247="2021-01", ISNA(MATCH(B3247, _xlfn._xlws.FILTER(B:B, A:A="2021-02"), 0))), "Left", "Ativo")</f>
        <v>Ativo</v>
      </c>
      <c r="E3247" s="10" t="str" cm="1">
        <f t="array" ref="E3247">IF(AND(A3247="2021-02", ISNA(MATCH(B3247, _xlfn._xlws.FILTER(B:B, A:A="2021-03"), 0))), "Left", "Ativo")</f>
        <v>Ativo</v>
      </c>
      <c r="F3247" s="12" t="str" cm="1">
        <f t="array" ref="F3247">IF(AND(A3247="2021-03", ISNA(MATCH(B3247, _xlfn._xlws.FILTER(B:B, A:A="2021-04"), 0))), "Left", "Ativo")</f>
        <v>Ativo</v>
      </c>
    </row>
    <row r="3248" spans="1:6" x14ac:dyDescent="0.25">
      <c r="A3248" t="s">
        <v>1531</v>
      </c>
      <c r="B3248" t="s">
        <v>350</v>
      </c>
      <c r="C3248" s="10" t="str" cm="1">
        <f t="array" ref="C3248">IF(AND(A3248="2020-12", ISNA(MATCH(B3248, _xlfn._xlws.FILTER(B:B, A:A="2021-01"), 0))), "Left", "Ativo")</f>
        <v>Ativo</v>
      </c>
      <c r="D3248" s="10" t="str" cm="1">
        <f t="array" ref="D3248">IF(AND(A3248="2021-01", ISNA(MATCH(B3248, _xlfn._xlws.FILTER(B:B, A:A="2021-02"), 0))), "Left", "Ativo")</f>
        <v>Ativo</v>
      </c>
      <c r="E3248" s="10" t="str" cm="1">
        <f t="array" ref="E3248">IF(AND(A3248="2021-02", ISNA(MATCH(B3248, _xlfn._xlws.FILTER(B:B, A:A="2021-03"), 0))), "Left", "Ativo")</f>
        <v>Ativo</v>
      </c>
      <c r="F3248" s="12" t="str" cm="1">
        <f t="array" ref="F3248">IF(AND(A3248="2021-03", ISNA(MATCH(B3248, _xlfn._xlws.FILTER(B:B, A:A="2021-04"), 0))), "Left", "Ativo")</f>
        <v>Ativo</v>
      </c>
    </row>
    <row r="3249" spans="1:6" x14ac:dyDescent="0.25">
      <c r="A3249" t="s">
        <v>1531</v>
      </c>
      <c r="B3249" t="s">
        <v>351</v>
      </c>
      <c r="C3249" s="10" t="str" cm="1">
        <f t="array" ref="C3249">IF(AND(A3249="2020-12", ISNA(MATCH(B3249, _xlfn._xlws.FILTER(B:B, A:A="2021-01"), 0))), "Left", "Ativo")</f>
        <v>Ativo</v>
      </c>
      <c r="D3249" s="10" t="str" cm="1">
        <f t="array" ref="D3249">IF(AND(A3249="2021-01", ISNA(MATCH(B3249, _xlfn._xlws.FILTER(B:B, A:A="2021-02"), 0))), "Left", "Ativo")</f>
        <v>Ativo</v>
      </c>
      <c r="E3249" s="10" t="str" cm="1">
        <f t="array" ref="E3249">IF(AND(A3249="2021-02", ISNA(MATCH(B3249, _xlfn._xlws.FILTER(B:B, A:A="2021-03"), 0))), "Left", "Ativo")</f>
        <v>Ativo</v>
      </c>
      <c r="F3249" s="12" t="str" cm="1">
        <f t="array" ref="F3249">IF(AND(A3249="2021-03", ISNA(MATCH(B3249, _xlfn._xlws.FILTER(B:B, A:A="2021-04"), 0))), "Left", "Ativo")</f>
        <v>Ativo</v>
      </c>
    </row>
    <row r="3250" spans="1:6" x14ac:dyDescent="0.25">
      <c r="A3250" t="s">
        <v>1531</v>
      </c>
      <c r="B3250" t="s">
        <v>352</v>
      </c>
      <c r="C3250" s="10" t="str" cm="1">
        <f t="array" ref="C3250">IF(AND(A3250="2020-12", ISNA(MATCH(B3250, _xlfn._xlws.FILTER(B:B, A:A="2021-01"), 0))), "Left", "Ativo")</f>
        <v>Ativo</v>
      </c>
      <c r="D3250" s="10" t="str" cm="1">
        <f t="array" ref="D3250">IF(AND(A3250="2021-01", ISNA(MATCH(B3250, _xlfn._xlws.FILTER(B:B, A:A="2021-02"), 0))), "Left", "Ativo")</f>
        <v>Ativo</v>
      </c>
      <c r="E3250" s="10" t="str" cm="1">
        <f t="array" ref="E3250">IF(AND(A3250="2021-02", ISNA(MATCH(B3250, _xlfn._xlws.FILTER(B:B, A:A="2021-03"), 0))), "Left", "Ativo")</f>
        <v>Ativo</v>
      </c>
      <c r="F3250" s="12" t="str" cm="1">
        <f t="array" ref="F3250">IF(AND(A3250="2021-03", ISNA(MATCH(B3250, _xlfn._xlws.FILTER(B:B, A:A="2021-04"), 0))), "Left", "Ativo")</f>
        <v>Ativo</v>
      </c>
    </row>
    <row r="3251" spans="1:6" x14ac:dyDescent="0.25">
      <c r="A3251" t="s">
        <v>1531</v>
      </c>
      <c r="B3251" t="s">
        <v>353</v>
      </c>
      <c r="C3251" s="10" t="str" cm="1">
        <f t="array" ref="C3251">IF(AND(A3251="2020-12", ISNA(MATCH(B3251, _xlfn._xlws.FILTER(B:B, A:A="2021-01"), 0))), "Left", "Ativo")</f>
        <v>Ativo</v>
      </c>
      <c r="D3251" s="10" t="str" cm="1">
        <f t="array" ref="D3251">IF(AND(A3251="2021-01", ISNA(MATCH(B3251, _xlfn._xlws.FILTER(B:B, A:A="2021-02"), 0))), "Left", "Ativo")</f>
        <v>Ativo</v>
      </c>
      <c r="E3251" s="10" t="str" cm="1">
        <f t="array" ref="E3251">IF(AND(A3251="2021-02", ISNA(MATCH(B3251, _xlfn._xlws.FILTER(B:B, A:A="2021-03"), 0))), "Left", "Ativo")</f>
        <v>Ativo</v>
      </c>
      <c r="F3251" s="12" t="str" cm="1">
        <f t="array" ref="F3251">IF(AND(A3251="2021-03", ISNA(MATCH(B3251, _xlfn._xlws.FILTER(B:B, A:A="2021-04"), 0))), "Left", "Ativo")</f>
        <v>Ativo</v>
      </c>
    </row>
    <row r="3252" spans="1:6" x14ac:dyDescent="0.25">
      <c r="A3252" t="s">
        <v>1531</v>
      </c>
      <c r="B3252" t="s">
        <v>354</v>
      </c>
      <c r="C3252" s="10" t="str" cm="1">
        <f t="array" ref="C3252">IF(AND(A3252="2020-12", ISNA(MATCH(B3252, _xlfn._xlws.FILTER(B:B, A:A="2021-01"), 0))), "Left", "Ativo")</f>
        <v>Ativo</v>
      </c>
      <c r="D3252" s="10" t="str" cm="1">
        <f t="array" ref="D3252">IF(AND(A3252="2021-01", ISNA(MATCH(B3252, _xlfn._xlws.FILTER(B:B, A:A="2021-02"), 0))), "Left", "Ativo")</f>
        <v>Ativo</v>
      </c>
      <c r="E3252" s="10" t="str" cm="1">
        <f t="array" ref="E3252">IF(AND(A3252="2021-02", ISNA(MATCH(B3252, _xlfn._xlws.FILTER(B:B, A:A="2021-03"), 0))), "Left", "Ativo")</f>
        <v>Ativo</v>
      </c>
      <c r="F3252" s="12" t="str" cm="1">
        <f t="array" ref="F3252">IF(AND(A3252="2021-03", ISNA(MATCH(B3252, _xlfn._xlws.FILTER(B:B, A:A="2021-04"), 0))), "Left", "Ativo")</f>
        <v>Ativo</v>
      </c>
    </row>
    <row r="3253" spans="1:6" x14ac:dyDescent="0.25">
      <c r="A3253" t="s">
        <v>1531</v>
      </c>
      <c r="B3253" t="s">
        <v>355</v>
      </c>
      <c r="C3253" s="10" t="str" cm="1">
        <f t="array" ref="C3253">IF(AND(A3253="2020-12", ISNA(MATCH(B3253, _xlfn._xlws.FILTER(B:B, A:A="2021-01"), 0))), "Left", "Ativo")</f>
        <v>Ativo</v>
      </c>
      <c r="D3253" s="10" t="str" cm="1">
        <f t="array" ref="D3253">IF(AND(A3253="2021-01", ISNA(MATCH(B3253, _xlfn._xlws.FILTER(B:B, A:A="2021-02"), 0))), "Left", "Ativo")</f>
        <v>Ativo</v>
      </c>
      <c r="E3253" s="10" t="str" cm="1">
        <f t="array" ref="E3253">IF(AND(A3253="2021-02", ISNA(MATCH(B3253, _xlfn._xlws.FILTER(B:B, A:A="2021-03"), 0))), "Left", "Ativo")</f>
        <v>Ativo</v>
      </c>
      <c r="F3253" s="12" t="str" cm="1">
        <f t="array" ref="F3253">IF(AND(A3253="2021-03", ISNA(MATCH(B3253, _xlfn._xlws.FILTER(B:B, A:A="2021-04"), 0))), "Left", "Ativo")</f>
        <v>Ativo</v>
      </c>
    </row>
    <row r="3254" spans="1:6" x14ac:dyDescent="0.25">
      <c r="A3254" t="s">
        <v>1531</v>
      </c>
      <c r="B3254" t="s">
        <v>356</v>
      </c>
      <c r="C3254" s="10" t="str" cm="1">
        <f t="array" ref="C3254">IF(AND(A3254="2020-12", ISNA(MATCH(B3254, _xlfn._xlws.FILTER(B:B, A:A="2021-01"), 0))), "Left", "Ativo")</f>
        <v>Ativo</v>
      </c>
      <c r="D3254" s="10" t="str" cm="1">
        <f t="array" ref="D3254">IF(AND(A3254="2021-01", ISNA(MATCH(B3254, _xlfn._xlws.FILTER(B:B, A:A="2021-02"), 0))), "Left", "Ativo")</f>
        <v>Ativo</v>
      </c>
      <c r="E3254" s="10" t="str" cm="1">
        <f t="array" ref="E3254">IF(AND(A3254="2021-02", ISNA(MATCH(B3254, _xlfn._xlws.FILTER(B:B, A:A="2021-03"), 0))), "Left", "Ativo")</f>
        <v>Ativo</v>
      </c>
      <c r="F3254" s="12" t="str" cm="1">
        <f t="array" ref="F3254">IF(AND(A3254="2021-03", ISNA(MATCH(B3254, _xlfn._xlws.FILTER(B:B, A:A="2021-04"), 0))), "Left", "Ativo")</f>
        <v>Ativo</v>
      </c>
    </row>
    <row r="3255" spans="1:6" x14ac:dyDescent="0.25">
      <c r="A3255" t="s">
        <v>1531</v>
      </c>
      <c r="B3255" t="s">
        <v>357</v>
      </c>
      <c r="C3255" s="10" t="str" cm="1">
        <f t="array" ref="C3255">IF(AND(A3255="2020-12", ISNA(MATCH(B3255, _xlfn._xlws.FILTER(B:B, A:A="2021-01"), 0))), "Left", "Ativo")</f>
        <v>Ativo</v>
      </c>
      <c r="D3255" s="10" t="str" cm="1">
        <f t="array" ref="D3255">IF(AND(A3255="2021-01", ISNA(MATCH(B3255, _xlfn._xlws.FILTER(B:B, A:A="2021-02"), 0))), "Left", "Ativo")</f>
        <v>Ativo</v>
      </c>
      <c r="E3255" s="10" t="str" cm="1">
        <f t="array" ref="E3255">IF(AND(A3255="2021-02", ISNA(MATCH(B3255, _xlfn._xlws.FILTER(B:B, A:A="2021-03"), 0))), "Left", "Ativo")</f>
        <v>Ativo</v>
      </c>
      <c r="F3255" s="12" t="str" cm="1">
        <f t="array" ref="F3255">IF(AND(A3255="2021-03", ISNA(MATCH(B3255, _xlfn._xlws.FILTER(B:B, A:A="2021-04"), 0))), "Left", "Ativo")</f>
        <v>Ativo</v>
      </c>
    </row>
    <row r="3256" spans="1:6" x14ac:dyDescent="0.25">
      <c r="A3256" t="s">
        <v>1531</v>
      </c>
      <c r="B3256" t="s">
        <v>358</v>
      </c>
      <c r="C3256" s="10" t="str" cm="1">
        <f t="array" ref="C3256">IF(AND(A3256="2020-12", ISNA(MATCH(B3256, _xlfn._xlws.FILTER(B:B, A:A="2021-01"), 0))), "Left", "Ativo")</f>
        <v>Ativo</v>
      </c>
      <c r="D3256" s="10" t="str" cm="1">
        <f t="array" ref="D3256">IF(AND(A3256="2021-01", ISNA(MATCH(B3256, _xlfn._xlws.FILTER(B:B, A:A="2021-02"), 0))), "Left", "Ativo")</f>
        <v>Ativo</v>
      </c>
      <c r="E3256" s="10" t="str" cm="1">
        <f t="array" ref="E3256">IF(AND(A3256="2021-02", ISNA(MATCH(B3256, _xlfn._xlws.FILTER(B:B, A:A="2021-03"), 0))), "Left", "Ativo")</f>
        <v>Ativo</v>
      </c>
      <c r="F3256" s="12" t="str" cm="1">
        <f t="array" ref="F3256">IF(AND(A3256="2021-03", ISNA(MATCH(B3256, _xlfn._xlws.FILTER(B:B, A:A="2021-04"), 0))), "Left", "Ativo")</f>
        <v>Ativo</v>
      </c>
    </row>
    <row r="3257" spans="1:6" x14ac:dyDescent="0.25">
      <c r="A3257" t="s">
        <v>1531</v>
      </c>
      <c r="B3257" t="s">
        <v>359</v>
      </c>
      <c r="C3257" s="10" t="str" cm="1">
        <f t="array" ref="C3257">IF(AND(A3257="2020-12", ISNA(MATCH(B3257, _xlfn._xlws.FILTER(B:B, A:A="2021-01"), 0))), "Left", "Ativo")</f>
        <v>Ativo</v>
      </c>
      <c r="D3257" s="10" t="str" cm="1">
        <f t="array" ref="D3257">IF(AND(A3257="2021-01", ISNA(MATCH(B3257, _xlfn._xlws.FILTER(B:B, A:A="2021-02"), 0))), "Left", "Ativo")</f>
        <v>Ativo</v>
      </c>
      <c r="E3257" s="10" t="str" cm="1">
        <f t="array" ref="E3257">IF(AND(A3257="2021-02", ISNA(MATCH(B3257, _xlfn._xlws.FILTER(B:B, A:A="2021-03"), 0))), "Left", "Ativo")</f>
        <v>Ativo</v>
      </c>
      <c r="F3257" s="12" t="str" cm="1">
        <f t="array" ref="F3257">IF(AND(A3257="2021-03", ISNA(MATCH(B3257, _xlfn._xlws.FILTER(B:B, A:A="2021-04"), 0))), "Left", "Ativo")</f>
        <v>Ativo</v>
      </c>
    </row>
    <row r="3258" spans="1:6" x14ac:dyDescent="0.25">
      <c r="A3258" t="s">
        <v>1531</v>
      </c>
      <c r="B3258" t="s">
        <v>360</v>
      </c>
      <c r="C3258" s="10" t="str" cm="1">
        <f t="array" ref="C3258">IF(AND(A3258="2020-12", ISNA(MATCH(B3258, _xlfn._xlws.FILTER(B:B, A:A="2021-01"), 0))), "Left", "Ativo")</f>
        <v>Ativo</v>
      </c>
      <c r="D3258" s="10" t="str" cm="1">
        <f t="array" ref="D3258">IF(AND(A3258="2021-01", ISNA(MATCH(B3258, _xlfn._xlws.FILTER(B:B, A:A="2021-02"), 0))), "Left", "Ativo")</f>
        <v>Ativo</v>
      </c>
      <c r="E3258" s="10" t="str" cm="1">
        <f t="array" ref="E3258">IF(AND(A3258="2021-02", ISNA(MATCH(B3258, _xlfn._xlws.FILTER(B:B, A:A="2021-03"), 0))), "Left", "Ativo")</f>
        <v>Ativo</v>
      </c>
      <c r="F3258" s="12" t="str" cm="1">
        <f t="array" ref="F3258">IF(AND(A3258="2021-03", ISNA(MATCH(B3258, _xlfn._xlws.FILTER(B:B, A:A="2021-04"), 0))), "Left", "Ativo")</f>
        <v>Ativo</v>
      </c>
    </row>
    <row r="3259" spans="1:6" x14ac:dyDescent="0.25">
      <c r="A3259" t="s">
        <v>1531</v>
      </c>
      <c r="B3259" t="s">
        <v>361</v>
      </c>
      <c r="C3259" s="10" t="str" cm="1">
        <f t="array" ref="C3259">IF(AND(A3259="2020-12", ISNA(MATCH(B3259, _xlfn._xlws.FILTER(B:B, A:A="2021-01"), 0))), "Left", "Ativo")</f>
        <v>Ativo</v>
      </c>
      <c r="D3259" s="10" t="str" cm="1">
        <f t="array" ref="D3259">IF(AND(A3259="2021-01", ISNA(MATCH(B3259, _xlfn._xlws.FILTER(B:B, A:A="2021-02"), 0))), "Left", "Ativo")</f>
        <v>Ativo</v>
      </c>
      <c r="E3259" s="10" t="str" cm="1">
        <f t="array" ref="E3259">IF(AND(A3259="2021-02", ISNA(MATCH(B3259, _xlfn._xlws.FILTER(B:B, A:A="2021-03"), 0))), "Left", "Ativo")</f>
        <v>Ativo</v>
      </c>
      <c r="F3259" s="12" t="str" cm="1">
        <f t="array" ref="F3259">IF(AND(A3259="2021-03", ISNA(MATCH(B3259, _xlfn._xlws.FILTER(B:B, A:A="2021-04"), 0))), "Left", "Ativo")</f>
        <v>Ativo</v>
      </c>
    </row>
    <row r="3260" spans="1:6" x14ac:dyDescent="0.25">
      <c r="A3260" t="s">
        <v>1531</v>
      </c>
      <c r="B3260" t="s">
        <v>362</v>
      </c>
      <c r="C3260" s="10" t="str" cm="1">
        <f t="array" ref="C3260">IF(AND(A3260="2020-12", ISNA(MATCH(B3260, _xlfn._xlws.FILTER(B:B, A:A="2021-01"), 0))), "Left", "Ativo")</f>
        <v>Ativo</v>
      </c>
      <c r="D3260" s="10" t="str" cm="1">
        <f t="array" ref="D3260">IF(AND(A3260="2021-01", ISNA(MATCH(B3260, _xlfn._xlws.FILTER(B:B, A:A="2021-02"), 0))), "Left", "Ativo")</f>
        <v>Ativo</v>
      </c>
      <c r="E3260" s="10" t="str" cm="1">
        <f t="array" ref="E3260">IF(AND(A3260="2021-02", ISNA(MATCH(B3260, _xlfn._xlws.FILTER(B:B, A:A="2021-03"), 0))), "Left", "Ativo")</f>
        <v>Ativo</v>
      </c>
      <c r="F3260" s="12" t="str" cm="1">
        <f t="array" ref="F3260">IF(AND(A3260="2021-03", ISNA(MATCH(B3260, _xlfn._xlws.FILTER(B:B, A:A="2021-04"), 0))), "Left", "Ativo")</f>
        <v>Ativo</v>
      </c>
    </row>
    <row r="3261" spans="1:6" x14ac:dyDescent="0.25">
      <c r="A3261" t="s">
        <v>1531</v>
      </c>
      <c r="B3261" t="s">
        <v>363</v>
      </c>
      <c r="C3261" s="10" t="str" cm="1">
        <f t="array" ref="C3261">IF(AND(A3261="2020-12", ISNA(MATCH(B3261, _xlfn._xlws.FILTER(B:B, A:A="2021-01"), 0))), "Left", "Ativo")</f>
        <v>Ativo</v>
      </c>
      <c r="D3261" s="10" t="str" cm="1">
        <f t="array" ref="D3261">IF(AND(A3261="2021-01", ISNA(MATCH(B3261, _xlfn._xlws.FILTER(B:B, A:A="2021-02"), 0))), "Left", "Ativo")</f>
        <v>Ativo</v>
      </c>
      <c r="E3261" s="10" t="str" cm="1">
        <f t="array" ref="E3261">IF(AND(A3261="2021-02", ISNA(MATCH(B3261, _xlfn._xlws.FILTER(B:B, A:A="2021-03"), 0))), "Left", "Ativo")</f>
        <v>Ativo</v>
      </c>
      <c r="F3261" s="12" t="str" cm="1">
        <f t="array" ref="F3261">IF(AND(A3261="2021-03", ISNA(MATCH(B3261, _xlfn._xlws.FILTER(B:B, A:A="2021-04"), 0))), "Left", "Ativo")</f>
        <v>Ativo</v>
      </c>
    </row>
    <row r="3262" spans="1:6" x14ac:dyDescent="0.25">
      <c r="A3262" t="s">
        <v>1531</v>
      </c>
      <c r="B3262" t="s">
        <v>364</v>
      </c>
      <c r="C3262" s="10" t="str" cm="1">
        <f t="array" ref="C3262">IF(AND(A3262="2020-12", ISNA(MATCH(B3262, _xlfn._xlws.FILTER(B:B, A:A="2021-01"), 0))), "Left", "Ativo")</f>
        <v>Ativo</v>
      </c>
      <c r="D3262" s="10" t="str" cm="1">
        <f t="array" ref="D3262">IF(AND(A3262="2021-01", ISNA(MATCH(B3262, _xlfn._xlws.FILTER(B:B, A:A="2021-02"), 0))), "Left", "Ativo")</f>
        <v>Ativo</v>
      </c>
      <c r="E3262" s="10" t="str" cm="1">
        <f t="array" ref="E3262">IF(AND(A3262="2021-02", ISNA(MATCH(B3262, _xlfn._xlws.FILTER(B:B, A:A="2021-03"), 0))), "Left", "Ativo")</f>
        <v>Ativo</v>
      </c>
      <c r="F3262" s="12" t="str" cm="1">
        <f t="array" ref="F3262">IF(AND(A3262="2021-03", ISNA(MATCH(B3262, _xlfn._xlws.FILTER(B:B, A:A="2021-04"), 0))), "Left", "Ativo")</f>
        <v>Ativo</v>
      </c>
    </row>
    <row r="3263" spans="1:6" x14ac:dyDescent="0.25">
      <c r="A3263" t="s">
        <v>1531</v>
      </c>
      <c r="B3263" t="s">
        <v>365</v>
      </c>
      <c r="C3263" s="10" t="str" cm="1">
        <f t="array" ref="C3263">IF(AND(A3263="2020-12", ISNA(MATCH(B3263, _xlfn._xlws.FILTER(B:B, A:A="2021-01"), 0))), "Left", "Ativo")</f>
        <v>Ativo</v>
      </c>
      <c r="D3263" s="10" t="str" cm="1">
        <f t="array" ref="D3263">IF(AND(A3263="2021-01", ISNA(MATCH(B3263, _xlfn._xlws.FILTER(B:B, A:A="2021-02"), 0))), "Left", "Ativo")</f>
        <v>Ativo</v>
      </c>
      <c r="E3263" s="10" t="str" cm="1">
        <f t="array" ref="E3263">IF(AND(A3263="2021-02", ISNA(MATCH(B3263, _xlfn._xlws.FILTER(B:B, A:A="2021-03"), 0))), "Left", "Ativo")</f>
        <v>Ativo</v>
      </c>
      <c r="F3263" s="12" t="str" cm="1">
        <f t="array" ref="F3263">IF(AND(A3263="2021-03", ISNA(MATCH(B3263, _xlfn._xlws.FILTER(B:B, A:A="2021-04"), 0))), "Left", "Ativo")</f>
        <v>Ativo</v>
      </c>
    </row>
    <row r="3264" spans="1:6" x14ac:dyDescent="0.25">
      <c r="A3264" t="s">
        <v>1531</v>
      </c>
      <c r="B3264" t="s">
        <v>366</v>
      </c>
      <c r="C3264" s="10" t="str" cm="1">
        <f t="array" ref="C3264">IF(AND(A3264="2020-12", ISNA(MATCH(B3264, _xlfn._xlws.FILTER(B:B, A:A="2021-01"), 0))), "Left", "Ativo")</f>
        <v>Ativo</v>
      </c>
      <c r="D3264" s="10" t="str" cm="1">
        <f t="array" ref="D3264">IF(AND(A3264="2021-01", ISNA(MATCH(B3264, _xlfn._xlws.FILTER(B:B, A:A="2021-02"), 0))), "Left", "Ativo")</f>
        <v>Ativo</v>
      </c>
      <c r="E3264" s="10" t="str" cm="1">
        <f t="array" ref="E3264">IF(AND(A3264="2021-02", ISNA(MATCH(B3264, _xlfn._xlws.FILTER(B:B, A:A="2021-03"), 0))), "Left", "Ativo")</f>
        <v>Ativo</v>
      </c>
      <c r="F3264" s="12" t="str" cm="1">
        <f t="array" ref="F3264">IF(AND(A3264="2021-03", ISNA(MATCH(B3264, _xlfn._xlws.FILTER(B:B, A:A="2021-04"), 0))), "Left", "Ativo")</f>
        <v>Ativo</v>
      </c>
    </row>
    <row r="3265" spans="1:6" x14ac:dyDescent="0.25">
      <c r="A3265" t="s">
        <v>1531</v>
      </c>
      <c r="B3265" t="s">
        <v>367</v>
      </c>
      <c r="C3265" s="10" t="str" cm="1">
        <f t="array" ref="C3265">IF(AND(A3265="2020-12", ISNA(MATCH(B3265, _xlfn._xlws.FILTER(B:B, A:A="2021-01"), 0))), "Left", "Ativo")</f>
        <v>Ativo</v>
      </c>
      <c r="D3265" s="10" t="str" cm="1">
        <f t="array" ref="D3265">IF(AND(A3265="2021-01", ISNA(MATCH(B3265, _xlfn._xlws.FILTER(B:B, A:A="2021-02"), 0))), "Left", "Ativo")</f>
        <v>Ativo</v>
      </c>
      <c r="E3265" s="10" t="str" cm="1">
        <f t="array" ref="E3265">IF(AND(A3265="2021-02", ISNA(MATCH(B3265, _xlfn._xlws.FILTER(B:B, A:A="2021-03"), 0))), "Left", "Ativo")</f>
        <v>Ativo</v>
      </c>
      <c r="F3265" s="12" t="str" cm="1">
        <f t="array" ref="F3265">IF(AND(A3265="2021-03", ISNA(MATCH(B3265, _xlfn._xlws.FILTER(B:B, A:A="2021-04"), 0))), "Left", "Ativo")</f>
        <v>Ativo</v>
      </c>
    </row>
    <row r="3266" spans="1:6" x14ac:dyDescent="0.25">
      <c r="A3266" t="s">
        <v>1531</v>
      </c>
      <c r="B3266" t="s">
        <v>368</v>
      </c>
      <c r="C3266" s="10" t="str" cm="1">
        <f t="array" ref="C3266">IF(AND(A3266="2020-12", ISNA(MATCH(B3266, _xlfn._xlws.FILTER(B:B, A:A="2021-01"), 0))), "Left", "Ativo")</f>
        <v>Ativo</v>
      </c>
      <c r="D3266" s="10" t="str" cm="1">
        <f t="array" ref="D3266">IF(AND(A3266="2021-01", ISNA(MATCH(B3266, _xlfn._xlws.FILTER(B:B, A:A="2021-02"), 0))), "Left", "Ativo")</f>
        <v>Ativo</v>
      </c>
      <c r="E3266" s="10" t="str" cm="1">
        <f t="array" ref="E3266">IF(AND(A3266="2021-02", ISNA(MATCH(B3266, _xlfn._xlws.FILTER(B:B, A:A="2021-03"), 0))), "Left", "Ativo")</f>
        <v>Ativo</v>
      </c>
      <c r="F3266" s="12" t="str" cm="1">
        <f t="array" ref="F3266">IF(AND(A3266="2021-03", ISNA(MATCH(B3266, _xlfn._xlws.FILTER(B:B, A:A="2021-04"), 0))), "Left", "Ativo")</f>
        <v>Ativo</v>
      </c>
    </row>
    <row r="3267" spans="1:6" x14ac:dyDescent="0.25">
      <c r="A3267" t="s">
        <v>1531</v>
      </c>
      <c r="B3267" t="s">
        <v>369</v>
      </c>
      <c r="C3267" s="10" t="str" cm="1">
        <f t="array" ref="C3267">IF(AND(A3267="2020-12", ISNA(MATCH(B3267, _xlfn._xlws.FILTER(B:B, A:A="2021-01"), 0))), "Left", "Ativo")</f>
        <v>Ativo</v>
      </c>
      <c r="D3267" s="10" t="str" cm="1">
        <f t="array" ref="D3267">IF(AND(A3267="2021-01", ISNA(MATCH(B3267, _xlfn._xlws.FILTER(B:B, A:A="2021-02"), 0))), "Left", "Ativo")</f>
        <v>Ativo</v>
      </c>
      <c r="E3267" s="10" t="str" cm="1">
        <f t="array" ref="E3267">IF(AND(A3267="2021-02", ISNA(MATCH(B3267, _xlfn._xlws.FILTER(B:B, A:A="2021-03"), 0))), "Left", "Ativo")</f>
        <v>Ativo</v>
      </c>
      <c r="F3267" s="12" t="str" cm="1">
        <f t="array" ref="F3267">IF(AND(A3267="2021-03", ISNA(MATCH(B3267, _xlfn._xlws.FILTER(B:B, A:A="2021-04"), 0))), "Left", "Ativo")</f>
        <v>Ativo</v>
      </c>
    </row>
    <row r="3268" spans="1:6" x14ac:dyDescent="0.25">
      <c r="A3268" t="s">
        <v>1531</v>
      </c>
      <c r="B3268" t="s">
        <v>370</v>
      </c>
      <c r="C3268" s="10" t="str" cm="1">
        <f t="array" ref="C3268">IF(AND(A3268="2020-12", ISNA(MATCH(B3268, _xlfn._xlws.FILTER(B:B, A:A="2021-01"), 0))), "Left", "Ativo")</f>
        <v>Ativo</v>
      </c>
      <c r="D3268" s="10" t="str" cm="1">
        <f t="array" ref="D3268">IF(AND(A3268="2021-01", ISNA(MATCH(B3268, _xlfn._xlws.FILTER(B:B, A:A="2021-02"), 0))), "Left", "Ativo")</f>
        <v>Ativo</v>
      </c>
      <c r="E3268" s="10" t="str" cm="1">
        <f t="array" ref="E3268">IF(AND(A3268="2021-02", ISNA(MATCH(B3268, _xlfn._xlws.FILTER(B:B, A:A="2021-03"), 0))), "Left", "Ativo")</f>
        <v>Ativo</v>
      </c>
      <c r="F3268" s="12" t="str" cm="1">
        <f t="array" ref="F3268">IF(AND(A3268="2021-03", ISNA(MATCH(B3268, _xlfn._xlws.FILTER(B:B, A:A="2021-04"), 0))), "Left", "Ativo")</f>
        <v>Ativo</v>
      </c>
    </row>
    <row r="3269" spans="1:6" x14ac:dyDescent="0.25">
      <c r="A3269" t="s">
        <v>1531</v>
      </c>
      <c r="B3269" t="s">
        <v>371</v>
      </c>
      <c r="C3269" s="10" t="str" cm="1">
        <f t="array" ref="C3269">IF(AND(A3269="2020-12", ISNA(MATCH(B3269, _xlfn._xlws.FILTER(B:B, A:A="2021-01"), 0))), "Left", "Ativo")</f>
        <v>Ativo</v>
      </c>
      <c r="D3269" s="10" t="str" cm="1">
        <f t="array" ref="D3269">IF(AND(A3269="2021-01", ISNA(MATCH(B3269, _xlfn._xlws.FILTER(B:B, A:A="2021-02"), 0))), "Left", "Ativo")</f>
        <v>Ativo</v>
      </c>
      <c r="E3269" s="10" t="str" cm="1">
        <f t="array" ref="E3269">IF(AND(A3269="2021-02", ISNA(MATCH(B3269, _xlfn._xlws.FILTER(B:B, A:A="2021-03"), 0))), "Left", "Ativo")</f>
        <v>Ativo</v>
      </c>
      <c r="F3269" s="12" t="str" cm="1">
        <f t="array" ref="F3269">IF(AND(A3269="2021-03", ISNA(MATCH(B3269, _xlfn._xlws.FILTER(B:B, A:A="2021-04"), 0))), "Left", "Ativo")</f>
        <v>Ativo</v>
      </c>
    </row>
    <row r="3270" spans="1:6" x14ac:dyDescent="0.25">
      <c r="A3270" t="s">
        <v>1531</v>
      </c>
      <c r="B3270" t="s">
        <v>372</v>
      </c>
      <c r="C3270" s="10" t="str" cm="1">
        <f t="array" ref="C3270">IF(AND(A3270="2020-12", ISNA(MATCH(B3270, _xlfn._xlws.FILTER(B:B, A:A="2021-01"), 0))), "Left", "Ativo")</f>
        <v>Ativo</v>
      </c>
      <c r="D3270" s="10" t="str" cm="1">
        <f t="array" ref="D3270">IF(AND(A3270="2021-01", ISNA(MATCH(B3270, _xlfn._xlws.FILTER(B:B, A:A="2021-02"), 0))), "Left", "Ativo")</f>
        <v>Ativo</v>
      </c>
      <c r="E3270" s="10" t="str" cm="1">
        <f t="array" ref="E3270">IF(AND(A3270="2021-02", ISNA(MATCH(B3270, _xlfn._xlws.FILTER(B:B, A:A="2021-03"), 0))), "Left", "Ativo")</f>
        <v>Ativo</v>
      </c>
      <c r="F3270" s="12" t="str" cm="1">
        <f t="array" ref="F3270">IF(AND(A3270="2021-03", ISNA(MATCH(B3270, _xlfn._xlws.FILTER(B:B, A:A="2021-04"), 0))), "Left", "Ativo")</f>
        <v>Ativo</v>
      </c>
    </row>
    <row r="3271" spans="1:6" x14ac:dyDescent="0.25">
      <c r="A3271" t="s">
        <v>1531</v>
      </c>
      <c r="B3271" t="s">
        <v>373</v>
      </c>
      <c r="C3271" s="10" t="str" cm="1">
        <f t="array" ref="C3271">IF(AND(A3271="2020-12", ISNA(MATCH(B3271, _xlfn._xlws.FILTER(B:B, A:A="2021-01"), 0))), "Left", "Ativo")</f>
        <v>Ativo</v>
      </c>
      <c r="D3271" s="10" t="str" cm="1">
        <f t="array" ref="D3271">IF(AND(A3271="2021-01", ISNA(MATCH(B3271, _xlfn._xlws.FILTER(B:B, A:A="2021-02"), 0))), "Left", "Ativo")</f>
        <v>Ativo</v>
      </c>
      <c r="E3271" s="10" t="str" cm="1">
        <f t="array" ref="E3271">IF(AND(A3271="2021-02", ISNA(MATCH(B3271, _xlfn._xlws.FILTER(B:B, A:A="2021-03"), 0))), "Left", "Ativo")</f>
        <v>Ativo</v>
      </c>
      <c r="F3271" s="12" t="str" cm="1">
        <f t="array" ref="F3271">IF(AND(A3271="2021-03", ISNA(MATCH(B3271, _xlfn._xlws.FILTER(B:B, A:A="2021-04"), 0))), "Left", "Ativo")</f>
        <v>Ativo</v>
      </c>
    </row>
    <row r="3272" spans="1:6" x14ac:dyDescent="0.25">
      <c r="A3272" t="s">
        <v>1531</v>
      </c>
      <c r="B3272" t="s">
        <v>374</v>
      </c>
      <c r="C3272" s="10" t="str" cm="1">
        <f t="array" ref="C3272">IF(AND(A3272="2020-12", ISNA(MATCH(B3272, _xlfn._xlws.FILTER(B:B, A:A="2021-01"), 0))), "Left", "Ativo")</f>
        <v>Ativo</v>
      </c>
      <c r="D3272" s="10" t="str" cm="1">
        <f t="array" ref="D3272">IF(AND(A3272="2021-01", ISNA(MATCH(B3272, _xlfn._xlws.FILTER(B:B, A:A="2021-02"), 0))), "Left", "Ativo")</f>
        <v>Ativo</v>
      </c>
      <c r="E3272" s="10" t="str" cm="1">
        <f t="array" ref="E3272">IF(AND(A3272="2021-02", ISNA(MATCH(B3272, _xlfn._xlws.FILTER(B:B, A:A="2021-03"), 0))), "Left", "Ativo")</f>
        <v>Ativo</v>
      </c>
      <c r="F3272" s="12" t="str" cm="1">
        <f t="array" ref="F3272">IF(AND(A3272="2021-03", ISNA(MATCH(B3272, _xlfn._xlws.FILTER(B:B, A:A="2021-04"), 0))), "Left", "Ativo")</f>
        <v>Ativo</v>
      </c>
    </row>
    <row r="3273" spans="1:6" x14ac:dyDescent="0.25">
      <c r="A3273" t="s">
        <v>1531</v>
      </c>
      <c r="B3273" t="s">
        <v>375</v>
      </c>
      <c r="C3273" s="10" t="str" cm="1">
        <f t="array" ref="C3273">IF(AND(A3273="2020-12", ISNA(MATCH(B3273, _xlfn._xlws.FILTER(B:B, A:A="2021-01"), 0))), "Left", "Ativo")</f>
        <v>Ativo</v>
      </c>
      <c r="D3273" s="10" t="str" cm="1">
        <f t="array" ref="D3273">IF(AND(A3273="2021-01", ISNA(MATCH(B3273, _xlfn._xlws.FILTER(B:B, A:A="2021-02"), 0))), "Left", "Ativo")</f>
        <v>Ativo</v>
      </c>
      <c r="E3273" s="10" t="str" cm="1">
        <f t="array" ref="E3273">IF(AND(A3273="2021-02", ISNA(MATCH(B3273, _xlfn._xlws.FILTER(B:B, A:A="2021-03"), 0))), "Left", "Ativo")</f>
        <v>Ativo</v>
      </c>
      <c r="F3273" s="12" t="str" cm="1">
        <f t="array" ref="F3273">IF(AND(A3273="2021-03", ISNA(MATCH(B3273, _xlfn._xlws.FILTER(B:B, A:A="2021-04"), 0))), "Left", "Ativo")</f>
        <v>Ativo</v>
      </c>
    </row>
    <row r="3274" spans="1:6" x14ac:dyDescent="0.25">
      <c r="A3274" t="s">
        <v>1531</v>
      </c>
      <c r="B3274" t="s">
        <v>376</v>
      </c>
      <c r="C3274" s="10" t="str" cm="1">
        <f t="array" ref="C3274">IF(AND(A3274="2020-12", ISNA(MATCH(B3274, _xlfn._xlws.FILTER(B:B, A:A="2021-01"), 0))), "Left", "Ativo")</f>
        <v>Ativo</v>
      </c>
      <c r="D3274" s="10" t="str" cm="1">
        <f t="array" ref="D3274">IF(AND(A3274="2021-01", ISNA(MATCH(B3274, _xlfn._xlws.FILTER(B:B, A:A="2021-02"), 0))), "Left", "Ativo")</f>
        <v>Ativo</v>
      </c>
      <c r="E3274" s="10" t="str" cm="1">
        <f t="array" ref="E3274">IF(AND(A3274="2021-02", ISNA(MATCH(B3274, _xlfn._xlws.FILTER(B:B, A:A="2021-03"), 0))), "Left", "Ativo")</f>
        <v>Ativo</v>
      </c>
      <c r="F3274" s="12" t="str" cm="1">
        <f t="array" ref="F3274">IF(AND(A3274="2021-03", ISNA(MATCH(B3274, _xlfn._xlws.FILTER(B:B, A:A="2021-04"), 0))), "Left", "Ativo")</f>
        <v>Ativo</v>
      </c>
    </row>
    <row r="3275" spans="1:6" x14ac:dyDescent="0.25">
      <c r="A3275" t="s">
        <v>1531</v>
      </c>
      <c r="B3275" t="s">
        <v>1007</v>
      </c>
      <c r="C3275" s="10" t="str" cm="1">
        <f t="array" ref="C3275">IF(AND(A3275="2020-12", ISNA(MATCH(B3275, _xlfn._xlws.FILTER(B:B, A:A="2021-01"), 0))), "Left", "Ativo")</f>
        <v>Ativo</v>
      </c>
      <c r="D3275" s="10" t="str" cm="1">
        <f t="array" ref="D3275">IF(AND(A3275="2021-01", ISNA(MATCH(B3275, _xlfn._xlws.FILTER(B:B, A:A="2021-02"), 0))), "Left", "Ativo")</f>
        <v>Ativo</v>
      </c>
      <c r="E3275" s="10" t="str" cm="1">
        <f t="array" ref="E3275">IF(AND(A3275="2021-02", ISNA(MATCH(B3275, _xlfn._xlws.FILTER(B:B, A:A="2021-03"), 0))), "Left", "Ativo")</f>
        <v>Ativo</v>
      </c>
      <c r="F3275" s="12" t="str" cm="1">
        <f t="array" ref="F3275">IF(AND(A3275="2021-03", ISNA(MATCH(B3275, _xlfn._xlws.FILTER(B:B, A:A="2021-04"), 0))), "Left", "Ativo")</f>
        <v>Ativo</v>
      </c>
    </row>
    <row r="3276" spans="1:6" x14ac:dyDescent="0.25">
      <c r="A3276" t="s">
        <v>1531</v>
      </c>
      <c r="B3276" t="s">
        <v>1008</v>
      </c>
      <c r="C3276" s="10" t="str" cm="1">
        <f t="array" ref="C3276">IF(AND(A3276="2020-12", ISNA(MATCH(B3276, _xlfn._xlws.FILTER(B:B, A:A="2021-01"), 0))), "Left", "Ativo")</f>
        <v>Ativo</v>
      </c>
      <c r="D3276" s="10" t="str" cm="1">
        <f t="array" ref="D3276">IF(AND(A3276="2021-01", ISNA(MATCH(B3276, _xlfn._xlws.FILTER(B:B, A:A="2021-02"), 0))), "Left", "Ativo")</f>
        <v>Ativo</v>
      </c>
      <c r="E3276" s="10" t="str" cm="1">
        <f t="array" ref="E3276">IF(AND(A3276="2021-02", ISNA(MATCH(B3276, _xlfn._xlws.FILTER(B:B, A:A="2021-03"), 0))), "Left", "Ativo")</f>
        <v>Ativo</v>
      </c>
      <c r="F3276" s="12" t="str" cm="1">
        <f t="array" ref="F3276">IF(AND(A3276="2021-03", ISNA(MATCH(B3276, _xlfn._xlws.FILTER(B:B, A:A="2021-04"), 0))), "Left", "Ativo")</f>
        <v>Ativo</v>
      </c>
    </row>
    <row r="3277" spans="1:6" x14ac:dyDescent="0.25">
      <c r="A3277" t="s">
        <v>1531</v>
      </c>
      <c r="B3277" t="s">
        <v>1009</v>
      </c>
      <c r="C3277" s="10" t="str" cm="1">
        <f t="array" ref="C3277">IF(AND(A3277="2020-12", ISNA(MATCH(B3277, _xlfn._xlws.FILTER(B:B, A:A="2021-01"), 0))), "Left", "Ativo")</f>
        <v>Ativo</v>
      </c>
      <c r="D3277" s="10" t="str" cm="1">
        <f t="array" ref="D3277">IF(AND(A3277="2021-01", ISNA(MATCH(B3277, _xlfn._xlws.FILTER(B:B, A:A="2021-02"), 0))), "Left", "Ativo")</f>
        <v>Ativo</v>
      </c>
      <c r="E3277" s="10" t="str" cm="1">
        <f t="array" ref="E3277">IF(AND(A3277="2021-02", ISNA(MATCH(B3277, _xlfn._xlws.FILTER(B:B, A:A="2021-03"), 0))), "Left", "Ativo")</f>
        <v>Ativo</v>
      </c>
      <c r="F3277" s="12" t="str" cm="1">
        <f t="array" ref="F3277">IF(AND(A3277="2021-03", ISNA(MATCH(B3277, _xlfn._xlws.FILTER(B:B, A:A="2021-04"), 0))), "Left", "Ativo")</f>
        <v>Ativo</v>
      </c>
    </row>
    <row r="3278" spans="1:6" x14ac:dyDescent="0.25">
      <c r="A3278" t="s">
        <v>1531</v>
      </c>
      <c r="B3278" t="s">
        <v>1010</v>
      </c>
      <c r="C3278" s="10" t="str" cm="1">
        <f t="array" ref="C3278">IF(AND(A3278="2020-12", ISNA(MATCH(B3278, _xlfn._xlws.FILTER(B:B, A:A="2021-01"), 0))), "Left", "Ativo")</f>
        <v>Ativo</v>
      </c>
      <c r="D3278" s="10" t="str" cm="1">
        <f t="array" ref="D3278">IF(AND(A3278="2021-01", ISNA(MATCH(B3278, _xlfn._xlws.FILTER(B:B, A:A="2021-02"), 0))), "Left", "Ativo")</f>
        <v>Ativo</v>
      </c>
      <c r="E3278" s="10" t="str" cm="1">
        <f t="array" ref="E3278">IF(AND(A3278="2021-02", ISNA(MATCH(B3278, _xlfn._xlws.FILTER(B:B, A:A="2021-03"), 0))), "Left", "Ativo")</f>
        <v>Ativo</v>
      </c>
      <c r="F3278" s="12" t="str" cm="1">
        <f t="array" ref="F3278">IF(AND(A3278="2021-03", ISNA(MATCH(B3278, _xlfn._xlws.FILTER(B:B, A:A="2021-04"), 0))), "Left", "Ativo")</f>
        <v>Ativo</v>
      </c>
    </row>
    <row r="3279" spans="1:6" x14ac:dyDescent="0.25">
      <c r="A3279" t="s">
        <v>1531</v>
      </c>
      <c r="B3279" t="s">
        <v>1011</v>
      </c>
      <c r="C3279" s="10" t="str" cm="1">
        <f t="array" ref="C3279">IF(AND(A3279="2020-12", ISNA(MATCH(B3279, _xlfn._xlws.FILTER(B:B, A:A="2021-01"), 0))), "Left", "Ativo")</f>
        <v>Ativo</v>
      </c>
      <c r="D3279" s="10" t="str" cm="1">
        <f t="array" ref="D3279">IF(AND(A3279="2021-01", ISNA(MATCH(B3279, _xlfn._xlws.FILTER(B:B, A:A="2021-02"), 0))), "Left", "Ativo")</f>
        <v>Ativo</v>
      </c>
      <c r="E3279" s="10" t="str" cm="1">
        <f t="array" ref="E3279">IF(AND(A3279="2021-02", ISNA(MATCH(B3279, _xlfn._xlws.FILTER(B:B, A:A="2021-03"), 0))), "Left", "Ativo")</f>
        <v>Ativo</v>
      </c>
      <c r="F3279" s="12" t="str" cm="1">
        <f t="array" ref="F3279">IF(AND(A3279="2021-03", ISNA(MATCH(B3279, _xlfn._xlws.FILTER(B:B, A:A="2021-04"), 0))), "Left", "Ativo")</f>
        <v>Ativo</v>
      </c>
    </row>
    <row r="3280" spans="1:6" x14ac:dyDescent="0.25">
      <c r="A3280" t="s">
        <v>1531</v>
      </c>
      <c r="B3280" t="s">
        <v>1012</v>
      </c>
      <c r="C3280" s="10" t="str" cm="1">
        <f t="array" ref="C3280">IF(AND(A3280="2020-12", ISNA(MATCH(B3280, _xlfn._xlws.FILTER(B:B, A:A="2021-01"), 0))), "Left", "Ativo")</f>
        <v>Ativo</v>
      </c>
      <c r="D3280" s="10" t="str" cm="1">
        <f t="array" ref="D3280">IF(AND(A3280="2021-01", ISNA(MATCH(B3280, _xlfn._xlws.FILTER(B:B, A:A="2021-02"), 0))), "Left", "Ativo")</f>
        <v>Ativo</v>
      </c>
      <c r="E3280" s="10" t="str" cm="1">
        <f t="array" ref="E3280">IF(AND(A3280="2021-02", ISNA(MATCH(B3280, _xlfn._xlws.FILTER(B:B, A:A="2021-03"), 0))), "Left", "Ativo")</f>
        <v>Ativo</v>
      </c>
      <c r="F3280" s="12" t="str" cm="1">
        <f t="array" ref="F3280">IF(AND(A3280="2021-03", ISNA(MATCH(B3280, _xlfn._xlws.FILTER(B:B, A:A="2021-04"), 0))), "Left", "Ativo")</f>
        <v>Ativo</v>
      </c>
    </row>
    <row r="3281" spans="1:6" x14ac:dyDescent="0.25">
      <c r="A3281" t="s">
        <v>1531</v>
      </c>
      <c r="B3281" t="s">
        <v>1013</v>
      </c>
      <c r="C3281" s="10" t="str" cm="1">
        <f t="array" ref="C3281">IF(AND(A3281="2020-12", ISNA(MATCH(B3281, _xlfn._xlws.FILTER(B:B, A:A="2021-01"), 0))), "Left", "Ativo")</f>
        <v>Ativo</v>
      </c>
      <c r="D3281" s="10" t="str" cm="1">
        <f t="array" ref="D3281">IF(AND(A3281="2021-01", ISNA(MATCH(B3281, _xlfn._xlws.FILTER(B:B, A:A="2021-02"), 0))), "Left", "Ativo")</f>
        <v>Ativo</v>
      </c>
      <c r="E3281" s="10" t="str" cm="1">
        <f t="array" ref="E3281">IF(AND(A3281="2021-02", ISNA(MATCH(B3281, _xlfn._xlws.FILTER(B:B, A:A="2021-03"), 0))), "Left", "Ativo")</f>
        <v>Ativo</v>
      </c>
      <c r="F3281" s="12" t="str" cm="1">
        <f t="array" ref="F3281">IF(AND(A3281="2021-03", ISNA(MATCH(B3281, _xlfn._xlws.FILTER(B:B, A:A="2021-04"), 0))), "Left", "Ativo")</f>
        <v>Ativo</v>
      </c>
    </row>
    <row r="3282" spans="1:6" x14ac:dyDescent="0.25">
      <c r="A3282" t="s">
        <v>1531</v>
      </c>
      <c r="B3282" t="s">
        <v>1014</v>
      </c>
      <c r="C3282" s="10" t="str" cm="1">
        <f t="array" ref="C3282">IF(AND(A3282="2020-12", ISNA(MATCH(B3282, _xlfn._xlws.FILTER(B:B, A:A="2021-01"), 0))), "Left", "Ativo")</f>
        <v>Ativo</v>
      </c>
      <c r="D3282" s="10" t="str" cm="1">
        <f t="array" ref="D3282">IF(AND(A3282="2021-01", ISNA(MATCH(B3282, _xlfn._xlws.FILTER(B:B, A:A="2021-02"), 0))), "Left", "Ativo")</f>
        <v>Ativo</v>
      </c>
      <c r="E3282" s="10" t="str" cm="1">
        <f t="array" ref="E3282">IF(AND(A3282="2021-02", ISNA(MATCH(B3282, _xlfn._xlws.FILTER(B:B, A:A="2021-03"), 0))), "Left", "Ativo")</f>
        <v>Ativo</v>
      </c>
      <c r="F3282" s="12" t="str" cm="1">
        <f t="array" ref="F3282">IF(AND(A3282="2021-03", ISNA(MATCH(B3282, _xlfn._xlws.FILTER(B:B, A:A="2021-04"), 0))), "Left", "Ativo")</f>
        <v>Ativo</v>
      </c>
    </row>
    <row r="3283" spans="1:6" x14ac:dyDescent="0.25">
      <c r="A3283" t="s">
        <v>1531</v>
      </c>
      <c r="B3283" t="s">
        <v>1015</v>
      </c>
      <c r="C3283" s="10" t="str" cm="1">
        <f t="array" ref="C3283">IF(AND(A3283="2020-12", ISNA(MATCH(B3283, _xlfn._xlws.FILTER(B:B, A:A="2021-01"), 0))), "Left", "Ativo")</f>
        <v>Ativo</v>
      </c>
      <c r="D3283" s="10" t="str" cm="1">
        <f t="array" ref="D3283">IF(AND(A3283="2021-01", ISNA(MATCH(B3283, _xlfn._xlws.FILTER(B:B, A:A="2021-02"), 0))), "Left", "Ativo")</f>
        <v>Ativo</v>
      </c>
      <c r="E3283" s="10" t="str" cm="1">
        <f t="array" ref="E3283">IF(AND(A3283="2021-02", ISNA(MATCH(B3283, _xlfn._xlws.FILTER(B:B, A:A="2021-03"), 0))), "Left", "Ativo")</f>
        <v>Ativo</v>
      </c>
      <c r="F3283" s="12" t="str" cm="1">
        <f t="array" ref="F3283">IF(AND(A3283="2021-03", ISNA(MATCH(B3283, _xlfn._xlws.FILTER(B:B, A:A="2021-04"), 0))), "Left", "Ativo")</f>
        <v>Ativo</v>
      </c>
    </row>
    <row r="3284" spans="1:6" x14ac:dyDescent="0.25">
      <c r="A3284" t="s">
        <v>1531</v>
      </c>
      <c r="B3284" t="s">
        <v>1016</v>
      </c>
      <c r="C3284" s="10" t="str" cm="1">
        <f t="array" ref="C3284">IF(AND(A3284="2020-12", ISNA(MATCH(B3284, _xlfn._xlws.FILTER(B:B, A:A="2021-01"), 0))), "Left", "Ativo")</f>
        <v>Ativo</v>
      </c>
      <c r="D3284" s="10" t="str" cm="1">
        <f t="array" ref="D3284">IF(AND(A3284="2021-01", ISNA(MATCH(B3284, _xlfn._xlws.FILTER(B:B, A:A="2021-02"), 0))), "Left", "Ativo")</f>
        <v>Ativo</v>
      </c>
      <c r="E3284" s="10" t="str" cm="1">
        <f t="array" ref="E3284">IF(AND(A3284="2021-02", ISNA(MATCH(B3284, _xlfn._xlws.FILTER(B:B, A:A="2021-03"), 0))), "Left", "Ativo")</f>
        <v>Ativo</v>
      </c>
      <c r="F3284" s="12" t="str" cm="1">
        <f t="array" ref="F3284">IF(AND(A3284="2021-03", ISNA(MATCH(B3284, _xlfn._xlws.FILTER(B:B, A:A="2021-04"), 0))), "Left", "Ativo")</f>
        <v>Ativo</v>
      </c>
    </row>
    <row r="3285" spans="1:6" x14ac:dyDescent="0.25">
      <c r="A3285" t="s">
        <v>1531</v>
      </c>
      <c r="B3285" t="s">
        <v>1017</v>
      </c>
      <c r="C3285" s="10" t="str" cm="1">
        <f t="array" ref="C3285">IF(AND(A3285="2020-12", ISNA(MATCH(B3285, _xlfn._xlws.FILTER(B:B, A:A="2021-01"), 0))), "Left", "Ativo")</f>
        <v>Ativo</v>
      </c>
      <c r="D3285" s="10" t="str" cm="1">
        <f t="array" ref="D3285">IF(AND(A3285="2021-01", ISNA(MATCH(B3285, _xlfn._xlws.FILTER(B:B, A:A="2021-02"), 0))), "Left", "Ativo")</f>
        <v>Ativo</v>
      </c>
      <c r="E3285" s="10" t="str" cm="1">
        <f t="array" ref="E3285">IF(AND(A3285="2021-02", ISNA(MATCH(B3285, _xlfn._xlws.FILTER(B:B, A:A="2021-03"), 0))), "Left", "Ativo")</f>
        <v>Ativo</v>
      </c>
      <c r="F3285" s="12" t="str" cm="1">
        <f t="array" ref="F3285">IF(AND(A3285="2021-03", ISNA(MATCH(B3285, _xlfn._xlws.FILTER(B:B, A:A="2021-04"), 0))), "Left", "Ativo")</f>
        <v>Ativo</v>
      </c>
    </row>
    <row r="3286" spans="1:6" x14ac:dyDescent="0.25">
      <c r="A3286" t="s">
        <v>1531</v>
      </c>
      <c r="B3286" t="s">
        <v>1018</v>
      </c>
      <c r="C3286" s="10" t="str" cm="1">
        <f t="array" ref="C3286">IF(AND(A3286="2020-12", ISNA(MATCH(B3286, _xlfn._xlws.FILTER(B:B, A:A="2021-01"), 0))), "Left", "Ativo")</f>
        <v>Ativo</v>
      </c>
      <c r="D3286" s="10" t="str" cm="1">
        <f t="array" ref="D3286">IF(AND(A3286="2021-01", ISNA(MATCH(B3286, _xlfn._xlws.FILTER(B:B, A:A="2021-02"), 0))), "Left", "Ativo")</f>
        <v>Ativo</v>
      </c>
      <c r="E3286" s="10" t="str" cm="1">
        <f t="array" ref="E3286">IF(AND(A3286="2021-02", ISNA(MATCH(B3286, _xlfn._xlws.FILTER(B:B, A:A="2021-03"), 0))), "Left", "Ativo")</f>
        <v>Ativo</v>
      </c>
      <c r="F3286" s="12" t="str" cm="1">
        <f t="array" ref="F3286">IF(AND(A3286="2021-03", ISNA(MATCH(B3286, _xlfn._xlws.FILTER(B:B, A:A="2021-04"), 0))), "Left", "Ativo")</f>
        <v>Ativo</v>
      </c>
    </row>
    <row r="3287" spans="1:6" x14ac:dyDescent="0.25">
      <c r="A3287" t="s">
        <v>1531</v>
      </c>
      <c r="B3287" t="s">
        <v>1019</v>
      </c>
      <c r="C3287" s="10" t="str" cm="1">
        <f t="array" ref="C3287">IF(AND(A3287="2020-12", ISNA(MATCH(B3287, _xlfn._xlws.FILTER(B:B, A:A="2021-01"), 0))), "Left", "Ativo")</f>
        <v>Ativo</v>
      </c>
      <c r="D3287" s="10" t="str" cm="1">
        <f t="array" ref="D3287">IF(AND(A3287="2021-01", ISNA(MATCH(B3287, _xlfn._xlws.FILTER(B:B, A:A="2021-02"), 0))), "Left", "Ativo")</f>
        <v>Ativo</v>
      </c>
      <c r="E3287" s="10" t="str" cm="1">
        <f t="array" ref="E3287">IF(AND(A3287="2021-02", ISNA(MATCH(B3287, _xlfn._xlws.FILTER(B:B, A:A="2021-03"), 0))), "Left", "Ativo")</f>
        <v>Ativo</v>
      </c>
      <c r="F3287" s="12" t="str" cm="1">
        <f t="array" ref="F3287">IF(AND(A3287="2021-03", ISNA(MATCH(B3287, _xlfn._xlws.FILTER(B:B, A:A="2021-04"), 0))), "Left", "Ativo")</f>
        <v>Ativo</v>
      </c>
    </row>
    <row r="3288" spans="1:6" x14ac:dyDescent="0.25">
      <c r="A3288" t="s">
        <v>1531</v>
      </c>
      <c r="B3288" t="s">
        <v>1020</v>
      </c>
      <c r="C3288" s="10" t="str" cm="1">
        <f t="array" ref="C3288">IF(AND(A3288="2020-12", ISNA(MATCH(B3288, _xlfn._xlws.FILTER(B:B, A:A="2021-01"), 0))), "Left", "Ativo")</f>
        <v>Ativo</v>
      </c>
      <c r="D3288" s="10" t="str" cm="1">
        <f t="array" ref="D3288">IF(AND(A3288="2021-01", ISNA(MATCH(B3288, _xlfn._xlws.FILTER(B:B, A:A="2021-02"), 0))), "Left", "Ativo")</f>
        <v>Ativo</v>
      </c>
      <c r="E3288" s="10" t="str" cm="1">
        <f t="array" ref="E3288">IF(AND(A3288="2021-02", ISNA(MATCH(B3288, _xlfn._xlws.FILTER(B:B, A:A="2021-03"), 0))), "Left", "Ativo")</f>
        <v>Ativo</v>
      </c>
      <c r="F3288" s="12" t="str" cm="1">
        <f t="array" ref="F3288">IF(AND(A3288="2021-03", ISNA(MATCH(B3288, _xlfn._xlws.FILTER(B:B, A:A="2021-04"), 0))), "Left", "Ativo")</f>
        <v>Ativo</v>
      </c>
    </row>
    <row r="3289" spans="1:6" x14ac:dyDescent="0.25">
      <c r="A3289" t="s">
        <v>1531</v>
      </c>
      <c r="B3289" t="s">
        <v>1021</v>
      </c>
      <c r="C3289" s="10" t="str" cm="1">
        <f t="array" ref="C3289">IF(AND(A3289="2020-12", ISNA(MATCH(B3289, _xlfn._xlws.FILTER(B:B, A:A="2021-01"), 0))), "Left", "Ativo")</f>
        <v>Ativo</v>
      </c>
      <c r="D3289" s="10" t="str" cm="1">
        <f t="array" ref="D3289">IF(AND(A3289="2021-01", ISNA(MATCH(B3289, _xlfn._xlws.FILTER(B:B, A:A="2021-02"), 0))), "Left", "Ativo")</f>
        <v>Ativo</v>
      </c>
      <c r="E3289" s="10" t="str" cm="1">
        <f t="array" ref="E3289">IF(AND(A3289="2021-02", ISNA(MATCH(B3289, _xlfn._xlws.FILTER(B:B, A:A="2021-03"), 0))), "Left", "Ativo")</f>
        <v>Ativo</v>
      </c>
      <c r="F3289" s="12" t="str" cm="1">
        <f t="array" ref="F3289">IF(AND(A3289="2021-03", ISNA(MATCH(B3289, _xlfn._xlws.FILTER(B:B, A:A="2021-04"), 0))), "Left", "Ativo")</f>
        <v>Ativo</v>
      </c>
    </row>
    <row r="3290" spans="1:6" x14ac:dyDescent="0.25">
      <c r="A3290" t="s">
        <v>1531</v>
      </c>
      <c r="B3290" t="s">
        <v>1022</v>
      </c>
      <c r="C3290" s="10" t="str" cm="1">
        <f t="array" ref="C3290">IF(AND(A3290="2020-12", ISNA(MATCH(B3290, _xlfn._xlws.FILTER(B:B, A:A="2021-01"), 0))), "Left", "Ativo")</f>
        <v>Ativo</v>
      </c>
      <c r="D3290" s="10" t="str" cm="1">
        <f t="array" ref="D3290">IF(AND(A3290="2021-01", ISNA(MATCH(B3290, _xlfn._xlws.FILTER(B:B, A:A="2021-02"), 0))), "Left", "Ativo")</f>
        <v>Ativo</v>
      </c>
      <c r="E3290" s="10" t="str" cm="1">
        <f t="array" ref="E3290">IF(AND(A3290="2021-02", ISNA(MATCH(B3290, _xlfn._xlws.FILTER(B:B, A:A="2021-03"), 0))), "Left", "Ativo")</f>
        <v>Ativo</v>
      </c>
      <c r="F3290" s="12" t="str" cm="1">
        <f t="array" ref="F3290">IF(AND(A3290="2021-03", ISNA(MATCH(B3290, _xlfn._xlws.FILTER(B:B, A:A="2021-04"), 0))), "Left", "Ativo")</f>
        <v>Ativo</v>
      </c>
    </row>
    <row r="3291" spans="1:6" x14ac:dyDescent="0.25">
      <c r="A3291" t="s">
        <v>1531</v>
      </c>
      <c r="B3291" t="s">
        <v>1023</v>
      </c>
      <c r="C3291" s="10" t="str" cm="1">
        <f t="array" ref="C3291">IF(AND(A3291="2020-12", ISNA(MATCH(B3291, _xlfn._xlws.FILTER(B:B, A:A="2021-01"), 0))), "Left", "Ativo")</f>
        <v>Ativo</v>
      </c>
      <c r="D3291" s="10" t="str" cm="1">
        <f t="array" ref="D3291">IF(AND(A3291="2021-01", ISNA(MATCH(B3291, _xlfn._xlws.FILTER(B:B, A:A="2021-02"), 0))), "Left", "Ativo")</f>
        <v>Ativo</v>
      </c>
      <c r="E3291" s="10" t="str" cm="1">
        <f t="array" ref="E3291">IF(AND(A3291="2021-02", ISNA(MATCH(B3291, _xlfn._xlws.FILTER(B:B, A:A="2021-03"), 0))), "Left", "Ativo")</f>
        <v>Ativo</v>
      </c>
      <c r="F3291" s="12" t="str" cm="1">
        <f t="array" ref="F3291">IF(AND(A3291="2021-03", ISNA(MATCH(B3291, _xlfn._xlws.FILTER(B:B, A:A="2021-04"), 0))), "Left", "Ativo")</f>
        <v>Ativo</v>
      </c>
    </row>
    <row r="3292" spans="1:6" x14ac:dyDescent="0.25">
      <c r="A3292" t="s">
        <v>1531</v>
      </c>
      <c r="B3292" t="s">
        <v>1024</v>
      </c>
      <c r="C3292" s="10" t="str" cm="1">
        <f t="array" ref="C3292">IF(AND(A3292="2020-12", ISNA(MATCH(B3292, _xlfn._xlws.FILTER(B:B, A:A="2021-01"), 0))), "Left", "Ativo")</f>
        <v>Ativo</v>
      </c>
      <c r="D3292" s="10" t="str" cm="1">
        <f t="array" ref="D3292">IF(AND(A3292="2021-01", ISNA(MATCH(B3292, _xlfn._xlws.FILTER(B:B, A:A="2021-02"), 0))), "Left", "Ativo")</f>
        <v>Ativo</v>
      </c>
      <c r="E3292" s="10" t="str" cm="1">
        <f t="array" ref="E3292">IF(AND(A3292="2021-02", ISNA(MATCH(B3292, _xlfn._xlws.FILTER(B:B, A:A="2021-03"), 0))), "Left", "Ativo")</f>
        <v>Ativo</v>
      </c>
      <c r="F3292" s="12" t="str" cm="1">
        <f t="array" ref="F3292">IF(AND(A3292="2021-03", ISNA(MATCH(B3292, _xlfn._xlws.FILTER(B:B, A:A="2021-04"), 0))), "Left", "Ativo")</f>
        <v>Ativo</v>
      </c>
    </row>
    <row r="3293" spans="1:6" x14ac:dyDescent="0.25">
      <c r="A3293" t="s">
        <v>1531</v>
      </c>
      <c r="B3293" t="s">
        <v>1025</v>
      </c>
      <c r="C3293" s="10" t="str" cm="1">
        <f t="array" ref="C3293">IF(AND(A3293="2020-12", ISNA(MATCH(B3293, _xlfn._xlws.FILTER(B:B, A:A="2021-01"), 0))), "Left", "Ativo")</f>
        <v>Ativo</v>
      </c>
      <c r="D3293" s="10" t="str" cm="1">
        <f t="array" ref="D3293">IF(AND(A3293="2021-01", ISNA(MATCH(B3293, _xlfn._xlws.FILTER(B:B, A:A="2021-02"), 0))), "Left", "Ativo")</f>
        <v>Ativo</v>
      </c>
      <c r="E3293" s="10" t="str" cm="1">
        <f t="array" ref="E3293">IF(AND(A3293="2021-02", ISNA(MATCH(B3293, _xlfn._xlws.FILTER(B:B, A:A="2021-03"), 0))), "Left", "Ativo")</f>
        <v>Ativo</v>
      </c>
      <c r="F3293" s="12" t="str" cm="1">
        <f t="array" ref="F3293">IF(AND(A3293="2021-03", ISNA(MATCH(B3293, _xlfn._xlws.FILTER(B:B, A:A="2021-04"), 0))), "Left", "Ativo")</f>
        <v>Ativo</v>
      </c>
    </row>
    <row r="3294" spans="1:6" x14ac:dyDescent="0.25">
      <c r="A3294" t="s">
        <v>1531</v>
      </c>
      <c r="B3294" t="s">
        <v>1026</v>
      </c>
      <c r="C3294" s="10" t="str" cm="1">
        <f t="array" ref="C3294">IF(AND(A3294="2020-12", ISNA(MATCH(B3294, _xlfn._xlws.FILTER(B:B, A:A="2021-01"), 0))), "Left", "Ativo")</f>
        <v>Ativo</v>
      </c>
      <c r="D3294" s="10" t="str" cm="1">
        <f t="array" ref="D3294">IF(AND(A3294="2021-01", ISNA(MATCH(B3294, _xlfn._xlws.FILTER(B:B, A:A="2021-02"), 0))), "Left", "Ativo")</f>
        <v>Ativo</v>
      </c>
      <c r="E3294" s="10" t="str" cm="1">
        <f t="array" ref="E3294">IF(AND(A3294="2021-02", ISNA(MATCH(B3294, _xlfn._xlws.FILTER(B:B, A:A="2021-03"), 0))), "Left", "Ativo")</f>
        <v>Ativo</v>
      </c>
      <c r="F3294" s="12" t="str" cm="1">
        <f t="array" ref="F3294">IF(AND(A3294="2021-03", ISNA(MATCH(B3294, _xlfn._xlws.FILTER(B:B, A:A="2021-04"), 0))), "Left", "Ativo")</f>
        <v>Ativo</v>
      </c>
    </row>
    <row r="3295" spans="1:6" x14ac:dyDescent="0.25">
      <c r="A3295" t="s">
        <v>1531</v>
      </c>
      <c r="B3295" t="s">
        <v>1027</v>
      </c>
      <c r="C3295" s="10" t="str" cm="1">
        <f t="array" ref="C3295">IF(AND(A3295="2020-12", ISNA(MATCH(B3295, _xlfn._xlws.FILTER(B:B, A:A="2021-01"), 0))), "Left", "Ativo")</f>
        <v>Ativo</v>
      </c>
      <c r="D3295" s="10" t="str" cm="1">
        <f t="array" ref="D3295">IF(AND(A3295="2021-01", ISNA(MATCH(B3295, _xlfn._xlws.FILTER(B:B, A:A="2021-02"), 0))), "Left", "Ativo")</f>
        <v>Ativo</v>
      </c>
      <c r="E3295" s="10" t="str" cm="1">
        <f t="array" ref="E3295">IF(AND(A3295="2021-02", ISNA(MATCH(B3295, _xlfn._xlws.FILTER(B:B, A:A="2021-03"), 0))), "Left", "Ativo")</f>
        <v>Ativo</v>
      </c>
      <c r="F3295" s="12" t="str" cm="1">
        <f t="array" ref="F3295">IF(AND(A3295="2021-03", ISNA(MATCH(B3295, _xlfn._xlws.FILTER(B:B, A:A="2021-04"), 0))), "Left", "Ativo")</f>
        <v>Ativo</v>
      </c>
    </row>
    <row r="3296" spans="1:6" x14ac:dyDescent="0.25">
      <c r="A3296" t="s">
        <v>1531</v>
      </c>
      <c r="B3296" t="s">
        <v>1107</v>
      </c>
      <c r="C3296" s="10" t="str" cm="1">
        <f t="array" ref="C3296">IF(AND(A3296="2020-12", ISNA(MATCH(B3296, _xlfn._xlws.FILTER(B:B, A:A="2021-01"), 0))), "Left", "Ativo")</f>
        <v>Ativo</v>
      </c>
      <c r="D3296" s="10" t="str" cm="1">
        <f t="array" ref="D3296">IF(AND(A3296="2021-01", ISNA(MATCH(B3296, _xlfn._xlws.FILTER(B:B, A:A="2021-02"), 0))), "Left", "Ativo")</f>
        <v>Ativo</v>
      </c>
      <c r="E3296" s="10" t="str" cm="1">
        <f t="array" ref="E3296">IF(AND(A3296="2021-02", ISNA(MATCH(B3296, _xlfn._xlws.FILTER(B:B, A:A="2021-03"), 0))), "Left", "Ativo")</f>
        <v>Ativo</v>
      </c>
      <c r="F3296" s="12" t="str" cm="1">
        <f t="array" ref="F3296">IF(AND(A3296="2021-03", ISNA(MATCH(B3296, _xlfn._xlws.FILTER(B:B, A:A="2021-04"), 0))), "Left", "Ativo")</f>
        <v>Ativo</v>
      </c>
    </row>
    <row r="3297" spans="1:6" x14ac:dyDescent="0.25">
      <c r="A3297" t="s">
        <v>1531</v>
      </c>
      <c r="B3297" t="s">
        <v>1108</v>
      </c>
      <c r="C3297" s="10" t="str" cm="1">
        <f t="array" ref="C3297">IF(AND(A3297="2020-12", ISNA(MATCH(B3297, _xlfn._xlws.FILTER(B:B, A:A="2021-01"), 0))), "Left", "Ativo")</f>
        <v>Ativo</v>
      </c>
      <c r="D3297" s="10" t="str" cm="1">
        <f t="array" ref="D3297">IF(AND(A3297="2021-01", ISNA(MATCH(B3297, _xlfn._xlws.FILTER(B:B, A:A="2021-02"), 0))), "Left", "Ativo")</f>
        <v>Ativo</v>
      </c>
      <c r="E3297" s="10" t="str" cm="1">
        <f t="array" ref="E3297">IF(AND(A3297="2021-02", ISNA(MATCH(B3297, _xlfn._xlws.FILTER(B:B, A:A="2021-03"), 0))), "Left", "Ativo")</f>
        <v>Ativo</v>
      </c>
      <c r="F3297" s="12" t="str" cm="1">
        <f t="array" ref="F3297">IF(AND(A3297="2021-03", ISNA(MATCH(B3297, _xlfn._xlws.FILTER(B:B, A:A="2021-04"), 0))), "Left", "Ativo")</f>
        <v>Ativo</v>
      </c>
    </row>
    <row r="3298" spans="1:6" x14ac:dyDescent="0.25">
      <c r="A3298" t="s">
        <v>1531</v>
      </c>
      <c r="B3298" t="s">
        <v>1109</v>
      </c>
      <c r="C3298" s="10" t="str" cm="1">
        <f t="array" ref="C3298">IF(AND(A3298="2020-12", ISNA(MATCH(B3298, _xlfn._xlws.FILTER(B:B, A:A="2021-01"), 0))), "Left", "Ativo")</f>
        <v>Ativo</v>
      </c>
      <c r="D3298" s="10" t="str" cm="1">
        <f t="array" ref="D3298">IF(AND(A3298="2021-01", ISNA(MATCH(B3298, _xlfn._xlws.FILTER(B:B, A:A="2021-02"), 0))), "Left", "Ativo")</f>
        <v>Ativo</v>
      </c>
      <c r="E3298" s="10" t="str" cm="1">
        <f t="array" ref="E3298">IF(AND(A3298="2021-02", ISNA(MATCH(B3298, _xlfn._xlws.FILTER(B:B, A:A="2021-03"), 0))), "Left", "Ativo")</f>
        <v>Ativo</v>
      </c>
      <c r="F3298" s="12" t="str" cm="1">
        <f t="array" ref="F3298">IF(AND(A3298="2021-03", ISNA(MATCH(B3298, _xlfn._xlws.FILTER(B:B, A:A="2021-04"), 0))), "Left", "Ativo")</f>
        <v>Ativo</v>
      </c>
    </row>
    <row r="3299" spans="1:6" x14ac:dyDescent="0.25">
      <c r="A3299" t="s">
        <v>1531</v>
      </c>
      <c r="B3299" t="s">
        <v>1110</v>
      </c>
      <c r="C3299" s="10" t="str" cm="1">
        <f t="array" ref="C3299">IF(AND(A3299="2020-12", ISNA(MATCH(B3299, _xlfn._xlws.FILTER(B:B, A:A="2021-01"), 0))), "Left", "Ativo")</f>
        <v>Ativo</v>
      </c>
      <c r="D3299" s="10" t="str" cm="1">
        <f t="array" ref="D3299">IF(AND(A3299="2021-01", ISNA(MATCH(B3299, _xlfn._xlws.FILTER(B:B, A:A="2021-02"), 0))), "Left", "Ativo")</f>
        <v>Ativo</v>
      </c>
      <c r="E3299" s="10" t="str" cm="1">
        <f t="array" ref="E3299">IF(AND(A3299="2021-02", ISNA(MATCH(B3299, _xlfn._xlws.FILTER(B:B, A:A="2021-03"), 0))), "Left", "Ativo")</f>
        <v>Ativo</v>
      </c>
      <c r="F3299" s="12" t="str" cm="1">
        <f t="array" ref="F3299">IF(AND(A3299="2021-03", ISNA(MATCH(B3299, _xlfn._xlws.FILTER(B:B, A:A="2021-04"), 0))), "Left", "Ativo")</f>
        <v>Ativo</v>
      </c>
    </row>
    <row r="3300" spans="1:6" x14ac:dyDescent="0.25">
      <c r="A3300" t="s">
        <v>1531</v>
      </c>
      <c r="B3300" t="s">
        <v>1111</v>
      </c>
      <c r="C3300" s="10" t="str" cm="1">
        <f t="array" ref="C3300">IF(AND(A3300="2020-12", ISNA(MATCH(B3300, _xlfn._xlws.FILTER(B:B, A:A="2021-01"), 0))), "Left", "Ativo")</f>
        <v>Ativo</v>
      </c>
      <c r="D3300" s="10" t="str" cm="1">
        <f t="array" ref="D3300">IF(AND(A3300="2021-01", ISNA(MATCH(B3300, _xlfn._xlws.FILTER(B:B, A:A="2021-02"), 0))), "Left", "Ativo")</f>
        <v>Ativo</v>
      </c>
      <c r="E3300" s="10" t="str" cm="1">
        <f t="array" ref="E3300">IF(AND(A3300="2021-02", ISNA(MATCH(B3300, _xlfn._xlws.FILTER(B:B, A:A="2021-03"), 0))), "Left", "Ativo")</f>
        <v>Ativo</v>
      </c>
      <c r="F3300" s="12" t="str" cm="1">
        <f t="array" ref="F3300">IF(AND(A3300="2021-03", ISNA(MATCH(B3300, _xlfn._xlws.FILTER(B:B, A:A="2021-04"), 0))), "Left", "Ativo")</f>
        <v>Ativo</v>
      </c>
    </row>
    <row r="3301" spans="1:6" x14ac:dyDescent="0.25">
      <c r="A3301" t="s">
        <v>1531</v>
      </c>
      <c r="B3301" t="s">
        <v>1112</v>
      </c>
      <c r="C3301" s="10" t="str" cm="1">
        <f t="array" ref="C3301">IF(AND(A3301="2020-12", ISNA(MATCH(B3301, _xlfn._xlws.FILTER(B:B, A:A="2021-01"), 0))), "Left", "Ativo")</f>
        <v>Ativo</v>
      </c>
      <c r="D3301" s="10" t="str" cm="1">
        <f t="array" ref="D3301">IF(AND(A3301="2021-01", ISNA(MATCH(B3301, _xlfn._xlws.FILTER(B:B, A:A="2021-02"), 0))), "Left", "Ativo")</f>
        <v>Ativo</v>
      </c>
      <c r="E3301" s="10" t="str" cm="1">
        <f t="array" ref="E3301">IF(AND(A3301="2021-02", ISNA(MATCH(B3301, _xlfn._xlws.FILTER(B:B, A:A="2021-03"), 0))), "Left", "Ativo")</f>
        <v>Ativo</v>
      </c>
      <c r="F3301" s="12" t="str" cm="1">
        <f t="array" ref="F3301">IF(AND(A3301="2021-03", ISNA(MATCH(B3301, _xlfn._xlws.FILTER(B:B, A:A="2021-04"), 0))), "Left", "Ativo")</f>
        <v>Ativo</v>
      </c>
    </row>
    <row r="3302" spans="1:6" x14ac:dyDescent="0.25">
      <c r="A3302" t="s">
        <v>1531</v>
      </c>
      <c r="B3302" t="s">
        <v>1113</v>
      </c>
      <c r="C3302" s="10" t="str" cm="1">
        <f t="array" ref="C3302">IF(AND(A3302="2020-12", ISNA(MATCH(B3302, _xlfn._xlws.FILTER(B:B, A:A="2021-01"), 0))), "Left", "Ativo")</f>
        <v>Ativo</v>
      </c>
      <c r="D3302" s="10" t="str" cm="1">
        <f t="array" ref="D3302">IF(AND(A3302="2021-01", ISNA(MATCH(B3302, _xlfn._xlws.FILTER(B:B, A:A="2021-02"), 0))), "Left", "Ativo")</f>
        <v>Ativo</v>
      </c>
      <c r="E3302" s="10" t="str" cm="1">
        <f t="array" ref="E3302">IF(AND(A3302="2021-02", ISNA(MATCH(B3302, _xlfn._xlws.FILTER(B:B, A:A="2021-03"), 0))), "Left", "Ativo")</f>
        <v>Ativo</v>
      </c>
      <c r="F3302" s="12" t="str" cm="1">
        <f t="array" ref="F3302">IF(AND(A3302="2021-03", ISNA(MATCH(B3302, _xlfn._xlws.FILTER(B:B, A:A="2021-04"), 0))), "Left", "Ativo")</f>
        <v>Ativo</v>
      </c>
    </row>
    <row r="3303" spans="1:6" x14ac:dyDescent="0.25">
      <c r="A3303" t="s">
        <v>1531</v>
      </c>
      <c r="B3303" t="s">
        <v>1114</v>
      </c>
      <c r="C3303" s="10" t="str" cm="1">
        <f t="array" ref="C3303">IF(AND(A3303="2020-12", ISNA(MATCH(B3303, _xlfn._xlws.FILTER(B:B, A:A="2021-01"), 0))), "Left", "Ativo")</f>
        <v>Ativo</v>
      </c>
      <c r="D3303" s="10" t="str" cm="1">
        <f t="array" ref="D3303">IF(AND(A3303="2021-01", ISNA(MATCH(B3303, _xlfn._xlws.FILTER(B:B, A:A="2021-02"), 0))), "Left", "Ativo")</f>
        <v>Ativo</v>
      </c>
      <c r="E3303" s="10" t="str" cm="1">
        <f t="array" ref="E3303">IF(AND(A3303="2021-02", ISNA(MATCH(B3303, _xlfn._xlws.FILTER(B:B, A:A="2021-03"), 0))), "Left", "Ativo")</f>
        <v>Ativo</v>
      </c>
      <c r="F3303" s="12" t="str" cm="1">
        <f t="array" ref="F3303">IF(AND(A3303="2021-03", ISNA(MATCH(B3303, _xlfn._xlws.FILTER(B:B, A:A="2021-04"), 0))), "Left", "Ativo")</f>
        <v>Left</v>
      </c>
    </row>
    <row r="3304" spans="1:6" x14ac:dyDescent="0.25">
      <c r="A3304" t="s">
        <v>1531</v>
      </c>
      <c r="B3304" t="s">
        <v>1115</v>
      </c>
      <c r="C3304" s="10" t="str" cm="1">
        <f t="array" ref="C3304">IF(AND(A3304="2020-12", ISNA(MATCH(B3304, _xlfn._xlws.FILTER(B:B, A:A="2021-01"), 0))), "Left", "Ativo")</f>
        <v>Ativo</v>
      </c>
      <c r="D3304" s="10" t="str" cm="1">
        <f t="array" ref="D3304">IF(AND(A3304="2021-01", ISNA(MATCH(B3304, _xlfn._xlws.FILTER(B:B, A:A="2021-02"), 0))), "Left", "Ativo")</f>
        <v>Ativo</v>
      </c>
      <c r="E3304" s="10" t="str" cm="1">
        <f t="array" ref="E3304">IF(AND(A3304="2021-02", ISNA(MATCH(B3304, _xlfn._xlws.FILTER(B:B, A:A="2021-03"), 0))), "Left", "Ativo")</f>
        <v>Ativo</v>
      </c>
      <c r="F3304" s="12" t="str" cm="1">
        <f t="array" ref="F3304">IF(AND(A3304="2021-03", ISNA(MATCH(B3304, _xlfn._xlws.FILTER(B:B, A:A="2021-04"), 0))), "Left", "Ativo")</f>
        <v>Left</v>
      </c>
    </row>
    <row r="3305" spans="1:6" x14ac:dyDescent="0.25">
      <c r="A3305" t="s">
        <v>1531</v>
      </c>
      <c r="B3305" t="s">
        <v>1116</v>
      </c>
      <c r="C3305" s="10" t="str" cm="1">
        <f t="array" ref="C3305">IF(AND(A3305="2020-12", ISNA(MATCH(B3305, _xlfn._xlws.FILTER(B:B, A:A="2021-01"), 0))), "Left", "Ativo")</f>
        <v>Ativo</v>
      </c>
      <c r="D3305" s="10" t="str" cm="1">
        <f t="array" ref="D3305">IF(AND(A3305="2021-01", ISNA(MATCH(B3305, _xlfn._xlws.FILTER(B:B, A:A="2021-02"), 0))), "Left", "Ativo")</f>
        <v>Ativo</v>
      </c>
      <c r="E3305" s="10" t="str" cm="1">
        <f t="array" ref="E3305">IF(AND(A3305="2021-02", ISNA(MATCH(B3305, _xlfn._xlws.FILTER(B:B, A:A="2021-03"), 0))), "Left", "Ativo")</f>
        <v>Ativo</v>
      </c>
      <c r="F3305" s="12" t="str" cm="1">
        <f t="array" ref="F3305">IF(AND(A3305="2021-03", ISNA(MATCH(B3305, _xlfn._xlws.FILTER(B:B, A:A="2021-04"), 0))), "Left", "Ativo")</f>
        <v>Ativo</v>
      </c>
    </row>
    <row r="3306" spans="1:6" x14ac:dyDescent="0.25">
      <c r="A3306" t="s">
        <v>1531</v>
      </c>
      <c r="B3306" t="s">
        <v>1117</v>
      </c>
      <c r="C3306" s="10" t="str" cm="1">
        <f t="array" ref="C3306">IF(AND(A3306="2020-12", ISNA(MATCH(B3306, _xlfn._xlws.FILTER(B:B, A:A="2021-01"), 0))), "Left", "Ativo")</f>
        <v>Ativo</v>
      </c>
      <c r="D3306" s="10" t="str" cm="1">
        <f t="array" ref="D3306">IF(AND(A3306="2021-01", ISNA(MATCH(B3306, _xlfn._xlws.FILTER(B:B, A:A="2021-02"), 0))), "Left", "Ativo")</f>
        <v>Ativo</v>
      </c>
      <c r="E3306" s="10" t="str" cm="1">
        <f t="array" ref="E3306">IF(AND(A3306="2021-02", ISNA(MATCH(B3306, _xlfn._xlws.FILTER(B:B, A:A="2021-03"), 0))), "Left", "Ativo")</f>
        <v>Ativo</v>
      </c>
      <c r="F3306" s="12" t="str" cm="1">
        <f t="array" ref="F3306">IF(AND(A3306="2021-03", ISNA(MATCH(B3306, _xlfn._xlws.FILTER(B:B, A:A="2021-04"), 0))), "Left", "Ativo")</f>
        <v>Ativo</v>
      </c>
    </row>
    <row r="3307" spans="1:6" x14ac:dyDescent="0.25">
      <c r="A3307" t="s">
        <v>1531</v>
      </c>
      <c r="B3307" t="s">
        <v>1118</v>
      </c>
      <c r="C3307" s="10" t="str" cm="1">
        <f t="array" ref="C3307">IF(AND(A3307="2020-12", ISNA(MATCH(B3307, _xlfn._xlws.FILTER(B:B, A:A="2021-01"), 0))), "Left", "Ativo")</f>
        <v>Ativo</v>
      </c>
      <c r="D3307" s="10" t="str" cm="1">
        <f t="array" ref="D3307">IF(AND(A3307="2021-01", ISNA(MATCH(B3307, _xlfn._xlws.FILTER(B:B, A:A="2021-02"), 0))), "Left", "Ativo")</f>
        <v>Ativo</v>
      </c>
      <c r="E3307" s="10" t="str" cm="1">
        <f t="array" ref="E3307">IF(AND(A3307="2021-02", ISNA(MATCH(B3307, _xlfn._xlws.FILTER(B:B, A:A="2021-03"), 0))), "Left", "Ativo")</f>
        <v>Ativo</v>
      </c>
      <c r="F3307" s="12" t="str" cm="1">
        <f t="array" ref="F3307">IF(AND(A3307="2021-03", ISNA(MATCH(B3307, _xlfn._xlws.FILTER(B:B, A:A="2021-04"), 0))), "Left", "Ativo")</f>
        <v>Ativo</v>
      </c>
    </row>
    <row r="3308" spans="1:6" x14ac:dyDescent="0.25">
      <c r="A3308" t="s">
        <v>1531</v>
      </c>
      <c r="B3308" t="s">
        <v>387</v>
      </c>
      <c r="C3308" s="10" t="str" cm="1">
        <f t="array" ref="C3308">IF(AND(A3308="2020-12", ISNA(MATCH(B3308, _xlfn._xlws.FILTER(B:B, A:A="2021-01"), 0))), "Left", "Ativo")</f>
        <v>Ativo</v>
      </c>
      <c r="D3308" s="10" t="str" cm="1">
        <f t="array" ref="D3308">IF(AND(A3308="2021-01", ISNA(MATCH(B3308, _xlfn._xlws.FILTER(B:B, A:A="2021-02"), 0))), "Left", "Ativo")</f>
        <v>Ativo</v>
      </c>
      <c r="E3308" s="10" t="str" cm="1">
        <f t="array" ref="E3308">IF(AND(A3308="2021-02", ISNA(MATCH(B3308, _xlfn._xlws.FILTER(B:B, A:A="2021-03"), 0))), "Left", "Ativo")</f>
        <v>Ativo</v>
      </c>
      <c r="F3308" s="12" t="str" cm="1">
        <f t="array" ref="F3308">IF(AND(A3308="2021-03", ISNA(MATCH(B3308, _xlfn._xlws.FILTER(B:B, A:A="2021-04"), 0))), "Left", "Ativo")</f>
        <v>Ativo</v>
      </c>
    </row>
    <row r="3309" spans="1:6" x14ac:dyDescent="0.25">
      <c r="A3309" t="s">
        <v>1531</v>
      </c>
      <c r="B3309" t="s">
        <v>388</v>
      </c>
      <c r="C3309" s="10" t="str" cm="1">
        <f t="array" ref="C3309">IF(AND(A3309="2020-12", ISNA(MATCH(B3309, _xlfn._xlws.FILTER(B:B, A:A="2021-01"), 0))), "Left", "Ativo")</f>
        <v>Ativo</v>
      </c>
      <c r="D3309" s="10" t="str" cm="1">
        <f t="array" ref="D3309">IF(AND(A3309="2021-01", ISNA(MATCH(B3309, _xlfn._xlws.FILTER(B:B, A:A="2021-02"), 0))), "Left", "Ativo")</f>
        <v>Ativo</v>
      </c>
      <c r="E3309" s="10" t="str" cm="1">
        <f t="array" ref="E3309">IF(AND(A3309="2021-02", ISNA(MATCH(B3309, _xlfn._xlws.FILTER(B:B, A:A="2021-03"), 0))), "Left", "Ativo")</f>
        <v>Ativo</v>
      </c>
      <c r="F3309" s="12" t="str" cm="1">
        <f t="array" ref="F3309">IF(AND(A3309="2021-03", ISNA(MATCH(B3309, _xlfn._xlws.FILTER(B:B, A:A="2021-04"), 0))), "Left", "Ativo")</f>
        <v>Ativo</v>
      </c>
    </row>
    <row r="3310" spans="1:6" x14ac:dyDescent="0.25">
      <c r="A3310" t="s">
        <v>1531</v>
      </c>
      <c r="B3310" t="s">
        <v>389</v>
      </c>
      <c r="C3310" s="10" t="str" cm="1">
        <f t="array" ref="C3310">IF(AND(A3310="2020-12", ISNA(MATCH(B3310, _xlfn._xlws.FILTER(B:B, A:A="2021-01"), 0))), "Left", "Ativo")</f>
        <v>Ativo</v>
      </c>
      <c r="D3310" s="10" t="str" cm="1">
        <f t="array" ref="D3310">IF(AND(A3310="2021-01", ISNA(MATCH(B3310, _xlfn._xlws.FILTER(B:B, A:A="2021-02"), 0))), "Left", "Ativo")</f>
        <v>Ativo</v>
      </c>
      <c r="E3310" s="10" t="str" cm="1">
        <f t="array" ref="E3310">IF(AND(A3310="2021-02", ISNA(MATCH(B3310, _xlfn._xlws.FILTER(B:B, A:A="2021-03"), 0))), "Left", "Ativo")</f>
        <v>Ativo</v>
      </c>
      <c r="F3310" s="12" t="str" cm="1">
        <f t="array" ref="F3310">IF(AND(A3310="2021-03", ISNA(MATCH(B3310, _xlfn._xlws.FILTER(B:B, A:A="2021-04"), 0))), "Left", "Ativo")</f>
        <v>Ativo</v>
      </c>
    </row>
    <row r="3311" spans="1:6" x14ac:dyDescent="0.25">
      <c r="A3311" t="s">
        <v>1531</v>
      </c>
      <c r="B3311" t="s">
        <v>394</v>
      </c>
      <c r="C3311" s="10" t="str" cm="1">
        <f t="array" ref="C3311">IF(AND(A3311="2020-12", ISNA(MATCH(B3311, _xlfn._xlws.FILTER(B:B, A:A="2021-01"), 0))), "Left", "Ativo")</f>
        <v>Ativo</v>
      </c>
      <c r="D3311" s="10" t="str" cm="1">
        <f t="array" ref="D3311">IF(AND(A3311="2021-01", ISNA(MATCH(B3311, _xlfn._xlws.FILTER(B:B, A:A="2021-02"), 0))), "Left", "Ativo")</f>
        <v>Ativo</v>
      </c>
      <c r="E3311" s="10" t="str" cm="1">
        <f t="array" ref="E3311">IF(AND(A3311="2021-02", ISNA(MATCH(B3311, _xlfn._xlws.FILTER(B:B, A:A="2021-03"), 0))), "Left", "Ativo")</f>
        <v>Ativo</v>
      </c>
      <c r="F3311" s="12" t="str" cm="1">
        <f t="array" ref="F3311">IF(AND(A3311="2021-03", ISNA(MATCH(B3311, _xlfn._xlws.FILTER(B:B, A:A="2021-04"), 0))), "Left", "Ativo")</f>
        <v>Ativo</v>
      </c>
    </row>
    <row r="3312" spans="1:6" x14ac:dyDescent="0.25">
      <c r="A3312" t="s">
        <v>1531</v>
      </c>
      <c r="B3312" t="s">
        <v>395</v>
      </c>
      <c r="C3312" s="10" t="str" cm="1">
        <f t="array" ref="C3312">IF(AND(A3312="2020-12", ISNA(MATCH(B3312, _xlfn._xlws.FILTER(B:B, A:A="2021-01"), 0))), "Left", "Ativo")</f>
        <v>Ativo</v>
      </c>
      <c r="D3312" s="10" t="str" cm="1">
        <f t="array" ref="D3312">IF(AND(A3312="2021-01", ISNA(MATCH(B3312, _xlfn._xlws.FILTER(B:B, A:A="2021-02"), 0))), "Left", "Ativo")</f>
        <v>Ativo</v>
      </c>
      <c r="E3312" s="10" t="str" cm="1">
        <f t="array" ref="E3312">IF(AND(A3312="2021-02", ISNA(MATCH(B3312, _xlfn._xlws.FILTER(B:B, A:A="2021-03"), 0))), "Left", "Ativo")</f>
        <v>Ativo</v>
      </c>
      <c r="F3312" s="12" t="str" cm="1">
        <f t="array" ref="F3312">IF(AND(A3312="2021-03", ISNA(MATCH(B3312, _xlfn._xlws.FILTER(B:B, A:A="2021-04"), 0))), "Left", "Ativo")</f>
        <v>Ativo</v>
      </c>
    </row>
    <row r="3313" spans="1:6" x14ac:dyDescent="0.25">
      <c r="A3313" t="s">
        <v>1531</v>
      </c>
      <c r="B3313" t="s">
        <v>396</v>
      </c>
      <c r="C3313" s="10" t="str" cm="1">
        <f t="array" ref="C3313">IF(AND(A3313="2020-12", ISNA(MATCH(B3313, _xlfn._xlws.FILTER(B:B, A:A="2021-01"), 0))), "Left", "Ativo")</f>
        <v>Ativo</v>
      </c>
      <c r="D3313" s="10" t="str" cm="1">
        <f t="array" ref="D3313">IF(AND(A3313="2021-01", ISNA(MATCH(B3313, _xlfn._xlws.FILTER(B:B, A:A="2021-02"), 0))), "Left", "Ativo")</f>
        <v>Ativo</v>
      </c>
      <c r="E3313" s="10" t="str" cm="1">
        <f t="array" ref="E3313">IF(AND(A3313="2021-02", ISNA(MATCH(B3313, _xlfn._xlws.FILTER(B:B, A:A="2021-03"), 0))), "Left", "Ativo")</f>
        <v>Ativo</v>
      </c>
      <c r="F3313" s="12" t="str" cm="1">
        <f t="array" ref="F3313">IF(AND(A3313="2021-03", ISNA(MATCH(B3313, _xlfn._xlws.FILTER(B:B, A:A="2021-04"), 0))), "Left", "Ativo")</f>
        <v>Ativo</v>
      </c>
    </row>
    <row r="3314" spans="1:6" x14ac:dyDescent="0.25">
      <c r="A3314" t="s">
        <v>1531</v>
      </c>
      <c r="B3314" t="s">
        <v>397</v>
      </c>
      <c r="C3314" s="10" t="str" cm="1">
        <f t="array" ref="C3314">IF(AND(A3314="2020-12", ISNA(MATCH(B3314, _xlfn._xlws.FILTER(B:B, A:A="2021-01"), 0))), "Left", "Ativo")</f>
        <v>Ativo</v>
      </c>
      <c r="D3314" s="10" t="str" cm="1">
        <f t="array" ref="D3314">IF(AND(A3314="2021-01", ISNA(MATCH(B3314, _xlfn._xlws.FILTER(B:B, A:A="2021-02"), 0))), "Left", "Ativo")</f>
        <v>Ativo</v>
      </c>
      <c r="E3314" s="10" t="str" cm="1">
        <f t="array" ref="E3314">IF(AND(A3314="2021-02", ISNA(MATCH(B3314, _xlfn._xlws.FILTER(B:B, A:A="2021-03"), 0))), "Left", "Ativo")</f>
        <v>Ativo</v>
      </c>
      <c r="F3314" s="12" t="str" cm="1">
        <f t="array" ref="F3314">IF(AND(A3314="2021-03", ISNA(MATCH(B3314, _xlfn._xlws.FILTER(B:B, A:A="2021-04"), 0))), "Left", "Ativo")</f>
        <v>Ativo</v>
      </c>
    </row>
    <row r="3315" spans="1:6" x14ac:dyDescent="0.25">
      <c r="A3315" t="s">
        <v>1531</v>
      </c>
      <c r="B3315" t="s">
        <v>398</v>
      </c>
      <c r="C3315" s="10" t="str" cm="1">
        <f t="array" ref="C3315">IF(AND(A3315="2020-12", ISNA(MATCH(B3315, _xlfn._xlws.FILTER(B:B, A:A="2021-01"), 0))), "Left", "Ativo")</f>
        <v>Ativo</v>
      </c>
      <c r="D3315" s="10" t="str" cm="1">
        <f t="array" ref="D3315">IF(AND(A3315="2021-01", ISNA(MATCH(B3315, _xlfn._xlws.FILTER(B:B, A:A="2021-02"), 0))), "Left", "Ativo")</f>
        <v>Ativo</v>
      </c>
      <c r="E3315" s="10" t="str" cm="1">
        <f t="array" ref="E3315">IF(AND(A3315="2021-02", ISNA(MATCH(B3315, _xlfn._xlws.FILTER(B:B, A:A="2021-03"), 0))), "Left", "Ativo")</f>
        <v>Ativo</v>
      </c>
      <c r="F3315" s="12" t="str" cm="1">
        <f t="array" ref="F3315">IF(AND(A3315="2021-03", ISNA(MATCH(B3315, _xlfn._xlws.FILTER(B:B, A:A="2021-04"), 0))), "Left", "Ativo")</f>
        <v>Ativo</v>
      </c>
    </row>
    <row r="3316" spans="1:6" x14ac:dyDescent="0.25">
      <c r="A3316" t="s">
        <v>1531</v>
      </c>
      <c r="B3316" t="s">
        <v>399</v>
      </c>
      <c r="C3316" s="10" t="str" cm="1">
        <f t="array" ref="C3316">IF(AND(A3316="2020-12", ISNA(MATCH(B3316, _xlfn._xlws.FILTER(B:B, A:A="2021-01"), 0))), "Left", "Ativo")</f>
        <v>Ativo</v>
      </c>
      <c r="D3316" s="10" t="str" cm="1">
        <f t="array" ref="D3316">IF(AND(A3316="2021-01", ISNA(MATCH(B3316, _xlfn._xlws.FILTER(B:B, A:A="2021-02"), 0))), "Left", "Ativo")</f>
        <v>Ativo</v>
      </c>
      <c r="E3316" s="10" t="str" cm="1">
        <f t="array" ref="E3316">IF(AND(A3316="2021-02", ISNA(MATCH(B3316, _xlfn._xlws.FILTER(B:B, A:A="2021-03"), 0))), "Left", "Ativo")</f>
        <v>Ativo</v>
      </c>
      <c r="F3316" s="12" t="str" cm="1">
        <f t="array" ref="F3316">IF(AND(A3316="2021-03", ISNA(MATCH(B3316, _xlfn._xlws.FILTER(B:B, A:A="2021-04"), 0))), "Left", "Ativo")</f>
        <v>Ativo</v>
      </c>
    </row>
    <row r="3317" spans="1:6" x14ac:dyDescent="0.25">
      <c r="A3317" t="s">
        <v>1531</v>
      </c>
      <c r="B3317" t="s">
        <v>400</v>
      </c>
      <c r="C3317" s="10" t="str" cm="1">
        <f t="array" ref="C3317">IF(AND(A3317="2020-12", ISNA(MATCH(B3317, _xlfn._xlws.FILTER(B:B, A:A="2021-01"), 0))), "Left", "Ativo")</f>
        <v>Ativo</v>
      </c>
      <c r="D3317" s="10" t="str" cm="1">
        <f t="array" ref="D3317">IF(AND(A3317="2021-01", ISNA(MATCH(B3317, _xlfn._xlws.FILTER(B:B, A:A="2021-02"), 0))), "Left", "Ativo")</f>
        <v>Ativo</v>
      </c>
      <c r="E3317" s="10" t="str" cm="1">
        <f t="array" ref="E3317">IF(AND(A3317="2021-02", ISNA(MATCH(B3317, _xlfn._xlws.FILTER(B:B, A:A="2021-03"), 0))), "Left", "Ativo")</f>
        <v>Ativo</v>
      </c>
      <c r="F3317" s="12" t="str" cm="1">
        <f t="array" ref="F3317">IF(AND(A3317="2021-03", ISNA(MATCH(B3317, _xlfn._xlws.FILTER(B:B, A:A="2021-04"), 0))), "Left", "Ativo")</f>
        <v>Ativo</v>
      </c>
    </row>
    <row r="3318" spans="1:6" x14ac:dyDescent="0.25">
      <c r="A3318" t="s">
        <v>1531</v>
      </c>
      <c r="B3318" t="s">
        <v>401</v>
      </c>
      <c r="C3318" s="10" t="str" cm="1">
        <f t="array" ref="C3318">IF(AND(A3318="2020-12", ISNA(MATCH(B3318, _xlfn._xlws.FILTER(B:B, A:A="2021-01"), 0))), "Left", "Ativo")</f>
        <v>Ativo</v>
      </c>
      <c r="D3318" s="10" t="str" cm="1">
        <f t="array" ref="D3318">IF(AND(A3318="2021-01", ISNA(MATCH(B3318, _xlfn._xlws.FILTER(B:B, A:A="2021-02"), 0))), "Left", "Ativo")</f>
        <v>Ativo</v>
      </c>
      <c r="E3318" s="10" t="str" cm="1">
        <f t="array" ref="E3318">IF(AND(A3318="2021-02", ISNA(MATCH(B3318, _xlfn._xlws.FILTER(B:B, A:A="2021-03"), 0))), "Left", "Ativo")</f>
        <v>Ativo</v>
      </c>
      <c r="F3318" s="12" t="str" cm="1">
        <f t="array" ref="F3318">IF(AND(A3318="2021-03", ISNA(MATCH(B3318, _xlfn._xlws.FILTER(B:B, A:A="2021-04"), 0))), "Left", "Ativo")</f>
        <v>Ativo</v>
      </c>
    </row>
    <row r="3319" spans="1:6" x14ac:dyDescent="0.25">
      <c r="A3319" t="s">
        <v>1531</v>
      </c>
      <c r="B3319" t="s">
        <v>402</v>
      </c>
      <c r="C3319" s="10" t="str" cm="1">
        <f t="array" ref="C3319">IF(AND(A3319="2020-12", ISNA(MATCH(B3319, _xlfn._xlws.FILTER(B:B, A:A="2021-01"), 0))), "Left", "Ativo")</f>
        <v>Ativo</v>
      </c>
      <c r="D3319" s="10" t="str" cm="1">
        <f t="array" ref="D3319">IF(AND(A3319="2021-01", ISNA(MATCH(B3319, _xlfn._xlws.FILTER(B:B, A:A="2021-02"), 0))), "Left", "Ativo")</f>
        <v>Ativo</v>
      </c>
      <c r="E3319" s="10" t="str" cm="1">
        <f t="array" ref="E3319">IF(AND(A3319="2021-02", ISNA(MATCH(B3319, _xlfn._xlws.FILTER(B:B, A:A="2021-03"), 0))), "Left", "Ativo")</f>
        <v>Ativo</v>
      </c>
      <c r="F3319" s="12" t="str" cm="1">
        <f t="array" ref="F3319">IF(AND(A3319="2021-03", ISNA(MATCH(B3319, _xlfn._xlws.FILTER(B:B, A:A="2021-04"), 0))), "Left", "Ativo")</f>
        <v>Ativo</v>
      </c>
    </row>
    <row r="3320" spans="1:6" x14ac:dyDescent="0.25">
      <c r="A3320" t="s">
        <v>1531</v>
      </c>
      <c r="B3320" t="s">
        <v>403</v>
      </c>
      <c r="C3320" s="10" t="str" cm="1">
        <f t="array" ref="C3320">IF(AND(A3320="2020-12", ISNA(MATCH(B3320, _xlfn._xlws.FILTER(B:B, A:A="2021-01"), 0))), "Left", "Ativo")</f>
        <v>Ativo</v>
      </c>
      <c r="D3320" s="10" t="str" cm="1">
        <f t="array" ref="D3320">IF(AND(A3320="2021-01", ISNA(MATCH(B3320, _xlfn._xlws.FILTER(B:B, A:A="2021-02"), 0))), "Left", "Ativo")</f>
        <v>Ativo</v>
      </c>
      <c r="E3320" s="10" t="str" cm="1">
        <f t="array" ref="E3320">IF(AND(A3320="2021-02", ISNA(MATCH(B3320, _xlfn._xlws.FILTER(B:B, A:A="2021-03"), 0))), "Left", "Ativo")</f>
        <v>Ativo</v>
      </c>
      <c r="F3320" s="12" t="str" cm="1">
        <f t="array" ref="F3320">IF(AND(A3320="2021-03", ISNA(MATCH(B3320, _xlfn._xlws.FILTER(B:B, A:A="2021-04"), 0))), "Left", "Ativo")</f>
        <v>Ativo</v>
      </c>
    </row>
    <row r="3321" spans="1:6" x14ac:dyDescent="0.25">
      <c r="A3321" t="s">
        <v>1531</v>
      </c>
      <c r="B3321" t="s">
        <v>404</v>
      </c>
      <c r="C3321" s="10" t="str" cm="1">
        <f t="array" ref="C3321">IF(AND(A3321="2020-12", ISNA(MATCH(B3321, _xlfn._xlws.FILTER(B:B, A:A="2021-01"), 0))), "Left", "Ativo")</f>
        <v>Ativo</v>
      </c>
      <c r="D3321" s="10" t="str" cm="1">
        <f t="array" ref="D3321">IF(AND(A3321="2021-01", ISNA(MATCH(B3321, _xlfn._xlws.FILTER(B:B, A:A="2021-02"), 0))), "Left", "Ativo")</f>
        <v>Ativo</v>
      </c>
      <c r="E3321" s="10" t="str" cm="1">
        <f t="array" ref="E3321">IF(AND(A3321="2021-02", ISNA(MATCH(B3321, _xlfn._xlws.FILTER(B:B, A:A="2021-03"), 0))), "Left", "Ativo")</f>
        <v>Ativo</v>
      </c>
      <c r="F3321" s="12" t="str" cm="1">
        <f t="array" ref="F3321">IF(AND(A3321="2021-03", ISNA(MATCH(B3321, _xlfn._xlws.FILTER(B:B, A:A="2021-04"), 0))), "Left", "Ativo")</f>
        <v>Ativo</v>
      </c>
    </row>
    <row r="3322" spans="1:6" x14ac:dyDescent="0.25">
      <c r="A3322" t="s">
        <v>1531</v>
      </c>
      <c r="B3322" t="s">
        <v>405</v>
      </c>
      <c r="C3322" s="10" t="str" cm="1">
        <f t="array" ref="C3322">IF(AND(A3322="2020-12", ISNA(MATCH(B3322, _xlfn._xlws.FILTER(B:B, A:A="2021-01"), 0))), "Left", "Ativo")</f>
        <v>Ativo</v>
      </c>
      <c r="D3322" s="10" t="str" cm="1">
        <f t="array" ref="D3322">IF(AND(A3322="2021-01", ISNA(MATCH(B3322, _xlfn._xlws.FILTER(B:B, A:A="2021-02"), 0))), "Left", "Ativo")</f>
        <v>Ativo</v>
      </c>
      <c r="E3322" s="10" t="str" cm="1">
        <f t="array" ref="E3322">IF(AND(A3322="2021-02", ISNA(MATCH(B3322, _xlfn._xlws.FILTER(B:B, A:A="2021-03"), 0))), "Left", "Ativo")</f>
        <v>Ativo</v>
      </c>
      <c r="F3322" s="12" t="str" cm="1">
        <f t="array" ref="F3322">IF(AND(A3322="2021-03", ISNA(MATCH(B3322, _xlfn._xlws.FILTER(B:B, A:A="2021-04"), 0))), "Left", "Ativo")</f>
        <v>Ativo</v>
      </c>
    </row>
    <row r="3323" spans="1:6" x14ac:dyDescent="0.25">
      <c r="A3323" t="s">
        <v>1531</v>
      </c>
      <c r="B3323" t="s">
        <v>406</v>
      </c>
      <c r="C3323" s="10" t="str" cm="1">
        <f t="array" ref="C3323">IF(AND(A3323="2020-12", ISNA(MATCH(B3323, _xlfn._xlws.FILTER(B:B, A:A="2021-01"), 0))), "Left", "Ativo")</f>
        <v>Ativo</v>
      </c>
      <c r="D3323" s="10" t="str" cm="1">
        <f t="array" ref="D3323">IF(AND(A3323="2021-01", ISNA(MATCH(B3323, _xlfn._xlws.FILTER(B:B, A:A="2021-02"), 0))), "Left", "Ativo")</f>
        <v>Ativo</v>
      </c>
      <c r="E3323" s="10" t="str" cm="1">
        <f t="array" ref="E3323">IF(AND(A3323="2021-02", ISNA(MATCH(B3323, _xlfn._xlws.FILTER(B:B, A:A="2021-03"), 0))), "Left", "Ativo")</f>
        <v>Ativo</v>
      </c>
      <c r="F3323" s="12" t="str" cm="1">
        <f t="array" ref="F3323">IF(AND(A3323="2021-03", ISNA(MATCH(B3323, _xlfn._xlws.FILTER(B:B, A:A="2021-04"), 0))), "Left", "Ativo")</f>
        <v>Ativo</v>
      </c>
    </row>
    <row r="3324" spans="1:6" x14ac:dyDescent="0.25">
      <c r="A3324" t="s">
        <v>1531</v>
      </c>
      <c r="B3324" t="s">
        <v>407</v>
      </c>
      <c r="C3324" s="10" t="str" cm="1">
        <f t="array" ref="C3324">IF(AND(A3324="2020-12", ISNA(MATCH(B3324, _xlfn._xlws.FILTER(B:B, A:A="2021-01"), 0))), "Left", "Ativo")</f>
        <v>Ativo</v>
      </c>
      <c r="D3324" s="10" t="str" cm="1">
        <f t="array" ref="D3324">IF(AND(A3324="2021-01", ISNA(MATCH(B3324, _xlfn._xlws.FILTER(B:B, A:A="2021-02"), 0))), "Left", "Ativo")</f>
        <v>Ativo</v>
      </c>
      <c r="E3324" s="10" t="str" cm="1">
        <f t="array" ref="E3324">IF(AND(A3324="2021-02", ISNA(MATCH(B3324, _xlfn._xlws.FILTER(B:B, A:A="2021-03"), 0))), "Left", "Ativo")</f>
        <v>Ativo</v>
      </c>
      <c r="F3324" s="12" t="str" cm="1">
        <f t="array" ref="F3324">IF(AND(A3324="2021-03", ISNA(MATCH(B3324, _xlfn._xlws.FILTER(B:B, A:A="2021-04"), 0))), "Left", "Ativo")</f>
        <v>Ativo</v>
      </c>
    </row>
    <row r="3325" spans="1:6" x14ac:dyDescent="0.25">
      <c r="A3325" t="s">
        <v>1531</v>
      </c>
      <c r="B3325" t="s">
        <v>408</v>
      </c>
      <c r="C3325" s="10" t="str" cm="1">
        <f t="array" ref="C3325">IF(AND(A3325="2020-12", ISNA(MATCH(B3325, _xlfn._xlws.FILTER(B:B, A:A="2021-01"), 0))), "Left", "Ativo")</f>
        <v>Ativo</v>
      </c>
      <c r="D3325" s="10" t="str" cm="1">
        <f t="array" ref="D3325">IF(AND(A3325="2021-01", ISNA(MATCH(B3325, _xlfn._xlws.FILTER(B:B, A:A="2021-02"), 0))), "Left", "Ativo")</f>
        <v>Ativo</v>
      </c>
      <c r="E3325" s="10" t="str" cm="1">
        <f t="array" ref="E3325">IF(AND(A3325="2021-02", ISNA(MATCH(B3325, _xlfn._xlws.FILTER(B:B, A:A="2021-03"), 0))), "Left", "Ativo")</f>
        <v>Ativo</v>
      </c>
      <c r="F3325" s="12" t="str" cm="1">
        <f t="array" ref="F3325">IF(AND(A3325="2021-03", ISNA(MATCH(B3325, _xlfn._xlws.FILTER(B:B, A:A="2021-04"), 0))), "Left", "Ativo")</f>
        <v>Ativo</v>
      </c>
    </row>
    <row r="3326" spans="1:6" x14ac:dyDescent="0.25">
      <c r="A3326" t="s">
        <v>1531</v>
      </c>
      <c r="B3326" t="s">
        <v>409</v>
      </c>
      <c r="C3326" s="10" t="str" cm="1">
        <f t="array" ref="C3326">IF(AND(A3326="2020-12", ISNA(MATCH(B3326, _xlfn._xlws.FILTER(B:B, A:A="2021-01"), 0))), "Left", "Ativo")</f>
        <v>Ativo</v>
      </c>
      <c r="D3326" s="10" t="str" cm="1">
        <f t="array" ref="D3326">IF(AND(A3326="2021-01", ISNA(MATCH(B3326, _xlfn._xlws.FILTER(B:B, A:A="2021-02"), 0))), "Left", "Ativo")</f>
        <v>Ativo</v>
      </c>
      <c r="E3326" s="10" t="str" cm="1">
        <f t="array" ref="E3326">IF(AND(A3326="2021-02", ISNA(MATCH(B3326, _xlfn._xlws.FILTER(B:B, A:A="2021-03"), 0))), "Left", "Ativo")</f>
        <v>Ativo</v>
      </c>
      <c r="F3326" s="12" t="str" cm="1">
        <f t="array" ref="F3326">IF(AND(A3326="2021-03", ISNA(MATCH(B3326, _xlfn._xlws.FILTER(B:B, A:A="2021-04"), 0))), "Left", "Ativo")</f>
        <v>Ativo</v>
      </c>
    </row>
    <row r="3327" spans="1:6" x14ac:dyDescent="0.25">
      <c r="A3327" t="s">
        <v>1531</v>
      </c>
      <c r="B3327" t="s">
        <v>410</v>
      </c>
      <c r="C3327" s="10" t="str" cm="1">
        <f t="array" ref="C3327">IF(AND(A3327="2020-12", ISNA(MATCH(B3327, _xlfn._xlws.FILTER(B:B, A:A="2021-01"), 0))), "Left", "Ativo")</f>
        <v>Ativo</v>
      </c>
      <c r="D3327" s="10" t="str" cm="1">
        <f t="array" ref="D3327">IF(AND(A3327="2021-01", ISNA(MATCH(B3327, _xlfn._xlws.FILTER(B:B, A:A="2021-02"), 0))), "Left", "Ativo")</f>
        <v>Ativo</v>
      </c>
      <c r="E3327" s="10" t="str" cm="1">
        <f t="array" ref="E3327">IF(AND(A3327="2021-02", ISNA(MATCH(B3327, _xlfn._xlws.FILTER(B:B, A:A="2021-03"), 0))), "Left", "Ativo")</f>
        <v>Ativo</v>
      </c>
      <c r="F3327" s="12" t="str" cm="1">
        <f t="array" ref="F3327">IF(AND(A3327="2021-03", ISNA(MATCH(B3327, _xlfn._xlws.FILTER(B:B, A:A="2021-04"), 0))), "Left", "Ativo")</f>
        <v>Ativo</v>
      </c>
    </row>
    <row r="3328" spans="1:6" x14ac:dyDescent="0.25">
      <c r="A3328" t="s">
        <v>1531</v>
      </c>
      <c r="B3328" t="s">
        <v>411</v>
      </c>
      <c r="C3328" s="10" t="str" cm="1">
        <f t="array" ref="C3328">IF(AND(A3328="2020-12", ISNA(MATCH(B3328, _xlfn._xlws.FILTER(B:B, A:A="2021-01"), 0))), "Left", "Ativo")</f>
        <v>Ativo</v>
      </c>
      <c r="D3328" s="10" t="str" cm="1">
        <f t="array" ref="D3328">IF(AND(A3328="2021-01", ISNA(MATCH(B3328, _xlfn._xlws.FILTER(B:B, A:A="2021-02"), 0))), "Left", "Ativo")</f>
        <v>Ativo</v>
      </c>
      <c r="E3328" s="10" t="str" cm="1">
        <f t="array" ref="E3328">IF(AND(A3328="2021-02", ISNA(MATCH(B3328, _xlfn._xlws.FILTER(B:B, A:A="2021-03"), 0))), "Left", "Ativo")</f>
        <v>Ativo</v>
      </c>
      <c r="F3328" s="12" t="str" cm="1">
        <f t="array" ref="F3328">IF(AND(A3328="2021-03", ISNA(MATCH(B3328, _xlfn._xlws.FILTER(B:B, A:A="2021-04"), 0))), "Left", "Ativo")</f>
        <v>Ativo</v>
      </c>
    </row>
    <row r="3329" spans="1:6" x14ac:dyDescent="0.25">
      <c r="A3329" t="s">
        <v>1531</v>
      </c>
      <c r="B3329" t="s">
        <v>412</v>
      </c>
      <c r="C3329" s="10" t="str" cm="1">
        <f t="array" ref="C3329">IF(AND(A3329="2020-12", ISNA(MATCH(B3329, _xlfn._xlws.FILTER(B:B, A:A="2021-01"), 0))), "Left", "Ativo")</f>
        <v>Ativo</v>
      </c>
      <c r="D3329" s="10" t="str" cm="1">
        <f t="array" ref="D3329">IF(AND(A3329="2021-01", ISNA(MATCH(B3329, _xlfn._xlws.FILTER(B:B, A:A="2021-02"), 0))), "Left", "Ativo")</f>
        <v>Ativo</v>
      </c>
      <c r="E3329" s="10" t="str" cm="1">
        <f t="array" ref="E3329">IF(AND(A3329="2021-02", ISNA(MATCH(B3329, _xlfn._xlws.FILTER(B:B, A:A="2021-03"), 0))), "Left", "Ativo")</f>
        <v>Ativo</v>
      </c>
      <c r="F3329" s="12" t="str" cm="1">
        <f t="array" ref="F3329">IF(AND(A3329="2021-03", ISNA(MATCH(B3329, _xlfn._xlws.FILTER(B:B, A:A="2021-04"), 0))), "Left", "Ativo")</f>
        <v>Ativo</v>
      </c>
    </row>
    <row r="3330" spans="1:6" x14ac:dyDescent="0.25">
      <c r="A3330" t="s">
        <v>1531</v>
      </c>
      <c r="B3330" t="s">
        <v>413</v>
      </c>
      <c r="C3330" s="10" t="str" cm="1">
        <f t="array" ref="C3330">IF(AND(A3330="2020-12", ISNA(MATCH(B3330, _xlfn._xlws.FILTER(B:B, A:A="2021-01"), 0))), "Left", "Ativo")</f>
        <v>Ativo</v>
      </c>
      <c r="D3330" s="10" t="str" cm="1">
        <f t="array" ref="D3330">IF(AND(A3330="2021-01", ISNA(MATCH(B3330, _xlfn._xlws.FILTER(B:B, A:A="2021-02"), 0))), "Left", "Ativo")</f>
        <v>Ativo</v>
      </c>
      <c r="E3330" s="10" t="str" cm="1">
        <f t="array" ref="E3330">IF(AND(A3330="2021-02", ISNA(MATCH(B3330, _xlfn._xlws.FILTER(B:B, A:A="2021-03"), 0))), "Left", "Ativo")</f>
        <v>Ativo</v>
      </c>
      <c r="F3330" s="12" t="str" cm="1">
        <f t="array" ref="F3330">IF(AND(A3330="2021-03", ISNA(MATCH(B3330, _xlfn._xlws.FILTER(B:B, A:A="2021-04"), 0))), "Left", "Ativo")</f>
        <v>Left</v>
      </c>
    </row>
    <row r="3331" spans="1:6" x14ac:dyDescent="0.25">
      <c r="A3331" t="s">
        <v>1531</v>
      </c>
      <c r="B3331" t="s">
        <v>414</v>
      </c>
      <c r="C3331" s="10" t="str" cm="1">
        <f t="array" ref="C3331">IF(AND(A3331="2020-12", ISNA(MATCH(B3331, _xlfn._xlws.FILTER(B:B, A:A="2021-01"), 0))), "Left", "Ativo")</f>
        <v>Ativo</v>
      </c>
      <c r="D3331" s="10" t="str" cm="1">
        <f t="array" ref="D3331">IF(AND(A3331="2021-01", ISNA(MATCH(B3331, _xlfn._xlws.FILTER(B:B, A:A="2021-02"), 0))), "Left", "Ativo")</f>
        <v>Ativo</v>
      </c>
      <c r="E3331" s="10" t="str" cm="1">
        <f t="array" ref="E3331">IF(AND(A3331="2021-02", ISNA(MATCH(B3331, _xlfn._xlws.FILTER(B:B, A:A="2021-03"), 0))), "Left", "Ativo")</f>
        <v>Ativo</v>
      </c>
      <c r="F3331" s="12" t="str" cm="1">
        <f t="array" ref="F3331">IF(AND(A3331="2021-03", ISNA(MATCH(B3331, _xlfn._xlws.FILTER(B:B, A:A="2021-04"), 0))), "Left", "Ativo")</f>
        <v>Left</v>
      </c>
    </row>
    <row r="3332" spans="1:6" x14ac:dyDescent="0.25">
      <c r="A3332" t="s">
        <v>1531</v>
      </c>
      <c r="B3332" t="s">
        <v>415</v>
      </c>
      <c r="C3332" s="10" t="str" cm="1">
        <f t="array" ref="C3332">IF(AND(A3332="2020-12", ISNA(MATCH(B3332, _xlfn._xlws.FILTER(B:B, A:A="2021-01"), 0))), "Left", "Ativo")</f>
        <v>Ativo</v>
      </c>
      <c r="D3332" s="10" t="str" cm="1">
        <f t="array" ref="D3332">IF(AND(A3332="2021-01", ISNA(MATCH(B3332, _xlfn._xlws.FILTER(B:B, A:A="2021-02"), 0))), "Left", "Ativo")</f>
        <v>Ativo</v>
      </c>
      <c r="E3332" s="10" t="str" cm="1">
        <f t="array" ref="E3332">IF(AND(A3332="2021-02", ISNA(MATCH(B3332, _xlfn._xlws.FILTER(B:B, A:A="2021-03"), 0))), "Left", "Ativo")</f>
        <v>Ativo</v>
      </c>
      <c r="F3332" s="12" t="str" cm="1">
        <f t="array" ref="F3332">IF(AND(A3332="2021-03", ISNA(MATCH(B3332, _xlfn._xlws.FILTER(B:B, A:A="2021-04"), 0))), "Left", "Ativo")</f>
        <v>Left</v>
      </c>
    </row>
    <row r="3333" spans="1:6" x14ac:dyDescent="0.25">
      <c r="A3333" t="s">
        <v>1531</v>
      </c>
      <c r="B3333" t="s">
        <v>416</v>
      </c>
      <c r="C3333" s="10" t="str" cm="1">
        <f t="array" ref="C3333">IF(AND(A3333="2020-12", ISNA(MATCH(B3333, _xlfn._xlws.FILTER(B:B, A:A="2021-01"), 0))), "Left", "Ativo")</f>
        <v>Ativo</v>
      </c>
      <c r="D3333" s="10" t="str" cm="1">
        <f t="array" ref="D3333">IF(AND(A3333="2021-01", ISNA(MATCH(B3333, _xlfn._xlws.FILTER(B:B, A:A="2021-02"), 0))), "Left", "Ativo")</f>
        <v>Ativo</v>
      </c>
      <c r="E3333" s="10" t="str" cm="1">
        <f t="array" ref="E3333">IF(AND(A3333="2021-02", ISNA(MATCH(B3333, _xlfn._xlws.FILTER(B:B, A:A="2021-03"), 0))), "Left", "Ativo")</f>
        <v>Ativo</v>
      </c>
      <c r="F3333" s="12" t="str" cm="1">
        <f t="array" ref="F3333">IF(AND(A3333="2021-03", ISNA(MATCH(B3333, _xlfn._xlws.FILTER(B:B, A:A="2021-04"), 0))), "Left", "Ativo")</f>
        <v>Left</v>
      </c>
    </row>
    <row r="3334" spans="1:6" x14ac:dyDescent="0.25">
      <c r="A3334" t="s">
        <v>1531</v>
      </c>
      <c r="B3334" t="s">
        <v>417</v>
      </c>
      <c r="C3334" s="10" t="str" cm="1">
        <f t="array" ref="C3334">IF(AND(A3334="2020-12", ISNA(MATCH(B3334, _xlfn._xlws.FILTER(B:B, A:A="2021-01"), 0))), "Left", "Ativo")</f>
        <v>Ativo</v>
      </c>
      <c r="D3334" s="10" t="str" cm="1">
        <f t="array" ref="D3334">IF(AND(A3334="2021-01", ISNA(MATCH(B3334, _xlfn._xlws.FILTER(B:B, A:A="2021-02"), 0))), "Left", "Ativo")</f>
        <v>Ativo</v>
      </c>
      <c r="E3334" s="10" t="str" cm="1">
        <f t="array" ref="E3334">IF(AND(A3334="2021-02", ISNA(MATCH(B3334, _xlfn._xlws.FILTER(B:B, A:A="2021-03"), 0))), "Left", "Ativo")</f>
        <v>Ativo</v>
      </c>
      <c r="F3334" s="12" t="str" cm="1">
        <f t="array" ref="F3334">IF(AND(A3334="2021-03", ISNA(MATCH(B3334, _xlfn._xlws.FILTER(B:B, A:A="2021-04"), 0))), "Left", "Ativo")</f>
        <v>Left</v>
      </c>
    </row>
    <row r="3335" spans="1:6" x14ac:dyDescent="0.25">
      <c r="A3335" t="s">
        <v>1531</v>
      </c>
      <c r="B3335" t="s">
        <v>418</v>
      </c>
      <c r="C3335" s="10" t="str" cm="1">
        <f t="array" ref="C3335">IF(AND(A3335="2020-12", ISNA(MATCH(B3335, _xlfn._xlws.FILTER(B:B, A:A="2021-01"), 0))), "Left", "Ativo")</f>
        <v>Ativo</v>
      </c>
      <c r="D3335" s="10" t="str" cm="1">
        <f t="array" ref="D3335">IF(AND(A3335="2021-01", ISNA(MATCH(B3335, _xlfn._xlws.FILTER(B:B, A:A="2021-02"), 0))), "Left", "Ativo")</f>
        <v>Ativo</v>
      </c>
      <c r="E3335" s="10" t="str" cm="1">
        <f t="array" ref="E3335">IF(AND(A3335="2021-02", ISNA(MATCH(B3335, _xlfn._xlws.FILTER(B:B, A:A="2021-03"), 0))), "Left", "Ativo")</f>
        <v>Ativo</v>
      </c>
      <c r="F3335" s="12" t="str" cm="1">
        <f t="array" ref="F3335">IF(AND(A3335="2021-03", ISNA(MATCH(B3335, _xlfn._xlws.FILTER(B:B, A:A="2021-04"), 0))), "Left", "Ativo")</f>
        <v>Ativo</v>
      </c>
    </row>
    <row r="3336" spans="1:6" x14ac:dyDescent="0.25">
      <c r="A3336" t="s">
        <v>1531</v>
      </c>
      <c r="B3336" t="s">
        <v>419</v>
      </c>
      <c r="C3336" s="10" t="str" cm="1">
        <f t="array" ref="C3336">IF(AND(A3336="2020-12", ISNA(MATCH(B3336, _xlfn._xlws.FILTER(B:B, A:A="2021-01"), 0))), "Left", "Ativo")</f>
        <v>Ativo</v>
      </c>
      <c r="D3336" s="10" t="str" cm="1">
        <f t="array" ref="D3336">IF(AND(A3336="2021-01", ISNA(MATCH(B3336, _xlfn._xlws.FILTER(B:B, A:A="2021-02"), 0))), "Left", "Ativo")</f>
        <v>Ativo</v>
      </c>
      <c r="E3336" s="10" t="str" cm="1">
        <f t="array" ref="E3336">IF(AND(A3336="2021-02", ISNA(MATCH(B3336, _xlfn._xlws.FILTER(B:B, A:A="2021-03"), 0))), "Left", "Ativo")</f>
        <v>Ativo</v>
      </c>
      <c r="F3336" s="12" t="str" cm="1">
        <f t="array" ref="F3336">IF(AND(A3336="2021-03", ISNA(MATCH(B3336, _xlfn._xlws.FILTER(B:B, A:A="2021-04"), 0))), "Left", "Ativo")</f>
        <v>Ativo</v>
      </c>
    </row>
    <row r="3337" spans="1:6" x14ac:dyDescent="0.25">
      <c r="A3337" t="s">
        <v>1531</v>
      </c>
      <c r="B3337" t="s">
        <v>420</v>
      </c>
      <c r="C3337" s="10" t="str" cm="1">
        <f t="array" ref="C3337">IF(AND(A3337="2020-12", ISNA(MATCH(B3337, _xlfn._xlws.FILTER(B:B, A:A="2021-01"), 0))), "Left", "Ativo")</f>
        <v>Ativo</v>
      </c>
      <c r="D3337" s="10" t="str" cm="1">
        <f t="array" ref="D3337">IF(AND(A3337="2021-01", ISNA(MATCH(B3337, _xlfn._xlws.FILTER(B:B, A:A="2021-02"), 0))), "Left", "Ativo")</f>
        <v>Ativo</v>
      </c>
      <c r="E3337" s="10" t="str" cm="1">
        <f t="array" ref="E3337">IF(AND(A3337="2021-02", ISNA(MATCH(B3337, _xlfn._xlws.FILTER(B:B, A:A="2021-03"), 0))), "Left", "Ativo")</f>
        <v>Ativo</v>
      </c>
      <c r="F3337" s="12" t="str" cm="1">
        <f t="array" ref="F3337">IF(AND(A3337="2021-03", ISNA(MATCH(B3337, _xlfn._xlws.FILTER(B:B, A:A="2021-04"), 0))), "Left", "Ativo")</f>
        <v>Ativo</v>
      </c>
    </row>
    <row r="3338" spans="1:6" x14ac:dyDescent="0.25">
      <c r="A3338" t="s">
        <v>1531</v>
      </c>
      <c r="B3338" t="s">
        <v>421</v>
      </c>
      <c r="C3338" s="10" t="str" cm="1">
        <f t="array" ref="C3338">IF(AND(A3338="2020-12", ISNA(MATCH(B3338, _xlfn._xlws.FILTER(B:B, A:A="2021-01"), 0))), "Left", "Ativo")</f>
        <v>Ativo</v>
      </c>
      <c r="D3338" s="10" t="str" cm="1">
        <f t="array" ref="D3338">IF(AND(A3338="2021-01", ISNA(MATCH(B3338, _xlfn._xlws.FILTER(B:B, A:A="2021-02"), 0))), "Left", "Ativo")</f>
        <v>Ativo</v>
      </c>
      <c r="E3338" s="10" t="str" cm="1">
        <f t="array" ref="E3338">IF(AND(A3338="2021-02", ISNA(MATCH(B3338, _xlfn._xlws.FILTER(B:B, A:A="2021-03"), 0))), "Left", "Ativo")</f>
        <v>Ativo</v>
      </c>
      <c r="F3338" s="12" t="str" cm="1">
        <f t="array" ref="F3338">IF(AND(A3338="2021-03", ISNA(MATCH(B3338, _xlfn._xlws.FILTER(B:B, A:A="2021-04"), 0))), "Left", "Ativo")</f>
        <v>Ativo</v>
      </c>
    </row>
    <row r="3339" spans="1:6" x14ac:dyDescent="0.25">
      <c r="A3339" t="s">
        <v>1531</v>
      </c>
      <c r="B3339" t="s">
        <v>1119</v>
      </c>
      <c r="C3339" s="10" t="str" cm="1">
        <f t="array" ref="C3339">IF(AND(A3339="2020-12", ISNA(MATCH(B3339, _xlfn._xlws.FILTER(B:B, A:A="2021-01"), 0))), "Left", "Ativo")</f>
        <v>Ativo</v>
      </c>
      <c r="D3339" s="10" t="str" cm="1">
        <f t="array" ref="D3339">IF(AND(A3339="2021-01", ISNA(MATCH(B3339, _xlfn._xlws.FILTER(B:B, A:A="2021-02"), 0))), "Left", "Ativo")</f>
        <v>Ativo</v>
      </c>
      <c r="E3339" s="10" t="str" cm="1">
        <f t="array" ref="E3339">IF(AND(A3339="2021-02", ISNA(MATCH(B3339, _xlfn._xlws.FILTER(B:B, A:A="2021-03"), 0))), "Left", "Ativo")</f>
        <v>Ativo</v>
      </c>
      <c r="F3339" s="12" t="str" cm="1">
        <f t="array" ref="F3339">IF(AND(A3339="2021-03", ISNA(MATCH(B3339, _xlfn._xlws.FILTER(B:B, A:A="2021-04"), 0))), "Left", "Ativo")</f>
        <v>Left</v>
      </c>
    </row>
    <row r="3340" spans="1:6" x14ac:dyDescent="0.25">
      <c r="A3340" t="s">
        <v>1531</v>
      </c>
      <c r="B3340" t="s">
        <v>423</v>
      </c>
      <c r="C3340" s="10" t="str" cm="1">
        <f t="array" ref="C3340">IF(AND(A3340="2020-12", ISNA(MATCH(B3340, _xlfn._xlws.FILTER(B:B, A:A="2021-01"), 0))), "Left", "Ativo")</f>
        <v>Ativo</v>
      </c>
      <c r="D3340" s="10" t="str" cm="1">
        <f t="array" ref="D3340">IF(AND(A3340="2021-01", ISNA(MATCH(B3340, _xlfn._xlws.FILTER(B:B, A:A="2021-02"), 0))), "Left", "Ativo")</f>
        <v>Ativo</v>
      </c>
      <c r="E3340" s="10" t="str" cm="1">
        <f t="array" ref="E3340">IF(AND(A3340="2021-02", ISNA(MATCH(B3340, _xlfn._xlws.FILTER(B:B, A:A="2021-03"), 0))), "Left", "Ativo")</f>
        <v>Ativo</v>
      </c>
      <c r="F3340" s="12" t="str" cm="1">
        <f t="array" ref="F3340">IF(AND(A3340="2021-03", ISNA(MATCH(B3340, _xlfn._xlws.FILTER(B:B, A:A="2021-04"), 0))), "Left", "Ativo")</f>
        <v>Ativo</v>
      </c>
    </row>
    <row r="3341" spans="1:6" x14ac:dyDescent="0.25">
      <c r="A3341" t="s">
        <v>1531</v>
      </c>
      <c r="B3341" t="s">
        <v>424</v>
      </c>
      <c r="C3341" s="10" t="str" cm="1">
        <f t="array" ref="C3341">IF(AND(A3341="2020-12", ISNA(MATCH(B3341, _xlfn._xlws.FILTER(B:B, A:A="2021-01"), 0))), "Left", "Ativo")</f>
        <v>Ativo</v>
      </c>
      <c r="D3341" s="10" t="str" cm="1">
        <f t="array" ref="D3341">IF(AND(A3341="2021-01", ISNA(MATCH(B3341, _xlfn._xlws.FILTER(B:B, A:A="2021-02"), 0))), "Left", "Ativo")</f>
        <v>Ativo</v>
      </c>
      <c r="E3341" s="10" t="str" cm="1">
        <f t="array" ref="E3341">IF(AND(A3341="2021-02", ISNA(MATCH(B3341, _xlfn._xlws.FILTER(B:B, A:A="2021-03"), 0))), "Left", "Ativo")</f>
        <v>Ativo</v>
      </c>
      <c r="F3341" s="12" t="str" cm="1">
        <f t="array" ref="F3341">IF(AND(A3341="2021-03", ISNA(MATCH(B3341, _xlfn._xlws.FILTER(B:B, A:A="2021-04"), 0))), "Left", "Ativo")</f>
        <v>Ativo</v>
      </c>
    </row>
    <row r="3342" spans="1:6" x14ac:dyDescent="0.25">
      <c r="A3342" t="s">
        <v>1531</v>
      </c>
      <c r="B3342" t="s">
        <v>427</v>
      </c>
      <c r="C3342" s="10" t="str" cm="1">
        <f t="array" ref="C3342">IF(AND(A3342="2020-12", ISNA(MATCH(B3342, _xlfn._xlws.FILTER(B:B, A:A="2021-01"), 0))), "Left", "Ativo")</f>
        <v>Ativo</v>
      </c>
      <c r="D3342" s="10" t="str" cm="1">
        <f t="array" ref="D3342">IF(AND(A3342="2021-01", ISNA(MATCH(B3342, _xlfn._xlws.FILTER(B:B, A:A="2021-02"), 0))), "Left", "Ativo")</f>
        <v>Ativo</v>
      </c>
      <c r="E3342" s="10" t="str" cm="1">
        <f t="array" ref="E3342">IF(AND(A3342="2021-02", ISNA(MATCH(B3342, _xlfn._xlws.FILTER(B:B, A:A="2021-03"), 0))), "Left", "Ativo")</f>
        <v>Ativo</v>
      </c>
      <c r="F3342" s="12" t="str" cm="1">
        <f t="array" ref="F3342">IF(AND(A3342="2021-03", ISNA(MATCH(B3342, _xlfn._xlws.FILTER(B:B, A:A="2021-04"), 0))), "Left", "Ativo")</f>
        <v>Ativo</v>
      </c>
    </row>
    <row r="3343" spans="1:6" x14ac:dyDescent="0.25">
      <c r="A3343" t="s">
        <v>1531</v>
      </c>
      <c r="B3343" t="s">
        <v>428</v>
      </c>
      <c r="C3343" s="10" t="str" cm="1">
        <f t="array" ref="C3343">IF(AND(A3343="2020-12", ISNA(MATCH(B3343, _xlfn._xlws.FILTER(B:B, A:A="2021-01"), 0))), "Left", "Ativo")</f>
        <v>Ativo</v>
      </c>
      <c r="D3343" s="10" t="str" cm="1">
        <f t="array" ref="D3343">IF(AND(A3343="2021-01", ISNA(MATCH(B3343, _xlfn._xlws.FILTER(B:B, A:A="2021-02"), 0))), "Left", "Ativo")</f>
        <v>Ativo</v>
      </c>
      <c r="E3343" s="10" t="str" cm="1">
        <f t="array" ref="E3343">IF(AND(A3343="2021-02", ISNA(MATCH(B3343, _xlfn._xlws.FILTER(B:B, A:A="2021-03"), 0))), "Left", "Ativo")</f>
        <v>Ativo</v>
      </c>
      <c r="F3343" s="12" t="str" cm="1">
        <f t="array" ref="F3343">IF(AND(A3343="2021-03", ISNA(MATCH(B3343, _xlfn._xlws.FILTER(B:B, A:A="2021-04"), 0))), "Left", "Ativo")</f>
        <v>Ativo</v>
      </c>
    </row>
    <row r="3344" spans="1:6" x14ac:dyDescent="0.25">
      <c r="A3344" t="s">
        <v>1531</v>
      </c>
      <c r="B3344" t="s">
        <v>429</v>
      </c>
      <c r="C3344" s="10" t="str" cm="1">
        <f t="array" ref="C3344">IF(AND(A3344="2020-12", ISNA(MATCH(B3344, _xlfn._xlws.FILTER(B:B, A:A="2021-01"), 0))), "Left", "Ativo")</f>
        <v>Ativo</v>
      </c>
      <c r="D3344" s="10" t="str" cm="1">
        <f t="array" ref="D3344">IF(AND(A3344="2021-01", ISNA(MATCH(B3344, _xlfn._xlws.FILTER(B:B, A:A="2021-02"), 0))), "Left", "Ativo")</f>
        <v>Ativo</v>
      </c>
      <c r="E3344" s="10" t="str" cm="1">
        <f t="array" ref="E3344">IF(AND(A3344="2021-02", ISNA(MATCH(B3344, _xlfn._xlws.FILTER(B:B, A:A="2021-03"), 0))), "Left", "Ativo")</f>
        <v>Ativo</v>
      </c>
      <c r="F3344" s="12" t="str" cm="1">
        <f t="array" ref="F3344">IF(AND(A3344="2021-03", ISNA(MATCH(B3344, _xlfn._xlws.FILTER(B:B, A:A="2021-04"), 0))), "Left", "Ativo")</f>
        <v>Ativo</v>
      </c>
    </row>
    <row r="3345" spans="1:6" x14ac:dyDescent="0.25">
      <c r="A3345" t="s">
        <v>1531</v>
      </c>
      <c r="B3345" t="s">
        <v>430</v>
      </c>
      <c r="C3345" s="10" t="str" cm="1">
        <f t="array" ref="C3345">IF(AND(A3345="2020-12", ISNA(MATCH(B3345, _xlfn._xlws.FILTER(B:B, A:A="2021-01"), 0))), "Left", "Ativo")</f>
        <v>Ativo</v>
      </c>
      <c r="D3345" s="10" t="str" cm="1">
        <f t="array" ref="D3345">IF(AND(A3345="2021-01", ISNA(MATCH(B3345, _xlfn._xlws.FILTER(B:B, A:A="2021-02"), 0))), "Left", "Ativo")</f>
        <v>Ativo</v>
      </c>
      <c r="E3345" s="10" t="str" cm="1">
        <f t="array" ref="E3345">IF(AND(A3345="2021-02", ISNA(MATCH(B3345, _xlfn._xlws.FILTER(B:B, A:A="2021-03"), 0))), "Left", "Ativo")</f>
        <v>Ativo</v>
      </c>
      <c r="F3345" s="12" t="str" cm="1">
        <f t="array" ref="F3345">IF(AND(A3345="2021-03", ISNA(MATCH(B3345, _xlfn._xlws.FILTER(B:B, A:A="2021-04"), 0))), "Left", "Ativo")</f>
        <v>Ativo</v>
      </c>
    </row>
    <row r="3346" spans="1:6" x14ac:dyDescent="0.25">
      <c r="A3346" t="s">
        <v>1531</v>
      </c>
      <c r="B3346" t="s">
        <v>431</v>
      </c>
      <c r="C3346" s="10" t="str" cm="1">
        <f t="array" ref="C3346">IF(AND(A3346="2020-12", ISNA(MATCH(B3346, _xlfn._xlws.FILTER(B:B, A:A="2021-01"), 0))), "Left", "Ativo")</f>
        <v>Ativo</v>
      </c>
      <c r="D3346" s="10" t="str" cm="1">
        <f t="array" ref="D3346">IF(AND(A3346="2021-01", ISNA(MATCH(B3346, _xlfn._xlws.FILTER(B:B, A:A="2021-02"), 0))), "Left", "Ativo")</f>
        <v>Ativo</v>
      </c>
      <c r="E3346" s="10" t="str" cm="1">
        <f t="array" ref="E3346">IF(AND(A3346="2021-02", ISNA(MATCH(B3346, _xlfn._xlws.FILTER(B:B, A:A="2021-03"), 0))), "Left", "Ativo")</f>
        <v>Ativo</v>
      </c>
      <c r="F3346" s="12" t="str" cm="1">
        <f t="array" ref="F3346">IF(AND(A3346="2021-03", ISNA(MATCH(B3346, _xlfn._xlws.FILTER(B:B, A:A="2021-04"), 0))), "Left", "Ativo")</f>
        <v>Ativo</v>
      </c>
    </row>
    <row r="3347" spans="1:6" x14ac:dyDescent="0.25">
      <c r="A3347" t="s">
        <v>1531</v>
      </c>
      <c r="B3347" t="s">
        <v>432</v>
      </c>
      <c r="C3347" s="10" t="str" cm="1">
        <f t="array" ref="C3347">IF(AND(A3347="2020-12", ISNA(MATCH(B3347, _xlfn._xlws.FILTER(B:B, A:A="2021-01"), 0))), "Left", "Ativo")</f>
        <v>Ativo</v>
      </c>
      <c r="D3347" s="10" t="str" cm="1">
        <f t="array" ref="D3347">IF(AND(A3347="2021-01", ISNA(MATCH(B3347, _xlfn._xlws.FILTER(B:B, A:A="2021-02"), 0))), "Left", "Ativo")</f>
        <v>Ativo</v>
      </c>
      <c r="E3347" s="10" t="str" cm="1">
        <f t="array" ref="E3347">IF(AND(A3347="2021-02", ISNA(MATCH(B3347, _xlfn._xlws.FILTER(B:B, A:A="2021-03"), 0))), "Left", "Ativo")</f>
        <v>Ativo</v>
      </c>
      <c r="F3347" s="12" t="str" cm="1">
        <f t="array" ref="F3347">IF(AND(A3347="2021-03", ISNA(MATCH(B3347, _xlfn._xlws.FILTER(B:B, A:A="2021-04"), 0))), "Left", "Ativo")</f>
        <v>Ativo</v>
      </c>
    </row>
    <row r="3348" spans="1:6" x14ac:dyDescent="0.25">
      <c r="A3348" t="s">
        <v>1531</v>
      </c>
      <c r="B3348" t="s">
        <v>433</v>
      </c>
      <c r="C3348" s="10" t="str" cm="1">
        <f t="array" ref="C3348">IF(AND(A3348="2020-12", ISNA(MATCH(B3348, _xlfn._xlws.FILTER(B:B, A:A="2021-01"), 0))), "Left", "Ativo")</f>
        <v>Ativo</v>
      </c>
      <c r="D3348" s="10" t="str" cm="1">
        <f t="array" ref="D3348">IF(AND(A3348="2021-01", ISNA(MATCH(B3348, _xlfn._xlws.FILTER(B:B, A:A="2021-02"), 0))), "Left", "Ativo")</f>
        <v>Ativo</v>
      </c>
      <c r="E3348" s="10" t="str" cm="1">
        <f t="array" ref="E3348">IF(AND(A3348="2021-02", ISNA(MATCH(B3348, _xlfn._xlws.FILTER(B:B, A:A="2021-03"), 0))), "Left", "Ativo")</f>
        <v>Ativo</v>
      </c>
      <c r="F3348" s="12" t="str" cm="1">
        <f t="array" ref="F3348">IF(AND(A3348="2021-03", ISNA(MATCH(B3348, _xlfn._xlws.FILTER(B:B, A:A="2021-04"), 0))), "Left", "Ativo")</f>
        <v>Ativo</v>
      </c>
    </row>
    <row r="3349" spans="1:6" x14ac:dyDescent="0.25">
      <c r="A3349" t="s">
        <v>1531</v>
      </c>
      <c r="B3349" t="s">
        <v>434</v>
      </c>
      <c r="C3349" s="10" t="str" cm="1">
        <f t="array" ref="C3349">IF(AND(A3349="2020-12", ISNA(MATCH(B3349, _xlfn._xlws.FILTER(B:B, A:A="2021-01"), 0))), "Left", "Ativo")</f>
        <v>Ativo</v>
      </c>
      <c r="D3349" s="10" t="str" cm="1">
        <f t="array" ref="D3349">IF(AND(A3349="2021-01", ISNA(MATCH(B3349, _xlfn._xlws.FILTER(B:B, A:A="2021-02"), 0))), "Left", "Ativo")</f>
        <v>Ativo</v>
      </c>
      <c r="E3349" s="10" t="str" cm="1">
        <f t="array" ref="E3349">IF(AND(A3349="2021-02", ISNA(MATCH(B3349, _xlfn._xlws.FILTER(B:B, A:A="2021-03"), 0))), "Left", "Ativo")</f>
        <v>Ativo</v>
      </c>
      <c r="F3349" s="12" t="str" cm="1">
        <f t="array" ref="F3349">IF(AND(A3349="2021-03", ISNA(MATCH(B3349, _xlfn._xlws.FILTER(B:B, A:A="2021-04"), 0))), "Left", "Ativo")</f>
        <v>Ativo</v>
      </c>
    </row>
    <row r="3350" spans="1:6" x14ac:dyDescent="0.25">
      <c r="A3350" t="s">
        <v>1531</v>
      </c>
      <c r="B3350" t="s">
        <v>435</v>
      </c>
      <c r="C3350" s="10" t="str" cm="1">
        <f t="array" ref="C3350">IF(AND(A3350="2020-12", ISNA(MATCH(B3350, _xlfn._xlws.FILTER(B:B, A:A="2021-01"), 0))), "Left", "Ativo")</f>
        <v>Ativo</v>
      </c>
      <c r="D3350" s="10" t="str" cm="1">
        <f t="array" ref="D3350">IF(AND(A3350="2021-01", ISNA(MATCH(B3350, _xlfn._xlws.FILTER(B:B, A:A="2021-02"), 0))), "Left", "Ativo")</f>
        <v>Ativo</v>
      </c>
      <c r="E3350" s="10" t="str" cm="1">
        <f t="array" ref="E3350">IF(AND(A3350="2021-02", ISNA(MATCH(B3350, _xlfn._xlws.FILTER(B:B, A:A="2021-03"), 0))), "Left", "Ativo")</f>
        <v>Ativo</v>
      </c>
      <c r="F3350" s="12" t="str" cm="1">
        <f t="array" ref="F3350">IF(AND(A3350="2021-03", ISNA(MATCH(B3350, _xlfn._xlws.FILTER(B:B, A:A="2021-04"), 0))), "Left", "Ativo")</f>
        <v>Ativo</v>
      </c>
    </row>
    <row r="3351" spans="1:6" x14ac:dyDescent="0.25">
      <c r="A3351" t="s">
        <v>1531</v>
      </c>
      <c r="B3351" t="s">
        <v>436</v>
      </c>
      <c r="C3351" s="10" t="str" cm="1">
        <f t="array" ref="C3351">IF(AND(A3351="2020-12", ISNA(MATCH(B3351, _xlfn._xlws.FILTER(B:B, A:A="2021-01"), 0))), "Left", "Ativo")</f>
        <v>Ativo</v>
      </c>
      <c r="D3351" s="10" t="str" cm="1">
        <f t="array" ref="D3351">IF(AND(A3351="2021-01", ISNA(MATCH(B3351, _xlfn._xlws.FILTER(B:B, A:A="2021-02"), 0))), "Left", "Ativo")</f>
        <v>Ativo</v>
      </c>
      <c r="E3351" s="10" t="str" cm="1">
        <f t="array" ref="E3351">IF(AND(A3351="2021-02", ISNA(MATCH(B3351, _xlfn._xlws.FILTER(B:B, A:A="2021-03"), 0))), "Left", "Ativo")</f>
        <v>Ativo</v>
      </c>
      <c r="F3351" s="12" t="str" cm="1">
        <f t="array" ref="F3351">IF(AND(A3351="2021-03", ISNA(MATCH(B3351, _xlfn._xlws.FILTER(B:B, A:A="2021-04"), 0))), "Left", "Ativo")</f>
        <v>Ativo</v>
      </c>
    </row>
    <row r="3352" spans="1:6" x14ac:dyDescent="0.25">
      <c r="A3352" t="s">
        <v>1531</v>
      </c>
      <c r="B3352" t="s">
        <v>437</v>
      </c>
      <c r="C3352" s="10" t="str" cm="1">
        <f t="array" ref="C3352">IF(AND(A3352="2020-12", ISNA(MATCH(B3352, _xlfn._xlws.FILTER(B:B, A:A="2021-01"), 0))), "Left", "Ativo")</f>
        <v>Ativo</v>
      </c>
      <c r="D3352" s="10" t="str" cm="1">
        <f t="array" ref="D3352">IF(AND(A3352="2021-01", ISNA(MATCH(B3352, _xlfn._xlws.FILTER(B:B, A:A="2021-02"), 0))), "Left", "Ativo")</f>
        <v>Ativo</v>
      </c>
      <c r="E3352" s="10" t="str" cm="1">
        <f t="array" ref="E3352">IF(AND(A3352="2021-02", ISNA(MATCH(B3352, _xlfn._xlws.FILTER(B:B, A:A="2021-03"), 0))), "Left", "Ativo")</f>
        <v>Ativo</v>
      </c>
      <c r="F3352" s="12" t="str" cm="1">
        <f t="array" ref="F3352">IF(AND(A3352="2021-03", ISNA(MATCH(B3352, _xlfn._xlws.FILTER(B:B, A:A="2021-04"), 0))), "Left", "Ativo")</f>
        <v>Ativo</v>
      </c>
    </row>
    <row r="3353" spans="1:6" x14ac:dyDescent="0.25">
      <c r="A3353" t="s">
        <v>1531</v>
      </c>
      <c r="B3353" t="s">
        <v>438</v>
      </c>
      <c r="C3353" s="10" t="str" cm="1">
        <f t="array" ref="C3353">IF(AND(A3353="2020-12", ISNA(MATCH(B3353, _xlfn._xlws.FILTER(B:B, A:A="2021-01"), 0))), "Left", "Ativo")</f>
        <v>Ativo</v>
      </c>
      <c r="D3353" s="10" t="str" cm="1">
        <f t="array" ref="D3353">IF(AND(A3353="2021-01", ISNA(MATCH(B3353, _xlfn._xlws.FILTER(B:B, A:A="2021-02"), 0))), "Left", "Ativo")</f>
        <v>Ativo</v>
      </c>
      <c r="E3353" s="10" t="str" cm="1">
        <f t="array" ref="E3353">IF(AND(A3353="2021-02", ISNA(MATCH(B3353, _xlfn._xlws.FILTER(B:B, A:A="2021-03"), 0))), "Left", "Ativo")</f>
        <v>Ativo</v>
      </c>
      <c r="F3353" s="12" t="str" cm="1">
        <f t="array" ref="F3353">IF(AND(A3353="2021-03", ISNA(MATCH(B3353, _xlfn._xlws.FILTER(B:B, A:A="2021-04"), 0))), "Left", "Ativo")</f>
        <v>Ativo</v>
      </c>
    </row>
    <row r="3354" spans="1:6" x14ac:dyDescent="0.25">
      <c r="A3354" t="s">
        <v>1531</v>
      </c>
      <c r="B3354" t="s">
        <v>439</v>
      </c>
      <c r="C3354" s="10" t="str" cm="1">
        <f t="array" ref="C3354">IF(AND(A3354="2020-12", ISNA(MATCH(B3354, _xlfn._xlws.FILTER(B:B, A:A="2021-01"), 0))), "Left", "Ativo")</f>
        <v>Ativo</v>
      </c>
      <c r="D3354" s="10" t="str" cm="1">
        <f t="array" ref="D3354">IF(AND(A3354="2021-01", ISNA(MATCH(B3354, _xlfn._xlws.FILTER(B:B, A:A="2021-02"), 0))), "Left", "Ativo")</f>
        <v>Ativo</v>
      </c>
      <c r="E3354" s="10" t="str" cm="1">
        <f t="array" ref="E3354">IF(AND(A3354="2021-02", ISNA(MATCH(B3354, _xlfn._xlws.FILTER(B:B, A:A="2021-03"), 0))), "Left", "Ativo")</f>
        <v>Ativo</v>
      </c>
      <c r="F3354" s="12" t="str" cm="1">
        <f t="array" ref="F3354">IF(AND(A3354="2021-03", ISNA(MATCH(B3354, _xlfn._xlws.FILTER(B:B, A:A="2021-04"), 0))), "Left", "Ativo")</f>
        <v>Ativo</v>
      </c>
    </row>
    <row r="3355" spans="1:6" x14ac:dyDescent="0.25">
      <c r="A3355" t="s">
        <v>1531</v>
      </c>
      <c r="B3355" t="s">
        <v>1120</v>
      </c>
      <c r="C3355" s="10" t="str" cm="1">
        <f t="array" ref="C3355">IF(AND(A3355="2020-12", ISNA(MATCH(B3355, _xlfn._xlws.FILTER(B:B, A:A="2021-01"), 0))), "Left", "Ativo")</f>
        <v>Ativo</v>
      </c>
      <c r="D3355" s="10" t="str" cm="1">
        <f t="array" ref="D3355">IF(AND(A3355="2021-01", ISNA(MATCH(B3355, _xlfn._xlws.FILTER(B:B, A:A="2021-02"), 0))), "Left", "Ativo")</f>
        <v>Ativo</v>
      </c>
      <c r="E3355" s="10" t="str" cm="1">
        <f t="array" ref="E3355">IF(AND(A3355="2021-02", ISNA(MATCH(B3355, _xlfn._xlws.FILTER(B:B, A:A="2021-03"), 0))), "Left", "Ativo")</f>
        <v>Ativo</v>
      </c>
      <c r="F3355" s="12" t="str" cm="1">
        <f t="array" ref="F3355">IF(AND(A3355="2021-03", ISNA(MATCH(B3355, _xlfn._xlws.FILTER(B:B, A:A="2021-04"), 0))), "Left", "Ativo")</f>
        <v>Left</v>
      </c>
    </row>
    <row r="3356" spans="1:6" x14ac:dyDescent="0.25">
      <c r="A3356" t="s">
        <v>1531</v>
      </c>
      <c r="B3356" t="s">
        <v>441</v>
      </c>
      <c r="C3356" s="10" t="str" cm="1">
        <f t="array" ref="C3356">IF(AND(A3356="2020-12", ISNA(MATCH(B3356, _xlfn._xlws.FILTER(B:B, A:A="2021-01"), 0))), "Left", "Ativo")</f>
        <v>Ativo</v>
      </c>
      <c r="D3356" s="10" t="str" cm="1">
        <f t="array" ref="D3356">IF(AND(A3356="2021-01", ISNA(MATCH(B3356, _xlfn._xlws.FILTER(B:B, A:A="2021-02"), 0))), "Left", "Ativo")</f>
        <v>Ativo</v>
      </c>
      <c r="E3356" s="10" t="str" cm="1">
        <f t="array" ref="E3356">IF(AND(A3356="2021-02", ISNA(MATCH(B3356, _xlfn._xlws.FILTER(B:B, A:A="2021-03"), 0))), "Left", "Ativo")</f>
        <v>Ativo</v>
      </c>
      <c r="F3356" s="12" t="str" cm="1">
        <f t="array" ref="F3356">IF(AND(A3356="2021-03", ISNA(MATCH(B3356, _xlfn._xlws.FILTER(B:B, A:A="2021-04"), 0))), "Left", "Ativo")</f>
        <v>Ativo</v>
      </c>
    </row>
    <row r="3357" spans="1:6" x14ac:dyDescent="0.25">
      <c r="A3357" t="s">
        <v>1531</v>
      </c>
      <c r="B3357" t="s">
        <v>442</v>
      </c>
      <c r="C3357" s="10" t="str" cm="1">
        <f t="array" ref="C3357">IF(AND(A3357="2020-12", ISNA(MATCH(B3357, _xlfn._xlws.FILTER(B:B, A:A="2021-01"), 0))), "Left", "Ativo")</f>
        <v>Ativo</v>
      </c>
      <c r="D3357" s="10" t="str" cm="1">
        <f t="array" ref="D3357">IF(AND(A3357="2021-01", ISNA(MATCH(B3357, _xlfn._xlws.FILTER(B:B, A:A="2021-02"), 0))), "Left", "Ativo")</f>
        <v>Ativo</v>
      </c>
      <c r="E3357" s="10" t="str" cm="1">
        <f t="array" ref="E3357">IF(AND(A3357="2021-02", ISNA(MATCH(B3357, _xlfn._xlws.FILTER(B:B, A:A="2021-03"), 0))), "Left", "Ativo")</f>
        <v>Ativo</v>
      </c>
      <c r="F3357" s="12" t="str" cm="1">
        <f t="array" ref="F3357">IF(AND(A3357="2021-03", ISNA(MATCH(B3357, _xlfn._xlws.FILTER(B:B, A:A="2021-04"), 0))), "Left", "Ativo")</f>
        <v>Ativo</v>
      </c>
    </row>
    <row r="3358" spans="1:6" x14ac:dyDescent="0.25">
      <c r="A3358" t="s">
        <v>1531</v>
      </c>
      <c r="B3358" t="s">
        <v>443</v>
      </c>
      <c r="C3358" s="10" t="str" cm="1">
        <f t="array" ref="C3358">IF(AND(A3358="2020-12", ISNA(MATCH(B3358, _xlfn._xlws.FILTER(B:B, A:A="2021-01"), 0))), "Left", "Ativo")</f>
        <v>Ativo</v>
      </c>
      <c r="D3358" s="10" t="str" cm="1">
        <f t="array" ref="D3358">IF(AND(A3358="2021-01", ISNA(MATCH(B3358, _xlfn._xlws.FILTER(B:B, A:A="2021-02"), 0))), "Left", "Ativo")</f>
        <v>Ativo</v>
      </c>
      <c r="E3358" s="10" t="str" cm="1">
        <f t="array" ref="E3358">IF(AND(A3358="2021-02", ISNA(MATCH(B3358, _xlfn._xlws.FILTER(B:B, A:A="2021-03"), 0))), "Left", "Ativo")</f>
        <v>Ativo</v>
      </c>
      <c r="F3358" s="12" t="str" cm="1">
        <f t="array" ref="F3358">IF(AND(A3358="2021-03", ISNA(MATCH(B3358, _xlfn._xlws.FILTER(B:B, A:A="2021-04"), 0))), "Left", "Ativo")</f>
        <v>Ativo</v>
      </c>
    </row>
    <row r="3359" spans="1:6" x14ac:dyDescent="0.25">
      <c r="A3359" t="s">
        <v>1531</v>
      </c>
      <c r="B3359" t="s">
        <v>444</v>
      </c>
      <c r="C3359" s="10" t="str" cm="1">
        <f t="array" ref="C3359">IF(AND(A3359="2020-12", ISNA(MATCH(B3359, _xlfn._xlws.FILTER(B:B, A:A="2021-01"), 0))), "Left", "Ativo")</f>
        <v>Ativo</v>
      </c>
      <c r="D3359" s="10" t="str" cm="1">
        <f t="array" ref="D3359">IF(AND(A3359="2021-01", ISNA(MATCH(B3359, _xlfn._xlws.FILTER(B:B, A:A="2021-02"), 0))), "Left", "Ativo")</f>
        <v>Ativo</v>
      </c>
      <c r="E3359" s="10" t="str" cm="1">
        <f t="array" ref="E3359">IF(AND(A3359="2021-02", ISNA(MATCH(B3359, _xlfn._xlws.FILTER(B:B, A:A="2021-03"), 0))), "Left", "Ativo")</f>
        <v>Ativo</v>
      </c>
      <c r="F3359" s="12" t="str" cm="1">
        <f t="array" ref="F3359">IF(AND(A3359="2021-03", ISNA(MATCH(B3359, _xlfn._xlws.FILTER(B:B, A:A="2021-04"), 0))), "Left", "Ativo")</f>
        <v>Ativo</v>
      </c>
    </row>
    <row r="3360" spans="1:6" x14ac:dyDescent="0.25">
      <c r="A3360" t="s">
        <v>1531</v>
      </c>
      <c r="B3360" t="s">
        <v>445</v>
      </c>
      <c r="C3360" s="10" t="str" cm="1">
        <f t="array" ref="C3360">IF(AND(A3360="2020-12", ISNA(MATCH(B3360, _xlfn._xlws.FILTER(B:B, A:A="2021-01"), 0))), "Left", "Ativo")</f>
        <v>Ativo</v>
      </c>
      <c r="D3360" s="10" t="str" cm="1">
        <f t="array" ref="D3360">IF(AND(A3360="2021-01", ISNA(MATCH(B3360, _xlfn._xlws.FILTER(B:B, A:A="2021-02"), 0))), "Left", "Ativo")</f>
        <v>Ativo</v>
      </c>
      <c r="E3360" s="10" t="str" cm="1">
        <f t="array" ref="E3360">IF(AND(A3360="2021-02", ISNA(MATCH(B3360, _xlfn._xlws.FILTER(B:B, A:A="2021-03"), 0))), "Left", "Ativo")</f>
        <v>Ativo</v>
      </c>
      <c r="F3360" s="12" t="str" cm="1">
        <f t="array" ref="F3360">IF(AND(A3360="2021-03", ISNA(MATCH(B3360, _xlfn._xlws.FILTER(B:B, A:A="2021-04"), 0))), "Left", "Ativo")</f>
        <v>Ativo</v>
      </c>
    </row>
    <row r="3361" spans="1:6" x14ac:dyDescent="0.25">
      <c r="A3361" t="s">
        <v>1531</v>
      </c>
      <c r="B3361" t="s">
        <v>446</v>
      </c>
      <c r="C3361" s="10" t="str" cm="1">
        <f t="array" ref="C3361">IF(AND(A3361="2020-12", ISNA(MATCH(B3361, _xlfn._xlws.FILTER(B:B, A:A="2021-01"), 0))), "Left", "Ativo")</f>
        <v>Ativo</v>
      </c>
      <c r="D3361" s="10" t="str" cm="1">
        <f t="array" ref="D3361">IF(AND(A3361="2021-01", ISNA(MATCH(B3361, _xlfn._xlws.FILTER(B:B, A:A="2021-02"), 0))), "Left", "Ativo")</f>
        <v>Ativo</v>
      </c>
      <c r="E3361" s="10" t="str" cm="1">
        <f t="array" ref="E3361">IF(AND(A3361="2021-02", ISNA(MATCH(B3361, _xlfn._xlws.FILTER(B:B, A:A="2021-03"), 0))), "Left", "Ativo")</f>
        <v>Ativo</v>
      </c>
      <c r="F3361" s="12" t="str" cm="1">
        <f t="array" ref="F3361">IF(AND(A3361="2021-03", ISNA(MATCH(B3361, _xlfn._xlws.FILTER(B:B, A:A="2021-04"), 0))), "Left", "Ativo")</f>
        <v>Ativo</v>
      </c>
    </row>
    <row r="3362" spans="1:6" x14ac:dyDescent="0.25">
      <c r="A3362" t="s">
        <v>1531</v>
      </c>
      <c r="B3362" t="s">
        <v>447</v>
      </c>
      <c r="C3362" s="10" t="str" cm="1">
        <f t="array" ref="C3362">IF(AND(A3362="2020-12", ISNA(MATCH(B3362, _xlfn._xlws.FILTER(B:B, A:A="2021-01"), 0))), "Left", "Ativo")</f>
        <v>Ativo</v>
      </c>
      <c r="D3362" s="10" t="str" cm="1">
        <f t="array" ref="D3362">IF(AND(A3362="2021-01", ISNA(MATCH(B3362, _xlfn._xlws.FILTER(B:B, A:A="2021-02"), 0))), "Left", "Ativo")</f>
        <v>Ativo</v>
      </c>
      <c r="E3362" s="10" t="str" cm="1">
        <f t="array" ref="E3362">IF(AND(A3362="2021-02", ISNA(MATCH(B3362, _xlfn._xlws.FILTER(B:B, A:A="2021-03"), 0))), "Left", "Ativo")</f>
        <v>Ativo</v>
      </c>
      <c r="F3362" s="12" t="str" cm="1">
        <f t="array" ref="F3362">IF(AND(A3362="2021-03", ISNA(MATCH(B3362, _xlfn._xlws.FILTER(B:B, A:A="2021-04"), 0))), "Left", "Ativo")</f>
        <v>Ativo</v>
      </c>
    </row>
    <row r="3363" spans="1:6" x14ac:dyDescent="0.25">
      <c r="A3363" t="s">
        <v>1531</v>
      </c>
      <c r="B3363" t="s">
        <v>448</v>
      </c>
      <c r="C3363" s="10" t="str" cm="1">
        <f t="array" ref="C3363">IF(AND(A3363="2020-12", ISNA(MATCH(B3363, _xlfn._xlws.FILTER(B:B, A:A="2021-01"), 0))), "Left", "Ativo")</f>
        <v>Ativo</v>
      </c>
      <c r="D3363" s="10" t="str" cm="1">
        <f t="array" ref="D3363">IF(AND(A3363="2021-01", ISNA(MATCH(B3363, _xlfn._xlws.FILTER(B:B, A:A="2021-02"), 0))), "Left", "Ativo")</f>
        <v>Ativo</v>
      </c>
      <c r="E3363" s="10" t="str" cm="1">
        <f t="array" ref="E3363">IF(AND(A3363="2021-02", ISNA(MATCH(B3363, _xlfn._xlws.FILTER(B:B, A:A="2021-03"), 0))), "Left", "Ativo")</f>
        <v>Ativo</v>
      </c>
      <c r="F3363" s="12" t="str" cm="1">
        <f t="array" ref="F3363">IF(AND(A3363="2021-03", ISNA(MATCH(B3363, _xlfn._xlws.FILTER(B:B, A:A="2021-04"), 0))), "Left", "Ativo")</f>
        <v>Ativo</v>
      </c>
    </row>
    <row r="3364" spans="1:6" x14ac:dyDescent="0.25">
      <c r="A3364" t="s">
        <v>1531</v>
      </c>
      <c r="B3364" t="s">
        <v>449</v>
      </c>
      <c r="C3364" s="10" t="str" cm="1">
        <f t="array" ref="C3364">IF(AND(A3364="2020-12", ISNA(MATCH(B3364, _xlfn._xlws.FILTER(B:B, A:A="2021-01"), 0))), "Left", "Ativo")</f>
        <v>Ativo</v>
      </c>
      <c r="D3364" s="10" t="str" cm="1">
        <f t="array" ref="D3364">IF(AND(A3364="2021-01", ISNA(MATCH(B3364, _xlfn._xlws.FILTER(B:B, A:A="2021-02"), 0))), "Left", "Ativo")</f>
        <v>Ativo</v>
      </c>
      <c r="E3364" s="10" t="str" cm="1">
        <f t="array" ref="E3364">IF(AND(A3364="2021-02", ISNA(MATCH(B3364, _xlfn._xlws.FILTER(B:B, A:A="2021-03"), 0))), "Left", "Ativo")</f>
        <v>Ativo</v>
      </c>
      <c r="F3364" s="12" t="str" cm="1">
        <f t="array" ref="F3364">IF(AND(A3364="2021-03", ISNA(MATCH(B3364, _xlfn._xlws.FILTER(B:B, A:A="2021-04"), 0))), "Left", "Ativo")</f>
        <v>Ativo</v>
      </c>
    </row>
    <row r="3365" spans="1:6" x14ac:dyDescent="0.25">
      <c r="A3365" t="s">
        <v>1531</v>
      </c>
      <c r="B3365" t="s">
        <v>450</v>
      </c>
      <c r="C3365" s="10" t="str" cm="1">
        <f t="array" ref="C3365">IF(AND(A3365="2020-12", ISNA(MATCH(B3365, _xlfn._xlws.FILTER(B:B, A:A="2021-01"), 0))), "Left", "Ativo")</f>
        <v>Ativo</v>
      </c>
      <c r="D3365" s="10" t="str" cm="1">
        <f t="array" ref="D3365">IF(AND(A3365="2021-01", ISNA(MATCH(B3365, _xlfn._xlws.FILTER(B:B, A:A="2021-02"), 0))), "Left", "Ativo")</f>
        <v>Ativo</v>
      </c>
      <c r="E3365" s="10" t="str" cm="1">
        <f t="array" ref="E3365">IF(AND(A3365="2021-02", ISNA(MATCH(B3365, _xlfn._xlws.FILTER(B:B, A:A="2021-03"), 0))), "Left", "Ativo")</f>
        <v>Ativo</v>
      </c>
      <c r="F3365" s="12" t="str" cm="1">
        <f t="array" ref="F3365">IF(AND(A3365="2021-03", ISNA(MATCH(B3365, _xlfn._xlws.FILTER(B:B, A:A="2021-04"), 0))), "Left", "Ativo")</f>
        <v>Ativo</v>
      </c>
    </row>
    <row r="3366" spans="1:6" x14ac:dyDescent="0.25">
      <c r="A3366" t="s">
        <v>1531</v>
      </c>
      <c r="B3366" t="s">
        <v>451</v>
      </c>
      <c r="C3366" s="10" t="str" cm="1">
        <f t="array" ref="C3366">IF(AND(A3366="2020-12", ISNA(MATCH(B3366, _xlfn._xlws.FILTER(B:B, A:A="2021-01"), 0))), "Left", "Ativo")</f>
        <v>Ativo</v>
      </c>
      <c r="D3366" s="10" t="str" cm="1">
        <f t="array" ref="D3366">IF(AND(A3366="2021-01", ISNA(MATCH(B3366, _xlfn._xlws.FILTER(B:B, A:A="2021-02"), 0))), "Left", "Ativo")</f>
        <v>Ativo</v>
      </c>
      <c r="E3366" s="10" t="str" cm="1">
        <f t="array" ref="E3366">IF(AND(A3366="2021-02", ISNA(MATCH(B3366, _xlfn._xlws.FILTER(B:B, A:A="2021-03"), 0))), "Left", "Ativo")</f>
        <v>Ativo</v>
      </c>
      <c r="F3366" s="12" t="str" cm="1">
        <f t="array" ref="F3366">IF(AND(A3366="2021-03", ISNA(MATCH(B3366, _xlfn._xlws.FILTER(B:B, A:A="2021-04"), 0))), "Left", "Ativo")</f>
        <v>Ativo</v>
      </c>
    </row>
    <row r="3367" spans="1:6" x14ac:dyDescent="0.25">
      <c r="A3367" t="s">
        <v>1531</v>
      </c>
      <c r="B3367" t="s">
        <v>452</v>
      </c>
      <c r="C3367" s="10" t="str" cm="1">
        <f t="array" ref="C3367">IF(AND(A3367="2020-12", ISNA(MATCH(B3367, _xlfn._xlws.FILTER(B:B, A:A="2021-01"), 0))), "Left", "Ativo")</f>
        <v>Ativo</v>
      </c>
      <c r="D3367" s="10" t="str" cm="1">
        <f t="array" ref="D3367">IF(AND(A3367="2021-01", ISNA(MATCH(B3367, _xlfn._xlws.FILTER(B:B, A:A="2021-02"), 0))), "Left", "Ativo")</f>
        <v>Ativo</v>
      </c>
      <c r="E3367" s="10" t="str" cm="1">
        <f t="array" ref="E3367">IF(AND(A3367="2021-02", ISNA(MATCH(B3367, _xlfn._xlws.FILTER(B:B, A:A="2021-03"), 0))), "Left", "Ativo")</f>
        <v>Ativo</v>
      </c>
      <c r="F3367" s="12" t="str" cm="1">
        <f t="array" ref="F3367">IF(AND(A3367="2021-03", ISNA(MATCH(B3367, _xlfn._xlws.FILTER(B:B, A:A="2021-04"), 0))), "Left", "Ativo")</f>
        <v>Ativo</v>
      </c>
    </row>
    <row r="3368" spans="1:6" x14ac:dyDescent="0.25">
      <c r="A3368" t="s">
        <v>1531</v>
      </c>
      <c r="B3368" t="s">
        <v>453</v>
      </c>
      <c r="C3368" s="10" t="str" cm="1">
        <f t="array" ref="C3368">IF(AND(A3368="2020-12", ISNA(MATCH(B3368, _xlfn._xlws.FILTER(B:B, A:A="2021-01"), 0))), "Left", "Ativo")</f>
        <v>Ativo</v>
      </c>
      <c r="D3368" s="10" t="str" cm="1">
        <f t="array" ref="D3368">IF(AND(A3368="2021-01", ISNA(MATCH(B3368, _xlfn._xlws.FILTER(B:B, A:A="2021-02"), 0))), "Left", "Ativo")</f>
        <v>Ativo</v>
      </c>
      <c r="E3368" s="10" t="str" cm="1">
        <f t="array" ref="E3368">IF(AND(A3368="2021-02", ISNA(MATCH(B3368, _xlfn._xlws.FILTER(B:B, A:A="2021-03"), 0))), "Left", "Ativo")</f>
        <v>Ativo</v>
      </c>
      <c r="F3368" s="12" t="str" cm="1">
        <f t="array" ref="F3368">IF(AND(A3368="2021-03", ISNA(MATCH(B3368, _xlfn._xlws.FILTER(B:B, A:A="2021-04"), 0))), "Left", "Ativo")</f>
        <v>Ativo</v>
      </c>
    </row>
    <row r="3369" spans="1:6" x14ac:dyDescent="0.25">
      <c r="A3369" t="s">
        <v>1531</v>
      </c>
      <c r="B3369" t="s">
        <v>454</v>
      </c>
      <c r="C3369" s="10" t="str" cm="1">
        <f t="array" ref="C3369">IF(AND(A3369="2020-12", ISNA(MATCH(B3369, _xlfn._xlws.FILTER(B:B, A:A="2021-01"), 0))), "Left", "Ativo")</f>
        <v>Ativo</v>
      </c>
      <c r="D3369" s="10" t="str" cm="1">
        <f t="array" ref="D3369">IF(AND(A3369="2021-01", ISNA(MATCH(B3369, _xlfn._xlws.FILTER(B:B, A:A="2021-02"), 0))), "Left", "Ativo")</f>
        <v>Ativo</v>
      </c>
      <c r="E3369" s="10" t="str" cm="1">
        <f t="array" ref="E3369">IF(AND(A3369="2021-02", ISNA(MATCH(B3369, _xlfn._xlws.FILTER(B:B, A:A="2021-03"), 0))), "Left", "Ativo")</f>
        <v>Ativo</v>
      </c>
      <c r="F3369" s="12" t="str" cm="1">
        <f t="array" ref="F3369">IF(AND(A3369="2021-03", ISNA(MATCH(B3369, _xlfn._xlws.FILTER(B:B, A:A="2021-04"), 0))), "Left", "Ativo")</f>
        <v>Ativo</v>
      </c>
    </row>
    <row r="3370" spans="1:6" x14ac:dyDescent="0.25">
      <c r="A3370" t="s">
        <v>1531</v>
      </c>
      <c r="B3370" t="s">
        <v>455</v>
      </c>
      <c r="C3370" s="10" t="str" cm="1">
        <f t="array" ref="C3370">IF(AND(A3370="2020-12", ISNA(MATCH(B3370, _xlfn._xlws.FILTER(B:B, A:A="2021-01"), 0))), "Left", "Ativo")</f>
        <v>Ativo</v>
      </c>
      <c r="D3370" s="10" t="str" cm="1">
        <f t="array" ref="D3370">IF(AND(A3370="2021-01", ISNA(MATCH(B3370, _xlfn._xlws.FILTER(B:B, A:A="2021-02"), 0))), "Left", "Ativo")</f>
        <v>Ativo</v>
      </c>
      <c r="E3370" s="10" t="str" cm="1">
        <f t="array" ref="E3370">IF(AND(A3370="2021-02", ISNA(MATCH(B3370, _xlfn._xlws.FILTER(B:B, A:A="2021-03"), 0))), "Left", "Ativo")</f>
        <v>Ativo</v>
      </c>
      <c r="F3370" s="12" t="str" cm="1">
        <f t="array" ref="F3370">IF(AND(A3370="2021-03", ISNA(MATCH(B3370, _xlfn._xlws.FILTER(B:B, A:A="2021-04"), 0))), "Left", "Ativo")</f>
        <v>Ativo</v>
      </c>
    </row>
    <row r="3371" spans="1:6" x14ac:dyDescent="0.25">
      <c r="A3371" t="s">
        <v>1531</v>
      </c>
      <c r="B3371" t="s">
        <v>456</v>
      </c>
      <c r="C3371" s="10" t="str" cm="1">
        <f t="array" ref="C3371">IF(AND(A3371="2020-12", ISNA(MATCH(B3371, _xlfn._xlws.FILTER(B:B, A:A="2021-01"), 0))), "Left", "Ativo")</f>
        <v>Ativo</v>
      </c>
      <c r="D3371" s="10" t="str" cm="1">
        <f t="array" ref="D3371">IF(AND(A3371="2021-01", ISNA(MATCH(B3371, _xlfn._xlws.FILTER(B:B, A:A="2021-02"), 0))), "Left", "Ativo")</f>
        <v>Ativo</v>
      </c>
      <c r="E3371" s="10" t="str" cm="1">
        <f t="array" ref="E3371">IF(AND(A3371="2021-02", ISNA(MATCH(B3371, _xlfn._xlws.FILTER(B:B, A:A="2021-03"), 0))), "Left", "Ativo")</f>
        <v>Ativo</v>
      </c>
      <c r="F3371" s="12" t="str" cm="1">
        <f t="array" ref="F3371">IF(AND(A3371="2021-03", ISNA(MATCH(B3371, _xlfn._xlws.FILTER(B:B, A:A="2021-04"), 0))), "Left", "Ativo")</f>
        <v>Left</v>
      </c>
    </row>
    <row r="3372" spans="1:6" x14ac:dyDescent="0.25">
      <c r="A3372" t="s">
        <v>1531</v>
      </c>
      <c r="B3372" t="s">
        <v>457</v>
      </c>
      <c r="C3372" s="10" t="str" cm="1">
        <f t="array" ref="C3372">IF(AND(A3372="2020-12", ISNA(MATCH(B3372, _xlfn._xlws.FILTER(B:B, A:A="2021-01"), 0))), "Left", "Ativo")</f>
        <v>Ativo</v>
      </c>
      <c r="D3372" s="10" t="str" cm="1">
        <f t="array" ref="D3372">IF(AND(A3372="2021-01", ISNA(MATCH(B3372, _xlfn._xlws.FILTER(B:B, A:A="2021-02"), 0))), "Left", "Ativo")</f>
        <v>Ativo</v>
      </c>
      <c r="E3372" s="10" t="str" cm="1">
        <f t="array" ref="E3372">IF(AND(A3372="2021-02", ISNA(MATCH(B3372, _xlfn._xlws.FILTER(B:B, A:A="2021-03"), 0))), "Left", "Ativo")</f>
        <v>Ativo</v>
      </c>
      <c r="F3372" s="12" t="str" cm="1">
        <f t="array" ref="F3372">IF(AND(A3372="2021-03", ISNA(MATCH(B3372, _xlfn._xlws.FILTER(B:B, A:A="2021-04"), 0))), "Left", "Ativo")</f>
        <v>Left</v>
      </c>
    </row>
    <row r="3373" spans="1:6" x14ac:dyDescent="0.25">
      <c r="A3373" t="s">
        <v>1531</v>
      </c>
      <c r="B3373" t="s">
        <v>458</v>
      </c>
      <c r="C3373" s="10" t="str" cm="1">
        <f t="array" ref="C3373">IF(AND(A3373="2020-12", ISNA(MATCH(B3373, _xlfn._xlws.FILTER(B:B, A:A="2021-01"), 0))), "Left", "Ativo")</f>
        <v>Ativo</v>
      </c>
      <c r="D3373" s="10" t="str" cm="1">
        <f t="array" ref="D3373">IF(AND(A3373="2021-01", ISNA(MATCH(B3373, _xlfn._xlws.FILTER(B:B, A:A="2021-02"), 0))), "Left", "Ativo")</f>
        <v>Ativo</v>
      </c>
      <c r="E3373" s="10" t="str" cm="1">
        <f t="array" ref="E3373">IF(AND(A3373="2021-02", ISNA(MATCH(B3373, _xlfn._xlws.FILTER(B:B, A:A="2021-03"), 0))), "Left", "Ativo")</f>
        <v>Ativo</v>
      </c>
      <c r="F3373" s="12" t="str" cm="1">
        <f t="array" ref="F3373">IF(AND(A3373="2021-03", ISNA(MATCH(B3373, _xlfn._xlws.FILTER(B:B, A:A="2021-04"), 0))), "Left", "Ativo")</f>
        <v>Ativo</v>
      </c>
    </row>
    <row r="3374" spans="1:6" x14ac:dyDescent="0.25">
      <c r="A3374" t="s">
        <v>1531</v>
      </c>
      <c r="B3374" t="s">
        <v>459</v>
      </c>
      <c r="C3374" s="10" t="str" cm="1">
        <f t="array" ref="C3374">IF(AND(A3374="2020-12", ISNA(MATCH(B3374, _xlfn._xlws.FILTER(B:B, A:A="2021-01"), 0))), "Left", "Ativo")</f>
        <v>Ativo</v>
      </c>
      <c r="D3374" s="10" t="str" cm="1">
        <f t="array" ref="D3374">IF(AND(A3374="2021-01", ISNA(MATCH(B3374, _xlfn._xlws.FILTER(B:B, A:A="2021-02"), 0))), "Left", "Ativo")</f>
        <v>Ativo</v>
      </c>
      <c r="E3374" s="10" t="str" cm="1">
        <f t="array" ref="E3374">IF(AND(A3374="2021-02", ISNA(MATCH(B3374, _xlfn._xlws.FILTER(B:B, A:A="2021-03"), 0))), "Left", "Ativo")</f>
        <v>Ativo</v>
      </c>
      <c r="F3374" s="12" t="str" cm="1">
        <f t="array" ref="F3374">IF(AND(A3374="2021-03", ISNA(MATCH(B3374, _xlfn._xlws.FILTER(B:B, A:A="2021-04"), 0))), "Left", "Ativo")</f>
        <v>Ativo</v>
      </c>
    </row>
    <row r="3375" spans="1:6" x14ac:dyDescent="0.25">
      <c r="A3375" t="s">
        <v>1531</v>
      </c>
      <c r="B3375" t="s">
        <v>461</v>
      </c>
      <c r="C3375" s="10" t="str" cm="1">
        <f t="array" ref="C3375">IF(AND(A3375="2020-12", ISNA(MATCH(B3375, _xlfn._xlws.FILTER(B:B, A:A="2021-01"), 0))), "Left", "Ativo")</f>
        <v>Ativo</v>
      </c>
      <c r="D3375" s="10" t="str" cm="1">
        <f t="array" ref="D3375">IF(AND(A3375="2021-01", ISNA(MATCH(B3375, _xlfn._xlws.FILTER(B:B, A:A="2021-02"), 0))), "Left", "Ativo")</f>
        <v>Ativo</v>
      </c>
      <c r="E3375" s="10" t="str" cm="1">
        <f t="array" ref="E3375">IF(AND(A3375="2021-02", ISNA(MATCH(B3375, _xlfn._xlws.FILTER(B:B, A:A="2021-03"), 0))), "Left", "Ativo")</f>
        <v>Ativo</v>
      </c>
      <c r="F3375" s="12" t="str" cm="1">
        <f t="array" ref="F3375">IF(AND(A3375="2021-03", ISNA(MATCH(B3375, _xlfn._xlws.FILTER(B:B, A:A="2021-04"), 0))), "Left", "Ativo")</f>
        <v>Ativo</v>
      </c>
    </row>
    <row r="3376" spans="1:6" x14ac:dyDescent="0.25">
      <c r="A3376" t="s">
        <v>1531</v>
      </c>
      <c r="B3376" t="s">
        <v>462</v>
      </c>
      <c r="C3376" s="10" t="str" cm="1">
        <f t="array" ref="C3376">IF(AND(A3376="2020-12", ISNA(MATCH(B3376, _xlfn._xlws.FILTER(B:B, A:A="2021-01"), 0))), "Left", "Ativo")</f>
        <v>Ativo</v>
      </c>
      <c r="D3376" s="10" t="str" cm="1">
        <f t="array" ref="D3376">IF(AND(A3376="2021-01", ISNA(MATCH(B3376, _xlfn._xlws.FILTER(B:B, A:A="2021-02"), 0))), "Left", "Ativo")</f>
        <v>Ativo</v>
      </c>
      <c r="E3376" s="10" t="str" cm="1">
        <f t="array" ref="E3376">IF(AND(A3376="2021-02", ISNA(MATCH(B3376, _xlfn._xlws.FILTER(B:B, A:A="2021-03"), 0))), "Left", "Ativo")</f>
        <v>Ativo</v>
      </c>
      <c r="F3376" s="12" t="str" cm="1">
        <f t="array" ref="F3376">IF(AND(A3376="2021-03", ISNA(MATCH(B3376, _xlfn._xlws.FILTER(B:B, A:A="2021-04"), 0))), "Left", "Ativo")</f>
        <v>Ativo</v>
      </c>
    </row>
    <row r="3377" spans="1:6" x14ac:dyDescent="0.25">
      <c r="A3377" t="s">
        <v>1531</v>
      </c>
      <c r="B3377" t="s">
        <v>463</v>
      </c>
      <c r="C3377" s="10" t="str" cm="1">
        <f t="array" ref="C3377">IF(AND(A3377="2020-12", ISNA(MATCH(B3377, _xlfn._xlws.FILTER(B:B, A:A="2021-01"), 0))), "Left", "Ativo")</f>
        <v>Ativo</v>
      </c>
      <c r="D3377" s="10" t="str" cm="1">
        <f t="array" ref="D3377">IF(AND(A3377="2021-01", ISNA(MATCH(B3377, _xlfn._xlws.FILTER(B:B, A:A="2021-02"), 0))), "Left", "Ativo")</f>
        <v>Ativo</v>
      </c>
      <c r="E3377" s="10" t="str" cm="1">
        <f t="array" ref="E3377">IF(AND(A3377="2021-02", ISNA(MATCH(B3377, _xlfn._xlws.FILTER(B:B, A:A="2021-03"), 0))), "Left", "Ativo")</f>
        <v>Ativo</v>
      </c>
      <c r="F3377" s="12" t="str" cm="1">
        <f t="array" ref="F3377">IF(AND(A3377="2021-03", ISNA(MATCH(B3377, _xlfn._xlws.FILTER(B:B, A:A="2021-04"), 0))), "Left", "Ativo")</f>
        <v>Ativo</v>
      </c>
    </row>
    <row r="3378" spans="1:6" x14ac:dyDescent="0.25">
      <c r="A3378" t="s">
        <v>1531</v>
      </c>
      <c r="B3378" t="s">
        <v>464</v>
      </c>
      <c r="C3378" s="10" t="str" cm="1">
        <f t="array" ref="C3378">IF(AND(A3378="2020-12", ISNA(MATCH(B3378, _xlfn._xlws.FILTER(B:B, A:A="2021-01"), 0))), "Left", "Ativo")</f>
        <v>Ativo</v>
      </c>
      <c r="D3378" s="10" t="str" cm="1">
        <f t="array" ref="D3378">IF(AND(A3378="2021-01", ISNA(MATCH(B3378, _xlfn._xlws.FILTER(B:B, A:A="2021-02"), 0))), "Left", "Ativo")</f>
        <v>Ativo</v>
      </c>
      <c r="E3378" s="10" t="str" cm="1">
        <f t="array" ref="E3378">IF(AND(A3378="2021-02", ISNA(MATCH(B3378, _xlfn._xlws.FILTER(B:B, A:A="2021-03"), 0))), "Left", "Ativo")</f>
        <v>Ativo</v>
      </c>
      <c r="F3378" s="12" t="str" cm="1">
        <f t="array" ref="F3378">IF(AND(A3378="2021-03", ISNA(MATCH(B3378, _xlfn._xlws.FILTER(B:B, A:A="2021-04"), 0))), "Left", "Ativo")</f>
        <v>Ativo</v>
      </c>
    </row>
    <row r="3379" spans="1:6" x14ac:dyDescent="0.25">
      <c r="A3379" t="s">
        <v>1531</v>
      </c>
      <c r="B3379" t="s">
        <v>465</v>
      </c>
      <c r="C3379" s="10" t="str" cm="1">
        <f t="array" ref="C3379">IF(AND(A3379="2020-12", ISNA(MATCH(B3379, _xlfn._xlws.FILTER(B:B, A:A="2021-01"), 0))), "Left", "Ativo")</f>
        <v>Ativo</v>
      </c>
      <c r="D3379" s="10" t="str" cm="1">
        <f t="array" ref="D3379">IF(AND(A3379="2021-01", ISNA(MATCH(B3379, _xlfn._xlws.FILTER(B:B, A:A="2021-02"), 0))), "Left", "Ativo")</f>
        <v>Ativo</v>
      </c>
      <c r="E3379" s="10" t="str" cm="1">
        <f t="array" ref="E3379">IF(AND(A3379="2021-02", ISNA(MATCH(B3379, _xlfn._xlws.FILTER(B:B, A:A="2021-03"), 0))), "Left", "Ativo")</f>
        <v>Ativo</v>
      </c>
      <c r="F3379" s="12" t="str" cm="1">
        <f t="array" ref="F3379">IF(AND(A3379="2021-03", ISNA(MATCH(B3379, _xlfn._xlws.FILTER(B:B, A:A="2021-04"), 0))), "Left", "Ativo")</f>
        <v>Ativo</v>
      </c>
    </row>
    <row r="3380" spans="1:6" x14ac:dyDescent="0.25">
      <c r="A3380" t="s">
        <v>1531</v>
      </c>
      <c r="B3380" t="s">
        <v>466</v>
      </c>
      <c r="C3380" s="10" t="str" cm="1">
        <f t="array" ref="C3380">IF(AND(A3380="2020-12", ISNA(MATCH(B3380, _xlfn._xlws.FILTER(B:B, A:A="2021-01"), 0))), "Left", "Ativo")</f>
        <v>Ativo</v>
      </c>
      <c r="D3380" s="10" t="str" cm="1">
        <f t="array" ref="D3380">IF(AND(A3380="2021-01", ISNA(MATCH(B3380, _xlfn._xlws.FILTER(B:B, A:A="2021-02"), 0))), "Left", "Ativo")</f>
        <v>Ativo</v>
      </c>
      <c r="E3380" s="10" t="str" cm="1">
        <f t="array" ref="E3380">IF(AND(A3380="2021-02", ISNA(MATCH(B3380, _xlfn._xlws.FILTER(B:B, A:A="2021-03"), 0))), "Left", "Ativo")</f>
        <v>Ativo</v>
      </c>
      <c r="F3380" s="12" t="str" cm="1">
        <f t="array" ref="F3380">IF(AND(A3380="2021-03", ISNA(MATCH(B3380, _xlfn._xlws.FILTER(B:B, A:A="2021-04"), 0))), "Left", "Ativo")</f>
        <v>Ativo</v>
      </c>
    </row>
    <row r="3381" spans="1:6" x14ac:dyDescent="0.25">
      <c r="A3381" t="s">
        <v>1531</v>
      </c>
      <c r="B3381" t="s">
        <v>467</v>
      </c>
      <c r="C3381" s="10" t="str" cm="1">
        <f t="array" ref="C3381">IF(AND(A3381="2020-12", ISNA(MATCH(B3381, _xlfn._xlws.FILTER(B:B, A:A="2021-01"), 0))), "Left", "Ativo")</f>
        <v>Ativo</v>
      </c>
      <c r="D3381" s="10" t="str" cm="1">
        <f t="array" ref="D3381">IF(AND(A3381="2021-01", ISNA(MATCH(B3381, _xlfn._xlws.FILTER(B:B, A:A="2021-02"), 0))), "Left", "Ativo")</f>
        <v>Ativo</v>
      </c>
      <c r="E3381" s="10" t="str" cm="1">
        <f t="array" ref="E3381">IF(AND(A3381="2021-02", ISNA(MATCH(B3381, _xlfn._xlws.FILTER(B:B, A:A="2021-03"), 0))), "Left", "Ativo")</f>
        <v>Ativo</v>
      </c>
      <c r="F3381" s="12" t="str" cm="1">
        <f t="array" ref="F3381">IF(AND(A3381="2021-03", ISNA(MATCH(B3381, _xlfn._xlws.FILTER(B:B, A:A="2021-04"), 0))), "Left", "Ativo")</f>
        <v>Ativo</v>
      </c>
    </row>
    <row r="3382" spans="1:6" x14ac:dyDescent="0.25">
      <c r="A3382" t="s">
        <v>1531</v>
      </c>
      <c r="B3382" t="s">
        <v>468</v>
      </c>
      <c r="C3382" s="10" t="str" cm="1">
        <f t="array" ref="C3382">IF(AND(A3382="2020-12", ISNA(MATCH(B3382, _xlfn._xlws.FILTER(B:B, A:A="2021-01"), 0))), "Left", "Ativo")</f>
        <v>Ativo</v>
      </c>
      <c r="D3382" s="10" t="str" cm="1">
        <f t="array" ref="D3382">IF(AND(A3382="2021-01", ISNA(MATCH(B3382, _xlfn._xlws.FILTER(B:B, A:A="2021-02"), 0))), "Left", "Ativo")</f>
        <v>Ativo</v>
      </c>
      <c r="E3382" s="10" t="str" cm="1">
        <f t="array" ref="E3382">IF(AND(A3382="2021-02", ISNA(MATCH(B3382, _xlfn._xlws.FILTER(B:B, A:A="2021-03"), 0))), "Left", "Ativo")</f>
        <v>Ativo</v>
      </c>
      <c r="F3382" s="12" t="str" cm="1">
        <f t="array" ref="F3382">IF(AND(A3382="2021-03", ISNA(MATCH(B3382, _xlfn._xlws.FILTER(B:B, A:A="2021-04"), 0))), "Left", "Ativo")</f>
        <v>Ativo</v>
      </c>
    </row>
    <row r="3383" spans="1:6" x14ac:dyDescent="0.25">
      <c r="A3383" t="s">
        <v>1531</v>
      </c>
      <c r="B3383" t="s">
        <v>469</v>
      </c>
      <c r="C3383" s="10" t="str" cm="1">
        <f t="array" ref="C3383">IF(AND(A3383="2020-12", ISNA(MATCH(B3383, _xlfn._xlws.FILTER(B:B, A:A="2021-01"), 0))), "Left", "Ativo")</f>
        <v>Ativo</v>
      </c>
      <c r="D3383" s="10" t="str" cm="1">
        <f t="array" ref="D3383">IF(AND(A3383="2021-01", ISNA(MATCH(B3383, _xlfn._xlws.FILTER(B:B, A:A="2021-02"), 0))), "Left", "Ativo")</f>
        <v>Ativo</v>
      </c>
      <c r="E3383" s="10" t="str" cm="1">
        <f t="array" ref="E3383">IF(AND(A3383="2021-02", ISNA(MATCH(B3383, _xlfn._xlws.FILTER(B:B, A:A="2021-03"), 0))), "Left", "Ativo")</f>
        <v>Ativo</v>
      </c>
      <c r="F3383" s="12" t="str" cm="1">
        <f t="array" ref="F3383">IF(AND(A3383="2021-03", ISNA(MATCH(B3383, _xlfn._xlws.FILTER(B:B, A:A="2021-04"), 0))), "Left", "Ativo")</f>
        <v>Ativo</v>
      </c>
    </row>
    <row r="3384" spans="1:6" x14ac:dyDescent="0.25">
      <c r="A3384" t="s">
        <v>1531</v>
      </c>
      <c r="B3384" t="s">
        <v>470</v>
      </c>
      <c r="C3384" s="10" t="str" cm="1">
        <f t="array" ref="C3384">IF(AND(A3384="2020-12", ISNA(MATCH(B3384, _xlfn._xlws.FILTER(B:B, A:A="2021-01"), 0))), "Left", "Ativo")</f>
        <v>Ativo</v>
      </c>
      <c r="D3384" s="10" t="str" cm="1">
        <f t="array" ref="D3384">IF(AND(A3384="2021-01", ISNA(MATCH(B3384, _xlfn._xlws.FILTER(B:B, A:A="2021-02"), 0))), "Left", "Ativo")</f>
        <v>Ativo</v>
      </c>
      <c r="E3384" s="10" t="str" cm="1">
        <f t="array" ref="E3384">IF(AND(A3384="2021-02", ISNA(MATCH(B3384, _xlfn._xlws.FILTER(B:B, A:A="2021-03"), 0))), "Left", "Ativo")</f>
        <v>Ativo</v>
      </c>
      <c r="F3384" s="12" t="str" cm="1">
        <f t="array" ref="F3384">IF(AND(A3384="2021-03", ISNA(MATCH(B3384, _xlfn._xlws.FILTER(B:B, A:A="2021-04"), 0))), "Left", "Ativo")</f>
        <v>Ativo</v>
      </c>
    </row>
    <row r="3385" spans="1:6" x14ac:dyDescent="0.25">
      <c r="A3385" t="s">
        <v>1531</v>
      </c>
      <c r="B3385" t="s">
        <v>471</v>
      </c>
      <c r="C3385" s="10" t="str" cm="1">
        <f t="array" ref="C3385">IF(AND(A3385="2020-12", ISNA(MATCH(B3385, _xlfn._xlws.FILTER(B:B, A:A="2021-01"), 0))), "Left", "Ativo")</f>
        <v>Ativo</v>
      </c>
      <c r="D3385" s="10" t="str" cm="1">
        <f t="array" ref="D3385">IF(AND(A3385="2021-01", ISNA(MATCH(B3385, _xlfn._xlws.FILTER(B:B, A:A="2021-02"), 0))), "Left", "Ativo")</f>
        <v>Ativo</v>
      </c>
      <c r="E3385" s="10" t="str" cm="1">
        <f t="array" ref="E3385">IF(AND(A3385="2021-02", ISNA(MATCH(B3385, _xlfn._xlws.FILTER(B:B, A:A="2021-03"), 0))), "Left", "Ativo")</f>
        <v>Ativo</v>
      </c>
      <c r="F3385" s="12" t="str" cm="1">
        <f t="array" ref="F3385">IF(AND(A3385="2021-03", ISNA(MATCH(B3385, _xlfn._xlws.FILTER(B:B, A:A="2021-04"), 0))), "Left", "Ativo")</f>
        <v>Ativo</v>
      </c>
    </row>
    <row r="3386" spans="1:6" x14ac:dyDescent="0.25">
      <c r="A3386" t="s">
        <v>1531</v>
      </c>
      <c r="B3386" t="s">
        <v>472</v>
      </c>
      <c r="C3386" s="10" t="str" cm="1">
        <f t="array" ref="C3386">IF(AND(A3386="2020-12", ISNA(MATCH(B3386, _xlfn._xlws.FILTER(B:B, A:A="2021-01"), 0))), "Left", "Ativo")</f>
        <v>Ativo</v>
      </c>
      <c r="D3386" s="10" t="str" cm="1">
        <f t="array" ref="D3386">IF(AND(A3386="2021-01", ISNA(MATCH(B3386, _xlfn._xlws.FILTER(B:B, A:A="2021-02"), 0))), "Left", "Ativo")</f>
        <v>Ativo</v>
      </c>
      <c r="E3386" s="10" t="str" cm="1">
        <f t="array" ref="E3386">IF(AND(A3386="2021-02", ISNA(MATCH(B3386, _xlfn._xlws.FILTER(B:B, A:A="2021-03"), 0))), "Left", "Ativo")</f>
        <v>Ativo</v>
      </c>
      <c r="F3386" s="12" t="str" cm="1">
        <f t="array" ref="F3386">IF(AND(A3386="2021-03", ISNA(MATCH(B3386, _xlfn._xlws.FILTER(B:B, A:A="2021-04"), 0))), "Left", "Ativo")</f>
        <v>Ativo</v>
      </c>
    </row>
    <row r="3387" spans="1:6" x14ac:dyDescent="0.25">
      <c r="A3387" t="s">
        <v>1531</v>
      </c>
      <c r="B3387" t="s">
        <v>473</v>
      </c>
      <c r="C3387" s="10" t="str" cm="1">
        <f t="array" ref="C3387">IF(AND(A3387="2020-12", ISNA(MATCH(B3387, _xlfn._xlws.FILTER(B:B, A:A="2021-01"), 0))), "Left", "Ativo")</f>
        <v>Ativo</v>
      </c>
      <c r="D3387" s="10" t="str" cm="1">
        <f t="array" ref="D3387">IF(AND(A3387="2021-01", ISNA(MATCH(B3387, _xlfn._xlws.FILTER(B:B, A:A="2021-02"), 0))), "Left", "Ativo")</f>
        <v>Ativo</v>
      </c>
      <c r="E3387" s="10" t="str" cm="1">
        <f t="array" ref="E3387">IF(AND(A3387="2021-02", ISNA(MATCH(B3387, _xlfn._xlws.FILTER(B:B, A:A="2021-03"), 0))), "Left", "Ativo")</f>
        <v>Ativo</v>
      </c>
      <c r="F3387" s="12" t="str" cm="1">
        <f t="array" ref="F3387">IF(AND(A3387="2021-03", ISNA(MATCH(B3387, _xlfn._xlws.FILTER(B:B, A:A="2021-04"), 0))), "Left", "Ativo")</f>
        <v>Ativo</v>
      </c>
    </row>
    <row r="3388" spans="1:6" x14ac:dyDescent="0.25">
      <c r="A3388" t="s">
        <v>1531</v>
      </c>
      <c r="B3388" t="s">
        <v>474</v>
      </c>
      <c r="C3388" s="10" t="str" cm="1">
        <f t="array" ref="C3388">IF(AND(A3388="2020-12", ISNA(MATCH(B3388, _xlfn._xlws.FILTER(B:B, A:A="2021-01"), 0))), "Left", "Ativo")</f>
        <v>Ativo</v>
      </c>
      <c r="D3388" s="10" t="str" cm="1">
        <f t="array" ref="D3388">IF(AND(A3388="2021-01", ISNA(MATCH(B3388, _xlfn._xlws.FILTER(B:B, A:A="2021-02"), 0))), "Left", "Ativo")</f>
        <v>Ativo</v>
      </c>
      <c r="E3388" s="10" t="str" cm="1">
        <f t="array" ref="E3388">IF(AND(A3388="2021-02", ISNA(MATCH(B3388, _xlfn._xlws.FILTER(B:B, A:A="2021-03"), 0))), "Left", "Ativo")</f>
        <v>Ativo</v>
      </c>
      <c r="F3388" s="12" t="str" cm="1">
        <f t="array" ref="F3388">IF(AND(A3388="2021-03", ISNA(MATCH(B3388, _xlfn._xlws.FILTER(B:B, A:A="2021-04"), 0))), "Left", "Ativo")</f>
        <v>Ativo</v>
      </c>
    </row>
    <row r="3389" spans="1:6" x14ac:dyDescent="0.25">
      <c r="A3389" t="s">
        <v>1531</v>
      </c>
      <c r="B3389" t="s">
        <v>475</v>
      </c>
      <c r="C3389" s="10" t="str" cm="1">
        <f t="array" ref="C3389">IF(AND(A3389="2020-12", ISNA(MATCH(B3389, _xlfn._xlws.FILTER(B:B, A:A="2021-01"), 0))), "Left", "Ativo")</f>
        <v>Ativo</v>
      </c>
      <c r="D3389" s="10" t="str" cm="1">
        <f t="array" ref="D3389">IF(AND(A3389="2021-01", ISNA(MATCH(B3389, _xlfn._xlws.FILTER(B:B, A:A="2021-02"), 0))), "Left", "Ativo")</f>
        <v>Ativo</v>
      </c>
      <c r="E3389" s="10" t="str" cm="1">
        <f t="array" ref="E3389">IF(AND(A3389="2021-02", ISNA(MATCH(B3389, _xlfn._xlws.FILTER(B:B, A:A="2021-03"), 0))), "Left", "Ativo")</f>
        <v>Ativo</v>
      </c>
      <c r="F3389" s="12" t="str" cm="1">
        <f t="array" ref="F3389">IF(AND(A3389="2021-03", ISNA(MATCH(B3389, _xlfn._xlws.FILTER(B:B, A:A="2021-04"), 0))), "Left", "Ativo")</f>
        <v>Ativo</v>
      </c>
    </row>
    <row r="3390" spans="1:6" x14ac:dyDescent="0.25">
      <c r="A3390" t="s">
        <v>1531</v>
      </c>
      <c r="B3390" t="s">
        <v>476</v>
      </c>
      <c r="C3390" s="10" t="str" cm="1">
        <f t="array" ref="C3390">IF(AND(A3390="2020-12", ISNA(MATCH(B3390, _xlfn._xlws.FILTER(B:B, A:A="2021-01"), 0))), "Left", "Ativo")</f>
        <v>Ativo</v>
      </c>
      <c r="D3390" s="10" t="str" cm="1">
        <f t="array" ref="D3390">IF(AND(A3390="2021-01", ISNA(MATCH(B3390, _xlfn._xlws.FILTER(B:B, A:A="2021-02"), 0))), "Left", "Ativo")</f>
        <v>Ativo</v>
      </c>
      <c r="E3390" s="10" t="str" cm="1">
        <f t="array" ref="E3390">IF(AND(A3390="2021-02", ISNA(MATCH(B3390, _xlfn._xlws.FILTER(B:B, A:A="2021-03"), 0))), "Left", "Ativo")</f>
        <v>Ativo</v>
      </c>
      <c r="F3390" s="12" t="str" cm="1">
        <f t="array" ref="F3390">IF(AND(A3390="2021-03", ISNA(MATCH(B3390, _xlfn._xlws.FILTER(B:B, A:A="2021-04"), 0))), "Left", "Ativo")</f>
        <v>Ativo</v>
      </c>
    </row>
    <row r="3391" spans="1:6" x14ac:dyDescent="0.25">
      <c r="A3391" t="s">
        <v>1531</v>
      </c>
      <c r="B3391" t="s">
        <v>477</v>
      </c>
      <c r="C3391" s="10" t="str" cm="1">
        <f t="array" ref="C3391">IF(AND(A3391="2020-12", ISNA(MATCH(B3391, _xlfn._xlws.FILTER(B:B, A:A="2021-01"), 0))), "Left", "Ativo")</f>
        <v>Ativo</v>
      </c>
      <c r="D3391" s="10" t="str" cm="1">
        <f t="array" ref="D3391">IF(AND(A3391="2021-01", ISNA(MATCH(B3391, _xlfn._xlws.FILTER(B:B, A:A="2021-02"), 0))), "Left", "Ativo")</f>
        <v>Ativo</v>
      </c>
      <c r="E3391" s="10" t="str" cm="1">
        <f t="array" ref="E3391">IF(AND(A3391="2021-02", ISNA(MATCH(B3391, _xlfn._xlws.FILTER(B:B, A:A="2021-03"), 0))), "Left", "Ativo")</f>
        <v>Ativo</v>
      </c>
      <c r="F3391" s="12" t="str" cm="1">
        <f t="array" ref="F3391">IF(AND(A3391="2021-03", ISNA(MATCH(B3391, _xlfn._xlws.FILTER(B:B, A:A="2021-04"), 0))), "Left", "Ativo")</f>
        <v>Ativo</v>
      </c>
    </row>
    <row r="3392" spans="1:6" x14ac:dyDescent="0.25">
      <c r="A3392" t="s">
        <v>1531</v>
      </c>
      <c r="B3392" t="s">
        <v>478</v>
      </c>
      <c r="C3392" s="10" t="str" cm="1">
        <f t="array" ref="C3392">IF(AND(A3392="2020-12", ISNA(MATCH(B3392, _xlfn._xlws.FILTER(B:B, A:A="2021-01"), 0))), "Left", "Ativo")</f>
        <v>Ativo</v>
      </c>
      <c r="D3392" s="10" t="str" cm="1">
        <f t="array" ref="D3392">IF(AND(A3392="2021-01", ISNA(MATCH(B3392, _xlfn._xlws.FILTER(B:B, A:A="2021-02"), 0))), "Left", "Ativo")</f>
        <v>Ativo</v>
      </c>
      <c r="E3392" s="10" t="str" cm="1">
        <f t="array" ref="E3392">IF(AND(A3392="2021-02", ISNA(MATCH(B3392, _xlfn._xlws.FILTER(B:B, A:A="2021-03"), 0))), "Left", "Ativo")</f>
        <v>Ativo</v>
      </c>
      <c r="F3392" s="12" t="str" cm="1">
        <f t="array" ref="F3392">IF(AND(A3392="2021-03", ISNA(MATCH(B3392, _xlfn._xlws.FILTER(B:B, A:A="2021-04"), 0))), "Left", "Ativo")</f>
        <v>Ativo</v>
      </c>
    </row>
    <row r="3393" spans="1:6" x14ac:dyDescent="0.25">
      <c r="A3393" t="s">
        <v>1531</v>
      </c>
      <c r="B3393" t="s">
        <v>479</v>
      </c>
      <c r="C3393" s="10" t="str" cm="1">
        <f t="array" ref="C3393">IF(AND(A3393="2020-12", ISNA(MATCH(B3393, _xlfn._xlws.FILTER(B:B, A:A="2021-01"), 0))), "Left", "Ativo")</f>
        <v>Ativo</v>
      </c>
      <c r="D3393" s="10" t="str" cm="1">
        <f t="array" ref="D3393">IF(AND(A3393="2021-01", ISNA(MATCH(B3393, _xlfn._xlws.FILTER(B:B, A:A="2021-02"), 0))), "Left", "Ativo")</f>
        <v>Ativo</v>
      </c>
      <c r="E3393" s="10" t="str" cm="1">
        <f t="array" ref="E3393">IF(AND(A3393="2021-02", ISNA(MATCH(B3393, _xlfn._xlws.FILTER(B:B, A:A="2021-03"), 0))), "Left", "Ativo")</f>
        <v>Ativo</v>
      </c>
      <c r="F3393" s="12" t="str" cm="1">
        <f t="array" ref="F3393">IF(AND(A3393="2021-03", ISNA(MATCH(B3393, _xlfn._xlws.FILTER(B:B, A:A="2021-04"), 0))), "Left", "Ativo")</f>
        <v>Ativo</v>
      </c>
    </row>
    <row r="3394" spans="1:6" x14ac:dyDescent="0.25">
      <c r="A3394" t="s">
        <v>1531</v>
      </c>
      <c r="B3394" t="s">
        <v>480</v>
      </c>
      <c r="C3394" s="10" t="str" cm="1">
        <f t="array" ref="C3394">IF(AND(A3394="2020-12", ISNA(MATCH(B3394, _xlfn._xlws.FILTER(B:B, A:A="2021-01"), 0))), "Left", "Ativo")</f>
        <v>Ativo</v>
      </c>
      <c r="D3394" s="10" t="str" cm="1">
        <f t="array" ref="D3394">IF(AND(A3394="2021-01", ISNA(MATCH(B3394, _xlfn._xlws.FILTER(B:B, A:A="2021-02"), 0))), "Left", "Ativo")</f>
        <v>Ativo</v>
      </c>
      <c r="E3394" s="10" t="str" cm="1">
        <f t="array" ref="E3394">IF(AND(A3394="2021-02", ISNA(MATCH(B3394, _xlfn._xlws.FILTER(B:B, A:A="2021-03"), 0))), "Left", "Ativo")</f>
        <v>Ativo</v>
      </c>
      <c r="F3394" s="12" t="str" cm="1">
        <f t="array" ref="F3394">IF(AND(A3394="2021-03", ISNA(MATCH(B3394, _xlfn._xlws.FILTER(B:B, A:A="2021-04"), 0))), "Left", "Ativo")</f>
        <v>Ativo</v>
      </c>
    </row>
    <row r="3395" spans="1:6" x14ac:dyDescent="0.25">
      <c r="A3395" t="s">
        <v>1531</v>
      </c>
      <c r="B3395" t="s">
        <v>481</v>
      </c>
      <c r="C3395" s="10" t="str" cm="1">
        <f t="array" ref="C3395">IF(AND(A3395="2020-12", ISNA(MATCH(B3395, _xlfn._xlws.FILTER(B:B, A:A="2021-01"), 0))), "Left", "Ativo")</f>
        <v>Ativo</v>
      </c>
      <c r="D3395" s="10" t="str" cm="1">
        <f t="array" ref="D3395">IF(AND(A3395="2021-01", ISNA(MATCH(B3395, _xlfn._xlws.FILTER(B:B, A:A="2021-02"), 0))), "Left", "Ativo")</f>
        <v>Ativo</v>
      </c>
      <c r="E3395" s="10" t="str" cm="1">
        <f t="array" ref="E3395">IF(AND(A3395="2021-02", ISNA(MATCH(B3395, _xlfn._xlws.FILTER(B:B, A:A="2021-03"), 0))), "Left", "Ativo")</f>
        <v>Ativo</v>
      </c>
      <c r="F3395" s="12" t="str" cm="1">
        <f t="array" ref="F3395">IF(AND(A3395="2021-03", ISNA(MATCH(B3395, _xlfn._xlws.FILTER(B:B, A:A="2021-04"), 0))), "Left", "Ativo")</f>
        <v>Ativo</v>
      </c>
    </row>
    <row r="3396" spans="1:6" x14ac:dyDescent="0.25">
      <c r="A3396" t="s">
        <v>1531</v>
      </c>
      <c r="B3396" t="s">
        <v>482</v>
      </c>
      <c r="C3396" s="10" t="str" cm="1">
        <f t="array" ref="C3396">IF(AND(A3396="2020-12", ISNA(MATCH(B3396, _xlfn._xlws.FILTER(B:B, A:A="2021-01"), 0))), "Left", "Ativo")</f>
        <v>Ativo</v>
      </c>
      <c r="D3396" s="10" t="str" cm="1">
        <f t="array" ref="D3396">IF(AND(A3396="2021-01", ISNA(MATCH(B3396, _xlfn._xlws.FILTER(B:B, A:A="2021-02"), 0))), "Left", "Ativo")</f>
        <v>Ativo</v>
      </c>
      <c r="E3396" s="10" t="str" cm="1">
        <f t="array" ref="E3396">IF(AND(A3396="2021-02", ISNA(MATCH(B3396, _xlfn._xlws.FILTER(B:B, A:A="2021-03"), 0))), "Left", "Ativo")</f>
        <v>Ativo</v>
      </c>
      <c r="F3396" s="12" t="str" cm="1">
        <f t="array" ref="F3396">IF(AND(A3396="2021-03", ISNA(MATCH(B3396, _xlfn._xlws.FILTER(B:B, A:A="2021-04"), 0))), "Left", "Ativo")</f>
        <v>Ativo</v>
      </c>
    </row>
    <row r="3397" spans="1:6" x14ac:dyDescent="0.25">
      <c r="A3397" t="s">
        <v>1531</v>
      </c>
      <c r="B3397" t="s">
        <v>483</v>
      </c>
      <c r="C3397" s="10" t="str" cm="1">
        <f t="array" ref="C3397">IF(AND(A3397="2020-12", ISNA(MATCH(B3397, _xlfn._xlws.FILTER(B:B, A:A="2021-01"), 0))), "Left", "Ativo")</f>
        <v>Ativo</v>
      </c>
      <c r="D3397" s="10" t="str" cm="1">
        <f t="array" ref="D3397">IF(AND(A3397="2021-01", ISNA(MATCH(B3397, _xlfn._xlws.FILTER(B:B, A:A="2021-02"), 0))), "Left", "Ativo")</f>
        <v>Ativo</v>
      </c>
      <c r="E3397" s="10" t="str" cm="1">
        <f t="array" ref="E3397">IF(AND(A3397="2021-02", ISNA(MATCH(B3397, _xlfn._xlws.FILTER(B:B, A:A="2021-03"), 0))), "Left", "Ativo")</f>
        <v>Ativo</v>
      </c>
      <c r="F3397" s="12" t="str" cm="1">
        <f t="array" ref="F3397">IF(AND(A3397="2021-03", ISNA(MATCH(B3397, _xlfn._xlws.FILTER(B:B, A:A="2021-04"), 0))), "Left", "Ativo")</f>
        <v>Ativo</v>
      </c>
    </row>
    <row r="3398" spans="1:6" x14ac:dyDescent="0.25">
      <c r="A3398" t="s">
        <v>1531</v>
      </c>
      <c r="B3398" t="s">
        <v>484</v>
      </c>
      <c r="C3398" s="10" t="str" cm="1">
        <f t="array" ref="C3398">IF(AND(A3398="2020-12", ISNA(MATCH(B3398, _xlfn._xlws.FILTER(B:B, A:A="2021-01"), 0))), "Left", "Ativo")</f>
        <v>Ativo</v>
      </c>
      <c r="D3398" s="10" t="str" cm="1">
        <f t="array" ref="D3398">IF(AND(A3398="2021-01", ISNA(MATCH(B3398, _xlfn._xlws.FILTER(B:B, A:A="2021-02"), 0))), "Left", "Ativo")</f>
        <v>Ativo</v>
      </c>
      <c r="E3398" s="10" t="str" cm="1">
        <f t="array" ref="E3398">IF(AND(A3398="2021-02", ISNA(MATCH(B3398, _xlfn._xlws.FILTER(B:B, A:A="2021-03"), 0))), "Left", "Ativo")</f>
        <v>Ativo</v>
      </c>
      <c r="F3398" s="12" t="str" cm="1">
        <f t="array" ref="F3398">IF(AND(A3398="2021-03", ISNA(MATCH(B3398, _xlfn._xlws.FILTER(B:B, A:A="2021-04"), 0))), "Left", "Ativo")</f>
        <v>Ativo</v>
      </c>
    </row>
    <row r="3399" spans="1:6" x14ac:dyDescent="0.25">
      <c r="A3399" t="s">
        <v>1531</v>
      </c>
      <c r="B3399" t="s">
        <v>485</v>
      </c>
      <c r="C3399" s="10" t="str" cm="1">
        <f t="array" ref="C3399">IF(AND(A3399="2020-12", ISNA(MATCH(B3399, _xlfn._xlws.FILTER(B:B, A:A="2021-01"), 0))), "Left", "Ativo")</f>
        <v>Ativo</v>
      </c>
      <c r="D3399" s="10" t="str" cm="1">
        <f t="array" ref="D3399">IF(AND(A3399="2021-01", ISNA(MATCH(B3399, _xlfn._xlws.FILTER(B:B, A:A="2021-02"), 0))), "Left", "Ativo")</f>
        <v>Ativo</v>
      </c>
      <c r="E3399" s="10" t="str" cm="1">
        <f t="array" ref="E3399">IF(AND(A3399="2021-02", ISNA(MATCH(B3399, _xlfn._xlws.FILTER(B:B, A:A="2021-03"), 0))), "Left", "Ativo")</f>
        <v>Ativo</v>
      </c>
      <c r="F3399" s="12" t="str" cm="1">
        <f t="array" ref="F3399">IF(AND(A3399="2021-03", ISNA(MATCH(B3399, _xlfn._xlws.FILTER(B:B, A:A="2021-04"), 0))), "Left", "Ativo")</f>
        <v>Ativo</v>
      </c>
    </row>
    <row r="3400" spans="1:6" x14ac:dyDescent="0.25">
      <c r="A3400" t="s">
        <v>1531</v>
      </c>
      <c r="B3400" t="s">
        <v>486</v>
      </c>
      <c r="C3400" s="10" t="str" cm="1">
        <f t="array" ref="C3400">IF(AND(A3400="2020-12", ISNA(MATCH(B3400, _xlfn._xlws.FILTER(B:B, A:A="2021-01"), 0))), "Left", "Ativo")</f>
        <v>Ativo</v>
      </c>
      <c r="D3400" s="10" t="str" cm="1">
        <f t="array" ref="D3400">IF(AND(A3400="2021-01", ISNA(MATCH(B3400, _xlfn._xlws.FILTER(B:B, A:A="2021-02"), 0))), "Left", "Ativo")</f>
        <v>Ativo</v>
      </c>
      <c r="E3400" s="10" t="str" cm="1">
        <f t="array" ref="E3400">IF(AND(A3400="2021-02", ISNA(MATCH(B3400, _xlfn._xlws.FILTER(B:B, A:A="2021-03"), 0))), "Left", "Ativo")</f>
        <v>Ativo</v>
      </c>
      <c r="F3400" s="12" t="str" cm="1">
        <f t="array" ref="F3400">IF(AND(A3400="2021-03", ISNA(MATCH(B3400, _xlfn._xlws.FILTER(B:B, A:A="2021-04"), 0))), "Left", "Ativo")</f>
        <v>Ativo</v>
      </c>
    </row>
    <row r="3401" spans="1:6" x14ac:dyDescent="0.25">
      <c r="A3401" t="s">
        <v>1531</v>
      </c>
      <c r="B3401" t="s">
        <v>487</v>
      </c>
      <c r="C3401" s="10" t="str" cm="1">
        <f t="array" ref="C3401">IF(AND(A3401="2020-12", ISNA(MATCH(B3401, _xlfn._xlws.FILTER(B:B, A:A="2021-01"), 0))), "Left", "Ativo")</f>
        <v>Ativo</v>
      </c>
      <c r="D3401" s="10" t="str" cm="1">
        <f t="array" ref="D3401">IF(AND(A3401="2021-01", ISNA(MATCH(B3401, _xlfn._xlws.FILTER(B:B, A:A="2021-02"), 0))), "Left", "Ativo")</f>
        <v>Ativo</v>
      </c>
      <c r="E3401" s="10" t="str" cm="1">
        <f t="array" ref="E3401">IF(AND(A3401="2021-02", ISNA(MATCH(B3401, _xlfn._xlws.FILTER(B:B, A:A="2021-03"), 0))), "Left", "Ativo")</f>
        <v>Ativo</v>
      </c>
      <c r="F3401" s="12" t="str" cm="1">
        <f t="array" ref="F3401">IF(AND(A3401="2021-03", ISNA(MATCH(B3401, _xlfn._xlws.FILTER(B:B, A:A="2021-04"), 0))), "Left", "Ativo")</f>
        <v>Ativo</v>
      </c>
    </row>
    <row r="3402" spans="1:6" x14ac:dyDescent="0.25">
      <c r="A3402" t="s">
        <v>1531</v>
      </c>
      <c r="B3402" t="s">
        <v>488</v>
      </c>
      <c r="C3402" s="10" t="str" cm="1">
        <f t="array" ref="C3402">IF(AND(A3402="2020-12", ISNA(MATCH(B3402, _xlfn._xlws.FILTER(B:B, A:A="2021-01"), 0))), "Left", "Ativo")</f>
        <v>Ativo</v>
      </c>
      <c r="D3402" s="10" t="str" cm="1">
        <f t="array" ref="D3402">IF(AND(A3402="2021-01", ISNA(MATCH(B3402, _xlfn._xlws.FILTER(B:B, A:A="2021-02"), 0))), "Left", "Ativo")</f>
        <v>Ativo</v>
      </c>
      <c r="E3402" s="10" t="str" cm="1">
        <f t="array" ref="E3402">IF(AND(A3402="2021-02", ISNA(MATCH(B3402, _xlfn._xlws.FILTER(B:B, A:A="2021-03"), 0))), "Left", "Ativo")</f>
        <v>Ativo</v>
      </c>
      <c r="F3402" s="12" t="str" cm="1">
        <f t="array" ref="F3402">IF(AND(A3402="2021-03", ISNA(MATCH(B3402, _xlfn._xlws.FILTER(B:B, A:A="2021-04"), 0))), "Left", "Ativo")</f>
        <v>Ativo</v>
      </c>
    </row>
    <row r="3403" spans="1:6" x14ac:dyDescent="0.25">
      <c r="A3403" t="s">
        <v>1531</v>
      </c>
      <c r="B3403" t="s">
        <v>489</v>
      </c>
      <c r="C3403" s="10" t="str" cm="1">
        <f t="array" ref="C3403">IF(AND(A3403="2020-12", ISNA(MATCH(B3403, _xlfn._xlws.FILTER(B:B, A:A="2021-01"), 0))), "Left", "Ativo")</f>
        <v>Ativo</v>
      </c>
      <c r="D3403" s="10" t="str" cm="1">
        <f t="array" ref="D3403">IF(AND(A3403="2021-01", ISNA(MATCH(B3403, _xlfn._xlws.FILTER(B:B, A:A="2021-02"), 0))), "Left", "Ativo")</f>
        <v>Ativo</v>
      </c>
      <c r="E3403" s="10" t="str" cm="1">
        <f t="array" ref="E3403">IF(AND(A3403="2021-02", ISNA(MATCH(B3403, _xlfn._xlws.FILTER(B:B, A:A="2021-03"), 0))), "Left", "Ativo")</f>
        <v>Ativo</v>
      </c>
      <c r="F3403" s="12" t="str" cm="1">
        <f t="array" ref="F3403">IF(AND(A3403="2021-03", ISNA(MATCH(B3403, _xlfn._xlws.FILTER(B:B, A:A="2021-04"), 0))), "Left", "Ativo")</f>
        <v>Left</v>
      </c>
    </row>
    <row r="3404" spans="1:6" x14ac:dyDescent="0.25">
      <c r="A3404" t="s">
        <v>1531</v>
      </c>
      <c r="B3404" t="s">
        <v>490</v>
      </c>
      <c r="C3404" s="10" t="str" cm="1">
        <f t="array" ref="C3404">IF(AND(A3404="2020-12", ISNA(MATCH(B3404, _xlfn._xlws.FILTER(B:B, A:A="2021-01"), 0))), "Left", "Ativo")</f>
        <v>Ativo</v>
      </c>
      <c r="D3404" s="10" t="str" cm="1">
        <f t="array" ref="D3404">IF(AND(A3404="2021-01", ISNA(MATCH(B3404, _xlfn._xlws.FILTER(B:B, A:A="2021-02"), 0))), "Left", "Ativo")</f>
        <v>Ativo</v>
      </c>
      <c r="E3404" s="10" t="str" cm="1">
        <f t="array" ref="E3404">IF(AND(A3404="2021-02", ISNA(MATCH(B3404, _xlfn._xlws.FILTER(B:B, A:A="2021-03"), 0))), "Left", "Ativo")</f>
        <v>Ativo</v>
      </c>
      <c r="F3404" s="12" t="str" cm="1">
        <f t="array" ref="F3404">IF(AND(A3404="2021-03", ISNA(MATCH(B3404, _xlfn._xlws.FILTER(B:B, A:A="2021-04"), 0))), "Left", "Ativo")</f>
        <v>Ativo</v>
      </c>
    </row>
    <row r="3405" spans="1:6" x14ac:dyDescent="0.25">
      <c r="A3405" t="s">
        <v>1531</v>
      </c>
      <c r="B3405" t="s">
        <v>491</v>
      </c>
      <c r="C3405" s="10" t="str" cm="1">
        <f t="array" ref="C3405">IF(AND(A3405="2020-12", ISNA(MATCH(B3405, _xlfn._xlws.FILTER(B:B, A:A="2021-01"), 0))), "Left", "Ativo")</f>
        <v>Ativo</v>
      </c>
      <c r="D3405" s="10" t="str" cm="1">
        <f t="array" ref="D3405">IF(AND(A3405="2021-01", ISNA(MATCH(B3405, _xlfn._xlws.FILTER(B:B, A:A="2021-02"), 0))), "Left", "Ativo")</f>
        <v>Ativo</v>
      </c>
      <c r="E3405" s="10" t="str" cm="1">
        <f t="array" ref="E3405">IF(AND(A3405="2021-02", ISNA(MATCH(B3405, _xlfn._xlws.FILTER(B:B, A:A="2021-03"), 0))), "Left", "Ativo")</f>
        <v>Ativo</v>
      </c>
      <c r="F3405" s="12" t="str" cm="1">
        <f t="array" ref="F3405">IF(AND(A3405="2021-03", ISNA(MATCH(B3405, _xlfn._xlws.FILTER(B:B, A:A="2021-04"), 0))), "Left", "Ativo")</f>
        <v>Ativo</v>
      </c>
    </row>
    <row r="3406" spans="1:6" x14ac:dyDescent="0.25">
      <c r="A3406" t="s">
        <v>1531</v>
      </c>
      <c r="B3406" t="s">
        <v>493</v>
      </c>
      <c r="C3406" s="10" t="str" cm="1">
        <f t="array" ref="C3406">IF(AND(A3406="2020-12", ISNA(MATCH(B3406, _xlfn._xlws.FILTER(B:B, A:A="2021-01"), 0))), "Left", "Ativo")</f>
        <v>Ativo</v>
      </c>
      <c r="D3406" s="10" t="str" cm="1">
        <f t="array" ref="D3406">IF(AND(A3406="2021-01", ISNA(MATCH(B3406, _xlfn._xlws.FILTER(B:B, A:A="2021-02"), 0))), "Left", "Ativo")</f>
        <v>Ativo</v>
      </c>
      <c r="E3406" s="10" t="str" cm="1">
        <f t="array" ref="E3406">IF(AND(A3406="2021-02", ISNA(MATCH(B3406, _xlfn._xlws.FILTER(B:B, A:A="2021-03"), 0))), "Left", "Ativo")</f>
        <v>Ativo</v>
      </c>
      <c r="F3406" s="12" t="str" cm="1">
        <f t="array" ref="F3406">IF(AND(A3406="2021-03", ISNA(MATCH(B3406, _xlfn._xlws.FILTER(B:B, A:A="2021-04"), 0))), "Left", "Ativo")</f>
        <v>Ativo</v>
      </c>
    </row>
    <row r="3407" spans="1:6" x14ac:dyDescent="0.25">
      <c r="A3407" t="s">
        <v>1531</v>
      </c>
      <c r="B3407" t="s">
        <v>494</v>
      </c>
      <c r="C3407" s="10" t="str" cm="1">
        <f t="array" ref="C3407">IF(AND(A3407="2020-12", ISNA(MATCH(B3407, _xlfn._xlws.FILTER(B:B, A:A="2021-01"), 0))), "Left", "Ativo")</f>
        <v>Ativo</v>
      </c>
      <c r="D3407" s="10" t="str" cm="1">
        <f t="array" ref="D3407">IF(AND(A3407="2021-01", ISNA(MATCH(B3407, _xlfn._xlws.FILTER(B:B, A:A="2021-02"), 0))), "Left", "Ativo")</f>
        <v>Ativo</v>
      </c>
      <c r="E3407" s="10" t="str" cm="1">
        <f t="array" ref="E3407">IF(AND(A3407="2021-02", ISNA(MATCH(B3407, _xlfn._xlws.FILTER(B:B, A:A="2021-03"), 0))), "Left", "Ativo")</f>
        <v>Ativo</v>
      </c>
      <c r="F3407" s="12" t="str" cm="1">
        <f t="array" ref="F3407">IF(AND(A3407="2021-03", ISNA(MATCH(B3407, _xlfn._xlws.FILTER(B:B, A:A="2021-04"), 0))), "Left", "Ativo")</f>
        <v>Ativo</v>
      </c>
    </row>
    <row r="3408" spans="1:6" x14ac:dyDescent="0.25">
      <c r="A3408" t="s">
        <v>1531</v>
      </c>
      <c r="B3408" t="s">
        <v>495</v>
      </c>
      <c r="C3408" s="10" t="str" cm="1">
        <f t="array" ref="C3408">IF(AND(A3408="2020-12", ISNA(MATCH(B3408, _xlfn._xlws.FILTER(B:B, A:A="2021-01"), 0))), "Left", "Ativo")</f>
        <v>Ativo</v>
      </c>
      <c r="D3408" s="10" t="str" cm="1">
        <f t="array" ref="D3408">IF(AND(A3408="2021-01", ISNA(MATCH(B3408, _xlfn._xlws.FILTER(B:B, A:A="2021-02"), 0))), "Left", "Ativo")</f>
        <v>Ativo</v>
      </c>
      <c r="E3408" s="10" t="str" cm="1">
        <f t="array" ref="E3408">IF(AND(A3408="2021-02", ISNA(MATCH(B3408, _xlfn._xlws.FILTER(B:B, A:A="2021-03"), 0))), "Left", "Ativo")</f>
        <v>Ativo</v>
      </c>
      <c r="F3408" s="12" t="str" cm="1">
        <f t="array" ref="F3408">IF(AND(A3408="2021-03", ISNA(MATCH(B3408, _xlfn._xlws.FILTER(B:B, A:A="2021-04"), 0))), "Left", "Ativo")</f>
        <v>Ativo</v>
      </c>
    </row>
    <row r="3409" spans="1:6" x14ac:dyDescent="0.25">
      <c r="A3409" t="s">
        <v>1531</v>
      </c>
      <c r="B3409" t="s">
        <v>496</v>
      </c>
      <c r="C3409" s="10" t="str" cm="1">
        <f t="array" ref="C3409">IF(AND(A3409="2020-12", ISNA(MATCH(B3409, _xlfn._xlws.FILTER(B:B, A:A="2021-01"), 0))), "Left", "Ativo")</f>
        <v>Ativo</v>
      </c>
      <c r="D3409" s="10" t="str" cm="1">
        <f t="array" ref="D3409">IF(AND(A3409="2021-01", ISNA(MATCH(B3409, _xlfn._xlws.FILTER(B:B, A:A="2021-02"), 0))), "Left", "Ativo")</f>
        <v>Ativo</v>
      </c>
      <c r="E3409" s="10" t="str" cm="1">
        <f t="array" ref="E3409">IF(AND(A3409="2021-02", ISNA(MATCH(B3409, _xlfn._xlws.FILTER(B:B, A:A="2021-03"), 0))), "Left", "Ativo")</f>
        <v>Ativo</v>
      </c>
      <c r="F3409" s="12" t="str" cm="1">
        <f t="array" ref="F3409">IF(AND(A3409="2021-03", ISNA(MATCH(B3409, _xlfn._xlws.FILTER(B:B, A:A="2021-04"), 0))), "Left", "Ativo")</f>
        <v>Ativo</v>
      </c>
    </row>
    <row r="3410" spans="1:6" x14ac:dyDescent="0.25">
      <c r="A3410" t="s">
        <v>1531</v>
      </c>
      <c r="B3410" t="s">
        <v>497</v>
      </c>
      <c r="C3410" s="10" t="str" cm="1">
        <f t="array" ref="C3410">IF(AND(A3410="2020-12", ISNA(MATCH(B3410, _xlfn._xlws.FILTER(B:B, A:A="2021-01"), 0))), "Left", "Ativo")</f>
        <v>Ativo</v>
      </c>
      <c r="D3410" s="10" t="str" cm="1">
        <f t="array" ref="D3410">IF(AND(A3410="2021-01", ISNA(MATCH(B3410, _xlfn._xlws.FILTER(B:B, A:A="2021-02"), 0))), "Left", "Ativo")</f>
        <v>Ativo</v>
      </c>
      <c r="E3410" s="10" t="str" cm="1">
        <f t="array" ref="E3410">IF(AND(A3410="2021-02", ISNA(MATCH(B3410, _xlfn._xlws.FILTER(B:B, A:A="2021-03"), 0))), "Left", "Ativo")</f>
        <v>Ativo</v>
      </c>
      <c r="F3410" s="12" t="str" cm="1">
        <f t="array" ref="F3410">IF(AND(A3410="2021-03", ISNA(MATCH(B3410, _xlfn._xlws.FILTER(B:B, A:A="2021-04"), 0))), "Left", "Ativo")</f>
        <v>Ativo</v>
      </c>
    </row>
    <row r="3411" spans="1:6" x14ac:dyDescent="0.25">
      <c r="A3411" t="s">
        <v>1531</v>
      </c>
      <c r="B3411" t="s">
        <v>498</v>
      </c>
      <c r="C3411" s="10" t="str" cm="1">
        <f t="array" ref="C3411">IF(AND(A3411="2020-12", ISNA(MATCH(B3411, _xlfn._xlws.FILTER(B:B, A:A="2021-01"), 0))), "Left", "Ativo")</f>
        <v>Ativo</v>
      </c>
      <c r="D3411" s="10" t="str" cm="1">
        <f t="array" ref="D3411">IF(AND(A3411="2021-01", ISNA(MATCH(B3411, _xlfn._xlws.FILTER(B:B, A:A="2021-02"), 0))), "Left", "Ativo")</f>
        <v>Ativo</v>
      </c>
      <c r="E3411" s="10" t="str" cm="1">
        <f t="array" ref="E3411">IF(AND(A3411="2021-02", ISNA(MATCH(B3411, _xlfn._xlws.FILTER(B:B, A:A="2021-03"), 0))), "Left", "Ativo")</f>
        <v>Ativo</v>
      </c>
      <c r="F3411" s="12" t="str" cm="1">
        <f t="array" ref="F3411">IF(AND(A3411="2021-03", ISNA(MATCH(B3411, _xlfn._xlws.FILTER(B:B, A:A="2021-04"), 0))), "Left", "Ativo")</f>
        <v>Ativo</v>
      </c>
    </row>
    <row r="3412" spans="1:6" x14ac:dyDescent="0.25">
      <c r="A3412" t="s">
        <v>1531</v>
      </c>
      <c r="B3412" t="s">
        <v>499</v>
      </c>
      <c r="C3412" s="10" t="str" cm="1">
        <f t="array" ref="C3412">IF(AND(A3412="2020-12", ISNA(MATCH(B3412, _xlfn._xlws.FILTER(B:B, A:A="2021-01"), 0))), "Left", "Ativo")</f>
        <v>Ativo</v>
      </c>
      <c r="D3412" s="10" t="str" cm="1">
        <f t="array" ref="D3412">IF(AND(A3412="2021-01", ISNA(MATCH(B3412, _xlfn._xlws.FILTER(B:B, A:A="2021-02"), 0))), "Left", "Ativo")</f>
        <v>Ativo</v>
      </c>
      <c r="E3412" s="10" t="str" cm="1">
        <f t="array" ref="E3412">IF(AND(A3412="2021-02", ISNA(MATCH(B3412, _xlfn._xlws.FILTER(B:B, A:A="2021-03"), 0))), "Left", "Ativo")</f>
        <v>Ativo</v>
      </c>
      <c r="F3412" s="12" t="str" cm="1">
        <f t="array" ref="F3412">IF(AND(A3412="2021-03", ISNA(MATCH(B3412, _xlfn._xlws.FILTER(B:B, A:A="2021-04"), 0))), "Left", "Ativo")</f>
        <v>Ativo</v>
      </c>
    </row>
    <row r="3413" spans="1:6" x14ac:dyDescent="0.25">
      <c r="A3413" t="s">
        <v>1531</v>
      </c>
      <c r="B3413" t="s">
        <v>500</v>
      </c>
      <c r="C3413" s="10" t="str" cm="1">
        <f t="array" ref="C3413">IF(AND(A3413="2020-12", ISNA(MATCH(B3413, _xlfn._xlws.FILTER(B:B, A:A="2021-01"), 0))), "Left", "Ativo")</f>
        <v>Ativo</v>
      </c>
      <c r="D3413" s="10" t="str" cm="1">
        <f t="array" ref="D3413">IF(AND(A3413="2021-01", ISNA(MATCH(B3413, _xlfn._xlws.FILTER(B:B, A:A="2021-02"), 0))), "Left", "Ativo")</f>
        <v>Ativo</v>
      </c>
      <c r="E3413" s="10" t="str" cm="1">
        <f t="array" ref="E3413">IF(AND(A3413="2021-02", ISNA(MATCH(B3413, _xlfn._xlws.FILTER(B:B, A:A="2021-03"), 0))), "Left", "Ativo")</f>
        <v>Ativo</v>
      </c>
      <c r="F3413" s="12" t="str" cm="1">
        <f t="array" ref="F3413">IF(AND(A3413="2021-03", ISNA(MATCH(B3413, _xlfn._xlws.FILTER(B:B, A:A="2021-04"), 0))), "Left", "Ativo")</f>
        <v>Ativo</v>
      </c>
    </row>
    <row r="3414" spans="1:6" x14ac:dyDescent="0.25">
      <c r="A3414" t="s">
        <v>1531</v>
      </c>
      <c r="B3414" t="s">
        <v>501</v>
      </c>
      <c r="C3414" s="10" t="str" cm="1">
        <f t="array" ref="C3414">IF(AND(A3414="2020-12", ISNA(MATCH(B3414, _xlfn._xlws.FILTER(B:B, A:A="2021-01"), 0))), "Left", "Ativo")</f>
        <v>Ativo</v>
      </c>
      <c r="D3414" s="10" t="str" cm="1">
        <f t="array" ref="D3414">IF(AND(A3414="2021-01", ISNA(MATCH(B3414, _xlfn._xlws.FILTER(B:B, A:A="2021-02"), 0))), "Left", "Ativo")</f>
        <v>Ativo</v>
      </c>
      <c r="E3414" s="10" t="str" cm="1">
        <f t="array" ref="E3414">IF(AND(A3414="2021-02", ISNA(MATCH(B3414, _xlfn._xlws.FILTER(B:B, A:A="2021-03"), 0))), "Left", "Ativo")</f>
        <v>Ativo</v>
      </c>
      <c r="F3414" s="12" t="str" cm="1">
        <f t="array" ref="F3414">IF(AND(A3414="2021-03", ISNA(MATCH(B3414, _xlfn._xlws.FILTER(B:B, A:A="2021-04"), 0))), "Left", "Ativo")</f>
        <v>Ativo</v>
      </c>
    </row>
    <row r="3415" spans="1:6" x14ac:dyDescent="0.25">
      <c r="A3415" t="s">
        <v>1531</v>
      </c>
      <c r="B3415" t="s">
        <v>502</v>
      </c>
      <c r="C3415" s="10" t="str" cm="1">
        <f t="array" ref="C3415">IF(AND(A3415="2020-12", ISNA(MATCH(B3415, _xlfn._xlws.FILTER(B:B, A:A="2021-01"), 0))), "Left", "Ativo")</f>
        <v>Ativo</v>
      </c>
      <c r="D3415" s="10" t="str" cm="1">
        <f t="array" ref="D3415">IF(AND(A3415="2021-01", ISNA(MATCH(B3415, _xlfn._xlws.FILTER(B:B, A:A="2021-02"), 0))), "Left", "Ativo")</f>
        <v>Ativo</v>
      </c>
      <c r="E3415" s="10" t="str" cm="1">
        <f t="array" ref="E3415">IF(AND(A3415="2021-02", ISNA(MATCH(B3415, _xlfn._xlws.FILTER(B:B, A:A="2021-03"), 0))), "Left", "Ativo")</f>
        <v>Ativo</v>
      </c>
      <c r="F3415" s="12" t="str" cm="1">
        <f t="array" ref="F3415">IF(AND(A3415="2021-03", ISNA(MATCH(B3415, _xlfn._xlws.FILTER(B:B, A:A="2021-04"), 0))), "Left", "Ativo")</f>
        <v>Ativo</v>
      </c>
    </row>
    <row r="3416" spans="1:6" x14ac:dyDescent="0.25">
      <c r="A3416" t="s">
        <v>1531</v>
      </c>
      <c r="B3416" t="s">
        <v>503</v>
      </c>
      <c r="C3416" s="10" t="str" cm="1">
        <f t="array" ref="C3416">IF(AND(A3416="2020-12", ISNA(MATCH(B3416, _xlfn._xlws.FILTER(B:B, A:A="2021-01"), 0))), "Left", "Ativo")</f>
        <v>Ativo</v>
      </c>
      <c r="D3416" s="10" t="str" cm="1">
        <f t="array" ref="D3416">IF(AND(A3416="2021-01", ISNA(MATCH(B3416, _xlfn._xlws.FILTER(B:B, A:A="2021-02"), 0))), "Left", "Ativo")</f>
        <v>Ativo</v>
      </c>
      <c r="E3416" s="10" t="str" cm="1">
        <f t="array" ref="E3416">IF(AND(A3416="2021-02", ISNA(MATCH(B3416, _xlfn._xlws.FILTER(B:B, A:A="2021-03"), 0))), "Left", "Ativo")</f>
        <v>Ativo</v>
      </c>
      <c r="F3416" s="12" t="str" cm="1">
        <f t="array" ref="F3416">IF(AND(A3416="2021-03", ISNA(MATCH(B3416, _xlfn._xlws.FILTER(B:B, A:A="2021-04"), 0))), "Left", "Ativo")</f>
        <v>Ativo</v>
      </c>
    </row>
    <row r="3417" spans="1:6" x14ac:dyDescent="0.25">
      <c r="A3417" t="s">
        <v>1531</v>
      </c>
      <c r="B3417" t="s">
        <v>504</v>
      </c>
      <c r="C3417" s="10" t="str" cm="1">
        <f t="array" ref="C3417">IF(AND(A3417="2020-12", ISNA(MATCH(B3417, _xlfn._xlws.FILTER(B:B, A:A="2021-01"), 0))), "Left", "Ativo")</f>
        <v>Ativo</v>
      </c>
      <c r="D3417" s="10" t="str" cm="1">
        <f t="array" ref="D3417">IF(AND(A3417="2021-01", ISNA(MATCH(B3417, _xlfn._xlws.FILTER(B:B, A:A="2021-02"), 0))), "Left", "Ativo")</f>
        <v>Ativo</v>
      </c>
      <c r="E3417" s="10" t="str" cm="1">
        <f t="array" ref="E3417">IF(AND(A3417="2021-02", ISNA(MATCH(B3417, _xlfn._xlws.FILTER(B:B, A:A="2021-03"), 0))), "Left", "Ativo")</f>
        <v>Ativo</v>
      </c>
      <c r="F3417" s="12" t="str" cm="1">
        <f t="array" ref="F3417">IF(AND(A3417="2021-03", ISNA(MATCH(B3417, _xlfn._xlws.FILTER(B:B, A:A="2021-04"), 0))), "Left", "Ativo")</f>
        <v>Ativo</v>
      </c>
    </row>
    <row r="3418" spans="1:6" x14ac:dyDescent="0.25">
      <c r="A3418" t="s">
        <v>1531</v>
      </c>
      <c r="B3418" t="s">
        <v>505</v>
      </c>
      <c r="C3418" s="10" t="str" cm="1">
        <f t="array" ref="C3418">IF(AND(A3418="2020-12", ISNA(MATCH(B3418, _xlfn._xlws.FILTER(B:B, A:A="2021-01"), 0))), "Left", "Ativo")</f>
        <v>Ativo</v>
      </c>
      <c r="D3418" s="10" t="str" cm="1">
        <f t="array" ref="D3418">IF(AND(A3418="2021-01", ISNA(MATCH(B3418, _xlfn._xlws.FILTER(B:B, A:A="2021-02"), 0))), "Left", "Ativo")</f>
        <v>Ativo</v>
      </c>
      <c r="E3418" s="10" t="str" cm="1">
        <f t="array" ref="E3418">IF(AND(A3418="2021-02", ISNA(MATCH(B3418, _xlfn._xlws.FILTER(B:B, A:A="2021-03"), 0))), "Left", "Ativo")</f>
        <v>Ativo</v>
      </c>
      <c r="F3418" s="12" t="str" cm="1">
        <f t="array" ref="F3418">IF(AND(A3418="2021-03", ISNA(MATCH(B3418, _xlfn._xlws.FILTER(B:B, A:A="2021-04"), 0))), "Left", "Ativo")</f>
        <v>Ativo</v>
      </c>
    </row>
    <row r="3419" spans="1:6" x14ac:dyDescent="0.25">
      <c r="A3419" t="s">
        <v>1531</v>
      </c>
      <c r="B3419" t="s">
        <v>506</v>
      </c>
      <c r="C3419" s="10" t="str" cm="1">
        <f t="array" ref="C3419">IF(AND(A3419="2020-12", ISNA(MATCH(B3419, _xlfn._xlws.FILTER(B:B, A:A="2021-01"), 0))), "Left", "Ativo")</f>
        <v>Ativo</v>
      </c>
      <c r="D3419" s="10" t="str" cm="1">
        <f t="array" ref="D3419">IF(AND(A3419="2021-01", ISNA(MATCH(B3419, _xlfn._xlws.FILTER(B:B, A:A="2021-02"), 0))), "Left", "Ativo")</f>
        <v>Ativo</v>
      </c>
      <c r="E3419" s="10" t="str" cm="1">
        <f t="array" ref="E3419">IF(AND(A3419="2021-02", ISNA(MATCH(B3419, _xlfn._xlws.FILTER(B:B, A:A="2021-03"), 0))), "Left", "Ativo")</f>
        <v>Ativo</v>
      </c>
      <c r="F3419" s="12" t="str" cm="1">
        <f t="array" ref="F3419">IF(AND(A3419="2021-03", ISNA(MATCH(B3419, _xlfn._xlws.FILTER(B:B, A:A="2021-04"), 0))), "Left", "Ativo")</f>
        <v>Ativo</v>
      </c>
    </row>
    <row r="3420" spans="1:6" x14ac:dyDescent="0.25">
      <c r="A3420" t="s">
        <v>1531</v>
      </c>
      <c r="B3420" t="s">
        <v>507</v>
      </c>
      <c r="C3420" s="10" t="str" cm="1">
        <f t="array" ref="C3420">IF(AND(A3420="2020-12", ISNA(MATCH(B3420, _xlfn._xlws.FILTER(B:B, A:A="2021-01"), 0))), "Left", "Ativo")</f>
        <v>Ativo</v>
      </c>
      <c r="D3420" s="10" t="str" cm="1">
        <f t="array" ref="D3420">IF(AND(A3420="2021-01", ISNA(MATCH(B3420, _xlfn._xlws.FILTER(B:B, A:A="2021-02"), 0))), "Left", "Ativo")</f>
        <v>Ativo</v>
      </c>
      <c r="E3420" s="10" t="str" cm="1">
        <f t="array" ref="E3420">IF(AND(A3420="2021-02", ISNA(MATCH(B3420, _xlfn._xlws.FILTER(B:B, A:A="2021-03"), 0))), "Left", "Ativo")</f>
        <v>Ativo</v>
      </c>
      <c r="F3420" s="12" t="str" cm="1">
        <f t="array" ref="F3420">IF(AND(A3420="2021-03", ISNA(MATCH(B3420, _xlfn._xlws.FILTER(B:B, A:A="2021-04"), 0))), "Left", "Ativo")</f>
        <v>Ativo</v>
      </c>
    </row>
    <row r="3421" spans="1:6" x14ac:dyDescent="0.25">
      <c r="A3421" t="s">
        <v>1531</v>
      </c>
      <c r="B3421" t="s">
        <v>508</v>
      </c>
      <c r="C3421" s="10" t="str" cm="1">
        <f t="array" ref="C3421">IF(AND(A3421="2020-12", ISNA(MATCH(B3421, _xlfn._xlws.FILTER(B:B, A:A="2021-01"), 0))), "Left", "Ativo")</f>
        <v>Ativo</v>
      </c>
      <c r="D3421" s="10" t="str" cm="1">
        <f t="array" ref="D3421">IF(AND(A3421="2021-01", ISNA(MATCH(B3421, _xlfn._xlws.FILTER(B:B, A:A="2021-02"), 0))), "Left", "Ativo")</f>
        <v>Ativo</v>
      </c>
      <c r="E3421" s="10" t="str" cm="1">
        <f t="array" ref="E3421">IF(AND(A3421="2021-02", ISNA(MATCH(B3421, _xlfn._xlws.FILTER(B:B, A:A="2021-03"), 0))), "Left", "Ativo")</f>
        <v>Ativo</v>
      </c>
      <c r="F3421" s="12" t="str" cm="1">
        <f t="array" ref="F3421">IF(AND(A3421="2021-03", ISNA(MATCH(B3421, _xlfn._xlws.FILTER(B:B, A:A="2021-04"), 0))), "Left", "Ativo")</f>
        <v>Ativo</v>
      </c>
    </row>
    <row r="3422" spans="1:6" x14ac:dyDescent="0.25">
      <c r="A3422" t="s">
        <v>1531</v>
      </c>
      <c r="B3422" t="s">
        <v>509</v>
      </c>
      <c r="C3422" s="10" t="str" cm="1">
        <f t="array" ref="C3422">IF(AND(A3422="2020-12", ISNA(MATCH(B3422, _xlfn._xlws.FILTER(B:B, A:A="2021-01"), 0))), "Left", "Ativo")</f>
        <v>Ativo</v>
      </c>
      <c r="D3422" s="10" t="str" cm="1">
        <f t="array" ref="D3422">IF(AND(A3422="2021-01", ISNA(MATCH(B3422, _xlfn._xlws.FILTER(B:B, A:A="2021-02"), 0))), "Left", "Ativo")</f>
        <v>Ativo</v>
      </c>
      <c r="E3422" s="10" t="str" cm="1">
        <f t="array" ref="E3422">IF(AND(A3422="2021-02", ISNA(MATCH(B3422, _xlfn._xlws.FILTER(B:B, A:A="2021-03"), 0))), "Left", "Ativo")</f>
        <v>Ativo</v>
      </c>
      <c r="F3422" s="12" t="str" cm="1">
        <f t="array" ref="F3422">IF(AND(A3422="2021-03", ISNA(MATCH(B3422, _xlfn._xlws.FILTER(B:B, A:A="2021-04"), 0))), "Left", "Ativo")</f>
        <v>Ativo</v>
      </c>
    </row>
    <row r="3423" spans="1:6" x14ac:dyDescent="0.25">
      <c r="A3423" t="s">
        <v>1531</v>
      </c>
      <c r="B3423" t="s">
        <v>510</v>
      </c>
      <c r="C3423" s="10" t="str" cm="1">
        <f t="array" ref="C3423">IF(AND(A3423="2020-12", ISNA(MATCH(B3423, _xlfn._xlws.FILTER(B:B, A:A="2021-01"), 0))), "Left", "Ativo")</f>
        <v>Ativo</v>
      </c>
      <c r="D3423" s="10" t="str" cm="1">
        <f t="array" ref="D3423">IF(AND(A3423="2021-01", ISNA(MATCH(B3423, _xlfn._xlws.FILTER(B:B, A:A="2021-02"), 0))), "Left", "Ativo")</f>
        <v>Ativo</v>
      </c>
      <c r="E3423" s="10" t="str" cm="1">
        <f t="array" ref="E3423">IF(AND(A3423="2021-02", ISNA(MATCH(B3423, _xlfn._xlws.FILTER(B:B, A:A="2021-03"), 0))), "Left", "Ativo")</f>
        <v>Ativo</v>
      </c>
      <c r="F3423" s="12" t="str" cm="1">
        <f t="array" ref="F3423">IF(AND(A3423="2021-03", ISNA(MATCH(B3423, _xlfn._xlws.FILTER(B:B, A:A="2021-04"), 0))), "Left", "Ativo")</f>
        <v>Ativo</v>
      </c>
    </row>
    <row r="3424" spans="1:6" x14ac:dyDescent="0.25">
      <c r="A3424" t="s">
        <v>1531</v>
      </c>
      <c r="B3424" t="s">
        <v>511</v>
      </c>
      <c r="C3424" s="10" t="str" cm="1">
        <f t="array" ref="C3424">IF(AND(A3424="2020-12", ISNA(MATCH(B3424, _xlfn._xlws.FILTER(B:B, A:A="2021-01"), 0))), "Left", "Ativo")</f>
        <v>Ativo</v>
      </c>
      <c r="D3424" s="10" t="str" cm="1">
        <f t="array" ref="D3424">IF(AND(A3424="2021-01", ISNA(MATCH(B3424, _xlfn._xlws.FILTER(B:B, A:A="2021-02"), 0))), "Left", "Ativo")</f>
        <v>Ativo</v>
      </c>
      <c r="E3424" s="10" t="str" cm="1">
        <f t="array" ref="E3424">IF(AND(A3424="2021-02", ISNA(MATCH(B3424, _xlfn._xlws.FILTER(B:B, A:A="2021-03"), 0))), "Left", "Ativo")</f>
        <v>Ativo</v>
      </c>
      <c r="F3424" s="12" t="str" cm="1">
        <f t="array" ref="F3424">IF(AND(A3424="2021-03", ISNA(MATCH(B3424, _xlfn._xlws.FILTER(B:B, A:A="2021-04"), 0))), "Left", "Ativo")</f>
        <v>Ativo</v>
      </c>
    </row>
    <row r="3425" spans="1:6" x14ac:dyDescent="0.25">
      <c r="A3425" t="s">
        <v>1531</v>
      </c>
      <c r="B3425" t="s">
        <v>512</v>
      </c>
      <c r="C3425" s="10" t="str" cm="1">
        <f t="array" ref="C3425">IF(AND(A3425="2020-12", ISNA(MATCH(B3425, _xlfn._xlws.FILTER(B:B, A:A="2021-01"), 0))), "Left", "Ativo")</f>
        <v>Ativo</v>
      </c>
      <c r="D3425" s="10" t="str" cm="1">
        <f t="array" ref="D3425">IF(AND(A3425="2021-01", ISNA(MATCH(B3425, _xlfn._xlws.FILTER(B:B, A:A="2021-02"), 0))), "Left", "Ativo")</f>
        <v>Ativo</v>
      </c>
      <c r="E3425" s="10" t="str" cm="1">
        <f t="array" ref="E3425">IF(AND(A3425="2021-02", ISNA(MATCH(B3425, _xlfn._xlws.FILTER(B:B, A:A="2021-03"), 0))), "Left", "Ativo")</f>
        <v>Ativo</v>
      </c>
      <c r="F3425" s="12" t="str" cm="1">
        <f t="array" ref="F3425">IF(AND(A3425="2021-03", ISNA(MATCH(B3425, _xlfn._xlws.FILTER(B:B, A:A="2021-04"), 0))), "Left", "Ativo")</f>
        <v>Ativo</v>
      </c>
    </row>
    <row r="3426" spans="1:6" x14ac:dyDescent="0.25">
      <c r="A3426" t="s">
        <v>1531</v>
      </c>
      <c r="B3426" t="s">
        <v>513</v>
      </c>
      <c r="C3426" s="10" t="str" cm="1">
        <f t="array" ref="C3426">IF(AND(A3426="2020-12", ISNA(MATCH(B3426, _xlfn._xlws.FILTER(B:B, A:A="2021-01"), 0))), "Left", "Ativo")</f>
        <v>Ativo</v>
      </c>
      <c r="D3426" s="10" t="str" cm="1">
        <f t="array" ref="D3426">IF(AND(A3426="2021-01", ISNA(MATCH(B3426, _xlfn._xlws.FILTER(B:B, A:A="2021-02"), 0))), "Left", "Ativo")</f>
        <v>Ativo</v>
      </c>
      <c r="E3426" s="10" t="str" cm="1">
        <f t="array" ref="E3426">IF(AND(A3426="2021-02", ISNA(MATCH(B3426, _xlfn._xlws.FILTER(B:B, A:A="2021-03"), 0))), "Left", "Ativo")</f>
        <v>Ativo</v>
      </c>
      <c r="F3426" s="12" t="str" cm="1">
        <f t="array" ref="F3426">IF(AND(A3426="2021-03", ISNA(MATCH(B3426, _xlfn._xlws.FILTER(B:B, A:A="2021-04"), 0))), "Left", "Ativo")</f>
        <v>Ativo</v>
      </c>
    </row>
    <row r="3427" spans="1:6" x14ac:dyDescent="0.25">
      <c r="A3427" t="s">
        <v>1531</v>
      </c>
      <c r="B3427" t="s">
        <v>514</v>
      </c>
      <c r="C3427" s="10" t="str" cm="1">
        <f t="array" ref="C3427">IF(AND(A3427="2020-12", ISNA(MATCH(B3427, _xlfn._xlws.FILTER(B:B, A:A="2021-01"), 0))), "Left", "Ativo")</f>
        <v>Ativo</v>
      </c>
      <c r="D3427" s="10" t="str" cm="1">
        <f t="array" ref="D3427">IF(AND(A3427="2021-01", ISNA(MATCH(B3427, _xlfn._xlws.FILTER(B:B, A:A="2021-02"), 0))), "Left", "Ativo")</f>
        <v>Ativo</v>
      </c>
      <c r="E3427" s="10" t="str" cm="1">
        <f t="array" ref="E3427">IF(AND(A3427="2021-02", ISNA(MATCH(B3427, _xlfn._xlws.FILTER(B:B, A:A="2021-03"), 0))), "Left", "Ativo")</f>
        <v>Ativo</v>
      </c>
      <c r="F3427" s="12" t="str" cm="1">
        <f t="array" ref="F3427">IF(AND(A3427="2021-03", ISNA(MATCH(B3427, _xlfn._xlws.FILTER(B:B, A:A="2021-04"), 0))), "Left", "Ativo")</f>
        <v>Ativo</v>
      </c>
    </row>
    <row r="3428" spans="1:6" x14ac:dyDescent="0.25">
      <c r="A3428" t="s">
        <v>1531</v>
      </c>
      <c r="B3428" t="s">
        <v>515</v>
      </c>
      <c r="C3428" s="10" t="str" cm="1">
        <f t="array" ref="C3428">IF(AND(A3428="2020-12", ISNA(MATCH(B3428, _xlfn._xlws.FILTER(B:B, A:A="2021-01"), 0))), "Left", "Ativo")</f>
        <v>Ativo</v>
      </c>
      <c r="D3428" s="10" t="str" cm="1">
        <f t="array" ref="D3428">IF(AND(A3428="2021-01", ISNA(MATCH(B3428, _xlfn._xlws.FILTER(B:B, A:A="2021-02"), 0))), "Left", "Ativo")</f>
        <v>Ativo</v>
      </c>
      <c r="E3428" s="10" t="str" cm="1">
        <f t="array" ref="E3428">IF(AND(A3428="2021-02", ISNA(MATCH(B3428, _xlfn._xlws.FILTER(B:B, A:A="2021-03"), 0))), "Left", "Ativo")</f>
        <v>Ativo</v>
      </c>
      <c r="F3428" s="12" t="str" cm="1">
        <f t="array" ref="F3428">IF(AND(A3428="2021-03", ISNA(MATCH(B3428, _xlfn._xlws.FILTER(B:B, A:A="2021-04"), 0))), "Left", "Ativo")</f>
        <v>Ativo</v>
      </c>
    </row>
    <row r="3429" spans="1:6" x14ac:dyDescent="0.25">
      <c r="A3429" t="s">
        <v>1531</v>
      </c>
      <c r="B3429" t="s">
        <v>516</v>
      </c>
      <c r="C3429" s="10" t="str" cm="1">
        <f t="array" ref="C3429">IF(AND(A3429="2020-12", ISNA(MATCH(B3429, _xlfn._xlws.FILTER(B:B, A:A="2021-01"), 0))), "Left", "Ativo")</f>
        <v>Ativo</v>
      </c>
      <c r="D3429" s="10" t="str" cm="1">
        <f t="array" ref="D3429">IF(AND(A3429="2021-01", ISNA(MATCH(B3429, _xlfn._xlws.FILTER(B:B, A:A="2021-02"), 0))), "Left", "Ativo")</f>
        <v>Ativo</v>
      </c>
      <c r="E3429" s="10" t="str" cm="1">
        <f t="array" ref="E3429">IF(AND(A3429="2021-02", ISNA(MATCH(B3429, _xlfn._xlws.FILTER(B:B, A:A="2021-03"), 0))), "Left", "Ativo")</f>
        <v>Ativo</v>
      </c>
      <c r="F3429" s="12" t="str" cm="1">
        <f t="array" ref="F3429">IF(AND(A3429="2021-03", ISNA(MATCH(B3429, _xlfn._xlws.FILTER(B:B, A:A="2021-04"), 0))), "Left", "Ativo")</f>
        <v>Ativo</v>
      </c>
    </row>
    <row r="3430" spans="1:6" x14ac:dyDescent="0.25">
      <c r="A3430" t="s">
        <v>1531</v>
      </c>
      <c r="B3430" t="s">
        <v>517</v>
      </c>
      <c r="C3430" s="10" t="str" cm="1">
        <f t="array" ref="C3430">IF(AND(A3430="2020-12", ISNA(MATCH(B3430, _xlfn._xlws.FILTER(B:B, A:A="2021-01"), 0))), "Left", "Ativo")</f>
        <v>Ativo</v>
      </c>
      <c r="D3430" s="10" t="str" cm="1">
        <f t="array" ref="D3430">IF(AND(A3430="2021-01", ISNA(MATCH(B3430, _xlfn._xlws.FILTER(B:B, A:A="2021-02"), 0))), "Left", "Ativo")</f>
        <v>Ativo</v>
      </c>
      <c r="E3430" s="10" t="str" cm="1">
        <f t="array" ref="E3430">IF(AND(A3430="2021-02", ISNA(MATCH(B3430, _xlfn._xlws.FILTER(B:B, A:A="2021-03"), 0))), "Left", "Ativo")</f>
        <v>Ativo</v>
      </c>
      <c r="F3430" s="12" t="str" cm="1">
        <f t="array" ref="F3430">IF(AND(A3430="2021-03", ISNA(MATCH(B3430, _xlfn._xlws.FILTER(B:B, A:A="2021-04"), 0))), "Left", "Ativo")</f>
        <v>Ativo</v>
      </c>
    </row>
    <row r="3431" spans="1:6" x14ac:dyDescent="0.25">
      <c r="A3431" t="s">
        <v>1531</v>
      </c>
      <c r="B3431" t="s">
        <v>518</v>
      </c>
      <c r="C3431" s="10" t="str" cm="1">
        <f t="array" ref="C3431">IF(AND(A3431="2020-12", ISNA(MATCH(B3431, _xlfn._xlws.FILTER(B:B, A:A="2021-01"), 0))), "Left", "Ativo")</f>
        <v>Ativo</v>
      </c>
      <c r="D3431" s="10" t="str" cm="1">
        <f t="array" ref="D3431">IF(AND(A3431="2021-01", ISNA(MATCH(B3431, _xlfn._xlws.FILTER(B:B, A:A="2021-02"), 0))), "Left", "Ativo")</f>
        <v>Ativo</v>
      </c>
      <c r="E3431" s="10" t="str" cm="1">
        <f t="array" ref="E3431">IF(AND(A3431="2021-02", ISNA(MATCH(B3431, _xlfn._xlws.FILTER(B:B, A:A="2021-03"), 0))), "Left", "Ativo")</f>
        <v>Ativo</v>
      </c>
      <c r="F3431" s="12" t="str" cm="1">
        <f t="array" ref="F3431">IF(AND(A3431="2021-03", ISNA(MATCH(B3431, _xlfn._xlws.FILTER(B:B, A:A="2021-04"), 0))), "Left", "Ativo")</f>
        <v>Ativo</v>
      </c>
    </row>
    <row r="3432" spans="1:6" x14ac:dyDescent="0.25">
      <c r="A3432" t="s">
        <v>1531</v>
      </c>
      <c r="B3432" t="s">
        <v>519</v>
      </c>
      <c r="C3432" s="10" t="str" cm="1">
        <f t="array" ref="C3432">IF(AND(A3432="2020-12", ISNA(MATCH(B3432, _xlfn._xlws.FILTER(B:B, A:A="2021-01"), 0))), "Left", "Ativo")</f>
        <v>Ativo</v>
      </c>
      <c r="D3432" s="10" t="str" cm="1">
        <f t="array" ref="D3432">IF(AND(A3432="2021-01", ISNA(MATCH(B3432, _xlfn._xlws.FILTER(B:B, A:A="2021-02"), 0))), "Left", "Ativo")</f>
        <v>Ativo</v>
      </c>
      <c r="E3432" s="10" t="str" cm="1">
        <f t="array" ref="E3432">IF(AND(A3432="2021-02", ISNA(MATCH(B3432, _xlfn._xlws.FILTER(B:B, A:A="2021-03"), 0))), "Left", "Ativo")</f>
        <v>Ativo</v>
      </c>
      <c r="F3432" s="12" t="str" cm="1">
        <f t="array" ref="F3432">IF(AND(A3432="2021-03", ISNA(MATCH(B3432, _xlfn._xlws.FILTER(B:B, A:A="2021-04"), 0))), "Left", "Ativo")</f>
        <v>Ativo</v>
      </c>
    </row>
    <row r="3433" spans="1:6" x14ac:dyDescent="0.25">
      <c r="A3433" t="s">
        <v>1531</v>
      </c>
      <c r="B3433" t="s">
        <v>520</v>
      </c>
      <c r="C3433" s="10" t="str" cm="1">
        <f t="array" ref="C3433">IF(AND(A3433="2020-12", ISNA(MATCH(B3433, _xlfn._xlws.FILTER(B:B, A:A="2021-01"), 0))), "Left", "Ativo")</f>
        <v>Ativo</v>
      </c>
      <c r="D3433" s="10" t="str" cm="1">
        <f t="array" ref="D3433">IF(AND(A3433="2021-01", ISNA(MATCH(B3433, _xlfn._xlws.FILTER(B:B, A:A="2021-02"), 0))), "Left", "Ativo")</f>
        <v>Ativo</v>
      </c>
      <c r="E3433" s="10" t="str" cm="1">
        <f t="array" ref="E3433">IF(AND(A3433="2021-02", ISNA(MATCH(B3433, _xlfn._xlws.FILTER(B:B, A:A="2021-03"), 0))), "Left", "Ativo")</f>
        <v>Ativo</v>
      </c>
      <c r="F3433" s="12" t="str" cm="1">
        <f t="array" ref="F3433">IF(AND(A3433="2021-03", ISNA(MATCH(B3433, _xlfn._xlws.FILTER(B:B, A:A="2021-04"), 0))), "Left", "Ativo")</f>
        <v>Ativo</v>
      </c>
    </row>
    <row r="3434" spans="1:6" x14ac:dyDescent="0.25">
      <c r="A3434" t="s">
        <v>1531</v>
      </c>
      <c r="B3434" t="s">
        <v>521</v>
      </c>
      <c r="C3434" s="10" t="str" cm="1">
        <f t="array" ref="C3434">IF(AND(A3434="2020-12", ISNA(MATCH(B3434, _xlfn._xlws.FILTER(B:B, A:A="2021-01"), 0))), "Left", "Ativo")</f>
        <v>Ativo</v>
      </c>
      <c r="D3434" s="10" t="str" cm="1">
        <f t="array" ref="D3434">IF(AND(A3434="2021-01", ISNA(MATCH(B3434, _xlfn._xlws.FILTER(B:B, A:A="2021-02"), 0))), "Left", "Ativo")</f>
        <v>Ativo</v>
      </c>
      <c r="E3434" s="10" t="str" cm="1">
        <f t="array" ref="E3434">IF(AND(A3434="2021-02", ISNA(MATCH(B3434, _xlfn._xlws.FILTER(B:B, A:A="2021-03"), 0))), "Left", "Ativo")</f>
        <v>Ativo</v>
      </c>
      <c r="F3434" s="12" t="str" cm="1">
        <f t="array" ref="F3434">IF(AND(A3434="2021-03", ISNA(MATCH(B3434, _xlfn._xlws.FILTER(B:B, A:A="2021-04"), 0))), "Left", "Ativo")</f>
        <v>Ativo</v>
      </c>
    </row>
    <row r="3435" spans="1:6" x14ac:dyDescent="0.25">
      <c r="A3435" t="s">
        <v>1531</v>
      </c>
      <c r="B3435" t="s">
        <v>522</v>
      </c>
      <c r="C3435" s="10" t="str" cm="1">
        <f t="array" ref="C3435">IF(AND(A3435="2020-12", ISNA(MATCH(B3435, _xlfn._xlws.FILTER(B:B, A:A="2021-01"), 0))), "Left", "Ativo")</f>
        <v>Ativo</v>
      </c>
      <c r="D3435" s="10" t="str" cm="1">
        <f t="array" ref="D3435">IF(AND(A3435="2021-01", ISNA(MATCH(B3435, _xlfn._xlws.FILTER(B:B, A:A="2021-02"), 0))), "Left", "Ativo")</f>
        <v>Ativo</v>
      </c>
      <c r="E3435" s="10" t="str" cm="1">
        <f t="array" ref="E3435">IF(AND(A3435="2021-02", ISNA(MATCH(B3435, _xlfn._xlws.FILTER(B:B, A:A="2021-03"), 0))), "Left", "Ativo")</f>
        <v>Ativo</v>
      </c>
      <c r="F3435" s="12" t="str" cm="1">
        <f t="array" ref="F3435">IF(AND(A3435="2021-03", ISNA(MATCH(B3435, _xlfn._xlws.FILTER(B:B, A:A="2021-04"), 0))), "Left", "Ativo")</f>
        <v>Ativo</v>
      </c>
    </row>
    <row r="3436" spans="1:6" x14ac:dyDescent="0.25">
      <c r="A3436" t="s">
        <v>1531</v>
      </c>
      <c r="B3436" t="s">
        <v>523</v>
      </c>
      <c r="C3436" s="10" t="str" cm="1">
        <f t="array" ref="C3436">IF(AND(A3436="2020-12", ISNA(MATCH(B3436, _xlfn._xlws.FILTER(B:B, A:A="2021-01"), 0))), "Left", "Ativo")</f>
        <v>Ativo</v>
      </c>
      <c r="D3436" s="10" t="str" cm="1">
        <f t="array" ref="D3436">IF(AND(A3436="2021-01", ISNA(MATCH(B3436, _xlfn._xlws.FILTER(B:B, A:A="2021-02"), 0))), "Left", "Ativo")</f>
        <v>Ativo</v>
      </c>
      <c r="E3436" s="10" t="str" cm="1">
        <f t="array" ref="E3436">IF(AND(A3436="2021-02", ISNA(MATCH(B3436, _xlfn._xlws.FILTER(B:B, A:A="2021-03"), 0))), "Left", "Ativo")</f>
        <v>Ativo</v>
      </c>
      <c r="F3436" s="12" t="str" cm="1">
        <f t="array" ref="F3436">IF(AND(A3436="2021-03", ISNA(MATCH(B3436, _xlfn._xlws.FILTER(B:B, A:A="2021-04"), 0))), "Left", "Ativo")</f>
        <v>Ativo</v>
      </c>
    </row>
    <row r="3437" spans="1:6" x14ac:dyDescent="0.25">
      <c r="A3437" t="s">
        <v>1531</v>
      </c>
      <c r="B3437" t="s">
        <v>524</v>
      </c>
      <c r="C3437" s="10" t="str" cm="1">
        <f t="array" ref="C3437">IF(AND(A3437="2020-12", ISNA(MATCH(B3437, _xlfn._xlws.FILTER(B:B, A:A="2021-01"), 0))), "Left", "Ativo")</f>
        <v>Ativo</v>
      </c>
      <c r="D3437" s="10" t="str" cm="1">
        <f t="array" ref="D3437">IF(AND(A3437="2021-01", ISNA(MATCH(B3437, _xlfn._xlws.FILTER(B:B, A:A="2021-02"), 0))), "Left", "Ativo")</f>
        <v>Ativo</v>
      </c>
      <c r="E3437" s="10" t="str" cm="1">
        <f t="array" ref="E3437">IF(AND(A3437="2021-02", ISNA(MATCH(B3437, _xlfn._xlws.FILTER(B:B, A:A="2021-03"), 0))), "Left", "Ativo")</f>
        <v>Ativo</v>
      </c>
      <c r="F3437" s="12" t="str" cm="1">
        <f t="array" ref="F3437">IF(AND(A3437="2021-03", ISNA(MATCH(B3437, _xlfn._xlws.FILTER(B:B, A:A="2021-04"), 0))), "Left", "Ativo")</f>
        <v>Ativo</v>
      </c>
    </row>
    <row r="3438" spans="1:6" x14ac:dyDescent="0.25">
      <c r="A3438" t="s">
        <v>1531</v>
      </c>
      <c r="B3438" t="s">
        <v>525</v>
      </c>
      <c r="C3438" s="10" t="str" cm="1">
        <f t="array" ref="C3438">IF(AND(A3438="2020-12", ISNA(MATCH(B3438, _xlfn._xlws.FILTER(B:B, A:A="2021-01"), 0))), "Left", "Ativo")</f>
        <v>Ativo</v>
      </c>
      <c r="D3438" s="10" t="str" cm="1">
        <f t="array" ref="D3438">IF(AND(A3438="2021-01", ISNA(MATCH(B3438, _xlfn._xlws.FILTER(B:B, A:A="2021-02"), 0))), "Left", "Ativo")</f>
        <v>Ativo</v>
      </c>
      <c r="E3438" s="10" t="str" cm="1">
        <f t="array" ref="E3438">IF(AND(A3438="2021-02", ISNA(MATCH(B3438, _xlfn._xlws.FILTER(B:B, A:A="2021-03"), 0))), "Left", "Ativo")</f>
        <v>Ativo</v>
      </c>
      <c r="F3438" s="12" t="str" cm="1">
        <f t="array" ref="F3438">IF(AND(A3438="2021-03", ISNA(MATCH(B3438, _xlfn._xlws.FILTER(B:B, A:A="2021-04"), 0))), "Left", "Ativo")</f>
        <v>Ativo</v>
      </c>
    </row>
    <row r="3439" spans="1:6" x14ac:dyDescent="0.25">
      <c r="A3439" t="s">
        <v>1531</v>
      </c>
      <c r="B3439" t="s">
        <v>526</v>
      </c>
      <c r="C3439" s="10" t="str" cm="1">
        <f t="array" ref="C3439">IF(AND(A3439="2020-12", ISNA(MATCH(B3439, _xlfn._xlws.FILTER(B:B, A:A="2021-01"), 0))), "Left", "Ativo")</f>
        <v>Ativo</v>
      </c>
      <c r="D3439" s="10" t="str" cm="1">
        <f t="array" ref="D3439">IF(AND(A3439="2021-01", ISNA(MATCH(B3439, _xlfn._xlws.FILTER(B:B, A:A="2021-02"), 0))), "Left", "Ativo")</f>
        <v>Ativo</v>
      </c>
      <c r="E3439" s="10" t="str" cm="1">
        <f t="array" ref="E3439">IF(AND(A3439="2021-02", ISNA(MATCH(B3439, _xlfn._xlws.FILTER(B:B, A:A="2021-03"), 0))), "Left", "Ativo")</f>
        <v>Ativo</v>
      </c>
      <c r="F3439" s="12" t="str" cm="1">
        <f t="array" ref="F3439">IF(AND(A3439="2021-03", ISNA(MATCH(B3439, _xlfn._xlws.FILTER(B:B, A:A="2021-04"), 0))), "Left", "Ativo")</f>
        <v>Ativo</v>
      </c>
    </row>
    <row r="3440" spans="1:6" x14ac:dyDescent="0.25">
      <c r="A3440" t="s">
        <v>1531</v>
      </c>
      <c r="B3440" t="s">
        <v>527</v>
      </c>
      <c r="C3440" s="10" t="str" cm="1">
        <f t="array" ref="C3440">IF(AND(A3440="2020-12", ISNA(MATCH(B3440, _xlfn._xlws.FILTER(B:B, A:A="2021-01"), 0))), "Left", "Ativo")</f>
        <v>Ativo</v>
      </c>
      <c r="D3440" s="10" t="str" cm="1">
        <f t="array" ref="D3440">IF(AND(A3440="2021-01", ISNA(MATCH(B3440, _xlfn._xlws.FILTER(B:B, A:A="2021-02"), 0))), "Left", "Ativo")</f>
        <v>Ativo</v>
      </c>
      <c r="E3440" s="10" t="str" cm="1">
        <f t="array" ref="E3440">IF(AND(A3440="2021-02", ISNA(MATCH(B3440, _xlfn._xlws.FILTER(B:B, A:A="2021-03"), 0))), "Left", "Ativo")</f>
        <v>Ativo</v>
      </c>
      <c r="F3440" s="12" t="str" cm="1">
        <f t="array" ref="F3440">IF(AND(A3440="2021-03", ISNA(MATCH(B3440, _xlfn._xlws.FILTER(B:B, A:A="2021-04"), 0))), "Left", "Ativo")</f>
        <v>Ativo</v>
      </c>
    </row>
    <row r="3441" spans="1:6" x14ac:dyDescent="0.25">
      <c r="A3441" t="s">
        <v>1531</v>
      </c>
      <c r="B3441" t="s">
        <v>528</v>
      </c>
      <c r="C3441" s="10" t="str" cm="1">
        <f t="array" ref="C3441">IF(AND(A3441="2020-12", ISNA(MATCH(B3441, _xlfn._xlws.FILTER(B:B, A:A="2021-01"), 0))), "Left", "Ativo")</f>
        <v>Ativo</v>
      </c>
      <c r="D3441" s="10" t="str" cm="1">
        <f t="array" ref="D3441">IF(AND(A3441="2021-01", ISNA(MATCH(B3441, _xlfn._xlws.FILTER(B:B, A:A="2021-02"), 0))), "Left", "Ativo")</f>
        <v>Ativo</v>
      </c>
      <c r="E3441" s="10" t="str" cm="1">
        <f t="array" ref="E3441">IF(AND(A3441="2021-02", ISNA(MATCH(B3441, _xlfn._xlws.FILTER(B:B, A:A="2021-03"), 0))), "Left", "Ativo")</f>
        <v>Ativo</v>
      </c>
      <c r="F3441" s="12" t="str" cm="1">
        <f t="array" ref="F3441">IF(AND(A3441="2021-03", ISNA(MATCH(B3441, _xlfn._xlws.FILTER(B:B, A:A="2021-04"), 0))), "Left", "Ativo")</f>
        <v>Ativo</v>
      </c>
    </row>
    <row r="3442" spans="1:6" x14ac:dyDescent="0.25">
      <c r="A3442" t="s">
        <v>1531</v>
      </c>
      <c r="B3442" t="s">
        <v>529</v>
      </c>
      <c r="C3442" s="10" t="str" cm="1">
        <f t="array" ref="C3442">IF(AND(A3442="2020-12", ISNA(MATCH(B3442, _xlfn._xlws.FILTER(B:B, A:A="2021-01"), 0))), "Left", "Ativo")</f>
        <v>Ativo</v>
      </c>
      <c r="D3442" s="10" t="str" cm="1">
        <f t="array" ref="D3442">IF(AND(A3442="2021-01", ISNA(MATCH(B3442, _xlfn._xlws.FILTER(B:B, A:A="2021-02"), 0))), "Left", "Ativo")</f>
        <v>Ativo</v>
      </c>
      <c r="E3442" s="10" t="str" cm="1">
        <f t="array" ref="E3442">IF(AND(A3442="2021-02", ISNA(MATCH(B3442, _xlfn._xlws.FILTER(B:B, A:A="2021-03"), 0))), "Left", "Ativo")</f>
        <v>Ativo</v>
      </c>
      <c r="F3442" s="12" t="str" cm="1">
        <f t="array" ref="F3442">IF(AND(A3442="2021-03", ISNA(MATCH(B3442, _xlfn._xlws.FILTER(B:B, A:A="2021-04"), 0))), "Left", "Ativo")</f>
        <v>Ativo</v>
      </c>
    </row>
    <row r="3443" spans="1:6" x14ac:dyDescent="0.25">
      <c r="A3443" t="s">
        <v>1531</v>
      </c>
      <c r="B3443" t="s">
        <v>530</v>
      </c>
      <c r="C3443" s="10" t="str" cm="1">
        <f t="array" ref="C3443">IF(AND(A3443="2020-12", ISNA(MATCH(B3443, _xlfn._xlws.FILTER(B:B, A:A="2021-01"), 0))), "Left", "Ativo")</f>
        <v>Ativo</v>
      </c>
      <c r="D3443" s="10" t="str" cm="1">
        <f t="array" ref="D3443">IF(AND(A3443="2021-01", ISNA(MATCH(B3443, _xlfn._xlws.FILTER(B:B, A:A="2021-02"), 0))), "Left", "Ativo")</f>
        <v>Ativo</v>
      </c>
      <c r="E3443" s="10" t="str" cm="1">
        <f t="array" ref="E3443">IF(AND(A3443="2021-02", ISNA(MATCH(B3443, _xlfn._xlws.FILTER(B:B, A:A="2021-03"), 0))), "Left", "Ativo")</f>
        <v>Ativo</v>
      </c>
      <c r="F3443" s="12" t="str" cm="1">
        <f t="array" ref="F3443">IF(AND(A3443="2021-03", ISNA(MATCH(B3443, _xlfn._xlws.FILTER(B:B, A:A="2021-04"), 0))), "Left", "Ativo")</f>
        <v>Ativo</v>
      </c>
    </row>
    <row r="3444" spans="1:6" x14ac:dyDescent="0.25">
      <c r="A3444" t="s">
        <v>1531</v>
      </c>
      <c r="B3444" t="s">
        <v>531</v>
      </c>
      <c r="C3444" s="10" t="str" cm="1">
        <f t="array" ref="C3444">IF(AND(A3444="2020-12", ISNA(MATCH(B3444, _xlfn._xlws.FILTER(B:B, A:A="2021-01"), 0))), "Left", "Ativo")</f>
        <v>Ativo</v>
      </c>
      <c r="D3444" s="10" t="str" cm="1">
        <f t="array" ref="D3444">IF(AND(A3444="2021-01", ISNA(MATCH(B3444, _xlfn._xlws.FILTER(B:B, A:A="2021-02"), 0))), "Left", "Ativo")</f>
        <v>Ativo</v>
      </c>
      <c r="E3444" s="10" t="str" cm="1">
        <f t="array" ref="E3444">IF(AND(A3444="2021-02", ISNA(MATCH(B3444, _xlfn._xlws.FILTER(B:B, A:A="2021-03"), 0))), "Left", "Ativo")</f>
        <v>Ativo</v>
      </c>
      <c r="F3444" s="12" t="str" cm="1">
        <f t="array" ref="F3444">IF(AND(A3444="2021-03", ISNA(MATCH(B3444, _xlfn._xlws.FILTER(B:B, A:A="2021-04"), 0))), "Left", "Ativo")</f>
        <v>Ativo</v>
      </c>
    </row>
    <row r="3445" spans="1:6" x14ac:dyDescent="0.25">
      <c r="A3445" t="s">
        <v>1531</v>
      </c>
      <c r="B3445" t="s">
        <v>532</v>
      </c>
      <c r="C3445" s="10" t="str" cm="1">
        <f t="array" ref="C3445">IF(AND(A3445="2020-12", ISNA(MATCH(B3445, _xlfn._xlws.FILTER(B:B, A:A="2021-01"), 0))), "Left", "Ativo")</f>
        <v>Ativo</v>
      </c>
      <c r="D3445" s="10" t="str" cm="1">
        <f t="array" ref="D3445">IF(AND(A3445="2021-01", ISNA(MATCH(B3445, _xlfn._xlws.FILTER(B:B, A:A="2021-02"), 0))), "Left", "Ativo")</f>
        <v>Ativo</v>
      </c>
      <c r="E3445" s="10" t="str" cm="1">
        <f t="array" ref="E3445">IF(AND(A3445="2021-02", ISNA(MATCH(B3445, _xlfn._xlws.FILTER(B:B, A:A="2021-03"), 0))), "Left", "Ativo")</f>
        <v>Ativo</v>
      </c>
      <c r="F3445" s="12" t="str" cm="1">
        <f t="array" ref="F3445">IF(AND(A3445="2021-03", ISNA(MATCH(B3445, _xlfn._xlws.FILTER(B:B, A:A="2021-04"), 0))), "Left", "Ativo")</f>
        <v>Ativo</v>
      </c>
    </row>
    <row r="3446" spans="1:6" x14ac:dyDescent="0.25">
      <c r="A3446" t="s">
        <v>1531</v>
      </c>
      <c r="B3446" t="s">
        <v>533</v>
      </c>
      <c r="C3446" s="10" t="str" cm="1">
        <f t="array" ref="C3446">IF(AND(A3446="2020-12", ISNA(MATCH(B3446, _xlfn._xlws.FILTER(B:B, A:A="2021-01"), 0))), "Left", "Ativo")</f>
        <v>Ativo</v>
      </c>
      <c r="D3446" s="10" t="str" cm="1">
        <f t="array" ref="D3446">IF(AND(A3446="2021-01", ISNA(MATCH(B3446, _xlfn._xlws.FILTER(B:B, A:A="2021-02"), 0))), "Left", "Ativo")</f>
        <v>Ativo</v>
      </c>
      <c r="E3446" s="10" t="str" cm="1">
        <f t="array" ref="E3446">IF(AND(A3446="2021-02", ISNA(MATCH(B3446, _xlfn._xlws.FILTER(B:B, A:A="2021-03"), 0))), "Left", "Ativo")</f>
        <v>Ativo</v>
      </c>
      <c r="F3446" s="12" t="str" cm="1">
        <f t="array" ref="F3446">IF(AND(A3446="2021-03", ISNA(MATCH(B3446, _xlfn._xlws.FILTER(B:B, A:A="2021-04"), 0))), "Left", "Ativo")</f>
        <v>Ativo</v>
      </c>
    </row>
    <row r="3447" spans="1:6" x14ac:dyDescent="0.25">
      <c r="A3447" t="s">
        <v>1531</v>
      </c>
      <c r="B3447" t="s">
        <v>534</v>
      </c>
      <c r="C3447" s="10" t="str" cm="1">
        <f t="array" ref="C3447">IF(AND(A3447="2020-12", ISNA(MATCH(B3447, _xlfn._xlws.FILTER(B:B, A:A="2021-01"), 0))), "Left", "Ativo")</f>
        <v>Ativo</v>
      </c>
      <c r="D3447" s="10" t="str" cm="1">
        <f t="array" ref="D3447">IF(AND(A3447="2021-01", ISNA(MATCH(B3447, _xlfn._xlws.FILTER(B:B, A:A="2021-02"), 0))), "Left", "Ativo")</f>
        <v>Ativo</v>
      </c>
      <c r="E3447" s="10" t="str" cm="1">
        <f t="array" ref="E3447">IF(AND(A3447="2021-02", ISNA(MATCH(B3447, _xlfn._xlws.FILTER(B:B, A:A="2021-03"), 0))), "Left", "Ativo")</f>
        <v>Ativo</v>
      </c>
      <c r="F3447" s="12" t="str" cm="1">
        <f t="array" ref="F3447">IF(AND(A3447="2021-03", ISNA(MATCH(B3447, _xlfn._xlws.FILTER(B:B, A:A="2021-04"), 0))), "Left", "Ativo")</f>
        <v>Ativo</v>
      </c>
    </row>
    <row r="3448" spans="1:6" x14ac:dyDescent="0.25">
      <c r="A3448" t="s">
        <v>1531</v>
      </c>
      <c r="B3448" t="s">
        <v>535</v>
      </c>
      <c r="C3448" s="10" t="str" cm="1">
        <f t="array" ref="C3448">IF(AND(A3448="2020-12", ISNA(MATCH(B3448, _xlfn._xlws.FILTER(B:B, A:A="2021-01"), 0))), "Left", "Ativo")</f>
        <v>Ativo</v>
      </c>
      <c r="D3448" s="10" t="str" cm="1">
        <f t="array" ref="D3448">IF(AND(A3448="2021-01", ISNA(MATCH(B3448, _xlfn._xlws.FILTER(B:B, A:A="2021-02"), 0))), "Left", "Ativo")</f>
        <v>Ativo</v>
      </c>
      <c r="E3448" s="10" t="str" cm="1">
        <f t="array" ref="E3448">IF(AND(A3448="2021-02", ISNA(MATCH(B3448, _xlfn._xlws.FILTER(B:B, A:A="2021-03"), 0))), "Left", "Ativo")</f>
        <v>Ativo</v>
      </c>
      <c r="F3448" s="12" t="str" cm="1">
        <f t="array" ref="F3448">IF(AND(A3448="2021-03", ISNA(MATCH(B3448, _xlfn._xlws.FILTER(B:B, A:A="2021-04"), 0))), "Left", "Ativo")</f>
        <v>Ativo</v>
      </c>
    </row>
    <row r="3449" spans="1:6" x14ac:dyDescent="0.25">
      <c r="A3449" t="s">
        <v>1531</v>
      </c>
      <c r="B3449" t="s">
        <v>536</v>
      </c>
      <c r="C3449" s="10" t="str" cm="1">
        <f t="array" ref="C3449">IF(AND(A3449="2020-12", ISNA(MATCH(B3449, _xlfn._xlws.FILTER(B:B, A:A="2021-01"), 0))), "Left", "Ativo")</f>
        <v>Ativo</v>
      </c>
      <c r="D3449" s="10" t="str" cm="1">
        <f t="array" ref="D3449">IF(AND(A3449="2021-01", ISNA(MATCH(B3449, _xlfn._xlws.FILTER(B:B, A:A="2021-02"), 0))), "Left", "Ativo")</f>
        <v>Ativo</v>
      </c>
      <c r="E3449" s="10" t="str" cm="1">
        <f t="array" ref="E3449">IF(AND(A3449="2021-02", ISNA(MATCH(B3449, _xlfn._xlws.FILTER(B:B, A:A="2021-03"), 0))), "Left", "Ativo")</f>
        <v>Ativo</v>
      </c>
      <c r="F3449" s="12" t="str" cm="1">
        <f t="array" ref="F3449">IF(AND(A3449="2021-03", ISNA(MATCH(B3449, _xlfn._xlws.FILTER(B:B, A:A="2021-04"), 0))), "Left", "Ativo")</f>
        <v>Ativo</v>
      </c>
    </row>
    <row r="3450" spans="1:6" x14ac:dyDescent="0.25">
      <c r="A3450" t="s">
        <v>1531</v>
      </c>
      <c r="B3450" t="s">
        <v>537</v>
      </c>
      <c r="C3450" s="10" t="str" cm="1">
        <f t="array" ref="C3450">IF(AND(A3450="2020-12", ISNA(MATCH(B3450, _xlfn._xlws.FILTER(B:B, A:A="2021-01"), 0))), "Left", "Ativo")</f>
        <v>Ativo</v>
      </c>
      <c r="D3450" s="10" t="str" cm="1">
        <f t="array" ref="D3450">IF(AND(A3450="2021-01", ISNA(MATCH(B3450, _xlfn._xlws.FILTER(B:B, A:A="2021-02"), 0))), "Left", "Ativo")</f>
        <v>Ativo</v>
      </c>
      <c r="E3450" s="10" t="str" cm="1">
        <f t="array" ref="E3450">IF(AND(A3450="2021-02", ISNA(MATCH(B3450, _xlfn._xlws.FILTER(B:B, A:A="2021-03"), 0))), "Left", "Ativo")</f>
        <v>Ativo</v>
      </c>
      <c r="F3450" s="12" t="str" cm="1">
        <f t="array" ref="F3450">IF(AND(A3450="2021-03", ISNA(MATCH(B3450, _xlfn._xlws.FILTER(B:B, A:A="2021-04"), 0))), "Left", "Ativo")</f>
        <v>Ativo</v>
      </c>
    </row>
    <row r="3451" spans="1:6" x14ac:dyDescent="0.25">
      <c r="A3451" t="s">
        <v>1531</v>
      </c>
      <c r="B3451" t="s">
        <v>538</v>
      </c>
      <c r="C3451" s="10" t="str" cm="1">
        <f t="array" ref="C3451">IF(AND(A3451="2020-12", ISNA(MATCH(B3451, _xlfn._xlws.FILTER(B:B, A:A="2021-01"), 0))), "Left", "Ativo")</f>
        <v>Ativo</v>
      </c>
      <c r="D3451" s="10" t="str" cm="1">
        <f t="array" ref="D3451">IF(AND(A3451="2021-01", ISNA(MATCH(B3451, _xlfn._xlws.FILTER(B:B, A:A="2021-02"), 0))), "Left", "Ativo")</f>
        <v>Ativo</v>
      </c>
      <c r="E3451" s="10" t="str" cm="1">
        <f t="array" ref="E3451">IF(AND(A3451="2021-02", ISNA(MATCH(B3451, _xlfn._xlws.FILTER(B:B, A:A="2021-03"), 0))), "Left", "Ativo")</f>
        <v>Ativo</v>
      </c>
      <c r="F3451" s="12" t="str" cm="1">
        <f t="array" ref="F3451">IF(AND(A3451="2021-03", ISNA(MATCH(B3451, _xlfn._xlws.FILTER(B:B, A:A="2021-04"), 0))), "Left", "Ativo")</f>
        <v>Ativo</v>
      </c>
    </row>
    <row r="3452" spans="1:6" x14ac:dyDescent="0.25">
      <c r="A3452" t="s">
        <v>1531</v>
      </c>
      <c r="B3452" t="s">
        <v>539</v>
      </c>
      <c r="C3452" s="10" t="str" cm="1">
        <f t="array" ref="C3452">IF(AND(A3452="2020-12", ISNA(MATCH(B3452, _xlfn._xlws.FILTER(B:B, A:A="2021-01"), 0))), "Left", "Ativo")</f>
        <v>Ativo</v>
      </c>
      <c r="D3452" s="10" t="str" cm="1">
        <f t="array" ref="D3452">IF(AND(A3452="2021-01", ISNA(MATCH(B3452, _xlfn._xlws.FILTER(B:B, A:A="2021-02"), 0))), "Left", "Ativo")</f>
        <v>Ativo</v>
      </c>
      <c r="E3452" s="10" t="str" cm="1">
        <f t="array" ref="E3452">IF(AND(A3452="2021-02", ISNA(MATCH(B3452, _xlfn._xlws.FILTER(B:B, A:A="2021-03"), 0))), "Left", "Ativo")</f>
        <v>Ativo</v>
      </c>
      <c r="F3452" s="12" t="str" cm="1">
        <f t="array" ref="F3452">IF(AND(A3452="2021-03", ISNA(MATCH(B3452, _xlfn._xlws.FILTER(B:B, A:A="2021-04"), 0))), "Left", "Ativo")</f>
        <v>Ativo</v>
      </c>
    </row>
    <row r="3453" spans="1:6" x14ac:dyDescent="0.25">
      <c r="A3453" t="s">
        <v>1531</v>
      </c>
      <c r="B3453" t="s">
        <v>540</v>
      </c>
      <c r="C3453" s="10" t="str" cm="1">
        <f t="array" ref="C3453">IF(AND(A3453="2020-12", ISNA(MATCH(B3453, _xlfn._xlws.FILTER(B:B, A:A="2021-01"), 0))), "Left", "Ativo")</f>
        <v>Ativo</v>
      </c>
      <c r="D3453" s="10" t="str" cm="1">
        <f t="array" ref="D3453">IF(AND(A3453="2021-01", ISNA(MATCH(B3453, _xlfn._xlws.FILTER(B:B, A:A="2021-02"), 0))), "Left", "Ativo")</f>
        <v>Ativo</v>
      </c>
      <c r="E3453" s="10" t="str" cm="1">
        <f t="array" ref="E3453">IF(AND(A3453="2021-02", ISNA(MATCH(B3453, _xlfn._xlws.FILTER(B:B, A:A="2021-03"), 0))), "Left", "Ativo")</f>
        <v>Ativo</v>
      </c>
      <c r="F3453" s="12" t="str" cm="1">
        <f t="array" ref="F3453">IF(AND(A3453="2021-03", ISNA(MATCH(B3453, _xlfn._xlws.FILTER(B:B, A:A="2021-04"), 0))), "Left", "Ativo")</f>
        <v>Ativo</v>
      </c>
    </row>
    <row r="3454" spans="1:6" x14ac:dyDescent="0.25">
      <c r="A3454" t="s">
        <v>1531</v>
      </c>
      <c r="B3454" t="s">
        <v>541</v>
      </c>
      <c r="C3454" s="10" t="str" cm="1">
        <f t="array" ref="C3454">IF(AND(A3454="2020-12", ISNA(MATCH(B3454, _xlfn._xlws.FILTER(B:B, A:A="2021-01"), 0))), "Left", "Ativo")</f>
        <v>Ativo</v>
      </c>
      <c r="D3454" s="10" t="str" cm="1">
        <f t="array" ref="D3454">IF(AND(A3454="2021-01", ISNA(MATCH(B3454, _xlfn._xlws.FILTER(B:B, A:A="2021-02"), 0))), "Left", "Ativo")</f>
        <v>Ativo</v>
      </c>
      <c r="E3454" s="10" t="str" cm="1">
        <f t="array" ref="E3454">IF(AND(A3454="2021-02", ISNA(MATCH(B3454, _xlfn._xlws.FILTER(B:B, A:A="2021-03"), 0))), "Left", "Ativo")</f>
        <v>Ativo</v>
      </c>
      <c r="F3454" s="12" t="str" cm="1">
        <f t="array" ref="F3454">IF(AND(A3454="2021-03", ISNA(MATCH(B3454, _xlfn._xlws.FILTER(B:B, A:A="2021-04"), 0))), "Left", "Ativo")</f>
        <v>Ativo</v>
      </c>
    </row>
    <row r="3455" spans="1:6" x14ac:dyDescent="0.25">
      <c r="A3455" t="s">
        <v>1531</v>
      </c>
      <c r="B3455" t="s">
        <v>542</v>
      </c>
      <c r="C3455" s="10" t="str" cm="1">
        <f t="array" ref="C3455">IF(AND(A3455="2020-12", ISNA(MATCH(B3455, _xlfn._xlws.FILTER(B:B, A:A="2021-01"), 0))), "Left", "Ativo")</f>
        <v>Ativo</v>
      </c>
      <c r="D3455" s="10" t="str" cm="1">
        <f t="array" ref="D3455">IF(AND(A3455="2021-01", ISNA(MATCH(B3455, _xlfn._xlws.FILTER(B:B, A:A="2021-02"), 0))), "Left", "Ativo")</f>
        <v>Ativo</v>
      </c>
      <c r="E3455" s="10" t="str" cm="1">
        <f t="array" ref="E3455">IF(AND(A3455="2021-02", ISNA(MATCH(B3455, _xlfn._xlws.FILTER(B:B, A:A="2021-03"), 0))), "Left", "Ativo")</f>
        <v>Ativo</v>
      </c>
      <c r="F3455" s="12" t="str" cm="1">
        <f t="array" ref="F3455">IF(AND(A3455="2021-03", ISNA(MATCH(B3455, _xlfn._xlws.FILTER(B:B, A:A="2021-04"), 0))), "Left", "Ativo")</f>
        <v>Ativo</v>
      </c>
    </row>
    <row r="3456" spans="1:6" x14ac:dyDescent="0.25">
      <c r="A3456" t="s">
        <v>1531</v>
      </c>
      <c r="B3456" t="s">
        <v>543</v>
      </c>
      <c r="C3456" s="10" t="str" cm="1">
        <f t="array" ref="C3456">IF(AND(A3456="2020-12", ISNA(MATCH(B3456, _xlfn._xlws.FILTER(B:B, A:A="2021-01"), 0))), "Left", "Ativo")</f>
        <v>Ativo</v>
      </c>
      <c r="D3456" s="10" t="str" cm="1">
        <f t="array" ref="D3456">IF(AND(A3456="2021-01", ISNA(MATCH(B3456, _xlfn._xlws.FILTER(B:B, A:A="2021-02"), 0))), "Left", "Ativo")</f>
        <v>Ativo</v>
      </c>
      <c r="E3456" s="10" t="str" cm="1">
        <f t="array" ref="E3456">IF(AND(A3456="2021-02", ISNA(MATCH(B3456, _xlfn._xlws.FILTER(B:B, A:A="2021-03"), 0))), "Left", "Ativo")</f>
        <v>Ativo</v>
      </c>
      <c r="F3456" s="12" t="str" cm="1">
        <f t="array" ref="F3456">IF(AND(A3456="2021-03", ISNA(MATCH(B3456, _xlfn._xlws.FILTER(B:B, A:A="2021-04"), 0))), "Left", "Ativo")</f>
        <v>Ativo</v>
      </c>
    </row>
    <row r="3457" spans="1:6" x14ac:dyDescent="0.25">
      <c r="A3457" t="s">
        <v>1531</v>
      </c>
      <c r="B3457" t="s">
        <v>544</v>
      </c>
      <c r="C3457" s="10" t="str" cm="1">
        <f t="array" ref="C3457">IF(AND(A3457="2020-12", ISNA(MATCH(B3457, _xlfn._xlws.FILTER(B:B, A:A="2021-01"), 0))), "Left", "Ativo")</f>
        <v>Ativo</v>
      </c>
      <c r="D3457" s="10" t="str" cm="1">
        <f t="array" ref="D3457">IF(AND(A3457="2021-01", ISNA(MATCH(B3457, _xlfn._xlws.FILTER(B:B, A:A="2021-02"), 0))), "Left", "Ativo")</f>
        <v>Ativo</v>
      </c>
      <c r="E3457" s="10" t="str" cm="1">
        <f t="array" ref="E3457">IF(AND(A3457="2021-02", ISNA(MATCH(B3457, _xlfn._xlws.FILTER(B:B, A:A="2021-03"), 0))), "Left", "Ativo")</f>
        <v>Ativo</v>
      </c>
      <c r="F3457" s="12" t="str" cm="1">
        <f t="array" ref="F3457">IF(AND(A3457="2021-03", ISNA(MATCH(B3457, _xlfn._xlws.FILTER(B:B, A:A="2021-04"), 0))), "Left", "Ativo")</f>
        <v>Ativo</v>
      </c>
    </row>
    <row r="3458" spans="1:6" x14ac:dyDescent="0.25">
      <c r="A3458" t="s">
        <v>1531</v>
      </c>
      <c r="B3458" t="s">
        <v>545</v>
      </c>
      <c r="C3458" s="10" t="str" cm="1">
        <f t="array" ref="C3458">IF(AND(A3458="2020-12", ISNA(MATCH(B3458, _xlfn._xlws.FILTER(B:B, A:A="2021-01"), 0))), "Left", "Ativo")</f>
        <v>Ativo</v>
      </c>
      <c r="D3458" s="10" t="str" cm="1">
        <f t="array" ref="D3458">IF(AND(A3458="2021-01", ISNA(MATCH(B3458, _xlfn._xlws.FILTER(B:B, A:A="2021-02"), 0))), "Left", "Ativo")</f>
        <v>Ativo</v>
      </c>
      <c r="E3458" s="10" t="str" cm="1">
        <f t="array" ref="E3458">IF(AND(A3458="2021-02", ISNA(MATCH(B3458, _xlfn._xlws.FILTER(B:B, A:A="2021-03"), 0))), "Left", "Ativo")</f>
        <v>Ativo</v>
      </c>
      <c r="F3458" s="12" t="str" cm="1">
        <f t="array" ref="F3458">IF(AND(A3458="2021-03", ISNA(MATCH(B3458, _xlfn._xlws.FILTER(B:B, A:A="2021-04"), 0))), "Left", "Ativo")</f>
        <v>Ativo</v>
      </c>
    </row>
    <row r="3459" spans="1:6" x14ac:dyDescent="0.25">
      <c r="A3459" t="s">
        <v>1531</v>
      </c>
      <c r="B3459" t="s">
        <v>546</v>
      </c>
      <c r="C3459" s="10" t="str" cm="1">
        <f t="array" ref="C3459">IF(AND(A3459="2020-12", ISNA(MATCH(B3459, _xlfn._xlws.FILTER(B:B, A:A="2021-01"), 0))), "Left", "Ativo")</f>
        <v>Ativo</v>
      </c>
      <c r="D3459" s="10" t="str" cm="1">
        <f t="array" ref="D3459">IF(AND(A3459="2021-01", ISNA(MATCH(B3459, _xlfn._xlws.FILTER(B:B, A:A="2021-02"), 0))), "Left", "Ativo")</f>
        <v>Ativo</v>
      </c>
      <c r="E3459" s="10" t="str" cm="1">
        <f t="array" ref="E3459">IF(AND(A3459="2021-02", ISNA(MATCH(B3459, _xlfn._xlws.FILTER(B:B, A:A="2021-03"), 0))), "Left", "Ativo")</f>
        <v>Ativo</v>
      </c>
      <c r="F3459" s="12" t="str" cm="1">
        <f t="array" ref="F3459">IF(AND(A3459="2021-03", ISNA(MATCH(B3459, _xlfn._xlws.FILTER(B:B, A:A="2021-04"), 0))), "Left", "Ativo")</f>
        <v>Ativo</v>
      </c>
    </row>
    <row r="3460" spans="1:6" x14ac:dyDescent="0.25">
      <c r="A3460" t="s">
        <v>1531</v>
      </c>
      <c r="B3460" t="s">
        <v>547</v>
      </c>
      <c r="C3460" s="10" t="str" cm="1">
        <f t="array" ref="C3460">IF(AND(A3460="2020-12", ISNA(MATCH(B3460, _xlfn._xlws.FILTER(B:B, A:A="2021-01"), 0))), "Left", "Ativo")</f>
        <v>Ativo</v>
      </c>
      <c r="D3460" s="10" t="str" cm="1">
        <f t="array" ref="D3460">IF(AND(A3460="2021-01", ISNA(MATCH(B3460, _xlfn._xlws.FILTER(B:B, A:A="2021-02"), 0))), "Left", "Ativo")</f>
        <v>Ativo</v>
      </c>
      <c r="E3460" s="10" t="str" cm="1">
        <f t="array" ref="E3460">IF(AND(A3460="2021-02", ISNA(MATCH(B3460, _xlfn._xlws.FILTER(B:B, A:A="2021-03"), 0))), "Left", "Ativo")</f>
        <v>Ativo</v>
      </c>
      <c r="F3460" s="12" t="str" cm="1">
        <f t="array" ref="F3460">IF(AND(A3460="2021-03", ISNA(MATCH(B3460, _xlfn._xlws.FILTER(B:B, A:A="2021-04"), 0))), "Left", "Ativo")</f>
        <v>Ativo</v>
      </c>
    </row>
    <row r="3461" spans="1:6" x14ac:dyDescent="0.25">
      <c r="A3461" t="s">
        <v>1531</v>
      </c>
      <c r="B3461" t="s">
        <v>548</v>
      </c>
      <c r="C3461" s="10" t="str" cm="1">
        <f t="array" ref="C3461">IF(AND(A3461="2020-12", ISNA(MATCH(B3461, _xlfn._xlws.FILTER(B:B, A:A="2021-01"), 0))), "Left", "Ativo")</f>
        <v>Ativo</v>
      </c>
      <c r="D3461" s="10" t="str" cm="1">
        <f t="array" ref="D3461">IF(AND(A3461="2021-01", ISNA(MATCH(B3461, _xlfn._xlws.FILTER(B:B, A:A="2021-02"), 0))), "Left", "Ativo")</f>
        <v>Ativo</v>
      </c>
      <c r="E3461" s="10" t="str" cm="1">
        <f t="array" ref="E3461">IF(AND(A3461="2021-02", ISNA(MATCH(B3461, _xlfn._xlws.FILTER(B:B, A:A="2021-03"), 0))), "Left", "Ativo")</f>
        <v>Ativo</v>
      </c>
      <c r="F3461" s="12" t="str" cm="1">
        <f t="array" ref="F3461">IF(AND(A3461="2021-03", ISNA(MATCH(B3461, _xlfn._xlws.FILTER(B:B, A:A="2021-04"), 0))), "Left", "Ativo")</f>
        <v>Ativo</v>
      </c>
    </row>
    <row r="3462" spans="1:6" x14ac:dyDescent="0.25">
      <c r="A3462" t="s">
        <v>1531</v>
      </c>
      <c r="B3462" t="s">
        <v>549</v>
      </c>
      <c r="C3462" s="10" t="str" cm="1">
        <f t="array" ref="C3462">IF(AND(A3462="2020-12", ISNA(MATCH(B3462, _xlfn._xlws.FILTER(B:B, A:A="2021-01"), 0))), "Left", "Ativo")</f>
        <v>Ativo</v>
      </c>
      <c r="D3462" s="10" t="str" cm="1">
        <f t="array" ref="D3462">IF(AND(A3462="2021-01", ISNA(MATCH(B3462, _xlfn._xlws.FILTER(B:B, A:A="2021-02"), 0))), "Left", "Ativo")</f>
        <v>Ativo</v>
      </c>
      <c r="E3462" s="10" t="str" cm="1">
        <f t="array" ref="E3462">IF(AND(A3462="2021-02", ISNA(MATCH(B3462, _xlfn._xlws.FILTER(B:B, A:A="2021-03"), 0))), "Left", "Ativo")</f>
        <v>Ativo</v>
      </c>
      <c r="F3462" s="12" t="str" cm="1">
        <f t="array" ref="F3462">IF(AND(A3462="2021-03", ISNA(MATCH(B3462, _xlfn._xlws.FILTER(B:B, A:A="2021-04"), 0))), "Left", "Ativo")</f>
        <v>Ativo</v>
      </c>
    </row>
    <row r="3463" spans="1:6" x14ac:dyDescent="0.25">
      <c r="A3463" t="s">
        <v>1531</v>
      </c>
      <c r="B3463" t="s">
        <v>550</v>
      </c>
      <c r="C3463" s="10" t="str" cm="1">
        <f t="array" ref="C3463">IF(AND(A3463="2020-12", ISNA(MATCH(B3463, _xlfn._xlws.FILTER(B:B, A:A="2021-01"), 0))), "Left", "Ativo")</f>
        <v>Ativo</v>
      </c>
      <c r="D3463" s="10" t="str" cm="1">
        <f t="array" ref="D3463">IF(AND(A3463="2021-01", ISNA(MATCH(B3463, _xlfn._xlws.FILTER(B:B, A:A="2021-02"), 0))), "Left", "Ativo")</f>
        <v>Ativo</v>
      </c>
      <c r="E3463" s="10" t="str" cm="1">
        <f t="array" ref="E3463">IF(AND(A3463="2021-02", ISNA(MATCH(B3463, _xlfn._xlws.FILTER(B:B, A:A="2021-03"), 0))), "Left", "Ativo")</f>
        <v>Ativo</v>
      </c>
      <c r="F3463" s="12" t="str" cm="1">
        <f t="array" ref="F3463">IF(AND(A3463="2021-03", ISNA(MATCH(B3463, _xlfn._xlws.FILTER(B:B, A:A="2021-04"), 0))), "Left", "Ativo")</f>
        <v>Ativo</v>
      </c>
    </row>
    <row r="3464" spans="1:6" x14ac:dyDescent="0.25">
      <c r="A3464" t="s">
        <v>1531</v>
      </c>
      <c r="B3464" t="s">
        <v>551</v>
      </c>
      <c r="C3464" s="10" t="str" cm="1">
        <f t="array" ref="C3464">IF(AND(A3464="2020-12", ISNA(MATCH(B3464, _xlfn._xlws.FILTER(B:B, A:A="2021-01"), 0))), "Left", "Ativo")</f>
        <v>Ativo</v>
      </c>
      <c r="D3464" s="10" t="str" cm="1">
        <f t="array" ref="D3464">IF(AND(A3464="2021-01", ISNA(MATCH(B3464, _xlfn._xlws.FILTER(B:B, A:A="2021-02"), 0))), "Left", "Ativo")</f>
        <v>Ativo</v>
      </c>
      <c r="E3464" s="10" t="str" cm="1">
        <f t="array" ref="E3464">IF(AND(A3464="2021-02", ISNA(MATCH(B3464, _xlfn._xlws.FILTER(B:B, A:A="2021-03"), 0))), "Left", "Ativo")</f>
        <v>Ativo</v>
      </c>
      <c r="F3464" s="12" t="str" cm="1">
        <f t="array" ref="F3464">IF(AND(A3464="2021-03", ISNA(MATCH(B3464, _xlfn._xlws.FILTER(B:B, A:A="2021-04"), 0))), "Left", "Ativo")</f>
        <v>Ativo</v>
      </c>
    </row>
    <row r="3465" spans="1:6" x14ac:dyDescent="0.25">
      <c r="A3465" t="s">
        <v>1531</v>
      </c>
      <c r="B3465" t="s">
        <v>552</v>
      </c>
      <c r="C3465" s="10" t="str" cm="1">
        <f t="array" ref="C3465">IF(AND(A3465="2020-12", ISNA(MATCH(B3465, _xlfn._xlws.FILTER(B:B, A:A="2021-01"), 0))), "Left", "Ativo")</f>
        <v>Ativo</v>
      </c>
      <c r="D3465" s="10" t="str" cm="1">
        <f t="array" ref="D3465">IF(AND(A3465="2021-01", ISNA(MATCH(B3465, _xlfn._xlws.FILTER(B:B, A:A="2021-02"), 0))), "Left", "Ativo")</f>
        <v>Ativo</v>
      </c>
      <c r="E3465" s="10" t="str" cm="1">
        <f t="array" ref="E3465">IF(AND(A3465="2021-02", ISNA(MATCH(B3465, _xlfn._xlws.FILTER(B:B, A:A="2021-03"), 0))), "Left", "Ativo")</f>
        <v>Ativo</v>
      </c>
      <c r="F3465" s="12" t="str" cm="1">
        <f t="array" ref="F3465">IF(AND(A3465="2021-03", ISNA(MATCH(B3465, _xlfn._xlws.FILTER(B:B, A:A="2021-04"), 0))), "Left", "Ativo")</f>
        <v>Ativo</v>
      </c>
    </row>
    <row r="3466" spans="1:6" x14ac:dyDescent="0.25">
      <c r="A3466" t="s">
        <v>1531</v>
      </c>
      <c r="B3466" t="s">
        <v>553</v>
      </c>
      <c r="C3466" s="10" t="str" cm="1">
        <f t="array" ref="C3466">IF(AND(A3466="2020-12", ISNA(MATCH(B3466, _xlfn._xlws.FILTER(B:B, A:A="2021-01"), 0))), "Left", "Ativo")</f>
        <v>Ativo</v>
      </c>
      <c r="D3466" s="10" t="str" cm="1">
        <f t="array" ref="D3466">IF(AND(A3466="2021-01", ISNA(MATCH(B3466, _xlfn._xlws.FILTER(B:B, A:A="2021-02"), 0))), "Left", "Ativo")</f>
        <v>Ativo</v>
      </c>
      <c r="E3466" s="10" t="str" cm="1">
        <f t="array" ref="E3466">IF(AND(A3466="2021-02", ISNA(MATCH(B3466, _xlfn._xlws.FILTER(B:B, A:A="2021-03"), 0))), "Left", "Ativo")</f>
        <v>Ativo</v>
      </c>
      <c r="F3466" s="12" t="str" cm="1">
        <f t="array" ref="F3466">IF(AND(A3466="2021-03", ISNA(MATCH(B3466, _xlfn._xlws.FILTER(B:B, A:A="2021-04"), 0))), "Left", "Ativo")</f>
        <v>Ativo</v>
      </c>
    </row>
    <row r="3467" spans="1:6" x14ac:dyDescent="0.25">
      <c r="A3467" t="s">
        <v>1531</v>
      </c>
      <c r="B3467" t="s">
        <v>554</v>
      </c>
      <c r="C3467" s="10" t="str" cm="1">
        <f t="array" ref="C3467">IF(AND(A3467="2020-12", ISNA(MATCH(B3467, _xlfn._xlws.FILTER(B:B, A:A="2021-01"), 0))), "Left", "Ativo")</f>
        <v>Ativo</v>
      </c>
      <c r="D3467" s="10" t="str" cm="1">
        <f t="array" ref="D3467">IF(AND(A3467="2021-01", ISNA(MATCH(B3467, _xlfn._xlws.FILTER(B:B, A:A="2021-02"), 0))), "Left", "Ativo")</f>
        <v>Ativo</v>
      </c>
      <c r="E3467" s="10" t="str" cm="1">
        <f t="array" ref="E3467">IF(AND(A3467="2021-02", ISNA(MATCH(B3467, _xlfn._xlws.FILTER(B:B, A:A="2021-03"), 0))), "Left", "Ativo")</f>
        <v>Ativo</v>
      </c>
      <c r="F3467" s="12" t="str" cm="1">
        <f t="array" ref="F3467">IF(AND(A3467="2021-03", ISNA(MATCH(B3467, _xlfn._xlws.FILTER(B:B, A:A="2021-04"), 0))), "Left", "Ativo")</f>
        <v>Ativo</v>
      </c>
    </row>
    <row r="3468" spans="1:6" x14ac:dyDescent="0.25">
      <c r="A3468" t="s">
        <v>1531</v>
      </c>
      <c r="B3468" t="s">
        <v>555</v>
      </c>
      <c r="C3468" s="10" t="str" cm="1">
        <f t="array" ref="C3468">IF(AND(A3468="2020-12", ISNA(MATCH(B3468, _xlfn._xlws.FILTER(B:B, A:A="2021-01"), 0))), "Left", "Ativo")</f>
        <v>Ativo</v>
      </c>
      <c r="D3468" s="10" t="str" cm="1">
        <f t="array" ref="D3468">IF(AND(A3468="2021-01", ISNA(MATCH(B3468, _xlfn._xlws.FILTER(B:B, A:A="2021-02"), 0))), "Left", "Ativo")</f>
        <v>Ativo</v>
      </c>
      <c r="E3468" s="10" t="str" cm="1">
        <f t="array" ref="E3468">IF(AND(A3468="2021-02", ISNA(MATCH(B3468, _xlfn._xlws.FILTER(B:B, A:A="2021-03"), 0))), "Left", "Ativo")</f>
        <v>Ativo</v>
      </c>
      <c r="F3468" s="12" t="str" cm="1">
        <f t="array" ref="F3468">IF(AND(A3468="2021-03", ISNA(MATCH(B3468, _xlfn._xlws.FILTER(B:B, A:A="2021-04"), 0))), "Left", "Ativo")</f>
        <v>Ativo</v>
      </c>
    </row>
    <row r="3469" spans="1:6" x14ac:dyDescent="0.25">
      <c r="A3469" t="s">
        <v>1531</v>
      </c>
      <c r="B3469" t="s">
        <v>556</v>
      </c>
      <c r="C3469" s="10" t="str" cm="1">
        <f t="array" ref="C3469">IF(AND(A3469="2020-12", ISNA(MATCH(B3469, _xlfn._xlws.FILTER(B:B, A:A="2021-01"), 0))), "Left", "Ativo")</f>
        <v>Ativo</v>
      </c>
      <c r="D3469" s="10" t="str" cm="1">
        <f t="array" ref="D3469">IF(AND(A3469="2021-01", ISNA(MATCH(B3469, _xlfn._xlws.FILTER(B:B, A:A="2021-02"), 0))), "Left", "Ativo")</f>
        <v>Ativo</v>
      </c>
      <c r="E3469" s="10" t="str" cm="1">
        <f t="array" ref="E3469">IF(AND(A3469="2021-02", ISNA(MATCH(B3469, _xlfn._xlws.FILTER(B:B, A:A="2021-03"), 0))), "Left", "Ativo")</f>
        <v>Ativo</v>
      </c>
      <c r="F3469" s="12" t="str" cm="1">
        <f t="array" ref="F3469">IF(AND(A3469="2021-03", ISNA(MATCH(B3469, _xlfn._xlws.FILTER(B:B, A:A="2021-04"), 0))), "Left", "Ativo")</f>
        <v>Ativo</v>
      </c>
    </row>
    <row r="3470" spans="1:6" x14ac:dyDescent="0.25">
      <c r="A3470" t="s">
        <v>1531</v>
      </c>
      <c r="B3470" t="s">
        <v>557</v>
      </c>
      <c r="C3470" s="10" t="str" cm="1">
        <f t="array" ref="C3470">IF(AND(A3470="2020-12", ISNA(MATCH(B3470, _xlfn._xlws.FILTER(B:B, A:A="2021-01"), 0))), "Left", "Ativo")</f>
        <v>Ativo</v>
      </c>
      <c r="D3470" s="10" t="str" cm="1">
        <f t="array" ref="D3470">IF(AND(A3470="2021-01", ISNA(MATCH(B3470, _xlfn._xlws.FILTER(B:B, A:A="2021-02"), 0))), "Left", "Ativo")</f>
        <v>Ativo</v>
      </c>
      <c r="E3470" s="10" t="str" cm="1">
        <f t="array" ref="E3470">IF(AND(A3470="2021-02", ISNA(MATCH(B3470, _xlfn._xlws.FILTER(B:B, A:A="2021-03"), 0))), "Left", "Ativo")</f>
        <v>Ativo</v>
      </c>
      <c r="F3470" s="12" t="str" cm="1">
        <f t="array" ref="F3470">IF(AND(A3470="2021-03", ISNA(MATCH(B3470, _xlfn._xlws.FILTER(B:B, A:A="2021-04"), 0))), "Left", "Ativo")</f>
        <v>Ativo</v>
      </c>
    </row>
    <row r="3471" spans="1:6" x14ac:dyDescent="0.25">
      <c r="A3471" t="s">
        <v>1531</v>
      </c>
      <c r="B3471" t="s">
        <v>558</v>
      </c>
      <c r="C3471" s="10" t="str" cm="1">
        <f t="array" ref="C3471">IF(AND(A3471="2020-12", ISNA(MATCH(B3471, _xlfn._xlws.FILTER(B:B, A:A="2021-01"), 0))), "Left", "Ativo")</f>
        <v>Ativo</v>
      </c>
      <c r="D3471" s="10" t="str" cm="1">
        <f t="array" ref="D3471">IF(AND(A3471="2021-01", ISNA(MATCH(B3471, _xlfn._xlws.FILTER(B:B, A:A="2021-02"), 0))), "Left", "Ativo")</f>
        <v>Ativo</v>
      </c>
      <c r="E3471" s="10" t="str" cm="1">
        <f t="array" ref="E3471">IF(AND(A3471="2021-02", ISNA(MATCH(B3471, _xlfn._xlws.FILTER(B:B, A:A="2021-03"), 0))), "Left", "Ativo")</f>
        <v>Ativo</v>
      </c>
      <c r="F3471" s="12" t="str" cm="1">
        <f t="array" ref="F3471">IF(AND(A3471="2021-03", ISNA(MATCH(B3471, _xlfn._xlws.FILTER(B:B, A:A="2021-04"), 0))), "Left", "Ativo")</f>
        <v>Ativo</v>
      </c>
    </row>
    <row r="3472" spans="1:6" x14ac:dyDescent="0.25">
      <c r="A3472" t="s">
        <v>1531</v>
      </c>
      <c r="B3472" t="s">
        <v>559</v>
      </c>
      <c r="C3472" s="10" t="str" cm="1">
        <f t="array" ref="C3472">IF(AND(A3472="2020-12", ISNA(MATCH(B3472, _xlfn._xlws.FILTER(B:B, A:A="2021-01"), 0))), "Left", "Ativo")</f>
        <v>Ativo</v>
      </c>
      <c r="D3472" s="10" t="str" cm="1">
        <f t="array" ref="D3472">IF(AND(A3472="2021-01", ISNA(MATCH(B3472, _xlfn._xlws.FILTER(B:B, A:A="2021-02"), 0))), "Left", "Ativo")</f>
        <v>Ativo</v>
      </c>
      <c r="E3472" s="10" t="str" cm="1">
        <f t="array" ref="E3472">IF(AND(A3472="2021-02", ISNA(MATCH(B3472, _xlfn._xlws.FILTER(B:B, A:A="2021-03"), 0))), "Left", "Ativo")</f>
        <v>Ativo</v>
      </c>
      <c r="F3472" s="12" t="str" cm="1">
        <f t="array" ref="F3472">IF(AND(A3472="2021-03", ISNA(MATCH(B3472, _xlfn._xlws.FILTER(B:B, A:A="2021-04"), 0))), "Left", "Ativo")</f>
        <v>Ativo</v>
      </c>
    </row>
    <row r="3473" spans="1:6" x14ac:dyDescent="0.25">
      <c r="A3473" t="s">
        <v>1531</v>
      </c>
      <c r="B3473" t="s">
        <v>560</v>
      </c>
      <c r="C3473" s="10" t="str" cm="1">
        <f t="array" ref="C3473">IF(AND(A3473="2020-12", ISNA(MATCH(B3473, _xlfn._xlws.FILTER(B:B, A:A="2021-01"), 0))), "Left", "Ativo")</f>
        <v>Ativo</v>
      </c>
      <c r="D3473" s="10" t="str" cm="1">
        <f t="array" ref="D3473">IF(AND(A3473="2021-01", ISNA(MATCH(B3473, _xlfn._xlws.FILTER(B:B, A:A="2021-02"), 0))), "Left", "Ativo")</f>
        <v>Ativo</v>
      </c>
      <c r="E3473" s="10" t="str" cm="1">
        <f t="array" ref="E3473">IF(AND(A3473="2021-02", ISNA(MATCH(B3473, _xlfn._xlws.FILTER(B:B, A:A="2021-03"), 0))), "Left", "Ativo")</f>
        <v>Ativo</v>
      </c>
      <c r="F3473" s="12" t="str" cm="1">
        <f t="array" ref="F3473">IF(AND(A3473="2021-03", ISNA(MATCH(B3473, _xlfn._xlws.FILTER(B:B, A:A="2021-04"), 0))), "Left", "Ativo")</f>
        <v>Ativo</v>
      </c>
    </row>
    <row r="3474" spans="1:6" x14ac:dyDescent="0.25">
      <c r="A3474" t="s">
        <v>1531</v>
      </c>
      <c r="B3474" t="s">
        <v>561</v>
      </c>
      <c r="C3474" s="10" t="str" cm="1">
        <f t="array" ref="C3474">IF(AND(A3474="2020-12", ISNA(MATCH(B3474, _xlfn._xlws.FILTER(B:B, A:A="2021-01"), 0))), "Left", "Ativo")</f>
        <v>Ativo</v>
      </c>
      <c r="D3474" s="10" t="str" cm="1">
        <f t="array" ref="D3474">IF(AND(A3474="2021-01", ISNA(MATCH(B3474, _xlfn._xlws.FILTER(B:B, A:A="2021-02"), 0))), "Left", "Ativo")</f>
        <v>Ativo</v>
      </c>
      <c r="E3474" s="10" t="str" cm="1">
        <f t="array" ref="E3474">IF(AND(A3474="2021-02", ISNA(MATCH(B3474, _xlfn._xlws.FILTER(B:B, A:A="2021-03"), 0))), "Left", "Ativo")</f>
        <v>Ativo</v>
      </c>
      <c r="F3474" s="12" t="str" cm="1">
        <f t="array" ref="F3474">IF(AND(A3474="2021-03", ISNA(MATCH(B3474, _xlfn._xlws.FILTER(B:B, A:A="2021-04"), 0))), "Left", "Ativo")</f>
        <v>Ativo</v>
      </c>
    </row>
    <row r="3475" spans="1:6" x14ac:dyDescent="0.25">
      <c r="A3475" t="s">
        <v>1531</v>
      </c>
      <c r="B3475" t="s">
        <v>562</v>
      </c>
      <c r="C3475" s="10" t="str" cm="1">
        <f t="array" ref="C3475">IF(AND(A3475="2020-12", ISNA(MATCH(B3475, _xlfn._xlws.FILTER(B:B, A:A="2021-01"), 0))), "Left", "Ativo")</f>
        <v>Ativo</v>
      </c>
      <c r="D3475" s="10" t="str" cm="1">
        <f t="array" ref="D3475">IF(AND(A3475="2021-01", ISNA(MATCH(B3475, _xlfn._xlws.FILTER(B:B, A:A="2021-02"), 0))), "Left", "Ativo")</f>
        <v>Ativo</v>
      </c>
      <c r="E3475" s="10" t="str" cm="1">
        <f t="array" ref="E3475">IF(AND(A3475="2021-02", ISNA(MATCH(B3475, _xlfn._xlws.FILTER(B:B, A:A="2021-03"), 0))), "Left", "Ativo")</f>
        <v>Ativo</v>
      </c>
      <c r="F3475" s="12" t="str" cm="1">
        <f t="array" ref="F3475">IF(AND(A3475="2021-03", ISNA(MATCH(B3475, _xlfn._xlws.FILTER(B:B, A:A="2021-04"), 0))), "Left", "Ativo")</f>
        <v>Ativo</v>
      </c>
    </row>
    <row r="3476" spans="1:6" x14ac:dyDescent="0.25">
      <c r="A3476" t="s">
        <v>1531</v>
      </c>
      <c r="B3476" t="s">
        <v>563</v>
      </c>
      <c r="C3476" s="10" t="str" cm="1">
        <f t="array" ref="C3476">IF(AND(A3476="2020-12", ISNA(MATCH(B3476, _xlfn._xlws.FILTER(B:B, A:A="2021-01"), 0))), "Left", "Ativo")</f>
        <v>Ativo</v>
      </c>
      <c r="D3476" s="10" t="str" cm="1">
        <f t="array" ref="D3476">IF(AND(A3476="2021-01", ISNA(MATCH(B3476, _xlfn._xlws.FILTER(B:B, A:A="2021-02"), 0))), "Left", "Ativo")</f>
        <v>Ativo</v>
      </c>
      <c r="E3476" s="10" t="str" cm="1">
        <f t="array" ref="E3476">IF(AND(A3476="2021-02", ISNA(MATCH(B3476, _xlfn._xlws.FILTER(B:B, A:A="2021-03"), 0))), "Left", "Ativo")</f>
        <v>Ativo</v>
      </c>
      <c r="F3476" s="12" t="str" cm="1">
        <f t="array" ref="F3476">IF(AND(A3476="2021-03", ISNA(MATCH(B3476, _xlfn._xlws.FILTER(B:B, A:A="2021-04"), 0))), "Left", "Ativo")</f>
        <v>Ativo</v>
      </c>
    </row>
    <row r="3477" spans="1:6" x14ac:dyDescent="0.25">
      <c r="A3477" t="s">
        <v>1531</v>
      </c>
      <c r="B3477" t="s">
        <v>564</v>
      </c>
      <c r="C3477" s="10" t="str" cm="1">
        <f t="array" ref="C3477">IF(AND(A3477="2020-12", ISNA(MATCH(B3477, _xlfn._xlws.FILTER(B:B, A:A="2021-01"), 0))), "Left", "Ativo")</f>
        <v>Ativo</v>
      </c>
      <c r="D3477" s="10" t="str" cm="1">
        <f t="array" ref="D3477">IF(AND(A3477="2021-01", ISNA(MATCH(B3477, _xlfn._xlws.FILTER(B:B, A:A="2021-02"), 0))), "Left", "Ativo")</f>
        <v>Ativo</v>
      </c>
      <c r="E3477" s="10" t="str" cm="1">
        <f t="array" ref="E3477">IF(AND(A3477="2021-02", ISNA(MATCH(B3477, _xlfn._xlws.FILTER(B:B, A:A="2021-03"), 0))), "Left", "Ativo")</f>
        <v>Ativo</v>
      </c>
      <c r="F3477" s="12" t="str" cm="1">
        <f t="array" ref="F3477">IF(AND(A3477="2021-03", ISNA(MATCH(B3477, _xlfn._xlws.FILTER(B:B, A:A="2021-04"), 0))), "Left", "Ativo")</f>
        <v>Ativo</v>
      </c>
    </row>
    <row r="3478" spans="1:6" x14ac:dyDescent="0.25">
      <c r="A3478" t="s">
        <v>1531</v>
      </c>
      <c r="B3478" t="s">
        <v>1028</v>
      </c>
      <c r="C3478" s="10" t="str" cm="1">
        <f t="array" ref="C3478">IF(AND(A3478="2020-12", ISNA(MATCH(B3478, _xlfn._xlws.FILTER(B:B, A:A="2021-01"), 0))), "Left", "Ativo")</f>
        <v>Ativo</v>
      </c>
      <c r="D3478" s="10" t="str" cm="1">
        <f t="array" ref="D3478">IF(AND(A3478="2021-01", ISNA(MATCH(B3478, _xlfn._xlws.FILTER(B:B, A:A="2021-02"), 0))), "Left", "Ativo")</f>
        <v>Ativo</v>
      </c>
      <c r="E3478" s="10" t="str" cm="1">
        <f t="array" ref="E3478">IF(AND(A3478="2021-02", ISNA(MATCH(B3478, _xlfn._xlws.FILTER(B:B, A:A="2021-03"), 0))), "Left", "Ativo")</f>
        <v>Ativo</v>
      </c>
      <c r="F3478" s="12" t="str" cm="1">
        <f t="array" ref="F3478">IF(AND(A3478="2021-03", ISNA(MATCH(B3478, _xlfn._xlws.FILTER(B:B, A:A="2021-04"), 0))), "Left", "Ativo")</f>
        <v>Ativo</v>
      </c>
    </row>
    <row r="3479" spans="1:6" x14ac:dyDescent="0.25">
      <c r="A3479" t="s">
        <v>1531</v>
      </c>
      <c r="B3479" t="s">
        <v>1029</v>
      </c>
      <c r="C3479" s="10" t="str" cm="1">
        <f t="array" ref="C3479">IF(AND(A3479="2020-12", ISNA(MATCH(B3479, _xlfn._xlws.FILTER(B:B, A:A="2021-01"), 0))), "Left", "Ativo")</f>
        <v>Ativo</v>
      </c>
      <c r="D3479" s="10" t="str" cm="1">
        <f t="array" ref="D3479">IF(AND(A3479="2021-01", ISNA(MATCH(B3479, _xlfn._xlws.FILTER(B:B, A:A="2021-02"), 0))), "Left", "Ativo")</f>
        <v>Ativo</v>
      </c>
      <c r="E3479" s="10" t="str" cm="1">
        <f t="array" ref="E3479">IF(AND(A3479="2021-02", ISNA(MATCH(B3479, _xlfn._xlws.FILTER(B:B, A:A="2021-03"), 0))), "Left", "Ativo")</f>
        <v>Ativo</v>
      </c>
      <c r="F3479" s="12" t="str" cm="1">
        <f t="array" ref="F3479">IF(AND(A3479="2021-03", ISNA(MATCH(B3479, _xlfn._xlws.FILTER(B:B, A:A="2021-04"), 0))), "Left", "Ativo")</f>
        <v>Ativo</v>
      </c>
    </row>
    <row r="3480" spans="1:6" x14ac:dyDescent="0.25">
      <c r="A3480" t="s">
        <v>1531</v>
      </c>
      <c r="B3480" t="s">
        <v>1030</v>
      </c>
      <c r="C3480" s="10" t="str" cm="1">
        <f t="array" ref="C3480">IF(AND(A3480="2020-12", ISNA(MATCH(B3480, _xlfn._xlws.FILTER(B:B, A:A="2021-01"), 0))), "Left", "Ativo")</f>
        <v>Ativo</v>
      </c>
      <c r="D3480" s="10" t="str" cm="1">
        <f t="array" ref="D3480">IF(AND(A3480="2021-01", ISNA(MATCH(B3480, _xlfn._xlws.FILTER(B:B, A:A="2021-02"), 0))), "Left", "Ativo")</f>
        <v>Ativo</v>
      </c>
      <c r="E3480" s="10" t="str" cm="1">
        <f t="array" ref="E3480">IF(AND(A3480="2021-02", ISNA(MATCH(B3480, _xlfn._xlws.FILTER(B:B, A:A="2021-03"), 0))), "Left", "Ativo")</f>
        <v>Ativo</v>
      </c>
      <c r="F3480" s="12" t="str" cm="1">
        <f t="array" ref="F3480">IF(AND(A3480="2021-03", ISNA(MATCH(B3480, _xlfn._xlws.FILTER(B:B, A:A="2021-04"), 0))), "Left", "Ativo")</f>
        <v>Ativo</v>
      </c>
    </row>
    <row r="3481" spans="1:6" x14ac:dyDescent="0.25">
      <c r="A3481" t="s">
        <v>1531</v>
      </c>
      <c r="B3481" t="s">
        <v>1031</v>
      </c>
      <c r="C3481" s="10" t="str" cm="1">
        <f t="array" ref="C3481">IF(AND(A3481="2020-12", ISNA(MATCH(B3481, _xlfn._xlws.FILTER(B:B, A:A="2021-01"), 0))), "Left", "Ativo")</f>
        <v>Ativo</v>
      </c>
      <c r="D3481" s="10" t="str" cm="1">
        <f t="array" ref="D3481">IF(AND(A3481="2021-01", ISNA(MATCH(B3481, _xlfn._xlws.FILTER(B:B, A:A="2021-02"), 0))), "Left", "Ativo")</f>
        <v>Ativo</v>
      </c>
      <c r="E3481" s="10" t="str" cm="1">
        <f t="array" ref="E3481">IF(AND(A3481="2021-02", ISNA(MATCH(B3481, _xlfn._xlws.FILTER(B:B, A:A="2021-03"), 0))), "Left", "Ativo")</f>
        <v>Ativo</v>
      </c>
      <c r="F3481" s="12" t="str" cm="1">
        <f t="array" ref="F3481">IF(AND(A3481="2021-03", ISNA(MATCH(B3481, _xlfn._xlws.FILTER(B:B, A:A="2021-04"), 0))), "Left", "Ativo")</f>
        <v>Ativo</v>
      </c>
    </row>
    <row r="3482" spans="1:6" x14ac:dyDescent="0.25">
      <c r="A3482" t="s">
        <v>1531</v>
      </c>
      <c r="B3482" t="s">
        <v>1032</v>
      </c>
      <c r="C3482" s="10" t="str" cm="1">
        <f t="array" ref="C3482">IF(AND(A3482="2020-12", ISNA(MATCH(B3482, _xlfn._xlws.FILTER(B:B, A:A="2021-01"), 0))), "Left", "Ativo")</f>
        <v>Ativo</v>
      </c>
      <c r="D3482" s="10" t="str" cm="1">
        <f t="array" ref="D3482">IF(AND(A3482="2021-01", ISNA(MATCH(B3482, _xlfn._xlws.FILTER(B:B, A:A="2021-02"), 0))), "Left", "Ativo")</f>
        <v>Ativo</v>
      </c>
      <c r="E3482" s="10" t="str" cm="1">
        <f t="array" ref="E3482">IF(AND(A3482="2021-02", ISNA(MATCH(B3482, _xlfn._xlws.FILTER(B:B, A:A="2021-03"), 0))), "Left", "Ativo")</f>
        <v>Ativo</v>
      </c>
      <c r="F3482" s="12" t="str" cm="1">
        <f t="array" ref="F3482">IF(AND(A3482="2021-03", ISNA(MATCH(B3482, _xlfn._xlws.FILTER(B:B, A:A="2021-04"), 0))), "Left", "Ativo")</f>
        <v>Ativo</v>
      </c>
    </row>
    <row r="3483" spans="1:6" x14ac:dyDescent="0.25">
      <c r="A3483" t="s">
        <v>1531</v>
      </c>
      <c r="B3483" t="s">
        <v>1033</v>
      </c>
      <c r="C3483" s="10" t="str" cm="1">
        <f t="array" ref="C3483">IF(AND(A3483="2020-12", ISNA(MATCH(B3483, _xlfn._xlws.FILTER(B:B, A:A="2021-01"), 0))), "Left", "Ativo")</f>
        <v>Ativo</v>
      </c>
      <c r="D3483" s="10" t="str" cm="1">
        <f t="array" ref="D3483">IF(AND(A3483="2021-01", ISNA(MATCH(B3483, _xlfn._xlws.FILTER(B:B, A:A="2021-02"), 0))), "Left", "Ativo")</f>
        <v>Ativo</v>
      </c>
      <c r="E3483" s="10" t="str" cm="1">
        <f t="array" ref="E3483">IF(AND(A3483="2021-02", ISNA(MATCH(B3483, _xlfn._xlws.FILTER(B:B, A:A="2021-03"), 0))), "Left", "Ativo")</f>
        <v>Ativo</v>
      </c>
      <c r="F3483" s="12" t="str" cm="1">
        <f t="array" ref="F3483">IF(AND(A3483="2021-03", ISNA(MATCH(B3483, _xlfn._xlws.FILTER(B:B, A:A="2021-04"), 0))), "Left", "Ativo")</f>
        <v>Ativo</v>
      </c>
    </row>
    <row r="3484" spans="1:6" x14ac:dyDescent="0.25">
      <c r="A3484" t="s">
        <v>1531</v>
      </c>
      <c r="B3484" t="s">
        <v>1034</v>
      </c>
      <c r="C3484" s="10" t="str" cm="1">
        <f t="array" ref="C3484">IF(AND(A3484="2020-12", ISNA(MATCH(B3484, _xlfn._xlws.FILTER(B:B, A:A="2021-01"), 0))), "Left", "Ativo")</f>
        <v>Ativo</v>
      </c>
      <c r="D3484" s="10" t="str" cm="1">
        <f t="array" ref="D3484">IF(AND(A3484="2021-01", ISNA(MATCH(B3484, _xlfn._xlws.FILTER(B:B, A:A="2021-02"), 0))), "Left", "Ativo")</f>
        <v>Ativo</v>
      </c>
      <c r="E3484" s="10" t="str" cm="1">
        <f t="array" ref="E3484">IF(AND(A3484="2021-02", ISNA(MATCH(B3484, _xlfn._xlws.FILTER(B:B, A:A="2021-03"), 0))), "Left", "Ativo")</f>
        <v>Ativo</v>
      </c>
      <c r="F3484" s="12" t="str" cm="1">
        <f t="array" ref="F3484">IF(AND(A3484="2021-03", ISNA(MATCH(B3484, _xlfn._xlws.FILTER(B:B, A:A="2021-04"), 0))), "Left", "Ativo")</f>
        <v>Ativo</v>
      </c>
    </row>
    <row r="3485" spans="1:6" x14ac:dyDescent="0.25">
      <c r="A3485" t="s">
        <v>1531</v>
      </c>
      <c r="B3485" t="s">
        <v>1035</v>
      </c>
      <c r="C3485" s="10" t="str" cm="1">
        <f t="array" ref="C3485">IF(AND(A3485="2020-12", ISNA(MATCH(B3485, _xlfn._xlws.FILTER(B:B, A:A="2021-01"), 0))), "Left", "Ativo")</f>
        <v>Ativo</v>
      </c>
      <c r="D3485" s="10" t="str" cm="1">
        <f t="array" ref="D3485">IF(AND(A3485="2021-01", ISNA(MATCH(B3485, _xlfn._xlws.FILTER(B:B, A:A="2021-02"), 0))), "Left", "Ativo")</f>
        <v>Ativo</v>
      </c>
      <c r="E3485" s="10" t="str" cm="1">
        <f t="array" ref="E3485">IF(AND(A3485="2021-02", ISNA(MATCH(B3485, _xlfn._xlws.FILTER(B:B, A:A="2021-03"), 0))), "Left", "Ativo")</f>
        <v>Ativo</v>
      </c>
      <c r="F3485" s="12" t="str" cm="1">
        <f t="array" ref="F3485">IF(AND(A3485="2021-03", ISNA(MATCH(B3485, _xlfn._xlws.FILTER(B:B, A:A="2021-04"), 0))), "Left", "Ativo")</f>
        <v>Ativo</v>
      </c>
    </row>
    <row r="3486" spans="1:6" x14ac:dyDescent="0.25">
      <c r="A3486" t="s">
        <v>1531</v>
      </c>
      <c r="B3486" t="s">
        <v>1036</v>
      </c>
      <c r="C3486" s="10" t="str" cm="1">
        <f t="array" ref="C3486">IF(AND(A3486="2020-12", ISNA(MATCH(B3486, _xlfn._xlws.FILTER(B:B, A:A="2021-01"), 0))), "Left", "Ativo")</f>
        <v>Ativo</v>
      </c>
      <c r="D3486" s="10" t="str" cm="1">
        <f t="array" ref="D3486">IF(AND(A3486="2021-01", ISNA(MATCH(B3486, _xlfn._xlws.FILTER(B:B, A:A="2021-02"), 0))), "Left", "Ativo")</f>
        <v>Ativo</v>
      </c>
      <c r="E3486" s="10" t="str" cm="1">
        <f t="array" ref="E3486">IF(AND(A3486="2021-02", ISNA(MATCH(B3486, _xlfn._xlws.FILTER(B:B, A:A="2021-03"), 0))), "Left", "Ativo")</f>
        <v>Ativo</v>
      </c>
      <c r="F3486" s="12" t="str" cm="1">
        <f t="array" ref="F3486">IF(AND(A3486="2021-03", ISNA(MATCH(B3486, _xlfn._xlws.FILTER(B:B, A:A="2021-04"), 0))), "Left", "Ativo")</f>
        <v>Ativo</v>
      </c>
    </row>
    <row r="3487" spans="1:6" x14ac:dyDescent="0.25">
      <c r="A3487" t="s">
        <v>1531</v>
      </c>
      <c r="B3487" t="s">
        <v>1037</v>
      </c>
      <c r="C3487" s="10" t="str" cm="1">
        <f t="array" ref="C3487">IF(AND(A3487="2020-12", ISNA(MATCH(B3487, _xlfn._xlws.FILTER(B:B, A:A="2021-01"), 0))), "Left", "Ativo")</f>
        <v>Ativo</v>
      </c>
      <c r="D3487" s="10" t="str" cm="1">
        <f t="array" ref="D3487">IF(AND(A3487="2021-01", ISNA(MATCH(B3487, _xlfn._xlws.FILTER(B:B, A:A="2021-02"), 0))), "Left", "Ativo")</f>
        <v>Ativo</v>
      </c>
      <c r="E3487" s="10" t="str" cm="1">
        <f t="array" ref="E3487">IF(AND(A3487="2021-02", ISNA(MATCH(B3487, _xlfn._xlws.FILTER(B:B, A:A="2021-03"), 0))), "Left", "Ativo")</f>
        <v>Ativo</v>
      </c>
      <c r="F3487" s="12" t="str" cm="1">
        <f t="array" ref="F3487">IF(AND(A3487="2021-03", ISNA(MATCH(B3487, _xlfn._xlws.FILTER(B:B, A:A="2021-04"), 0))), "Left", "Ativo")</f>
        <v>Ativo</v>
      </c>
    </row>
    <row r="3488" spans="1:6" x14ac:dyDescent="0.25">
      <c r="A3488" t="s">
        <v>1531</v>
      </c>
      <c r="B3488" t="s">
        <v>1038</v>
      </c>
      <c r="C3488" s="10" t="str" cm="1">
        <f t="array" ref="C3488">IF(AND(A3488="2020-12", ISNA(MATCH(B3488, _xlfn._xlws.FILTER(B:B, A:A="2021-01"), 0))), "Left", "Ativo")</f>
        <v>Ativo</v>
      </c>
      <c r="D3488" s="10" t="str" cm="1">
        <f t="array" ref="D3488">IF(AND(A3488="2021-01", ISNA(MATCH(B3488, _xlfn._xlws.FILTER(B:B, A:A="2021-02"), 0))), "Left", "Ativo")</f>
        <v>Ativo</v>
      </c>
      <c r="E3488" s="10" t="str" cm="1">
        <f t="array" ref="E3488">IF(AND(A3488="2021-02", ISNA(MATCH(B3488, _xlfn._xlws.FILTER(B:B, A:A="2021-03"), 0))), "Left", "Ativo")</f>
        <v>Ativo</v>
      </c>
      <c r="F3488" s="12" t="str" cm="1">
        <f t="array" ref="F3488">IF(AND(A3488="2021-03", ISNA(MATCH(B3488, _xlfn._xlws.FILTER(B:B, A:A="2021-04"), 0))), "Left", "Ativo")</f>
        <v>Ativo</v>
      </c>
    </row>
    <row r="3489" spans="1:6" x14ac:dyDescent="0.25">
      <c r="A3489" t="s">
        <v>1531</v>
      </c>
      <c r="B3489" t="s">
        <v>1039</v>
      </c>
      <c r="C3489" s="10" t="str" cm="1">
        <f t="array" ref="C3489">IF(AND(A3489="2020-12", ISNA(MATCH(B3489, _xlfn._xlws.FILTER(B:B, A:A="2021-01"), 0))), "Left", "Ativo")</f>
        <v>Ativo</v>
      </c>
      <c r="D3489" s="10" t="str" cm="1">
        <f t="array" ref="D3489">IF(AND(A3489="2021-01", ISNA(MATCH(B3489, _xlfn._xlws.FILTER(B:B, A:A="2021-02"), 0))), "Left", "Ativo")</f>
        <v>Ativo</v>
      </c>
      <c r="E3489" s="10" t="str" cm="1">
        <f t="array" ref="E3489">IF(AND(A3489="2021-02", ISNA(MATCH(B3489, _xlfn._xlws.FILTER(B:B, A:A="2021-03"), 0))), "Left", "Ativo")</f>
        <v>Ativo</v>
      </c>
      <c r="F3489" s="12" t="str" cm="1">
        <f t="array" ref="F3489">IF(AND(A3489="2021-03", ISNA(MATCH(B3489, _xlfn._xlws.FILTER(B:B, A:A="2021-04"), 0))), "Left", "Ativo")</f>
        <v>Ativo</v>
      </c>
    </row>
    <row r="3490" spans="1:6" x14ac:dyDescent="0.25">
      <c r="A3490" t="s">
        <v>1531</v>
      </c>
      <c r="B3490" t="s">
        <v>1040</v>
      </c>
      <c r="C3490" s="10" t="str" cm="1">
        <f t="array" ref="C3490">IF(AND(A3490="2020-12", ISNA(MATCH(B3490, _xlfn._xlws.FILTER(B:B, A:A="2021-01"), 0))), "Left", "Ativo")</f>
        <v>Ativo</v>
      </c>
      <c r="D3490" s="10" t="str" cm="1">
        <f t="array" ref="D3490">IF(AND(A3490="2021-01", ISNA(MATCH(B3490, _xlfn._xlws.FILTER(B:B, A:A="2021-02"), 0))), "Left", "Ativo")</f>
        <v>Ativo</v>
      </c>
      <c r="E3490" s="10" t="str" cm="1">
        <f t="array" ref="E3490">IF(AND(A3490="2021-02", ISNA(MATCH(B3490, _xlfn._xlws.FILTER(B:B, A:A="2021-03"), 0))), "Left", "Ativo")</f>
        <v>Ativo</v>
      </c>
      <c r="F3490" s="12" t="str" cm="1">
        <f t="array" ref="F3490">IF(AND(A3490="2021-03", ISNA(MATCH(B3490, _xlfn._xlws.FILTER(B:B, A:A="2021-04"), 0))), "Left", "Ativo")</f>
        <v>Ativo</v>
      </c>
    </row>
    <row r="3491" spans="1:6" x14ac:dyDescent="0.25">
      <c r="A3491" t="s">
        <v>1531</v>
      </c>
      <c r="B3491" t="s">
        <v>1041</v>
      </c>
      <c r="C3491" s="10" t="str" cm="1">
        <f t="array" ref="C3491">IF(AND(A3491="2020-12", ISNA(MATCH(B3491, _xlfn._xlws.FILTER(B:B, A:A="2021-01"), 0))), "Left", "Ativo")</f>
        <v>Ativo</v>
      </c>
      <c r="D3491" s="10" t="str" cm="1">
        <f t="array" ref="D3491">IF(AND(A3491="2021-01", ISNA(MATCH(B3491, _xlfn._xlws.FILTER(B:B, A:A="2021-02"), 0))), "Left", "Ativo")</f>
        <v>Ativo</v>
      </c>
      <c r="E3491" s="10" t="str" cm="1">
        <f t="array" ref="E3491">IF(AND(A3491="2021-02", ISNA(MATCH(B3491, _xlfn._xlws.FILTER(B:B, A:A="2021-03"), 0))), "Left", "Ativo")</f>
        <v>Ativo</v>
      </c>
      <c r="F3491" s="12" t="str" cm="1">
        <f t="array" ref="F3491">IF(AND(A3491="2021-03", ISNA(MATCH(B3491, _xlfn._xlws.FILTER(B:B, A:A="2021-04"), 0))), "Left", "Ativo")</f>
        <v>Ativo</v>
      </c>
    </row>
    <row r="3492" spans="1:6" x14ac:dyDescent="0.25">
      <c r="A3492" t="s">
        <v>1531</v>
      </c>
      <c r="B3492" t="s">
        <v>1042</v>
      </c>
      <c r="C3492" s="10" t="str" cm="1">
        <f t="array" ref="C3492">IF(AND(A3492="2020-12", ISNA(MATCH(B3492, _xlfn._xlws.FILTER(B:B, A:A="2021-01"), 0))), "Left", "Ativo")</f>
        <v>Ativo</v>
      </c>
      <c r="D3492" s="10" t="str" cm="1">
        <f t="array" ref="D3492">IF(AND(A3492="2021-01", ISNA(MATCH(B3492, _xlfn._xlws.FILTER(B:B, A:A="2021-02"), 0))), "Left", "Ativo")</f>
        <v>Ativo</v>
      </c>
      <c r="E3492" s="10" t="str" cm="1">
        <f t="array" ref="E3492">IF(AND(A3492="2021-02", ISNA(MATCH(B3492, _xlfn._xlws.FILTER(B:B, A:A="2021-03"), 0))), "Left", "Ativo")</f>
        <v>Ativo</v>
      </c>
      <c r="F3492" s="12" t="str" cm="1">
        <f t="array" ref="F3492">IF(AND(A3492="2021-03", ISNA(MATCH(B3492, _xlfn._xlws.FILTER(B:B, A:A="2021-04"), 0))), "Left", "Ativo")</f>
        <v>Ativo</v>
      </c>
    </row>
    <row r="3493" spans="1:6" x14ac:dyDescent="0.25">
      <c r="A3493" t="s">
        <v>1531</v>
      </c>
      <c r="B3493" t="s">
        <v>1043</v>
      </c>
      <c r="C3493" s="10" t="str" cm="1">
        <f t="array" ref="C3493">IF(AND(A3493="2020-12", ISNA(MATCH(B3493, _xlfn._xlws.FILTER(B:B, A:A="2021-01"), 0))), "Left", "Ativo")</f>
        <v>Ativo</v>
      </c>
      <c r="D3493" s="10" t="str" cm="1">
        <f t="array" ref="D3493">IF(AND(A3493="2021-01", ISNA(MATCH(B3493, _xlfn._xlws.FILTER(B:B, A:A="2021-02"), 0))), "Left", "Ativo")</f>
        <v>Ativo</v>
      </c>
      <c r="E3493" s="10" t="str" cm="1">
        <f t="array" ref="E3493">IF(AND(A3493="2021-02", ISNA(MATCH(B3493, _xlfn._xlws.FILTER(B:B, A:A="2021-03"), 0))), "Left", "Ativo")</f>
        <v>Ativo</v>
      </c>
      <c r="F3493" s="12" t="str" cm="1">
        <f t="array" ref="F3493">IF(AND(A3493="2021-03", ISNA(MATCH(B3493, _xlfn._xlws.FILTER(B:B, A:A="2021-04"), 0))), "Left", "Ativo")</f>
        <v>Ativo</v>
      </c>
    </row>
    <row r="3494" spans="1:6" x14ac:dyDescent="0.25">
      <c r="A3494" t="s">
        <v>1531</v>
      </c>
      <c r="B3494" t="s">
        <v>1044</v>
      </c>
      <c r="C3494" s="10" t="str" cm="1">
        <f t="array" ref="C3494">IF(AND(A3494="2020-12", ISNA(MATCH(B3494, _xlfn._xlws.FILTER(B:B, A:A="2021-01"), 0))), "Left", "Ativo")</f>
        <v>Ativo</v>
      </c>
      <c r="D3494" s="10" t="str" cm="1">
        <f t="array" ref="D3494">IF(AND(A3494="2021-01", ISNA(MATCH(B3494, _xlfn._xlws.FILTER(B:B, A:A="2021-02"), 0))), "Left", "Ativo")</f>
        <v>Ativo</v>
      </c>
      <c r="E3494" s="10" t="str" cm="1">
        <f t="array" ref="E3494">IF(AND(A3494="2021-02", ISNA(MATCH(B3494, _xlfn._xlws.FILTER(B:B, A:A="2021-03"), 0))), "Left", "Ativo")</f>
        <v>Ativo</v>
      </c>
      <c r="F3494" s="12" t="str" cm="1">
        <f t="array" ref="F3494">IF(AND(A3494="2021-03", ISNA(MATCH(B3494, _xlfn._xlws.FILTER(B:B, A:A="2021-04"), 0))), "Left", "Ativo")</f>
        <v>Ativo</v>
      </c>
    </row>
    <row r="3495" spans="1:6" x14ac:dyDescent="0.25">
      <c r="A3495" t="s">
        <v>1531</v>
      </c>
      <c r="B3495" t="s">
        <v>1045</v>
      </c>
      <c r="C3495" s="10" t="str" cm="1">
        <f t="array" ref="C3495">IF(AND(A3495="2020-12", ISNA(MATCH(B3495, _xlfn._xlws.FILTER(B:B, A:A="2021-01"), 0))), "Left", "Ativo")</f>
        <v>Ativo</v>
      </c>
      <c r="D3495" s="10" t="str" cm="1">
        <f t="array" ref="D3495">IF(AND(A3495="2021-01", ISNA(MATCH(B3495, _xlfn._xlws.FILTER(B:B, A:A="2021-02"), 0))), "Left", "Ativo")</f>
        <v>Ativo</v>
      </c>
      <c r="E3495" s="10" t="str" cm="1">
        <f t="array" ref="E3495">IF(AND(A3495="2021-02", ISNA(MATCH(B3495, _xlfn._xlws.FILTER(B:B, A:A="2021-03"), 0))), "Left", "Ativo")</f>
        <v>Ativo</v>
      </c>
      <c r="F3495" s="12" t="str" cm="1">
        <f t="array" ref="F3495">IF(AND(A3495="2021-03", ISNA(MATCH(B3495, _xlfn._xlws.FILTER(B:B, A:A="2021-04"), 0))), "Left", "Ativo")</f>
        <v>Ativo</v>
      </c>
    </row>
    <row r="3496" spans="1:6" x14ac:dyDescent="0.25">
      <c r="A3496" t="s">
        <v>1531</v>
      </c>
      <c r="B3496" t="s">
        <v>1046</v>
      </c>
      <c r="C3496" s="10" t="str" cm="1">
        <f t="array" ref="C3496">IF(AND(A3496="2020-12", ISNA(MATCH(B3496, _xlfn._xlws.FILTER(B:B, A:A="2021-01"), 0))), "Left", "Ativo")</f>
        <v>Ativo</v>
      </c>
      <c r="D3496" s="10" t="str" cm="1">
        <f t="array" ref="D3496">IF(AND(A3496="2021-01", ISNA(MATCH(B3496, _xlfn._xlws.FILTER(B:B, A:A="2021-02"), 0))), "Left", "Ativo")</f>
        <v>Ativo</v>
      </c>
      <c r="E3496" s="10" t="str" cm="1">
        <f t="array" ref="E3496">IF(AND(A3496="2021-02", ISNA(MATCH(B3496, _xlfn._xlws.FILTER(B:B, A:A="2021-03"), 0))), "Left", "Ativo")</f>
        <v>Ativo</v>
      </c>
      <c r="F3496" s="12" t="str" cm="1">
        <f t="array" ref="F3496">IF(AND(A3496="2021-03", ISNA(MATCH(B3496, _xlfn._xlws.FILTER(B:B, A:A="2021-04"), 0))), "Left", "Ativo")</f>
        <v>Ativo</v>
      </c>
    </row>
    <row r="3497" spans="1:6" x14ac:dyDescent="0.25">
      <c r="A3497" t="s">
        <v>1531</v>
      </c>
      <c r="B3497" t="s">
        <v>1047</v>
      </c>
      <c r="C3497" s="10" t="str" cm="1">
        <f t="array" ref="C3497">IF(AND(A3497="2020-12", ISNA(MATCH(B3497, _xlfn._xlws.FILTER(B:B, A:A="2021-01"), 0))), "Left", "Ativo")</f>
        <v>Ativo</v>
      </c>
      <c r="D3497" s="10" t="str" cm="1">
        <f t="array" ref="D3497">IF(AND(A3497="2021-01", ISNA(MATCH(B3497, _xlfn._xlws.FILTER(B:B, A:A="2021-02"), 0))), "Left", "Ativo")</f>
        <v>Ativo</v>
      </c>
      <c r="E3497" s="10" t="str" cm="1">
        <f t="array" ref="E3497">IF(AND(A3497="2021-02", ISNA(MATCH(B3497, _xlfn._xlws.FILTER(B:B, A:A="2021-03"), 0))), "Left", "Ativo")</f>
        <v>Ativo</v>
      </c>
      <c r="F3497" s="12" t="str" cm="1">
        <f t="array" ref="F3497">IF(AND(A3497="2021-03", ISNA(MATCH(B3497, _xlfn._xlws.FILTER(B:B, A:A="2021-04"), 0))), "Left", "Ativo")</f>
        <v>Ativo</v>
      </c>
    </row>
    <row r="3498" spans="1:6" x14ac:dyDescent="0.25">
      <c r="A3498" t="s">
        <v>1531</v>
      </c>
      <c r="B3498" t="s">
        <v>1048</v>
      </c>
      <c r="C3498" s="10" t="str" cm="1">
        <f t="array" ref="C3498">IF(AND(A3498="2020-12", ISNA(MATCH(B3498, _xlfn._xlws.FILTER(B:B, A:A="2021-01"), 0))), "Left", "Ativo")</f>
        <v>Ativo</v>
      </c>
      <c r="D3498" s="10" t="str" cm="1">
        <f t="array" ref="D3498">IF(AND(A3498="2021-01", ISNA(MATCH(B3498, _xlfn._xlws.FILTER(B:B, A:A="2021-02"), 0))), "Left", "Ativo")</f>
        <v>Ativo</v>
      </c>
      <c r="E3498" s="10" t="str" cm="1">
        <f t="array" ref="E3498">IF(AND(A3498="2021-02", ISNA(MATCH(B3498, _xlfn._xlws.FILTER(B:B, A:A="2021-03"), 0))), "Left", "Ativo")</f>
        <v>Ativo</v>
      </c>
      <c r="F3498" s="12" t="str" cm="1">
        <f t="array" ref="F3498">IF(AND(A3498="2021-03", ISNA(MATCH(B3498, _xlfn._xlws.FILTER(B:B, A:A="2021-04"), 0))), "Left", "Ativo")</f>
        <v>Ativo</v>
      </c>
    </row>
    <row r="3499" spans="1:6" x14ac:dyDescent="0.25">
      <c r="A3499" t="s">
        <v>1531</v>
      </c>
      <c r="B3499" t="s">
        <v>1121</v>
      </c>
      <c r="C3499" s="10" t="str" cm="1">
        <f t="array" ref="C3499">IF(AND(A3499="2020-12", ISNA(MATCH(B3499, _xlfn._xlws.FILTER(B:B, A:A="2021-01"), 0))), "Left", "Ativo")</f>
        <v>Ativo</v>
      </c>
      <c r="D3499" s="10" t="str" cm="1">
        <f t="array" ref="D3499">IF(AND(A3499="2021-01", ISNA(MATCH(B3499, _xlfn._xlws.FILTER(B:B, A:A="2021-02"), 0))), "Left", "Ativo")</f>
        <v>Ativo</v>
      </c>
      <c r="E3499" s="10" t="str" cm="1">
        <f t="array" ref="E3499">IF(AND(A3499="2021-02", ISNA(MATCH(B3499, _xlfn._xlws.FILTER(B:B, A:A="2021-03"), 0))), "Left", "Ativo")</f>
        <v>Ativo</v>
      </c>
      <c r="F3499" s="12" t="str" cm="1">
        <f t="array" ref="F3499">IF(AND(A3499="2021-03", ISNA(MATCH(B3499, _xlfn._xlws.FILTER(B:B, A:A="2021-04"), 0))), "Left", "Ativo")</f>
        <v>Ativo</v>
      </c>
    </row>
    <row r="3500" spans="1:6" x14ac:dyDescent="0.25">
      <c r="A3500" t="s">
        <v>1531</v>
      </c>
      <c r="B3500" t="s">
        <v>1122</v>
      </c>
      <c r="C3500" s="10" t="str" cm="1">
        <f t="array" ref="C3500">IF(AND(A3500="2020-12", ISNA(MATCH(B3500, _xlfn._xlws.FILTER(B:B, A:A="2021-01"), 0))), "Left", "Ativo")</f>
        <v>Ativo</v>
      </c>
      <c r="D3500" s="10" t="str" cm="1">
        <f t="array" ref="D3500">IF(AND(A3500="2021-01", ISNA(MATCH(B3500, _xlfn._xlws.FILTER(B:B, A:A="2021-02"), 0))), "Left", "Ativo")</f>
        <v>Ativo</v>
      </c>
      <c r="E3500" s="10" t="str" cm="1">
        <f t="array" ref="E3500">IF(AND(A3500="2021-02", ISNA(MATCH(B3500, _xlfn._xlws.FILTER(B:B, A:A="2021-03"), 0))), "Left", "Ativo")</f>
        <v>Ativo</v>
      </c>
      <c r="F3500" s="12" t="str" cm="1">
        <f t="array" ref="F3500">IF(AND(A3500="2021-03", ISNA(MATCH(B3500, _xlfn._xlws.FILTER(B:B, A:A="2021-04"), 0))), "Left", "Ativo")</f>
        <v>Ativo</v>
      </c>
    </row>
    <row r="3501" spans="1:6" x14ac:dyDescent="0.25">
      <c r="A3501" t="s">
        <v>1531</v>
      </c>
      <c r="B3501" t="s">
        <v>1123</v>
      </c>
      <c r="C3501" s="10" t="str" cm="1">
        <f t="array" ref="C3501">IF(AND(A3501="2020-12", ISNA(MATCH(B3501, _xlfn._xlws.FILTER(B:B, A:A="2021-01"), 0))), "Left", "Ativo")</f>
        <v>Ativo</v>
      </c>
      <c r="D3501" s="10" t="str" cm="1">
        <f t="array" ref="D3501">IF(AND(A3501="2021-01", ISNA(MATCH(B3501, _xlfn._xlws.FILTER(B:B, A:A="2021-02"), 0))), "Left", "Ativo")</f>
        <v>Ativo</v>
      </c>
      <c r="E3501" s="10" t="str" cm="1">
        <f t="array" ref="E3501">IF(AND(A3501="2021-02", ISNA(MATCH(B3501, _xlfn._xlws.FILTER(B:B, A:A="2021-03"), 0))), "Left", "Ativo")</f>
        <v>Ativo</v>
      </c>
      <c r="F3501" s="12" t="str" cm="1">
        <f t="array" ref="F3501">IF(AND(A3501="2021-03", ISNA(MATCH(B3501, _xlfn._xlws.FILTER(B:B, A:A="2021-04"), 0))), "Left", "Ativo")</f>
        <v>Ativo</v>
      </c>
    </row>
    <row r="3502" spans="1:6" x14ac:dyDescent="0.25">
      <c r="A3502" t="s">
        <v>1531</v>
      </c>
      <c r="B3502" t="s">
        <v>1124</v>
      </c>
      <c r="C3502" s="10" t="str" cm="1">
        <f t="array" ref="C3502">IF(AND(A3502="2020-12", ISNA(MATCH(B3502, _xlfn._xlws.FILTER(B:B, A:A="2021-01"), 0))), "Left", "Ativo")</f>
        <v>Ativo</v>
      </c>
      <c r="D3502" s="10" t="str" cm="1">
        <f t="array" ref="D3502">IF(AND(A3502="2021-01", ISNA(MATCH(B3502, _xlfn._xlws.FILTER(B:B, A:A="2021-02"), 0))), "Left", "Ativo")</f>
        <v>Ativo</v>
      </c>
      <c r="E3502" s="10" t="str" cm="1">
        <f t="array" ref="E3502">IF(AND(A3502="2021-02", ISNA(MATCH(B3502, _xlfn._xlws.FILTER(B:B, A:A="2021-03"), 0))), "Left", "Ativo")</f>
        <v>Ativo</v>
      </c>
      <c r="F3502" s="12" t="str" cm="1">
        <f t="array" ref="F3502">IF(AND(A3502="2021-03", ISNA(MATCH(B3502, _xlfn._xlws.FILTER(B:B, A:A="2021-04"), 0))), "Left", "Ativo")</f>
        <v>Ativo</v>
      </c>
    </row>
    <row r="3503" spans="1:6" x14ac:dyDescent="0.25">
      <c r="A3503" t="s">
        <v>1531</v>
      </c>
      <c r="B3503" t="s">
        <v>1125</v>
      </c>
      <c r="C3503" s="10" t="str" cm="1">
        <f t="array" ref="C3503">IF(AND(A3503="2020-12", ISNA(MATCH(B3503, _xlfn._xlws.FILTER(B:B, A:A="2021-01"), 0))), "Left", "Ativo")</f>
        <v>Ativo</v>
      </c>
      <c r="D3503" s="10" t="str" cm="1">
        <f t="array" ref="D3503">IF(AND(A3503="2021-01", ISNA(MATCH(B3503, _xlfn._xlws.FILTER(B:B, A:A="2021-02"), 0))), "Left", "Ativo")</f>
        <v>Ativo</v>
      </c>
      <c r="E3503" s="10" t="str" cm="1">
        <f t="array" ref="E3503">IF(AND(A3503="2021-02", ISNA(MATCH(B3503, _xlfn._xlws.FILTER(B:B, A:A="2021-03"), 0))), "Left", "Ativo")</f>
        <v>Ativo</v>
      </c>
      <c r="F3503" s="12" t="str" cm="1">
        <f t="array" ref="F3503">IF(AND(A3503="2021-03", ISNA(MATCH(B3503, _xlfn._xlws.FILTER(B:B, A:A="2021-04"), 0))), "Left", "Ativo")</f>
        <v>Ativo</v>
      </c>
    </row>
    <row r="3504" spans="1:6" x14ac:dyDescent="0.25">
      <c r="A3504" t="s">
        <v>1531</v>
      </c>
      <c r="B3504" t="s">
        <v>1126</v>
      </c>
      <c r="C3504" s="10" t="str" cm="1">
        <f t="array" ref="C3504">IF(AND(A3504="2020-12", ISNA(MATCH(B3504, _xlfn._xlws.FILTER(B:B, A:A="2021-01"), 0))), "Left", "Ativo")</f>
        <v>Ativo</v>
      </c>
      <c r="D3504" s="10" t="str" cm="1">
        <f t="array" ref="D3504">IF(AND(A3504="2021-01", ISNA(MATCH(B3504, _xlfn._xlws.FILTER(B:B, A:A="2021-02"), 0))), "Left", "Ativo")</f>
        <v>Ativo</v>
      </c>
      <c r="E3504" s="10" t="str" cm="1">
        <f t="array" ref="E3504">IF(AND(A3504="2021-02", ISNA(MATCH(B3504, _xlfn._xlws.FILTER(B:B, A:A="2021-03"), 0))), "Left", "Ativo")</f>
        <v>Ativo</v>
      </c>
      <c r="F3504" s="12" t="str" cm="1">
        <f t="array" ref="F3504">IF(AND(A3504="2021-03", ISNA(MATCH(B3504, _xlfn._xlws.FILTER(B:B, A:A="2021-04"), 0))), "Left", "Ativo")</f>
        <v>Ativo</v>
      </c>
    </row>
    <row r="3505" spans="1:6" x14ac:dyDescent="0.25">
      <c r="A3505" t="s">
        <v>1531</v>
      </c>
      <c r="B3505" t="s">
        <v>1127</v>
      </c>
      <c r="C3505" s="10" t="str" cm="1">
        <f t="array" ref="C3505">IF(AND(A3505="2020-12", ISNA(MATCH(B3505, _xlfn._xlws.FILTER(B:B, A:A="2021-01"), 0))), "Left", "Ativo")</f>
        <v>Ativo</v>
      </c>
      <c r="D3505" s="10" t="str" cm="1">
        <f t="array" ref="D3505">IF(AND(A3505="2021-01", ISNA(MATCH(B3505, _xlfn._xlws.FILTER(B:B, A:A="2021-02"), 0))), "Left", "Ativo")</f>
        <v>Ativo</v>
      </c>
      <c r="E3505" s="10" t="str" cm="1">
        <f t="array" ref="E3505">IF(AND(A3505="2021-02", ISNA(MATCH(B3505, _xlfn._xlws.FILTER(B:B, A:A="2021-03"), 0))), "Left", "Ativo")</f>
        <v>Ativo</v>
      </c>
      <c r="F3505" s="12" t="str" cm="1">
        <f t="array" ref="F3505">IF(AND(A3505="2021-03", ISNA(MATCH(B3505, _xlfn._xlws.FILTER(B:B, A:A="2021-04"), 0))), "Left", "Ativo")</f>
        <v>Ativo</v>
      </c>
    </row>
    <row r="3506" spans="1:6" x14ac:dyDescent="0.25">
      <c r="A3506" t="s">
        <v>1531</v>
      </c>
      <c r="B3506" t="s">
        <v>1128</v>
      </c>
      <c r="C3506" s="10" t="str" cm="1">
        <f t="array" ref="C3506">IF(AND(A3506="2020-12", ISNA(MATCH(B3506, _xlfn._xlws.FILTER(B:B, A:A="2021-01"), 0))), "Left", "Ativo")</f>
        <v>Ativo</v>
      </c>
      <c r="D3506" s="10" t="str" cm="1">
        <f t="array" ref="D3506">IF(AND(A3506="2021-01", ISNA(MATCH(B3506, _xlfn._xlws.FILTER(B:B, A:A="2021-02"), 0))), "Left", "Ativo")</f>
        <v>Ativo</v>
      </c>
      <c r="E3506" s="10" t="str" cm="1">
        <f t="array" ref="E3506">IF(AND(A3506="2021-02", ISNA(MATCH(B3506, _xlfn._xlws.FILTER(B:B, A:A="2021-03"), 0))), "Left", "Ativo")</f>
        <v>Ativo</v>
      </c>
      <c r="F3506" s="12" t="str" cm="1">
        <f t="array" ref="F3506">IF(AND(A3506="2021-03", ISNA(MATCH(B3506, _xlfn._xlws.FILTER(B:B, A:A="2021-04"), 0))), "Left", "Ativo")</f>
        <v>Left</v>
      </c>
    </row>
    <row r="3507" spans="1:6" x14ac:dyDescent="0.25">
      <c r="A3507" t="s">
        <v>1531</v>
      </c>
      <c r="B3507" t="s">
        <v>1129</v>
      </c>
      <c r="C3507" s="10" t="str" cm="1">
        <f t="array" ref="C3507">IF(AND(A3507="2020-12", ISNA(MATCH(B3507, _xlfn._xlws.FILTER(B:B, A:A="2021-01"), 0))), "Left", "Ativo")</f>
        <v>Ativo</v>
      </c>
      <c r="D3507" s="10" t="str" cm="1">
        <f t="array" ref="D3507">IF(AND(A3507="2021-01", ISNA(MATCH(B3507, _xlfn._xlws.FILTER(B:B, A:A="2021-02"), 0))), "Left", "Ativo")</f>
        <v>Ativo</v>
      </c>
      <c r="E3507" s="10" t="str" cm="1">
        <f t="array" ref="E3507">IF(AND(A3507="2021-02", ISNA(MATCH(B3507, _xlfn._xlws.FILTER(B:B, A:A="2021-03"), 0))), "Left", "Ativo")</f>
        <v>Ativo</v>
      </c>
      <c r="F3507" s="12" t="str" cm="1">
        <f t="array" ref="F3507">IF(AND(A3507="2021-03", ISNA(MATCH(B3507, _xlfn._xlws.FILTER(B:B, A:A="2021-04"), 0))), "Left", "Ativo")</f>
        <v>Left</v>
      </c>
    </row>
    <row r="3508" spans="1:6" x14ac:dyDescent="0.25">
      <c r="A3508" t="s">
        <v>1531</v>
      </c>
      <c r="B3508" t="s">
        <v>1130</v>
      </c>
      <c r="C3508" s="10" t="str" cm="1">
        <f t="array" ref="C3508">IF(AND(A3508="2020-12", ISNA(MATCH(B3508, _xlfn._xlws.FILTER(B:B, A:A="2021-01"), 0))), "Left", "Ativo")</f>
        <v>Ativo</v>
      </c>
      <c r="D3508" s="10" t="str" cm="1">
        <f t="array" ref="D3508">IF(AND(A3508="2021-01", ISNA(MATCH(B3508, _xlfn._xlws.FILTER(B:B, A:A="2021-02"), 0))), "Left", "Ativo")</f>
        <v>Ativo</v>
      </c>
      <c r="E3508" s="10" t="str" cm="1">
        <f t="array" ref="E3508">IF(AND(A3508="2021-02", ISNA(MATCH(B3508, _xlfn._xlws.FILTER(B:B, A:A="2021-03"), 0))), "Left", "Ativo")</f>
        <v>Ativo</v>
      </c>
      <c r="F3508" s="12" t="str" cm="1">
        <f t="array" ref="F3508">IF(AND(A3508="2021-03", ISNA(MATCH(B3508, _xlfn._xlws.FILTER(B:B, A:A="2021-04"), 0))), "Left", "Ativo")</f>
        <v>Ativo</v>
      </c>
    </row>
    <row r="3509" spans="1:6" x14ac:dyDescent="0.25">
      <c r="A3509" t="s">
        <v>1531</v>
      </c>
      <c r="B3509" t="s">
        <v>1131</v>
      </c>
      <c r="C3509" s="10" t="str" cm="1">
        <f t="array" ref="C3509">IF(AND(A3509="2020-12", ISNA(MATCH(B3509, _xlfn._xlws.FILTER(B:B, A:A="2021-01"), 0))), "Left", "Ativo")</f>
        <v>Ativo</v>
      </c>
      <c r="D3509" s="10" t="str" cm="1">
        <f t="array" ref="D3509">IF(AND(A3509="2021-01", ISNA(MATCH(B3509, _xlfn._xlws.FILTER(B:B, A:A="2021-02"), 0))), "Left", "Ativo")</f>
        <v>Ativo</v>
      </c>
      <c r="E3509" s="10" t="str" cm="1">
        <f t="array" ref="E3509">IF(AND(A3509="2021-02", ISNA(MATCH(B3509, _xlfn._xlws.FILTER(B:B, A:A="2021-03"), 0))), "Left", "Ativo")</f>
        <v>Ativo</v>
      </c>
      <c r="F3509" s="12" t="str" cm="1">
        <f t="array" ref="F3509">IF(AND(A3509="2021-03", ISNA(MATCH(B3509, _xlfn._xlws.FILTER(B:B, A:A="2021-04"), 0))), "Left", "Ativo")</f>
        <v>Ativo</v>
      </c>
    </row>
    <row r="3510" spans="1:6" x14ac:dyDescent="0.25">
      <c r="A3510" t="s">
        <v>1531</v>
      </c>
      <c r="B3510" t="s">
        <v>1132</v>
      </c>
      <c r="C3510" s="10" t="str" cm="1">
        <f t="array" ref="C3510">IF(AND(A3510="2020-12", ISNA(MATCH(B3510, _xlfn._xlws.FILTER(B:B, A:A="2021-01"), 0))), "Left", "Ativo")</f>
        <v>Ativo</v>
      </c>
      <c r="D3510" s="10" t="str" cm="1">
        <f t="array" ref="D3510">IF(AND(A3510="2021-01", ISNA(MATCH(B3510, _xlfn._xlws.FILTER(B:B, A:A="2021-02"), 0))), "Left", "Ativo")</f>
        <v>Ativo</v>
      </c>
      <c r="E3510" s="10" t="str" cm="1">
        <f t="array" ref="E3510">IF(AND(A3510="2021-02", ISNA(MATCH(B3510, _xlfn._xlws.FILTER(B:B, A:A="2021-03"), 0))), "Left", "Ativo")</f>
        <v>Ativo</v>
      </c>
      <c r="F3510" s="12" t="str" cm="1">
        <f t="array" ref="F3510">IF(AND(A3510="2021-03", ISNA(MATCH(B3510, _xlfn._xlws.FILTER(B:B, A:A="2021-04"), 0))), "Left", "Ativo")</f>
        <v>Ativo</v>
      </c>
    </row>
    <row r="3511" spans="1:6" x14ac:dyDescent="0.25">
      <c r="A3511" t="s">
        <v>1531</v>
      </c>
      <c r="B3511" t="s">
        <v>575</v>
      </c>
      <c r="C3511" s="10" t="str" cm="1">
        <f t="array" ref="C3511">IF(AND(A3511="2020-12", ISNA(MATCH(B3511, _xlfn._xlws.FILTER(B:B, A:A="2021-01"), 0))), "Left", "Ativo")</f>
        <v>Ativo</v>
      </c>
      <c r="D3511" s="10" t="str" cm="1">
        <f t="array" ref="D3511">IF(AND(A3511="2021-01", ISNA(MATCH(B3511, _xlfn._xlws.FILTER(B:B, A:A="2021-02"), 0))), "Left", "Ativo")</f>
        <v>Ativo</v>
      </c>
      <c r="E3511" s="10" t="str" cm="1">
        <f t="array" ref="E3511">IF(AND(A3511="2021-02", ISNA(MATCH(B3511, _xlfn._xlws.FILTER(B:B, A:A="2021-03"), 0))), "Left", "Ativo")</f>
        <v>Ativo</v>
      </c>
      <c r="F3511" s="12" t="str" cm="1">
        <f t="array" ref="F3511">IF(AND(A3511="2021-03", ISNA(MATCH(B3511, _xlfn._xlws.FILTER(B:B, A:A="2021-04"), 0))), "Left", "Ativo")</f>
        <v>Ativo</v>
      </c>
    </row>
    <row r="3512" spans="1:6" x14ac:dyDescent="0.25">
      <c r="A3512" t="s">
        <v>1531</v>
      </c>
      <c r="B3512" t="s">
        <v>576</v>
      </c>
      <c r="C3512" s="10" t="str" cm="1">
        <f t="array" ref="C3512">IF(AND(A3512="2020-12", ISNA(MATCH(B3512, _xlfn._xlws.FILTER(B:B, A:A="2021-01"), 0))), "Left", "Ativo")</f>
        <v>Ativo</v>
      </c>
      <c r="D3512" s="10" t="str" cm="1">
        <f t="array" ref="D3512">IF(AND(A3512="2021-01", ISNA(MATCH(B3512, _xlfn._xlws.FILTER(B:B, A:A="2021-02"), 0))), "Left", "Ativo")</f>
        <v>Ativo</v>
      </c>
      <c r="E3512" s="10" t="str" cm="1">
        <f t="array" ref="E3512">IF(AND(A3512="2021-02", ISNA(MATCH(B3512, _xlfn._xlws.FILTER(B:B, A:A="2021-03"), 0))), "Left", "Ativo")</f>
        <v>Ativo</v>
      </c>
      <c r="F3512" s="12" t="str" cm="1">
        <f t="array" ref="F3512">IF(AND(A3512="2021-03", ISNA(MATCH(B3512, _xlfn._xlws.FILTER(B:B, A:A="2021-04"), 0))), "Left", "Ativo")</f>
        <v>Ativo</v>
      </c>
    </row>
    <row r="3513" spans="1:6" x14ac:dyDescent="0.25">
      <c r="A3513" t="s">
        <v>1531</v>
      </c>
      <c r="B3513" t="s">
        <v>577</v>
      </c>
      <c r="C3513" s="10" t="str" cm="1">
        <f t="array" ref="C3513">IF(AND(A3513="2020-12", ISNA(MATCH(B3513, _xlfn._xlws.FILTER(B:B, A:A="2021-01"), 0))), "Left", "Ativo")</f>
        <v>Ativo</v>
      </c>
      <c r="D3513" s="10" t="str" cm="1">
        <f t="array" ref="D3513">IF(AND(A3513="2021-01", ISNA(MATCH(B3513, _xlfn._xlws.FILTER(B:B, A:A="2021-02"), 0))), "Left", "Ativo")</f>
        <v>Ativo</v>
      </c>
      <c r="E3513" s="10" t="str" cm="1">
        <f t="array" ref="E3513">IF(AND(A3513="2021-02", ISNA(MATCH(B3513, _xlfn._xlws.FILTER(B:B, A:A="2021-03"), 0))), "Left", "Ativo")</f>
        <v>Ativo</v>
      </c>
      <c r="F3513" s="12" t="str" cm="1">
        <f t="array" ref="F3513">IF(AND(A3513="2021-03", ISNA(MATCH(B3513, _xlfn._xlws.FILTER(B:B, A:A="2021-04"), 0))), "Left", "Ativo")</f>
        <v>Ativo</v>
      </c>
    </row>
    <row r="3514" spans="1:6" x14ac:dyDescent="0.25">
      <c r="A3514" t="s">
        <v>1531</v>
      </c>
      <c r="B3514" t="s">
        <v>582</v>
      </c>
      <c r="C3514" s="10" t="str" cm="1">
        <f t="array" ref="C3514">IF(AND(A3514="2020-12", ISNA(MATCH(B3514, _xlfn._xlws.FILTER(B:B, A:A="2021-01"), 0))), "Left", "Ativo")</f>
        <v>Ativo</v>
      </c>
      <c r="D3514" s="10" t="str" cm="1">
        <f t="array" ref="D3514">IF(AND(A3514="2021-01", ISNA(MATCH(B3514, _xlfn._xlws.FILTER(B:B, A:A="2021-02"), 0))), "Left", "Ativo")</f>
        <v>Ativo</v>
      </c>
      <c r="E3514" s="10" t="str" cm="1">
        <f t="array" ref="E3514">IF(AND(A3514="2021-02", ISNA(MATCH(B3514, _xlfn._xlws.FILTER(B:B, A:A="2021-03"), 0))), "Left", "Ativo")</f>
        <v>Ativo</v>
      </c>
      <c r="F3514" s="12" t="str" cm="1">
        <f t="array" ref="F3514">IF(AND(A3514="2021-03", ISNA(MATCH(B3514, _xlfn._xlws.FILTER(B:B, A:A="2021-04"), 0))), "Left", "Ativo")</f>
        <v>Ativo</v>
      </c>
    </row>
    <row r="3515" spans="1:6" x14ac:dyDescent="0.25">
      <c r="A3515" t="s">
        <v>1531</v>
      </c>
      <c r="B3515" t="s">
        <v>583</v>
      </c>
      <c r="C3515" s="10" t="str" cm="1">
        <f t="array" ref="C3515">IF(AND(A3515="2020-12", ISNA(MATCH(B3515, _xlfn._xlws.FILTER(B:B, A:A="2021-01"), 0))), "Left", "Ativo")</f>
        <v>Ativo</v>
      </c>
      <c r="D3515" s="10" t="str" cm="1">
        <f t="array" ref="D3515">IF(AND(A3515="2021-01", ISNA(MATCH(B3515, _xlfn._xlws.FILTER(B:B, A:A="2021-02"), 0))), "Left", "Ativo")</f>
        <v>Ativo</v>
      </c>
      <c r="E3515" s="10" t="str" cm="1">
        <f t="array" ref="E3515">IF(AND(A3515="2021-02", ISNA(MATCH(B3515, _xlfn._xlws.FILTER(B:B, A:A="2021-03"), 0))), "Left", "Ativo")</f>
        <v>Ativo</v>
      </c>
      <c r="F3515" s="12" t="str" cm="1">
        <f t="array" ref="F3515">IF(AND(A3515="2021-03", ISNA(MATCH(B3515, _xlfn._xlws.FILTER(B:B, A:A="2021-04"), 0))), "Left", "Ativo")</f>
        <v>Ativo</v>
      </c>
    </row>
    <row r="3516" spans="1:6" x14ac:dyDescent="0.25">
      <c r="A3516" t="s">
        <v>1531</v>
      </c>
      <c r="B3516" t="s">
        <v>584</v>
      </c>
      <c r="C3516" s="10" t="str" cm="1">
        <f t="array" ref="C3516">IF(AND(A3516="2020-12", ISNA(MATCH(B3516, _xlfn._xlws.FILTER(B:B, A:A="2021-01"), 0))), "Left", "Ativo")</f>
        <v>Ativo</v>
      </c>
      <c r="D3516" s="10" t="str" cm="1">
        <f t="array" ref="D3516">IF(AND(A3516="2021-01", ISNA(MATCH(B3516, _xlfn._xlws.FILTER(B:B, A:A="2021-02"), 0))), "Left", "Ativo")</f>
        <v>Ativo</v>
      </c>
      <c r="E3516" s="10" t="str" cm="1">
        <f t="array" ref="E3516">IF(AND(A3516="2021-02", ISNA(MATCH(B3516, _xlfn._xlws.FILTER(B:B, A:A="2021-03"), 0))), "Left", "Ativo")</f>
        <v>Ativo</v>
      </c>
      <c r="F3516" s="12" t="str" cm="1">
        <f t="array" ref="F3516">IF(AND(A3516="2021-03", ISNA(MATCH(B3516, _xlfn._xlws.FILTER(B:B, A:A="2021-04"), 0))), "Left", "Ativo")</f>
        <v>Ativo</v>
      </c>
    </row>
    <row r="3517" spans="1:6" x14ac:dyDescent="0.25">
      <c r="A3517" t="s">
        <v>1531</v>
      </c>
      <c r="B3517" t="s">
        <v>585</v>
      </c>
      <c r="C3517" s="10" t="str" cm="1">
        <f t="array" ref="C3517">IF(AND(A3517="2020-12", ISNA(MATCH(B3517, _xlfn._xlws.FILTER(B:B, A:A="2021-01"), 0))), "Left", "Ativo")</f>
        <v>Ativo</v>
      </c>
      <c r="D3517" s="10" t="str" cm="1">
        <f t="array" ref="D3517">IF(AND(A3517="2021-01", ISNA(MATCH(B3517, _xlfn._xlws.FILTER(B:B, A:A="2021-02"), 0))), "Left", "Ativo")</f>
        <v>Ativo</v>
      </c>
      <c r="E3517" s="10" t="str" cm="1">
        <f t="array" ref="E3517">IF(AND(A3517="2021-02", ISNA(MATCH(B3517, _xlfn._xlws.FILTER(B:B, A:A="2021-03"), 0))), "Left", "Ativo")</f>
        <v>Ativo</v>
      </c>
      <c r="F3517" s="12" t="str" cm="1">
        <f t="array" ref="F3517">IF(AND(A3517="2021-03", ISNA(MATCH(B3517, _xlfn._xlws.FILTER(B:B, A:A="2021-04"), 0))), "Left", "Ativo")</f>
        <v>Ativo</v>
      </c>
    </row>
    <row r="3518" spans="1:6" x14ac:dyDescent="0.25">
      <c r="A3518" t="s">
        <v>1531</v>
      </c>
      <c r="B3518" t="s">
        <v>586</v>
      </c>
      <c r="C3518" s="10" t="str" cm="1">
        <f t="array" ref="C3518">IF(AND(A3518="2020-12", ISNA(MATCH(B3518, _xlfn._xlws.FILTER(B:B, A:A="2021-01"), 0))), "Left", "Ativo")</f>
        <v>Ativo</v>
      </c>
      <c r="D3518" s="10" t="str" cm="1">
        <f t="array" ref="D3518">IF(AND(A3518="2021-01", ISNA(MATCH(B3518, _xlfn._xlws.FILTER(B:B, A:A="2021-02"), 0))), "Left", "Ativo")</f>
        <v>Ativo</v>
      </c>
      <c r="E3518" s="10" t="str" cm="1">
        <f t="array" ref="E3518">IF(AND(A3518="2021-02", ISNA(MATCH(B3518, _xlfn._xlws.FILTER(B:B, A:A="2021-03"), 0))), "Left", "Ativo")</f>
        <v>Ativo</v>
      </c>
      <c r="F3518" s="12" t="str" cm="1">
        <f t="array" ref="F3518">IF(AND(A3518="2021-03", ISNA(MATCH(B3518, _xlfn._xlws.FILTER(B:B, A:A="2021-04"), 0))), "Left", "Ativo")</f>
        <v>Ativo</v>
      </c>
    </row>
    <row r="3519" spans="1:6" x14ac:dyDescent="0.25">
      <c r="A3519" t="s">
        <v>1531</v>
      </c>
      <c r="B3519" t="s">
        <v>587</v>
      </c>
      <c r="C3519" s="10" t="str" cm="1">
        <f t="array" ref="C3519">IF(AND(A3519="2020-12", ISNA(MATCH(B3519, _xlfn._xlws.FILTER(B:B, A:A="2021-01"), 0))), "Left", "Ativo")</f>
        <v>Ativo</v>
      </c>
      <c r="D3519" s="10" t="str" cm="1">
        <f t="array" ref="D3519">IF(AND(A3519="2021-01", ISNA(MATCH(B3519, _xlfn._xlws.FILTER(B:B, A:A="2021-02"), 0))), "Left", "Ativo")</f>
        <v>Ativo</v>
      </c>
      <c r="E3519" s="10" t="str" cm="1">
        <f t="array" ref="E3519">IF(AND(A3519="2021-02", ISNA(MATCH(B3519, _xlfn._xlws.FILTER(B:B, A:A="2021-03"), 0))), "Left", "Ativo")</f>
        <v>Ativo</v>
      </c>
      <c r="F3519" s="12" t="str" cm="1">
        <f t="array" ref="F3519">IF(AND(A3519="2021-03", ISNA(MATCH(B3519, _xlfn._xlws.FILTER(B:B, A:A="2021-04"), 0))), "Left", "Ativo")</f>
        <v>Ativo</v>
      </c>
    </row>
    <row r="3520" spans="1:6" x14ac:dyDescent="0.25">
      <c r="A3520" t="s">
        <v>1531</v>
      </c>
      <c r="B3520" t="s">
        <v>588</v>
      </c>
      <c r="C3520" s="10" t="str" cm="1">
        <f t="array" ref="C3520">IF(AND(A3520="2020-12", ISNA(MATCH(B3520, _xlfn._xlws.FILTER(B:B, A:A="2021-01"), 0))), "Left", "Ativo")</f>
        <v>Ativo</v>
      </c>
      <c r="D3520" s="10" t="str" cm="1">
        <f t="array" ref="D3520">IF(AND(A3520="2021-01", ISNA(MATCH(B3520, _xlfn._xlws.FILTER(B:B, A:A="2021-02"), 0))), "Left", "Ativo")</f>
        <v>Ativo</v>
      </c>
      <c r="E3520" s="10" t="str" cm="1">
        <f t="array" ref="E3520">IF(AND(A3520="2021-02", ISNA(MATCH(B3520, _xlfn._xlws.FILTER(B:B, A:A="2021-03"), 0))), "Left", "Ativo")</f>
        <v>Ativo</v>
      </c>
      <c r="F3520" s="12" t="str" cm="1">
        <f t="array" ref="F3520">IF(AND(A3520="2021-03", ISNA(MATCH(B3520, _xlfn._xlws.FILTER(B:B, A:A="2021-04"), 0))), "Left", "Ativo")</f>
        <v>Ativo</v>
      </c>
    </row>
    <row r="3521" spans="1:6" x14ac:dyDescent="0.25">
      <c r="A3521" t="s">
        <v>1531</v>
      </c>
      <c r="B3521" t="s">
        <v>589</v>
      </c>
      <c r="C3521" s="10" t="str" cm="1">
        <f t="array" ref="C3521">IF(AND(A3521="2020-12", ISNA(MATCH(B3521, _xlfn._xlws.FILTER(B:B, A:A="2021-01"), 0))), "Left", "Ativo")</f>
        <v>Ativo</v>
      </c>
      <c r="D3521" s="10" t="str" cm="1">
        <f t="array" ref="D3521">IF(AND(A3521="2021-01", ISNA(MATCH(B3521, _xlfn._xlws.FILTER(B:B, A:A="2021-02"), 0))), "Left", "Ativo")</f>
        <v>Ativo</v>
      </c>
      <c r="E3521" s="10" t="str" cm="1">
        <f t="array" ref="E3521">IF(AND(A3521="2021-02", ISNA(MATCH(B3521, _xlfn._xlws.FILTER(B:B, A:A="2021-03"), 0))), "Left", "Ativo")</f>
        <v>Ativo</v>
      </c>
      <c r="F3521" s="12" t="str" cm="1">
        <f t="array" ref="F3521">IF(AND(A3521="2021-03", ISNA(MATCH(B3521, _xlfn._xlws.FILTER(B:B, A:A="2021-04"), 0))), "Left", "Ativo")</f>
        <v>Ativo</v>
      </c>
    </row>
    <row r="3522" spans="1:6" x14ac:dyDescent="0.25">
      <c r="A3522" t="s">
        <v>1531</v>
      </c>
      <c r="B3522" t="s">
        <v>590</v>
      </c>
      <c r="C3522" s="10" t="str" cm="1">
        <f t="array" ref="C3522">IF(AND(A3522="2020-12", ISNA(MATCH(B3522, _xlfn._xlws.FILTER(B:B, A:A="2021-01"), 0))), "Left", "Ativo")</f>
        <v>Ativo</v>
      </c>
      <c r="D3522" s="10" t="str" cm="1">
        <f t="array" ref="D3522">IF(AND(A3522="2021-01", ISNA(MATCH(B3522, _xlfn._xlws.FILTER(B:B, A:A="2021-02"), 0))), "Left", "Ativo")</f>
        <v>Ativo</v>
      </c>
      <c r="E3522" s="10" t="str" cm="1">
        <f t="array" ref="E3522">IF(AND(A3522="2021-02", ISNA(MATCH(B3522, _xlfn._xlws.FILTER(B:B, A:A="2021-03"), 0))), "Left", "Ativo")</f>
        <v>Ativo</v>
      </c>
      <c r="F3522" s="12" t="str" cm="1">
        <f t="array" ref="F3522">IF(AND(A3522="2021-03", ISNA(MATCH(B3522, _xlfn._xlws.FILTER(B:B, A:A="2021-04"), 0))), "Left", "Ativo")</f>
        <v>Ativo</v>
      </c>
    </row>
    <row r="3523" spans="1:6" x14ac:dyDescent="0.25">
      <c r="A3523" t="s">
        <v>1531</v>
      </c>
      <c r="B3523" t="s">
        <v>591</v>
      </c>
      <c r="C3523" s="10" t="str" cm="1">
        <f t="array" ref="C3523">IF(AND(A3523="2020-12", ISNA(MATCH(B3523, _xlfn._xlws.FILTER(B:B, A:A="2021-01"), 0))), "Left", "Ativo")</f>
        <v>Ativo</v>
      </c>
      <c r="D3523" s="10" t="str" cm="1">
        <f t="array" ref="D3523">IF(AND(A3523="2021-01", ISNA(MATCH(B3523, _xlfn._xlws.FILTER(B:B, A:A="2021-02"), 0))), "Left", "Ativo")</f>
        <v>Ativo</v>
      </c>
      <c r="E3523" s="10" t="str" cm="1">
        <f t="array" ref="E3523">IF(AND(A3523="2021-02", ISNA(MATCH(B3523, _xlfn._xlws.FILTER(B:B, A:A="2021-03"), 0))), "Left", "Ativo")</f>
        <v>Ativo</v>
      </c>
      <c r="F3523" s="12" t="str" cm="1">
        <f t="array" ref="F3523">IF(AND(A3523="2021-03", ISNA(MATCH(B3523, _xlfn._xlws.FILTER(B:B, A:A="2021-04"), 0))), "Left", "Ativo")</f>
        <v>Ativo</v>
      </c>
    </row>
    <row r="3524" spans="1:6" x14ac:dyDescent="0.25">
      <c r="A3524" t="s">
        <v>1531</v>
      </c>
      <c r="B3524" t="s">
        <v>592</v>
      </c>
      <c r="C3524" s="10" t="str" cm="1">
        <f t="array" ref="C3524">IF(AND(A3524="2020-12", ISNA(MATCH(B3524, _xlfn._xlws.FILTER(B:B, A:A="2021-01"), 0))), "Left", "Ativo")</f>
        <v>Ativo</v>
      </c>
      <c r="D3524" s="10" t="str" cm="1">
        <f t="array" ref="D3524">IF(AND(A3524="2021-01", ISNA(MATCH(B3524, _xlfn._xlws.FILTER(B:B, A:A="2021-02"), 0))), "Left", "Ativo")</f>
        <v>Ativo</v>
      </c>
      <c r="E3524" s="10" t="str" cm="1">
        <f t="array" ref="E3524">IF(AND(A3524="2021-02", ISNA(MATCH(B3524, _xlfn._xlws.FILTER(B:B, A:A="2021-03"), 0))), "Left", "Ativo")</f>
        <v>Ativo</v>
      </c>
      <c r="F3524" s="12" t="str" cm="1">
        <f t="array" ref="F3524">IF(AND(A3524="2021-03", ISNA(MATCH(B3524, _xlfn._xlws.FILTER(B:B, A:A="2021-04"), 0))), "Left", "Ativo")</f>
        <v>Ativo</v>
      </c>
    </row>
    <row r="3525" spans="1:6" x14ac:dyDescent="0.25">
      <c r="A3525" t="s">
        <v>1531</v>
      </c>
      <c r="B3525" t="s">
        <v>593</v>
      </c>
      <c r="C3525" s="10" t="str" cm="1">
        <f t="array" ref="C3525">IF(AND(A3525="2020-12", ISNA(MATCH(B3525, _xlfn._xlws.FILTER(B:B, A:A="2021-01"), 0))), "Left", "Ativo")</f>
        <v>Ativo</v>
      </c>
      <c r="D3525" s="10" t="str" cm="1">
        <f t="array" ref="D3525">IF(AND(A3525="2021-01", ISNA(MATCH(B3525, _xlfn._xlws.FILTER(B:B, A:A="2021-02"), 0))), "Left", "Ativo")</f>
        <v>Ativo</v>
      </c>
      <c r="E3525" s="10" t="str" cm="1">
        <f t="array" ref="E3525">IF(AND(A3525="2021-02", ISNA(MATCH(B3525, _xlfn._xlws.FILTER(B:B, A:A="2021-03"), 0))), "Left", "Ativo")</f>
        <v>Ativo</v>
      </c>
      <c r="F3525" s="12" t="str" cm="1">
        <f t="array" ref="F3525">IF(AND(A3525="2021-03", ISNA(MATCH(B3525, _xlfn._xlws.FILTER(B:B, A:A="2021-04"), 0))), "Left", "Ativo")</f>
        <v>Ativo</v>
      </c>
    </row>
    <row r="3526" spans="1:6" x14ac:dyDescent="0.25">
      <c r="A3526" t="s">
        <v>1531</v>
      </c>
      <c r="B3526" t="s">
        <v>594</v>
      </c>
      <c r="C3526" s="10" t="str" cm="1">
        <f t="array" ref="C3526">IF(AND(A3526="2020-12", ISNA(MATCH(B3526, _xlfn._xlws.FILTER(B:B, A:A="2021-01"), 0))), "Left", "Ativo")</f>
        <v>Ativo</v>
      </c>
      <c r="D3526" s="10" t="str" cm="1">
        <f t="array" ref="D3526">IF(AND(A3526="2021-01", ISNA(MATCH(B3526, _xlfn._xlws.FILTER(B:B, A:A="2021-02"), 0))), "Left", "Ativo")</f>
        <v>Ativo</v>
      </c>
      <c r="E3526" s="10" t="str" cm="1">
        <f t="array" ref="E3526">IF(AND(A3526="2021-02", ISNA(MATCH(B3526, _xlfn._xlws.FILTER(B:B, A:A="2021-03"), 0))), "Left", "Ativo")</f>
        <v>Ativo</v>
      </c>
      <c r="F3526" s="12" t="str" cm="1">
        <f t="array" ref="F3526">IF(AND(A3526="2021-03", ISNA(MATCH(B3526, _xlfn._xlws.FILTER(B:B, A:A="2021-04"), 0))), "Left", "Ativo")</f>
        <v>Ativo</v>
      </c>
    </row>
    <row r="3527" spans="1:6" x14ac:dyDescent="0.25">
      <c r="A3527" t="s">
        <v>1531</v>
      </c>
      <c r="B3527" t="s">
        <v>595</v>
      </c>
      <c r="C3527" s="10" t="str" cm="1">
        <f t="array" ref="C3527">IF(AND(A3527="2020-12", ISNA(MATCH(B3527, _xlfn._xlws.FILTER(B:B, A:A="2021-01"), 0))), "Left", "Ativo")</f>
        <v>Ativo</v>
      </c>
      <c r="D3527" s="10" t="str" cm="1">
        <f t="array" ref="D3527">IF(AND(A3527="2021-01", ISNA(MATCH(B3527, _xlfn._xlws.FILTER(B:B, A:A="2021-02"), 0))), "Left", "Ativo")</f>
        <v>Ativo</v>
      </c>
      <c r="E3527" s="10" t="str" cm="1">
        <f t="array" ref="E3527">IF(AND(A3527="2021-02", ISNA(MATCH(B3527, _xlfn._xlws.FILTER(B:B, A:A="2021-03"), 0))), "Left", "Ativo")</f>
        <v>Ativo</v>
      </c>
      <c r="F3527" s="12" t="str" cm="1">
        <f t="array" ref="F3527">IF(AND(A3527="2021-03", ISNA(MATCH(B3527, _xlfn._xlws.FILTER(B:B, A:A="2021-04"), 0))), "Left", "Ativo")</f>
        <v>Ativo</v>
      </c>
    </row>
    <row r="3528" spans="1:6" x14ac:dyDescent="0.25">
      <c r="A3528" t="s">
        <v>1531</v>
      </c>
      <c r="B3528" t="s">
        <v>596</v>
      </c>
      <c r="C3528" s="10" t="str" cm="1">
        <f t="array" ref="C3528">IF(AND(A3528="2020-12", ISNA(MATCH(B3528, _xlfn._xlws.FILTER(B:B, A:A="2021-01"), 0))), "Left", "Ativo")</f>
        <v>Ativo</v>
      </c>
      <c r="D3528" s="10" t="str" cm="1">
        <f t="array" ref="D3528">IF(AND(A3528="2021-01", ISNA(MATCH(B3528, _xlfn._xlws.FILTER(B:B, A:A="2021-02"), 0))), "Left", "Ativo")</f>
        <v>Ativo</v>
      </c>
      <c r="E3528" s="10" t="str" cm="1">
        <f t="array" ref="E3528">IF(AND(A3528="2021-02", ISNA(MATCH(B3528, _xlfn._xlws.FILTER(B:B, A:A="2021-03"), 0))), "Left", "Ativo")</f>
        <v>Ativo</v>
      </c>
      <c r="F3528" s="12" t="str" cm="1">
        <f t="array" ref="F3528">IF(AND(A3528="2021-03", ISNA(MATCH(B3528, _xlfn._xlws.FILTER(B:B, A:A="2021-04"), 0))), "Left", "Ativo")</f>
        <v>Ativo</v>
      </c>
    </row>
    <row r="3529" spans="1:6" x14ac:dyDescent="0.25">
      <c r="A3529" t="s">
        <v>1531</v>
      </c>
      <c r="B3529" t="s">
        <v>597</v>
      </c>
      <c r="C3529" s="10" t="str" cm="1">
        <f t="array" ref="C3529">IF(AND(A3529="2020-12", ISNA(MATCH(B3529, _xlfn._xlws.FILTER(B:B, A:A="2021-01"), 0))), "Left", "Ativo")</f>
        <v>Ativo</v>
      </c>
      <c r="D3529" s="10" t="str" cm="1">
        <f t="array" ref="D3529">IF(AND(A3529="2021-01", ISNA(MATCH(B3529, _xlfn._xlws.FILTER(B:B, A:A="2021-02"), 0))), "Left", "Ativo")</f>
        <v>Ativo</v>
      </c>
      <c r="E3529" s="10" t="str" cm="1">
        <f t="array" ref="E3529">IF(AND(A3529="2021-02", ISNA(MATCH(B3529, _xlfn._xlws.FILTER(B:B, A:A="2021-03"), 0))), "Left", "Ativo")</f>
        <v>Ativo</v>
      </c>
      <c r="F3529" s="12" t="str" cm="1">
        <f t="array" ref="F3529">IF(AND(A3529="2021-03", ISNA(MATCH(B3529, _xlfn._xlws.FILTER(B:B, A:A="2021-04"), 0))), "Left", "Ativo")</f>
        <v>Ativo</v>
      </c>
    </row>
    <row r="3530" spans="1:6" x14ac:dyDescent="0.25">
      <c r="A3530" t="s">
        <v>1531</v>
      </c>
      <c r="B3530" t="s">
        <v>598</v>
      </c>
      <c r="C3530" s="10" t="str" cm="1">
        <f t="array" ref="C3530">IF(AND(A3530="2020-12", ISNA(MATCH(B3530, _xlfn._xlws.FILTER(B:B, A:A="2021-01"), 0))), "Left", "Ativo")</f>
        <v>Ativo</v>
      </c>
      <c r="D3530" s="10" t="str" cm="1">
        <f t="array" ref="D3530">IF(AND(A3530="2021-01", ISNA(MATCH(B3530, _xlfn._xlws.FILTER(B:B, A:A="2021-02"), 0))), "Left", "Ativo")</f>
        <v>Ativo</v>
      </c>
      <c r="E3530" s="10" t="str" cm="1">
        <f t="array" ref="E3530">IF(AND(A3530="2021-02", ISNA(MATCH(B3530, _xlfn._xlws.FILTER(B:B, A:A="2021-03"), 0))), "Left", "Ativo")</f>
        <v>Ativo</v>
      </c>
      <c r="F3530" s="12" t="str" cm="1">
        <f t="array" ref="F3530">IF(AND(A3530="2021-03", ISNA(MATCH(B3530, _xlfn._xlws.FILTER(B:B, A:A="2021-04"), 0))), "Left", "Ativo")</f>
        <v>Ativo</v>
      </c>
    </row>
    <row r="3531" spans="1:6" x14ac:dyDescent="0.25">
      <c r="A3531" t="s">
        <v>1531</v>
      </c>
      <c r="B3531" t="s">
        <v>599</v>
      </c>
      <c r="C3531" s="10" t="str" cm="1">
        <f t="array" ref="C3531">IF(AND(A3531="2020-12", ISNA(MATCH(B3531, _xlfn._xlws.FILTER(B:B, A:A="2021-01"), 0))), "Left", "Ativo")</f>
        <v>Ativo</v>
      </c>
      <c r="D3531" s="10" t="str" cm="1">
        <f t="array" ref="D3531">IF(AND(A3531="2021-01", ISNA(MATCH(B3531, _xlfn._xlws.FILTER(B:B, A:A="2021-02"), 0))), "Left", "Ativo")</f>
        <v>Ativo</v>
      </c>
      <c r="E3531" s="10" t="str" cm="1">
        <f t="array" ref="E3531">IF(AND(A3531="2021-02", ISNA(MATCH(B3531, _xlfn._xlws.FILTER(B:B, A:A="2021-03"), 0))), "Left", "Ativo")</f>
        <v>Ativo</v>
      </c>
      <c r="F3531" s="12" t="str" cm="1">
        <f t="array" ref="F3531">IF(AND(A3531="2021-03", ISNA(MATCH(B3531, _xlfn._xlws.FILTER(B:B, A:A="2021-04"), 0))), "Left", "Ativo")</f>
        <v>Ativo</v>
      </c>
    </row>
    <row r="3532" spans="1:6" x14ac:dyDescent="0.25">
      <c r="A3532" t="s">
        <v>1531</v>
      </c>
      <c r="B3532" t="s">
        <v>600</v>
      </c>
      <c r="C3532" s="10" t="str" cm="1">
        <f t="array" ref="C3532">IF(AND(A3532="2020-12", ISNA(MATCH(B3532, _xlfn._xlws.FILTER(B:B, A:A="2021-01"), 0))), "Left", "Ativo")</f>
        <v>Ativo</v>
      </c>
      <c r="D3532" s="10" t="str" cm="1">
        <f t="array" ref="D3532">IF(AND(A3532="2021-01", ISNA(MATCH(B3532, _xlfn._xlws.FILTER(B:B, A:A="2021-02"), 0))), "Left", "Ativo")</f>
        <v>Ativo</v>
      </c>
      <c r="E3532" s="10" t="str" cm="1">
        <f t="array" ref="E3532">IF(AND(A3532="2021-02", ISNA(MATCH(B3532, _xlfn._xlws.FILTER(B:B, A:A="2021-03"), 0))), "Left", "Ativo")</f>
        <v>Ativo</v>
      </c>
      <c r="F3532" s="12" t="str" cm="1">
        <f t="array" ref="F3532">IF(AND(A3532="2021-03", ISNA(MATCH(B3532, _xlfn._xlws.FILTER(B:B, A:A="2021-04"), 0))), "Left", "Ativo")</f>
        <v>Ativo</v>
      </c>
    </row>
    <row r="3533" spans="1:6" x14ac:dyDescent="0.25">
      <c r="A3533" t="s">
        <v>1531</v>
      </c>
      <c r="B3533" t="s">
        <v>601</v>
      </c>
      <c r="C3533" s="10" t="str" cm="1">
        <f t="array" ref="C3533">IF(AND(A3533="2020-12", ISNA(MATCH(B3533, _xlfn._xlws.FILTER(B:B, A:A="2021-01"), 0))), "Left", "Ativo")</f>
        <v>Ativo</v>
      </c>
      <c r="D3533" s="10" t="str" cm="1">
        <f t="array" ref="D3533">IF(AND(A3533="2021-01", ISNA(MATCH(B3533, _xlfn._xlws.FILTER(B:B, A:A="2021-02"), 0))), "Left", "Ativo")</f>
        <v>Ativo</v>
      </c>
      <c r="E3533" s="10" t="str" cm="1">
        <f t="array" ref="E3533">IF(AND(A3533="2021-02", ISNA(MATCH(B3533, _xlfn._xlws.FILTER(B:B, A:A="2021-03"), 0))), "Left", "Ativo")</f>
        <v>Ativo</v>
      </c>
      <c r="F3533" s="12" t="str" cm="1">
        <f t="array" ref="F3533">IF(AND(A3533="2021-03", ISNA(MATCH(B3533, _xlfn._xlws.FILTER(B:B, A:A="2021-04"), 0))), "Left", "Ativo")</f>
        <v>Left</v>
      </c>
    </row>
    <row r="3534" spans="1:6" x14ac:dyDescent="0.25">
      <c r="A3534" t="s">
        <v>1531</v>
      </c>
      <c r="B3534" t="s">
        <v>602</v>
      </c>
      <c r="C3534" s="10" t="str" cm="1">
        <f t="array" ref="C3534">IF(AND(A3534="2020-12", ISNA(MATCH(B3534, _xlfn._xlws.FILTER(B:B, A:A="2021-01"), 0))), "Left", "Ativo")</f>
        <v>Ativo</v>
      </c>
      <c r="D3534" s="10" t="str" cm="1">
        <f t="array" ref="D3534">IF(AND(A3534="2021-01", ISNA(MATCH(B3534, _xlfn._xlws.FILTER(B:B, A:A="2021-02"), 0))), "Left", "Ativo")</f>
        <v>Ativo</v>
      </c>
      <c r="E3534" s="10" t="str" cm="1">
        <f t="array" ref="E3534">IF(AND(A3534="2021-02", ISNA(MATCH(B3534, _xlfn._xlws.FILTER(B:B, A:A="2021-03"), 0))), "Left", "Ativo")</f>
        <v>Ativo</v>
      </c>
      <c r="F3534" s="12" t="str" cm="1">
        <f t="array" ref="F3534">IF(AND(A3534="2021-03", ISNA(MATCH(B3534, _xlfn._xlws.FILTER(B:B, A:A="2021-04"), 0))), "Left", "Ativo")</f>
        <v>Left</v>
      </c>
    </row>
    <row r="3535" spans="1:6" x14ac:dyDescent="0.25">
      <c r="A3535" t="s">
        <v>1531</v>
      </c>
      <c r="B3535" t="s">
        <v>603</v>
      </c>
      <c r="C3535" s="10" t="str" cm="1">
        <f t="array" ref="C3535">IF(AND(A3535="2020-12", ISNA(MATCH(B3535, _xlfn._xlws.FILTER(B:B, A:A="2021-01"), 0))), "Left", "Ativo")</f>
        <v>Ativo</v>
      </c>
      <c r="D3535" s="10" t="str" cm="1">
        <f t="array" ref="D3535">IF(AND(A3535="2021-01", ISNA(MATCH(B3535, _xlfn._xlws.FILTER(B:B, A:A="2021-02"), 0))), "Left", "Ativo")</f>
        <v>Ativo</v>
      </c>
      <c r="E3535" s="10" t="str" cm="1">
        <f t="array" ref="E3535">IF(AND(A3535="2021-02", ISNA(MATCH(B3535, _xlfn._xlws.FILTER(B:B, A:A="2021-03"), 0))), "Left", "Ativo")</f>
        <v>Ativo</v>
      </c>
      <c r="F3535" s="12" t="str" cm="1">
        <f t="array" ref="F3535">IF(AND(A3535="2021-03", ISNA(MATCH(B3535, _xlfn._xlws.FILTER(B:B, A:A="2021-04"), 0))), "Left", "Ativo")</f>
        <v>Left</v>
      </c>
    </row>
    <row r="3536" spans="1:6" x14ac:dyDescent="0.25">
      <c r="A3536" t="s">
        <v>1531</v>
      </c>
      <c r="B3536" t="s">
        <v>604</v>
      </c>
      <c r="C3536" s="10" t="str" cm="1">
        <f t="array" ref="C3536">IF(AND(A3536="2020-12", ISNA(MATCH(B3536, _xlfn._xlws.FILTER(B:B, A:A="2021-01"), 0))), "Left", "Ativo")</f>
        <v>Ativo</v>
      </c>
      <c r="D3536" s="10" t="str" cm="1">
        <f t="array" ref="D3536">IF(AND(A3536="2021-01", ISNA(MATCH(B3536, _xlfn._xlws.FILTER(B:B, A:A="2021-02"), 0))), "Left", "Ativo")</f>
        <v>Ativo</v>
      </c>
      <c r="E3536" s="10" t="str" cm="1">
        <f t="array" ref="E3536">IF(AND(A3536="2021-02", ISNA(MATCH(B3536, _xlfn._xlws.FILTER(B:B, A:A="2021-03"), 0))), "Left", "Ativo")</f>
        <v>Ativo</v>
      </c>
      <c r="F3536" s="12" t="str" cm="1">
        <f t="array" ref="F3536">IF(AND(A3536="2021-03", ISNA(MATCH(B3536, _xlfn._xlws.FILTER(B:B, A:A="2021-04"), 0))), "Left", "Ativo")</f>
        <v>Left</v>
      </c>
    </row>
    <row r="3537" spans="1:6" x14ac:dyDescent="0.25">
      <c r="A3537" t="s">
        <v>1531</v>
      </c>
      <c r="B3537" t="s">
        <v>605</v>
      </c>
      <c r="C3537" s="10" t="str" cm="1">
        <f t="array" ref="C3537">IF(AND(A3537="2020-12", ISNA(MATCH(B3537, _xlfn._xlws.FILTER(B:B, A:A="2021-01"), 0))), "Left", "Ativo")</f>
        <v>Ativo</v>
      </c>
      <c r="D3537" s="10" t="str" cm="1">
        <f t="array" ref="D3537">IF(AND(A3537="2021-01", ISNA(MATCH(B3537, _xlfn._xlws.FILTER(B:B, A:A="2021-02"), 0))), "Left", "Ativo")</f>
        <v>Ativo</v>
      </c>
      <c r="E3537" s="10" t="str" cm="1">
        <f t="array" ref="E3537">IF(AND(A3537="2021-02", ISNA(MATCH(B3537, _xlfn._xlws.FILTER(B:B, A:A="2021-03"), 0))), "Left", "Ativo")</f>
        <v>Ativo</v>
      </c>
      <c r="F3537" s="12" t="str" cm="1">
        <f t="array" ref="F3537">IF(AND(A3537="2021-03", ISNA(MATCH(B3537, _xlfn._xlws.FILTER(B:B, A:A="2021-04"), 0))), "Left", "Ativo")</f>
        <v>Left</v>
      </c>
    </row>
    <row r="3538" spans="1:6" x14ac:dyDescent="0.25">
      <c r="A3538" t="s">
        <v>1531</v>
      </c>
      <c r="B3538" t="s">
        <v>606</v>
      </c>
      <c r="C3538" s="10" t="str" cm="1">
        <f t="array" ref="C3538">IF(AND(A3538="2020-12", ISNA(MATCH(B3538, _xlfn._xlws.FILTER(B:B, A:A="2021-01"), 0))), "Left", "Ativo")</f>
        <v>Ativo</v>
      </c>
      <c r="D3538" s="10" t="str" cm="1">
        <f t="array" ref="D3538">IF(AND(A3538="2021-01", ISNA(MATCH(B3538, _xlfn._xlws.FILTER(B:B, A:A="2021-02"), 0))), "Left", "Ativo")</f>
        <v>Ativo</v>
      </c>
      <c r="E3538" s="10" t="str" cm="1">
        <f t="array" ref="E3538">IF(AND(A3538="2021-02", ISNA(MATCH(B3538, _xlfn._xlws.FILTER(B:B, A:A="2021-03"), 0))), "Left", "Ativo")</f>
        <v>Ativo</v>
      </c>
      <c r="F3538" s="12" t="str" cm="1">
        <f t="array" ref="F3538">IF(AND(A3538="2021-03", ISNA(MATCH(B3538, _xlfn._xlws.FILTER(B:B, A:A="2021-04"), 0))), "Left", "Ativo")</f>
        <v>Ativo</v>
      </c>
    </row>
    <row r="3539" spans="1:6" x14ac:dyDescent="0.25">
      <c r="A3539" t="s">
        <v>1531</v>
      </c>
      <c r="B3539" t="s">
        <v>607</v>
      </c>
      <c r="C3539" s="10" t="str" cm="1">
        <f t="array" ref="C3539">IF(AND(A3539="2020-12", ISNA(MATCH(B3539, _xlfn._xlws.FILTER(B:B, A:A="2021-01"), 0))), "Left", "Ativo")</f>
        <v>Ativo</v>
      </c>
      <c r="D3539" s="10" t="str" cm="1">
        <f t="array" ref="D3539">IF(AND(A3539="2021-01", ISNA(MATCH(B3539, _xlfn._xlws.FILTER(B:B, A:A="2021-02"), 0))), "Left", "Ativo")</f>
        <v>Ativo</v>
      </c>
      <c r="E3539" s="10" t="str" cm="1">
        <f t="array" ref="E3539">IF(AND(A3539="2021-02", ISNA(MATCH(B3539, _xlfn._xlws.FILTER(B:B, A:A="2021-03"), 0))), "Left", "Ativo")</f>
        <v>Ativo</v>
      </c>
      <c r="F3539" s="12" t="str" cm="1">
        <f t="array" ref="F3539">IF(AND(A3539="2021-03", ISNA(MATCH(B3539, _xlfn._xlws.FILTER(B:B, A:A="2021-04"), 0))), "Left", "Ativo")</f>
        <v>Ativo</v>
      </c>
    </row>
    <row r="3540" spans="1:6" x14ac:dyDescent="0.25">
      <c r="A3540" t="s">
        <v>1531</v>
      </c>
      <c r="B3540" t="s">
        <v>608</v>
      </c>
      <c r="C3540" s="10" t="str" cm="1">
        <f t="array" ref="C3540">IF(AND(A3540="2020-12", ISNA(MATCH(B3540, _xlfn._xlws.FILTER(B:B, A:A="2021-01"), 0))), "Left", "Ativo")</f>
        <v>Ativo</v>
      </c>
      <c r="D3540" s="10" t="str" cm="1">
        <f t="array" ref="D3540">IF(AND(A3540="2021-01", ISNA(MATCH(B3540, _xlfn._xlws.FILTER(B:B, A:A="2021-02"), 0))), "Left", "Ativo")</f>
        <v>Ativo</v>
      </c>
      <c r="E3540" s="10" t="str" cm="1">
        <f t="array" ref="E3540">IF(AND(A3540="2021-02", ISNA(MATCH(B3540, _xlfn._xlws.FILTER(B:B, A:A="2021-03"), 0))), "Left", "Ativo")</f>
        <v>Ativo</v>
      </c>
      <c r="F3540" s="12" t="str" cm="1">
        <f t="array" ref="F3540">IF(AND(A3540="2021-03", ISNA(MATCH(B3540, _xlfn._xlws.FILTER(B:B, A:A="2021-04"), 0))), "Left", "Ativo")</f>
        <v>Ativo</v>
      </c>
    </row>
    <row r="3541" spans="1:6" x14ac:dyDescent="0.25">
      <c r="A3541" t="s">
        <v>1531</v>
      </c>
      <c r="B3541" t="s">
        <v>609</v>
      </c>
      <c r="C3541" s="10" t="str" cm="1">
        <f t="array" ref="C3541">IF(AND(A3541="2020-12", ISNA(MATCH(B3541, _xlfn._xlws.FILTER(B:B, A:A="2021-01"), 0))), "Left", "Ativo")</f>
        <v>Ativo</v>
      </c>
      <c r="D3541" s="10" t="str" cm="1">
        <f t="array" ref="D3541">IF(AND(A3541="2021-01", ISNA(MATCH(B3541, _xlfn._xlws.FILTER(B:B, A:A="2021-02"), 0))), "Left", "Ativo")</f>
        <v>Ativo</v>
      </c>
      <c r="E3541" s="10" t="str" cm="1">
        <f t="array" ref="E3541">IF(AND(A3541="2021-02", ISNA(MATCH(B3541, _xlfn._xlws.FILTER(B:B, A:A="2021-03"), 0))), "Left", "Ativo")</f>
        <v>Ativo</v>
      </c>
      <c r="F3541" s="12" t="str" cm="1">
        <f t="array" ref="F3541">IF(AND(A3541="2021-03", ISNA(MATCH(B3541, _xlfn._xlws.FILTER(B:B, A:A="2021-04"), 0))), "Left", "Ativo")</f>
        <v>Ativo</v>
      </c>
    </row>
    <row r="3542" spans="1:6" x14ac:dyDescent="0.25">
      <c r="A3542" t="s">
        <v>1531</v>
      </c>
      <c r="B3542" t="s">
        <v>1133</v>
      </c>
      <c r="C3542" s="10" t="str" cm="1">
        <f t="array" ref="C3542">IF(AND(A3542="2020-12", ISNA(MATCH(B3542, _xlfn._xlws.FILTER(B:B, A:A="2021-01"), 0))), "Left", "Ativo")</f>
        <v>Ativo</v>
      </c>
      <c r="D3542" s="10" t="str" cm="1">
        <f t="array" ref="D3542">IF(AND(A3542="2021-01", ISNA(MATCH(B3542, _xlfn._xlws.FILTER(B:B, A:A="2021-02"), 0))), "Left", "Ativo")</f>
        <v>Ativo</v>
      </c>
      <c r="E3542" s="10" t="str" cm="1">
        <f t="array" ref="E3542">IF(AND(A3542="2021-02", ISNA(MATCH(B3542, _xlfn._xlws.FILTER(B:B, A:A="2021-03"), 0))), "Left", "Ativo")</f>
        <v>Ativo</v>
      </c>
      <c r="F3542" s="12" t="str" cm="1">
        <f t="array" ref="F3542">IF(AND(A3542="2021-03", ISNA(MATCH(B3542, _xlfn._xlws.FILTER(B:B, A:A="2021-04"), 0))), "Left", "Ativo")</f>
        <v>Left</v>
      </c>
    </row>
    <row r="3543" spans="1:6" x14ac:dyDescent="0.25">
      <c r="A3543" t="s">
        <v>1531</v>
      </c>
      <c r="B3543" t="s">
        <v>611</v>
      </c>
      <c r="C3543" s="10" t="str" cm="1">
        <f t="array" ref="C3543">IF(AND(A3543="2020-12", ISNA(MATCH(B3543, _xlfn._xlws.FILTER(B:B, A:A="2021-01"), 0))), "Left", "Ativo")</f>
        <v>Ativo</v>
      </c>
      <c r="D3543" s="10" t="str" cm="1">
        <f t="array" ref="D3543">IF(AND(A3543="2021-01", ISNA(MATCH(B3543, _xlfn._xlws.FILTER(B:B, A:A="2021-02"), 0))), "Left", "Ativo")</f>
        <v>Ativo</v>
      </c>
      <c r="E3543" s="10" t="str" cm="1">
        <f t="array" ref="E3543">IF(AND(A3543="2021-02", ISNA(MATCH(B3543, _xlfn._xlws.FILTER(B:B, A:A="2021-03"), 0))), "Left", "Ativo")</f>
        <v>Ativo</v>
      </c>
      <c r="F3543" s="12" t="str" cm="1">
        <f t="array" ref="F3543">IF(AND(A3543="2021-03", ISNA(MATCH(B3543, _xlfn._xlws.FILTER(B:B, A:A="2021-04"), 0))), "Left", "Ativo")</f>
        <v>Ativo</v>
      </c>
    </row>
    <row r="3544" spans="1:6" x14ac:dyDescent="0.25">
      <c r="A3544" t="s">
        <v>1531</v>
      </c>
      <c r="B3544" t="s">
        <v>612</v>
      </c>
      <c r="C3544" s="10" t="str" cm="1">
        <f t="array" ref="C3544">IF(AND(A3544="2020-12", ISNA(MATCH(B3544, _xlfn._xlws.FILTER(B:B, A:A="2021-01"), 0))), "Left", "Ativo")</f>
        <v>Ativo</v>
      </c>
      <c r="D3544" s="10" t="str" cm="1">
        <f t="array" ref="D3544">IF(AND(A3544="2021-01", ISNA(MATCH(B3544, _xlfn._xlws.FILTER(B:B, A:A="2021-02"), 0))), "Left", "Ativo")</f>
        <v>Ativo</v>
      </c>
      <c r="E3544" s="10" t="str" cm="1">
        <f t="array" ref="E3544">IF(AND(A3544="2021-02", ISNA(MATCH(B3544, _xlfn._xlws.FILTER(B:B, A:A="2021-03"), 0))), "Left", "Ativo")</f>
        <v>Ativo</v>
      </c>
      <c r="F3544" s="12" t="str" cm="1">
        <f t="array" ref="F3544">IF(AND(A3544="2021-03", ISNA(MATCH(B3544, _xlfn._xlws.FILTER(B:B, A:A="2021-04"), 0))), "Left", "Ativo")</f>
        <v>Ativo</v>
      </c>
    </row>
    <row r="3545" spans="1:6" x14ac:dyDescent="0.25">
      <c r="A3545" t="s">
        <v>1531</v>
      </c>
      <c r="B3545" t="s">
        <v>615</v>
      </c>
      <c r="C3545" s="10" t="str" cm="1">
        <f t="array" ref="C3545">IF(AND(A3545="2020-12", ISNA(MATCH(B3545, _xlfn._xlws.FILTER(B:B, A:A="2021-01"), 0))), "Left", "Ativo")</f>
        <v>Ativo</v>
      </c>
      <c r="D3545" s="10" t="str" cm="1">
        <f t="array" ref="D3545">IF(AND(A3545="2021-01", ISNA(MATCH(B3545, _xlfn._xlws.FILTER(B:B, A:A="2021-02"), 0))), "Left", "Ativo")</f>
        <v>Ativo</v>
      </c>
      <c r="E3545" s="10" t="str" cm="1">
        <f t="array" ref="E3545">IF(AND(A3545="2021-02", ISNA(MATCH(B3545, _xlfn._xlws.FILTER(B:B, A:A="2021-03"), 0))), "Left", "Ativo")</f>
        <v>Ativo</v>
      </c>
      <c r="F3545" s="12" t="str" cm="1">
        <f t="array" ref="F3545">IF(AND(A3545="2021-03", ISNA(MATCH(B3545, _xlfn._xlws.FILTER(B:B, A:A="2021-04"), 0))), "Left", "Ativo")</f>
        <v>Ativo</v>
      </c>
    </row>
    <row r="3546" spans="1:6" x14ac:dyDescent="0.25">
      <c r="A3546" t="s">
        <v>1531</v>
      </c>
      <c r="B3546" t="s">
        <v>616</v>
      </c>
      <c r="C3546" s="10" t="str" cm="1">
        <f t="array" ref="C3546">IF(AND(A3546="2020-12", ISNA(MATCH(B3546, _xlfn._xlws.FILTER(B:B, A:A="2021-01"), 0))), "Left", "Ativo")</f>
        <v>Ativo</v>
      </c>
      <c r="D3546" s="10" t="str" cm="1">
        <f t="array" ref="D3546">IF(AND(A3546="2021-01", ISNA(MATCH(B3546, _xlfn._xlws.FILTER(B:B, A:A="2021-02"), 0))), "Left", "Ativo")</f>
        <v>Ativo</v>
      </c>
      <c r="E3546" s="10" t="str" cm="1">
        <f t="array" ref="E3546">IF(AND(A3546="2021-02", ISNA(MATCH(B3546, _xlfn._xlws.FILTER(B:B, A:A="2021-03"), 0))), "Left", "Ativo")</f>
        <v>Ativo</v>
      </c>
      <c r="F3546" s="12" t="str" cm="1">
        <f t="array" ref="F3546">IF(AND(A3546="2021-03", ISNA(MATCH(B3546, _xlfn._xlws.FILTER(B:B, A:A="2021-04"), 0))), "Left", "Ativo")</f>
        <v>Ativo</v>
      </c>
    </row>
    <row r="3547" spans="1:6" x14ac:dyDescent="0.25">
      <c r="A3547" t="s">
        <v>1531</v>
      </c>
      <c r="B3547" t="s">
        <v>617</v>
      </c>
      <c r="C3547" s="10" t="str" cm="1">
        <f t="array" ref="C3547">IF(AND(A3547="2020-12", ISNA(MATCH(B3547, _xlfn._xlws.FILTER(B:B, A:A="2021-01"), 0))), "Left", "Ativo")</f>
        <v>Ativo</v>
      </c>
      <c r="D3547" s="10" t="str" cm="1">
        <f t="array" ref="D3547">IF(AND(A3547="2021-01", ISNA(MATCH(B3547, _xlfn._xlws.FILTER(B:B, A:A="2021-02"), 0))), "Left", "Ativo")</f>
        <v>Ativo</v>
      </c>
      <c r="E3547" s="10" t="str" cm="1">
        <f t="array" ref="E3547">IF(AND(A3547="2021-02", ISNA(MATCH(B3547, _xlfn._xlws.FILTER(B:B, A:A="2021-03"), 0))), "Left", "Ativo")</f>
        <v>Ativo</v>
      </c>
      <c r="F3547" s="12" t="str" cm="1">
        <f t="array" ref="F3547">IF(AND(A3547="2021-03", ISNA(MATCH(B3547, _xlfn._xlws.FILTER(B:B, A:A="2021-04"), 0))), "Left", "Ativo")</f>
        <v>Ativo</v>
      </c>
    </row>
    <row r="3548" spans="1:6" x14ac:dyDescent="0.25">
      <c r="A3548" t="s">
        <v>1531</v>
      </c>
      <c r="B3548" t="s">
        <v>618</v>
      </c>
      <c r="C3548" s="10" t="str" cm="1">
        <f t="array" ref="C3548">IF(AND(A3548="2020-12", ISNA(MATCH(B3548, _xlfn._xlws.FILTER(B:B, A:A="2021-01"), 0))), "Left", "Ativo")</f>
        <v>Ativo</v>
      </c>
      <c r="D3548" s="10" t="str" cm="1">
        <f t="array" ref="D3548">IF(AND(A3548="2021-01", ISNA(MATCH(B3548, _xlfn._xlws.FILTER(B:B, A:A="2021-02"), 0))), "Left", "Ativo")</f>
        <v>Ativo</v>
      </c>
      <c r="E3548" s="10" t="str" cm="1">
        <f t="array" ref="E3548">IF(AND(A3548="2021-02", ISNA(MATCH(B3548, _xlfn._xlws.FILTER(B:B, A:A="2021-03"), 0))), "Left", "Ativo")</f>
        <v>Ativo</v>
      </c>
      <c r="F3548" s="12" t="str" cm="1">
        <f t="array" ref="F3548">IF(AND(A3548="2021-03", ISNA(MATCH(B3548, _xlfn._xlws.FILTER(B:B, A:A="2021-04"), 0))), "Left", "Ativo")</f>
        <v>Ativo</v>
      </c>
    </row>
    <row r="3549" spans="1:6" x14ac:dyDescent="0.25">
      <c r="A3549" t="s">
        <v>1531</v>
      </c>
      <c r="B3549" t="s">
        <v>619</v>
      </c>
      <c r="C3549" s="10" t="str" cm="1">
        <f t="array" ref="C3549">IF(AND(A3549="2020-12", ISNA(MATCH(B3549, _xlfn._xlws.FILTER(B:B, A:A="2021-01"), 0))), "Left", "Ativo")</f>
        <v>Ativo</v>
      </c>
      <c r="D3549" s="10" t="str" cm="1">
        <f t="array" ref="D3549">IF(AND(A3549="2021-01", ISNA(MATCH(B3549, _xlfn._xlws.FILTER(B:B, A:A="2021-02"), 0))), "Left", "Ativo")</f>
        <v>Ativo</v>
      </c>
      <c r="E3549" s="10" t="str" cm="1">
        <f t="array" ref="E3549">IF(AND(A3549="2021-02", ISNA(MATCH(B3549, _xlfn._xlws.FILTER(B:B, A:A="2021-03"), 0))), "Left", "Ativo")</f>
        <v>Ativo</v>
      </c>
      <c r="F3549" s="12" t="str" cm="1">
        <f t="array" ref="F3549">IF(AND(A3549="2021-03", ISNA(MATCH(B3549, _xlfn._xlws.FILTER(B:B, A:A="2021-04"), 0))), "Left", "Ativo")</f>
        <v>Ativo</v>
      </c>
    </row>
    <row r="3550" spans="1:6" x14ac:dyDescent="0.25">
      <c r="A3550" t="s">
        <v>1531</v>
      </c>
      <c r="B3550" t="s">
        <v>620</v>
      </c>
      <c r="C3550" s="10" t="str" cm="1">
        <f t="array" ref="C3550">IF(AND(A3550="2020-12", ISNA(MATCH(B3550, _xlfn._xlws.FILTER(B:B, A:A="2021-01"), 0))), "Left", "Ativo")</f>
        <v>Ativo</v>
      </c>
      <c r="D3550" s="10" t="str" cm="1">
        <f t="array" ref="D3550">IF(AND(A3550="2021-01", ISNA(MATCH(B3550, _xlfn._xlws.FILTER(B:B, A:A="2021-02"), 0))), "Left", "Ativo")</f>
        <v>Ativo</v>
      </c>
      <c r="E3550" s="10" t="str" cm="1">
        <f t="array" ref="E3550">IF(AND(A3550="2021-02", ISNA(MATCH(B3550, _xlfn._xlws.FILTER(B:B, A:A="2021-03"), 0))), "Left", "Ativo")</f>
        <v>Ativo</v>
      </c>
      <c r="F3550" s="12" t="str" cm="1">
        <f t="array" ref="F3550">IF(AND(A3550="2021-03", ISNA(MATCH(B3550, _xlfn._xlws.FILTER(B:B, A:A="2021-04"), 0))), "Left", "Ativo")</f>
        <v>Ativo</v>
      </c>
    </row>
    <row r="3551" spans="1:6" x14ac:dyDescent="0.25">
      <c r="A3551" t="s">
        <v>1531</v>
      </c>
      <c r="B3551" t="s">
        <v>621</v>
      </c>
      <c r="C3551" s="10" t="str" cm="1">
        <f t="array" ref="C3551">IF(AND(A3551="2020-12", ISNA(MATCH(B3551, _xlfn._xlws.FILTER(B:B, A:A="2021-01"), 0))), "Left", "Ativo")</f>
        <v>Ativo</v>
      </c>
      <c r="D3551" s="10" t="str" cm="1">
        <f t="array" ref="D3551">IF(AND(A3551="2021-01", ISNA(MATCH(B3551, _xlfn._xlws.FILTER(B:B, A:A="2021-02"), 0))), "Left", "Ativo")</f>
        <v>Ativo</v>
      </c>
      <c r="E3551" s="10" t="str" cm="1">
        <f t="array" ref="E3551">IF(AND(A3551="2021-02", ISNA(MATCH(B3551, _xlfn._xlws.FILTER(B:B, A:A="2021-03"), 0))), "Left", "Ativo")</f>
        <v>Ativo</v>
      </c>
      <c r="F3551" s="12" t="str" cm="1">
        <f t="array" ref="F3551">IF(AND(A3551="2021-03", ISNA(MATCH(B3551, _xlfn._xlws.FILTER(B:B, A:A="2021-04"), 0))), "Left", "Ativo")</f>
        <v>Ativo</v>
      </c>
    </row>
    <row r="3552" spans="1:6" x14ac:dyDescent="0.25">
      <c r="A3552" t="s">
        <v>1531</v>
      </c>
      <c r="B3552" t="s">
        <v>622</v>
      </c>
      <c r="C3552" s="10" t="str" cm="1">
        <f t="array" ref="C3552">IF(AND(A3552="2020-12", ISNA(MATCH(B3552, _xlfn._xlws.FILTER(B:B, A:A="2021-01"), 0))), "Left", "Ativo")</f>
        <v>Ativo</v>
      </c>
      <c r="D3552" s="10" t="str" cm="1">
        <f t="array" ref="D3552">IF(AND(A3552="2021-01", ISNA(MATCH(B3552, _xlfn._xlws.FILTER(B:B, A:A="2021-02"), 0))), "Left", "Ativo")</f>
        <v>Ativo</v>
      </c>
      <c r="E3552" s="10" t="str" cm="1">
        <f t="array" ref="E3552">IF(AND(A3552="2021-02", ISNA(MATCH(B3552, _xlfn._xlws.FILTER(B:B, A:A="2021-03"), 0))), "Left", "Ativo")</f>
        <v>Ativo</v>
      </c>
      <c r="F3552" s="12" t="str" cm="1">
        <f t="array" ref="F3552">IF(AND(A3552="2021-03", ISNA(MATCH(B3552, _xlfn._xlws.FILTER(B:B, A:A="2021-04"), 0))), "Left", "Ativo")</f>
        <v>Ativo</v>
      </c>
    </row>
    <row r="3553" spans="1:6" x14ac:dyDescent="0.25">
      <c r="A3553" t="s">
        <v>1531</v>
      </c>
      <c r="B3553" t="s">
        <v>623</v>
      </c>
      <c r="C3553" s="10" t="str" cm="1">
        <f t="array" ref="C3553">IF(AND(A3553="2020-12", ISNA(MATCH(B3553, _xlfn._xlws.FILTER(B:B, A:A="2021-01"), 0))), "Left", "Ativo")</f>
        <v>Ativo</v>
      </c>
      <c r="D3553" s="10" t="str" cm="1">
        <f t="array" ref="D3553">IF(AND(A3553="2021-01", ISNA(MATCH(B3553, _xlfn._xlws.FILTER(B:B, A:A="2021-02"), 0))), "Left", "Ativo")</f>
        <v>Ativo</v>
      </c>
      <c r="E3553" s="10" t="str" cm="1">
        <f t="array" ref="E3553">IF(AND(A3553="2021-02", ISNA(MATCH(B3553, _xlfn._xlws.FILTER(B:B, A:A="2021-03"), 0))), "Left", "Ativo")</f>
        <v>Ativo</v>
      </c>
      <c r="F3553" s="12" t="str" cm="1">
        <f t="array" ref="F3553">IF(AND(A3553="2021-03", ISNA(MATCH(B3553, _xlfn._xlws.FILTER(B:B, A:A="2021-04"), 0))), "Left", "Ativo")</f>
        <v>Ativo</v>
      </c>
    </row>
    <row r="3554" spans="1:6" x14ac:dyDescent="0.25">
      <c r="A3554" t="s">
        <v>1531</v>
      </c>
      <c r="B3554" t="s">
        <v>624</v>
      </c>
      <c r="C3554" s="10" t="str" cm="1">
        <f t="array" ref="C3554">IF(AND(A3554="2020-12", ISNA(MATCH(B3554, _xlfn._xlws.FILTER(B:B, A:A="2021-01"), 0))), "Left", "Ativo")</f>
        <v>Ativo</v>
      </c>
      <c r="D3554" s="10" t="str" cm="1">
        <f t="array" ref="D3554">IF(AND(A3554="2021-01", ISNA(MATCH(B3554, _xlfn._xlws.FILTER(B:B, A:A="2021-02"), 0))), "Left", "Ativo")</f>
        <v>Ativo</v>
      </c>
      <c r="E3554" s="10" t="str" cm="1">
        <f t="array" ref="E3554">IF(AND(A3554="2021-02", ISNA(MATCH(B3554, _xlfn._xlws.FILTER(B:B, A:A="2021-03"), 0))), "Left", "Ativo")</f>
        <v>Ativo</v>
      </c>
      <c r="F3554" s="12" t="str" cm="1">
        <f t="array" ref="F3554">IF(AND(A3554="2021-03", ISNA(MATCH(B3554, _xlfn._xlws.FILTER(B:B, A:A="2021-04"), 0))), "Left", "Ativo")</f>
        <v>Ativo</v>
      </c>
    </row>
    <row r="3555" spans="1:6" x14ac:dyDescent="0.25">
      <c r="A3555" t="s">
        <v>1531</v>
      </c>
      <c r="B3555" t="s">
        <v>625</v>
      </c>
      <c r="C3555" s="10" t="str" cm="1">
        <f t="array" ref="C3555">IF(AND(A3555="2020-12", ISNA(MATCH(B3555, _xlfn._xlws.FILTER(B:B, A:A="2021-01"), 0))), "Left", "Ativo")</f>
        <v>Ativo</v>
      </c>
      <c r="D3555" s="10" t="str" cm="1">
        <f t="array" ref="D3555">IF(AND(A3555="2021-01", ISNA(MATCH(B3555, _xlfn._xlws.FILTER(B:B, A:A="2021-02"), 0))), "Left", "Ativo")</f>
        <v>Ativo</v>
      </c>
      <c r="E3555" s="10" t="str" cm="1">
        <f t="array" ref="E3555">IF(AND(A3555="2021-02", ISNA(MATCH(B3555, _xlfn._xlws.FILTER(B:B, A:A="2021-03"), 0))), "Left", "Ativo")</f>
        <v>Ativo</v>
      </c>
      <c r="F3555" s="12" t="str" cm="1">
        <f t="array" ref="F3555">IF(AND(A3555="2021-03", ISNA(MATCH(B3555, _xlfn._xlws.FILTER(B:B, A:A="2021-04"), 0))), "Left", "Ativo")</f>
        <v>Ativo</v>
      </c>
    </row>
    <row r="3556" spans="1:6" x14ac:dyDescent="0.25">
      <c r="A3556" t="s">
        <v>1531</v>
      </c>
      <c r="B3556" t="s">
        <v>626</v>
      </c>
      <c r="C3556" s="10" t="str" cm="1">
        <f t="array" ref="C3556">IF(AND(A3556="2020-12", ISNA(MATCH(B3556, _xlfn._xlws.FILTER(B:B, A:A="2021-01"), 0))), "Left", "Ativo")</f>
        <v>Ativo</v>
      </c>
      <c r="D3556" s="10" t="str" cm="1">
        <f t="array" ref="D3556">IF(AND(A3556="2021-01", ISNA(MATCH(B3556, _xlfn._xlws.FILTER(B:B, A:A="2021-02"), 0))), "Left", "Ativo")</f>
        <v>Ativo</v>
      </c>
      <c r="E3556" s="10" t="str" cm="1">
        <f t="array" ref="E3556">IF(AND(A3556="2021-02", ISNA(MATCH(B3556, _xlfn._xlws.FILTER(B:B, A:A="2021-03"), 0))), "Left", "Ativo")</f>
        <v>Ativo</v>
      </c>
      <c r="F3556" s="12" t="str" cm="1">
        <f t="array" ref="F3556">IF(AND(A3556="2021-03", ISNA(MATCH(B3556, _xlfn._xlws.FILTER(B:B, A:A="2021-04"), 0))), "Left", "Ativo")</f>
        <v>Ativo</v>
      </c>
    </row>
    <row r="3557" spans="1:6" x14ac:dyDescent="0.25">
      <c r="A3557" t="s">
        <v>1531</v>
      </c>
      <c r="B3557" t="s">
        <v>627</v>
      </c>
      <c r="C3557" s="10" t="str" cm="1">
        <f t="array" ref="C3557">IF(AND(A3557="2020-12", ISNA(MATCH(B3557, _xlfn._xlws.FILTER(B:B, A:A="2021-01"), 0))), "Left", "Ativo")</f>
        <v>Ativo</v>
      </c>
      <c r="D3557" s="10" t="str" cm="1">
        <f t="array" ref="D3557">IF(AND(A3557="2021-01", ISNA(MATCH(B3557, _xlfn._xlws.FILTER(B:B, A:A="2021-02"), 0))), "Left", "Ativo")</f>
        <v>Ativo</v>
      </c>
      <c r="E3557" s="10" t="str" cm="1">
        <f t="array" ref="E3557">IF(AND(A3557="2021-02", ISNA(MATCH(B3557, _xlfn._xlws.FILTER(B:B, A:A="2021-03"), 0))), "Left", "Ativo")</f>
        <v>Ativo</v>
      </c>
      <c r="F3557" s="12" t="str" cm="1">
        <f t="array" ref="F3557">IF(AND(A3557="2021-03", ISNA(MATCH(B3557, _xlfn._xlws.FILTER(B:B, A:A="2021-04"), 0))), "Left", "Ativo")</f>
        <v>Ativo</v>
      </c>
    </row>
    <row r="3558" spans="1:6" x14ac:dyDescent="0.25">
      <c r="A3558" t="s">
        <v>1531</v>
      </c>
      <c r="B3558" t="s">
        <v>1134</v>
      </c>
      <c r="C3558" s="10" t="str" cm="1">
        <f t="array" ref="C3558">IF(AND(A3558="2020-12", ISNA(MATCH(B3558, _xlfn._xlws.FILTER(B:B, A:A="2021-01"), 0))), "Left", "Ativo")</f>
        <v>Ativo</v>
      </c>
      <c r="D3558" s="10" t="str" cm="1">
        <f t="array" ref="D3558">IF(AND(A3558="2021-01", ISNA(MATCH(B3558, _xlfn._xlws.FILTER(B:B, A:A="2021-02"), 0))), "Left", "Ativo")</f>
        <v>Ativo</v>
      </c>
      <c r="E3558" s="10" t="str" cm="1">
        <f t="array" ref="E3558">IF(AND(A3558="2021-02", ISNA(MATCH(B3558, _xlfn._xlws.FILTER(B:B, A:A="2021-03"), 0))), "Left", "Ativo")</f>
        <v>Ativo</v>
      </c>
      <c r="F3558" s="12" t="str" cm="1">
        <f t="array" ref="F3558">IF(AND(A3558="2021-03", ISNA(MATCH(B3558, _xlfn._xlws.FILTER(B:B, A:A="2021-04"), 0))), "Left", "Ativo")</f>
        <v>Left</v>
      </c>
    </row>
    <row r="3559" spans="1:6" x14ac:dyDescent="0.25">
      <c r="A3559" t="s">
        <v>1531</v>
      </c>
      <c r="B3559" t="s">
        <v>629</v>
      </c>
      <c r="C3559" s="10" t="str" cm="1">
        <f t="array" ref="C3559">IF(AND(A3559="2020-12", ISNA(MATCH(B3559, _xlfn._xlws.FILTER(B:B, A:A="2021-01"), 0))), "Left", "Ativo")</f>
        <v>Ativo</v>
      </c>
      <c r="D3559" s="10" t="str" cm="1">
        <f t="array" ref="D3559">IF(AND(A3559="2021-01", ISNA(MATCH(B3559, _xlfn._xlws.FILTER(B:B, A:A="2021-02"), 0))), "Left", "Ativo")</f>
        <v>Ativo</v>
      </c>
      <c r="E3559" s="10" t="str" cm="1">
        <f t="array" ref="E3559">IF(AND(A3559="2021-02", ISNA(MATCH(B3559, _xlfn._xlws.FILTER(B:B, A:A="2021-03"), 0))), "Left", "Ativo")</f>
        <v>Ativo</v>
      </c>
      <c r="F3559" s="12" t="str" cm="1">
        <f t="array" ref="F3559">IF(AND(A3559="2021-03", ISNA(MATCH(B3559, _xlfn._xlws.FILTER(B:B, A:A="2021-04"), 0))), "Left", "Ativo")</f>
        <v>Ativo</v>
      </c>
    </row>
    <row r="3560" spans="1:6" x14ac:dyDescent="0.25">
      <c r="A3560" t="s">
        <v>1531</v>
      </c>
      <c r="B3560" t="s">
        <v>630</v>
      </c>
      <c r="C3560" s="10" t="str" cm="1">
        <f t="array" ref="C3560">IF(AND(A3560="2020-12", ISNA(MATCH(B3560, _xlfn._xlws.FILTER(B:B, A:A="2021-01"), 0))), "Left", "Ativo")</f>
        <v>Ativo</v>
      </c>
      <c r="D3560" s="10" t="str" cm="1">
        <f t="array" ref="D3560">IF(AND(A3560="2021-01", ISNA(MATCH(B3560, _xlfn._xlws.FILTER(B:B, A:A="2021-02"), 0))), "Left", "Ativo")</f>
        <v>Ativo</v>
      </c>
      <c r="E3560" s="10" t="str" cm="1">
        <f t="array" ref="E3560">IF(AND(A3560="2021-02", ISNA(MATCH(B3560, _xlfn._xlws.FILTER(B:B, A:A="2021-03"), 0))), "Left", "Ativo")</f>
        <v>Ativo</v>
      </c>
      <c r="F3560" s="12" t="str" cm="1">
        <f t="array" ref="F3560">IF(AND(A3560="2021-03", ISNA(MATCH(B3560, _xlfn._xlws.FILTER(B:B, A:A="2021-04"), 0))), "Left", "Ativo")</f>
        <v>Ativo</v>
      </c>
    </row>
    <row r="3561" spans="1:6" x14ac:dyDescent="0.25">
      <c r="A3561" t="s">
        <v>1531</v>
      </c>
      <c r="B3561" t="s">
        <v>631</v>
      </c>
      <c r="C3561" s="10" t="str" cm="1">
        <f t="array" ref="C3561">IF(AND(A3561="2020-12", ISNA(MATCH(B3561, _xlfn._xlws.FILTER(B:B, A:A="2021-01"), 0))), "Left", "Ativo")</f>
        <v>Ativo</v>
      </c>
      <c r="D3561" s="10" t="str" cm="1">
        <f t="array" ref="D3561">IF(AND(A3561="2021-01", ISNA(MATCH(B3561, _xlfn._xlws.FILTER(B:B, A:A="2021-02"), 0))), "Left", "Ativo")</f>
        <v>Ativo</v>
      </c>
      <c r="E3561" s="10" t="str" cm="1">
        <f t="array" ref="E3561">IF(AND(A3561="2021-02", ISNA(MATCH(B3561, _xlfn._xlws.FILTER(B:B, A:A="2021-03"), 0))), "Left", "Ativo")</f>
        <v>Ativo</v>
      </c>
      <c r="F3561" s="12" t="str" cm="1">
        <f t="array" ref="F3561">IF(AND(A3561="2021-03", ISNA(MATCH(B3561, _xlfn._xlws.FILTER(B:B, A:A="2021-04"), 0))), "Left", "Ativo")</f>
        <v>Ativo</v>
      </c>
    </row>
    <row r="3562" spans="1:6" x14ac:dyDescent="0.25">
      <c r="A3562" t="s">
        <v>1531</v>
      </c>
      <c r="B3562" t="s">
        <v>632</v>
      </c>
      <c r="C3562" s="10" t="str" cm="1">
        <f t="array" ref="C3562">IF(AND(A3562="2020-12", ISNA(MATCH(B3562, _xlfn._xlws.FILTER(B:B, A:A="2021-01"), 0))), "Left", "Ativo")</f>
        <v>Ativo</v>
      </c>
      <c r="D3562" s="10" t="str" cm="1">
        <f t="array" ref="D3562">IF(AND(A3562="2021-01", ISNA(MATCH(B3562, _xlfn._xlws.FILTER(B:B, A:A="2021-02"), 0))), "Left", "Ativo")</f>
        <v>Ativo</v>
      </c>
      <c r="E3562" s="10" t="str" cm="1">
        <f t="array" ref="E3562">IF(AND(A3562="2021-02", ISNA(MATCH(B3562, _xlfn._xlws.FILTER(B:B, A:A="2021-03"), 0))), "Left", "Ativo")</f>
        <v>Ativo</v>
      </c>
      <c r="F3562" s="12" t="str" cm="1">
        <f t="array" ref="F3562">IF(AND(A3562="2021-03", ISNA(MATCH(B3562, _xlfn._xlws.FILTER(B:B, A:A="2021-04"), 0))), "Left", "Ativo")</f>
        <v>Ativo</v>
      </c>
    </row>
    <row r="3563" spans="1:6" x14ac:dyDescent="0.25">
      <c r="A3563" t="s">
        <v>1531</v>
      </c>
      <c r="B3563" t="s">
        <v>633</v>
      </c>
      <c r="C3563" s="10" t="str" cm="1">
        <f t="array" ref="C3563">IF(AND(A3563="2020-12", ISNA(MATCH(B3563, _xlfn._xlws.FILTER(B:B, A:A="2021-01"), 0))), "Left", "Ativo")</f>
        <v>Ativo</v>
      </c>
      <c r="D3563" s="10" t="str" cm="1">
        <f t="array" ref="D3563">IF(AND(A3563="2021-01", ISNA(MATCH(B3563, _xlfn._xlws.FILTER(B:B, A:A="2021-02"), 0))), "Left", "Ativo")</f>
        <v>Ativo</v>
      </c>
      <c r="E3563" s="10" t="str" cm="1">
        <f t="array" ref="E3563">IF(AND(A3563="2021-02", ISNA(MATCH(B3563, _xlfn._xlws.FILTER(B:B, A:A="2021-03"), 0))), "Left", "Ativo")</f>
        <v>Ativo</v>
      </c>
      <c r="F3563" s="12" t="str" cm="1">
        <f t="array" ref="F3563">IF(AND(A3563="2021-03", ISNA(MATCH(B3563, _xlfn._xlws.FILTER(B:B, A:A="2021-04"), 0))), "Left", "Ativo")</f>
        <v>Ativo</v>
      </c>
    </row>
    <row r="3564" spans="1:6" x14ac:dyDescent="0.25">
      <c r="A3564" t="s">
        <v>1531</v>
      </c>
      <c r="B3564" t="s">
        <v>634</v>
      </c>
      <c r="C3564" s="10" t="str" cm="1">
        <f t="array" ref="C3564">IF(AND(A3564="2020-12", ISNA(MATCH(B3564, _xlfn._xlws.FILTER(B:B, A:A="2021-01"), 0))), "Left", "Ativo")</f>
        <v>Ativo</v>
      </c>
      <c r="D3564" s="10" t="str" cm="1">
        <f t="array" ref="D3564">IF(AND(A3564="2021-01", ISNA(MATCH(B3564, _xlfn._xlws.FILTER(B:B, A:A="2021-02"), 0))), "Left", "Ativo")</f>
        <v>Ativo</v>
      </c>
      <c r="E3564" s="10" t="str" cm="1">
        <f t="array" ref="E3564">IF(AND(A3564="2021-02", ISNA(MATCH(B3564, _xlfn._xlws.FILTER(B:B, A:A="2021-03"), 0))), "Left", "Ativo")</f>
        <v>Ativo</v>
      </c>
      <c r="F3564" s="12" t="str" cm="1">
        <f t="array" ref="F3564">IF(AND(A3564="2021-03", ISNA(MATCH(B3564, _xlfn._xlws.FILTER(B:B, A:A="2021-04"), 0))), "Left", "Ativo")</f>
        <v>Ativo</v>
      </c>
    </row>
    <row r="3565" spans="1:6" x14ac:dyDescent="0.25">
      <c r="A3565" t="s">
        <v>1531</v>
      </c>
      <c r="B3565" t="s">
        <v>635</v>
      </c>
      <c r="C3565" s="10" t="str" cm="1">
        <f t="array" ref="C3565">IF(AND(A3565="2020-12", ISNA(MATCH(B3565, _xlfn._xlws.FILTER(B:B, A:A="2021-01"), 0))), "Left", "Ativo")</f>
        <v>Ativo</v>
      </c>
      <c r="D3565" s="10" t="str" cm="1">
        <f t="array" ref="D3565">IF(AND(A3565="2021-01", ISNA(MATCH(B3565, _xlfn._xlws.FILTER(B:B, A:A="2021-02"), 0))), "Left", "Ativo")</f>
        <v>Ativo</v>
      </c>
      <c r="E3565" s="10" t="str" cm="1">
        <f t="array" ref="E3565">IF(AND(A3565="2021-02", ISNA(MATCH(B3565, _xlfn._xlws.FILTER(B:B, A:A="2021-03"), 0))), "Left", "Ativo")</f>
        <v>Ativo</v>
      </c>
      <c r="F3565" s="12" t="str" cm="1">
        <f t="array" ref="F3565">IF(AND(A3565="2021-03", ISNA(MATCH(B3565, _xlfn._xlws.FILTER(B:B, A:A="2021-04"), 0))), "Left", "Ativo")</f>
        <v>Ativo</v>
      </c>
    </row>
    <row r="3566" spans="1:6" x14ac:dyDescent="0.25">
      <c r="A3566" t="s">
        <v>1531</v>
      </c>
      <c r="B3566" t="s">
        <v>636</v>
      </c>
      <c r="C3566" s="10" t="str" cm="1">
        <f t="array" ref="C3566">IF(AND(A3566="2020-12", ISNA(MATCH(B3566, _xlfn._xlws.FILTER(B:B, A:A="2021-01"), 0))), "Left", "Ativo")</f>
        <v>Ativo</v>
      </c>
      <c r="D3566" s="10" t="str" cm="1">
        <f t="array" ref="D3566">IF(AND(A3566="2021-01", ISNA(MATCH(B3566, _xlfn._xlws.FILTER(B:B, A:A="2021-02"), 0))), "Left", "Ativo")</f>
        <v>Ativo</v>
      </c>
      <c r="E3566" s="10" t="str" cm="1">
        <f t="array" ref="E3566">IF(AND(A3566="2021-02", ISNA(MATCH(B3566, _xlfn._xlws.FILTER(B:B, A:A="2021-03"), 0))), "Left", "Ativo")</f>
        <v>Ativo</v>
      </c>
      <c r="F3566" s="12" t="str" cm="1">
        <f t="array" ref="F3566">IF(AND(A3566="2021-03", ISNA(MATCH(B3566, _xlfn._xlws.FILTER(B:B, A:A="2021-04"), 0))), "Left", "Ativo")</f>
        <v>Ativo</v>
      </c>
    </row>
    <row r="3567" spans="1:6" x14ac:dyDescent="0.25">
      <c r="A3567" t="s">
        <v>1531</v>
      </c>
      <c r="B3567" t="s">
        <v>637</v>
      </c>
      <c r="C3567" s="10" t="str" cm="1">
        <f t="array" ref="C3567">IF(AND(A3567="2020-12", ISNA(MATCH(B3567, _xlfn._xlws.FILTER(B:B, A:A="2021-01"), 0))), "Left", "Ativo")</f>
        <v>Ativo</v>
      </c>
      <c r="D3567" s="10" t="str" cm="1">
        <f t="array" ref="D3567">IF(AND(A3567="2021-01", ISNA(MATCH(B3567, _xlfn._xlws.FILTER(B:B, A:A="2021-02"), 0))), "Left", "Ativo")</f>
        <v>Ativo</v>
      </c>
      <c r="E3567" s="10" t="str" cm="1">
        <f t="array" ref="E3567">IF(AND(A3567="2021-02", ISNA(MATCH(B3567, _xlfn._xlws.FILTER(B:B, A:A="2021-03"), 0))), "Left", "Ativo")</f>
        <v>Ativo</v>
      </c>
      <c r="F3567" s="12" t="str" cm="1">
        <f t="array" ref="F3567">IF(AND(A3567="2021-03", ISNA(MATCH(B3567, _xlfn._xlws.FILTER(B:B, A:A="2021-04"), 0))), "Left", "Ativo")</f>
        <v>Ativo</v>
      </c>
    </row>
    <row r="3568" spans="1:6" x14ac:dyDescent="0.25">
      <c r="A3568" t="s">
        <v>1531</v>
      </c>
      <c r="B3568" t="s">
        <v>638</v>
      </c>
      <c r="C3568" s="10" t="str" cm="1">
        <f t="array" ref="C3568">IF(AND(A3568="2020-12", ISNA(MATCH(B3568, _xlfn._xlws.FILTER(B:B, A:A="2021-01"), 0))), "Left", "Ativo")</f>
        <v>Ativo</v>
      </c>
      <c r="D3568" s="10" t="str" cm="1">
        <f t="array" ref="D3568">IF(AND(A3568="2021-01", ISNA(MATCH(B3568, _xlfn._xlws.FILTER(B:B, A:A="2021-02"), 0))), "Left", "Ativo")</f>
        <v>Ativo</v>
      </c>
      <c r="E3568" s="10" t="str" cm="1">
        <f t="array" ref="E3568">IF(AND(A3568="2021-02", ISNA(MATCH(B3568, _xlfn._xlws.FILTER(B:B, A:A="2021-03"), 0))), "Left", "Ativo")</f>
        <v>Ativo</v>
      </c>
      <c r="F3568" s="12" t="str" cm="1">
        <f t="array" ref="F3568">IF(AND(A3568="2021-03", ISNA(MATCH(B3568, _xlfn._xlws.FILTER(B:B, A:A="2021-04"), 0))), "Left", "Ativo")</f>
        <v>Ativo</v>
      </c>
    </row>
    <row r="3569" spans="1:6" x14ac:dyDescent="0.25">
      <c r="A3569" t="s">
        <v>1531</v>
      </c>
      <c r="B3569" t="s">
        <v>639</v>
      </c>
      <c r="C3569" s="10" t="str" cm="1">
        <f t="array" ref="C3569">IF(AND(A3569="2020-12", ISNA(MATCH(B3569, _xlfn._xlws.FILTER(B:B, A:A="2021-01"), 0))), "Left", "Ativo")</f>
        <v>Ativo</v>
      </c>
      <c r="D3569" s="10" t="str" cm="1">
        <f t="array" ref="D3569">IF(AND(A3569="2021-01", ISNA(MATCH(B3569, _xlfn._xlws.FILTER(B:B, A:A="2021-02"), 0))), "Left", "Ativo")</f>
        <v>Ativo</v>
      </c>
      <c r="E3569" s="10" t="str" cm="1">
        <f t="array" ref="E3569">IF(AND(A3569="2021-02", ISNA(MATCH(B3569, _xlfn._xlws.FILTER(B:B, A:A="2021-03"), 0))), "Left", "Ativo")</f>
        <v>Ativo</v>
      </c>
      <c r="F3569" s="12" t="str" cm="1">
        <f t="array" ref="F3569">IF(AND(A3569="2021-03", ISNA(MATCH(B3569, _xlfn._xlws.FILTER(B:B, A:A="2021-04"), 0))), "Left", "Ativo")</f>
        <v>Ativo</v>
      </c>
    </row>
    <row r="3570" spans="1:6" x14ac:dyDescent="0.25">
      <c r="A3570" t="s">
        <v>1531</v>
      </c>
      <c r="B3570" t="s">
        <v>640</v>
      </c>
      <c r="C3570" s="10" t="str" cm="1">
        <f t="array" ref="C3570">IF(AND(A3570="2020-12", ISNA(MATCH(B3570, _xlfn._xlws.FILTER(B:B, A:A="2021-01"), 0))), "Left", "Ativo")</f>
        <v>Ativo</v>
      </c>
      <c r="D3570" s="10" t="str" cm="1">
        <f t="array" ref="D3570">IF(AND(A3570="2021-01", ISNA(MATCH(B3570, _xlfn._xlws.FILTER(B:B, A:A="2021-02"), 0))), "Left", "Ativo")</f>
        <v>Ativo</v>
      </c>
      <c r="E3570" s="10" t="str" cm="1">
        <f t="array" ref="E3570">IF(AND(A3570="2021-02", ISNA(MATCH(B3570, _xlfn._xlws.FILTER(B:B, A:A="2021-03"), 0))), "Left", "Ativo")</f>
        <v>Ativo</v>
      </c>
      <c r="F3570" s="12" t="str" cm="1">
        <f t="array" ref="F3570">IF(AND(A3570="2021-03", ISNA(MATCH(B3570, _xlfn._xlws.FILTER(B:B, A:A="2021-04"), 0))), "Left", "Ativo")</f>
        <v>Ativo</v>
      </c>
    </row>
    <row r="3571" spans="1:6" x14ac:dyDescent="0.25">
      <c r="A3571" t="s">
        <v>1531</v>
      </c>
      <c r="B3571" t="s">
        <v>641</v>
      </c>
      <c r="C3571" s="10" t="str" cm="1">
        <f t="array" ref="C3571">IF(AND(A3571="2020-12", ISNA(MATCH(B3571, _xlfn._xlws.FILTER(B:B, A:A="2021-01"), 0))), "Left", "Ativo")</f>
        <v>Ativo</v>
      </c>
      <c r="D3571" s="10" t="str" cm="1">
        <f t="array" ref="D3571">IF(AND(A3571="2021-01", ISNA(MATCH(B3571, _xlfn._xlws.FILTER(B:B, A:A="2021-02"), 0))), "Left", "Ativo")</f>
        <v>Ativo</v>
      </c>
      <c r="E3571" s="10" t="str" cm="1">
        <f t="array" ref="E3571">IF(AND(A3571="2021-02", ISNA(MATCH(B3571, _xlfn._xlws.FILTER(B:B, A:A="2021-03"), 0))), "Left", "Ativo")</f>
        <v>Ativo</v>
      </c>
      <c r="F3571" s="12" t="str" cm="1">
        <f t="array" ref="F3571">IF(AND(A3571="2021-03", ISNA(MATCH(B3571, _xlfn._xlws.FILTER(B:B, A:A="2021-04"), 0))), "Left", "Ativo")</f>
        <v>Ativo</v>
      </c>
    </row>
    <row r="3572" spans="1:6" x14ac:dyDescent="0.25">
      <c r="A3572" t="s">
        <v>1531</v>
      </c>
      <c r="B3572" t="s">
        <v>642</v>
      </c>
      <c r="C3572" s="10" t="str" cm="1">
        <f t="array" ref="C3572">IF(AND(A3572="2020-12", ISNA(MATCH(B3572, _xlfn._xlws.FILTER(B:B, A:A="2021-01"), 0))), "Left", "Ativo")</f>
        <v>Ativo</v>
      </c>
      <c r="D3572" s="10" t="str" cm="1">
        <f t="array" ref="D3572">IF(AND(A3572="2021-01", ISNA(MATCH(B3572, _xlfn._xlws.FILTER(B:B, A:A="2021-02"), 0))), "Left", "Ativo")</f>
        <v>Ativo</v>
      </c>
      <c r="E3572" s="10" t="str" cm="1">
        <f t="array" ref="E3572">IF(AND(A3572="2021-02", ISNA(MATCH(B3572, _xlfn._xlws.FILTER(B:B, A:A="2021-03"), 0))), "Left", "Ativo")</f>
        <v>Ativo</v>
      </c>
      <c r="F3572" s="12" t="str" cm="1">
        <f t="array" ref="F3572">IF(AND(A3572="2021-03", ISNA(MATCH(B3572, _xlfn._xlws.FILTER(B:B, A:A="2021-04"), 0))), "Left", "Ativo")</f>
        <v>Ativo</v>
      </c>
    </row>
    <row r="3573" spans="1:6" x14ac:dyDescent="0.25">
      <c r="A3573" t="s">
        <v>1531</v>
      </c>
      <c r="B3573" t="s">
        <v>643</v>
      </c>
      <c r="C3573" s="10" t="str" cm="1">
        <f t="array" ref="C3573">IF(AND(A3573="2020-12", ISNA(MATCH(B3573, _xlfn._xlws.FILTER(B:B, A:A="2021-01"), 0))), "Left", "Ativo")</f>
        <v>Ativo</v>
      </c>
      <c r="D3573" s="10" t="str" cm="1">
        <f t="array" ref="D3573">IF(AND(A3573="2021-01", ISNA(MATCH(B3573, _xlfn._xlws.FILTER(B:B, A:A="2021-02"), 0))), "Left", "Ativo")</f>
        <v>Ativo</v>
      </c>
      <c r="E3573" s="10" t="str" cm="1">
        <f t="array" ref="E3573">IF(AND(A3573="2021-02", ISNA(MATCH(B3573, _xlfn._xlws.FILTER(B:B, A:A="2021-03"), 0))), "Left", "Ativo")</f>
        <v>Ativo</v>
      </c>
      <c r="F3573" s="12" t="str" cm="1">
        <f t="array" ref="F3573">IF(AND(A3573="2021-03", ISNA(MATCH(B3573, _xlfn._xlws.FILTER(B:B, A:A="2021-04"), 0))), "Left", "Ativo")</f>
        <v>Ativo</v>
      </c>
    </row>
    <row r="3574" spans="1:6" x14ac:dyDescent="0.25">
      <c r="A3574" t="s">
        <v>1531</v>
      </c>
      <c r="B3574" t="s">
        <v>644</v>
      </c>
      <c r="C3574" s="10" t="str" cm="1">
        <f t="array" ref="C3574">IF(AND(A3574="2020-12", ISNA(MATCH(B3574, _xlfn._xlws.FILTER(B:B, A:A="2021-01"), 0))), "Left", "Ativo")</f>
        <v>Ativo</v>
      </c>
      <c r="D3574" s="10" t="str" cm="1">
        <f t="array" ref="D3574">IF(AND(A3574="2021-01", ISNA(MATCH(B3574, _xlfn._xlws.FILTER(B:B, A:A="2021-02"), 0))), "Left", "Ativo")</f>
        <v>Ativo</v>
      </c>
      <c r="E3574" s="10" t="str" cm="1">
        <f t="array" ref="E3574">IF(AND(A3574="2021-02", ISNA(MATCH(B3574, _xlfn._xlws.FILTER(B:B, A:A="2021-03"), 0))), "Left", "Ativo")</f>
        <v>Ativo</v>
      </c>
      <c r="F3574" s="12" t="str" cm="1">
        <f t="array" ref="F3574">IF(AND(A3574="2021-03", ISNA(MATCH(B3574, _xlfn._xlws.FILTER(B:B, A:A="2021-04"), 0))), "Left", "Ativo")</f>
        <v>Left</v>
      </c>
    </row>
    <row r="3575" spans="1:6" x14ac:dyDescent="0.25">
      <c r="A3575" t="s">
        <v>1531</v>
      </c>
      <c r="B3575" t="s">
        <v>645</v>
      </c>
      <c r="C3575" s="10" t="str" cm="1">
        <f t="array" ref="C3575">IF(AND(A3575="2020-12", ISNA(MATCH(B3575, _xlfn._xlws.FILTER(B:B, A:A="2021-01"), 0))), "Left", "Ativo")</f>
        <v>Ativo</v>
      </c>
      <c r="D3575" s="10" t="str" cm="1">
        <f t="array" ref="D3575">IF(AND(A3575="2021-01", ISNA(MATCH(B3575, _xlfn._xlws.FILTER(B:B, A:A="2021-02"), 0))), "Left", "Ativo")</f>
        <v>Ativo</v>
      </c>
      <c r="E3575" s="10" t="str" cm="1">
        <f t="array" ref="E3575">IF(AND(A3575="2021-02", ISNA(MATCH(B3575, _xlfn._xlws.FILTER(B:B, A:A="2021-03"), 0))), "Left", "Ativo")</f>
        <v>Ativo</v>
      </c>
      <c r="F3575" s="12" t="str" cm="1">
        <f t="array" ref="F3575">IF(AND(A3575="2021-03", ISNA(MATCH(B3575, _xlfn._xlws.FILTER(B:B, A:A="2021-04"), 0))), "Left", "Ativo")</f>
        <v>Left</v>
      </c>
    </row>
    <row r="3576" spans="1:6" x14ac:dyDescent="0.25">
      <c r="A3576" t="s">
        <v>1531</v>
      </c>
      <c r="B3576" t="s">
        <v>646</v>
      </c>
      <c r="C3576" s="10" t="str" cm="1">
        <f t="array" ref="C3576">IF(AND(A3576="2020-12", ISNA(MATCH(B3576, _xlfn._xlws.FILTER(B:B, A:A="2021-01"), 0))), "Left", "Ativo")</f>
        <v>Ativo</v>
      </c>
      <c r="D3576" s="10" t="str" cm="1">
        <f t="array" ref="D3576">IF(AND(A3576="2021-01", ISNA(MATCH(B3576, _xlfn._xlws.FILTER(B:B, A:A="2021-02"), 0))), "Left", "Ativo")</f>
        <v>Ativo</v>
      </c>
      <c r="E3576" s="10" t="str" cm="1">
        <f t="array" ref="E3576">IF(AND(A3576="2021-02", ISNA(MATCH(B3576, _xlfn._xlws.FILTER(B:B, A:A="2021-03"), 0))), "Left", "Ativo")</f>
        <v>Ativo</v>
      </c>
      <c r="F3576" s="12" t="str" cm="1">
        <f t="array" ref="F3576">IF(AND(A3576="2021-03", ISNA(MATCH(B3576, _xlfn._xlws.FILTER(B:B, A:A="2021-04"), 0))), "Left", "Ativo")</f>
        <v>Ativo</v>
      </c>
    </row>
    <row r="3577" spans="1:6" x14ac:dyDescent="0.25">
      <c r="A3577" t="s">
        <v>1531</v>
      </c>
      <c r="B3577" t="s">
        <v>647</v>
      </c>
      <c r="C3577" s="10" t="str" cm="1">
        <f t="array" ref="C3577">IF(AND(A3577="2020-12", ISNA(MATCH(B3577, _xlfn._xlws.FILTER(B:B, A:A="2021-01"), 0))), "Left", "Ativo")</f>
        <v>Ativo</v>
      </c>
      <c r="D3577" s="10" t="str" cm="1">
        <f t="array" ref="D3577">IF(AND(A3577="2021-01", ISNA(MATCH(B3577, _xlfn._xlws.FILTER(B:B, A:A="2021-02"), 0))), "Left", "Ativo")</f>
        <v>Ativo</v>
      </c>
      <c r="E3577" s="10" t="str" cm="1">
        <f t="array" ref="E3577">IF(AND(A3577="2021-02", ISNA(MATCH(B3577, _xlfn._xlws.FILTER(B:B, A:A="2021-03"), 0))), "Left", "Ativo")</f>
        <v>Ativo</v>
      </c>
      <c r="F3577" s="12" t="str" cm="1">
        <f t="array" ref="F3577">IF(AND(A3577="2021-03", ISNA(MATCH(B3577, _xlfn._xlws.FILTER(B:B, A:A="2021-04"), 0))), "Left", "Ativo")</f>
        <v>Ativo</v>
      </c>
    </row>
    <row r="3578" spans="1:6" x14ac:dyDescent="0.25">
      <c r="A3578" t="s">
        <v>1531</v>
      </c>
      <c r="B3578" t="s">
        <v>649</v>
      </c>
      <c r="C3578" s="10" t="str" cm="1">
        <f t="array" ref="C3578">IF(AND(A3578="2020-12", ISNA(MATCH(B3578, _xlfn._xlws.FILTER(B:B, A:A="2021-01"), 0))), "Left", "Ativo")</f>
        <v>Ativo</v>
      </c>
      <c r="D3578" s="10" t="str" cm="1">
        <f t="array" ref="D3578">IF(AND(A3578="2021-01", ISNA(MATCH(B3578, _xlfn._xlws.FILTER(B:B, A:A="2021-02"), 0))), "Left", "Ativo")</f>
        <v>Ativo</v>
      </c>
      <c r="E3578" s="10" t="str" cm="1">
        <f t="array" ref="E3578">IF(AND(A3578="2021-02", ISNA(MATCH(B3578, _xlfn._xlws.FILTER(B:B, A:A="2021-03"), 0))), "Left", "Ativo")</f>
        <v>Ativo</v>
      </c>
      <c r="F3578" s="12" t="str" cm="1">
        <f t="array" ref="F3578">IF(AND(A3578="2021-03", ISNA(MATCH(B3578, _xlfn._xlws.FILTER(B:B, A:A="2021-04"), 0))), "Left", "Ativo")</f>
        <v>Ativo</v>
      </c>
    </row>
    <row r="3579" spans="1:6" x14ac:dyDescent="0.25">
      <c r="A3579" t="s">
        <v>1531</v>
      </c>
      <c r="B3579" t="s">
        <v>650</v>
      </c>
      <c r="C3579" s="10" t="str" cm="1">
        <f t="array" ref="C3579">IF(AND(A3579="2020-12", ISNA(MATCH(B3579, _xlfn._xlws.FILTER(B:B, A:A="2021-01"), 0))), "Left", "Ativo")</f>
        <v>Ativo</v>
      </c>
      <c r="D3579" s="10" t="str" cm="1">
        <f t="array" ref="D3579">IF(AND(A3579="2021-01", ISNA(MATCH(B3579, _xlfn._xlws.FILTER(B:B, A:A="2021-02"), 0))), "Left", "Ativo")</f>
        <v>Ativo</v>
      </c>
      <c r="E3579" s="10" t="str" cm="1">
        <f t="array" ref="E3579">IF(AND(A3579="2021-02", ISNA(MATCH(B3579, _xlfn._xlws.FILTER(B:B, A:A="2021-03"), 0))), "Left", "Ativo")</f>
        <v>Ativo</v>
      </c>
      <c r="F3579" s="12" t="str" cm="1">
        <f t="array" ref="F3579">IF(AND(A3579="2021-03", ISNA(MATCH(B3579, _xlfn._xlws.FILTER(B:B, A:A="2021-04"), 0))), "Left", "Ativo")</f>
        <v>Ativo</v>
      </c>
    </row>
    <row r="3580" spans="1:6" x14ac:dyDescent="0.25">
      <c r="A3580" t="s">
        <v>1531</v>
      </c>
      <c r="B3580" t="s">
        <v>651</v>
      </c>
      <c r="C3580" s="10" t="str" cm="1">
        <f t="array" ref="C3580">IF(AND(A3580="2020-12", ISNA(MATCH(B3580, _xlfn._xlws.FILTER(B:B, A:A="2021-01"), 0))), "Left", "Ativo")</f>
        <v>Ativo</v>
      </c>
      <c r="D3580" s="10" t="str" cm="1">
        <f t="array" ref="D3580">IF(AND(A3580="2021-01", ISNA(MATCH(B3580, _xlfn._xlws.FILTER(B:B, A:A="2021-02"), 0))), "Left", "Ativo")</f>
        <v>Ativo</v>
      </c>
      <c r="E3580" s="10" t="str" cm="1">
        <f t="array" ref="E3580">IF(AND(A3580="2021-02", ISNA(MATCH(B3580, _xlfn._xlws.FILTER(B:B, A:A="2021-03"), 0))), "Left", "Ativo")</f>
        <v>Ativo</v>
      </c>
      <c r="F3580" s="12" t="str" cm="1">
        <f t="array" ref="F3580">IF(AND(A3580="2021-03", ISNA(MATCH(B3580, _xlfn._xlws.FILTER(B:B, A:A="2021-04"), 0))), "Left", "Ativo")</f>
        <v>Ativo</v>
      </c>
    </row>
    <row r="3581" spans="1:6" x14ac:dyDescent="0.25">
      <c r="A3581" t="s">
        <v>1531</v>
      </c>
      <c r="B3581" t="s">
        <v>652</v>
      </c>
      <c r="C3581" s="10" t="str" cm="1">
        <f t="array" ref="C3581">IF(AND(A3581="2020-12", ISNA(MATCH(B3581, _xlfn._xlws.FILTER(B:B, A:A="2021-01"), 0))), "Left", "Ativo")</f>
        <v>Ativo</v>
      </c>
      <c r="D3581" s="10" t="str" cm="1">
        <f t="array" ref="D3581">IF(AND(A3581="2021-01", ISNA(MATCH(B3581, _xlfn._xlws.FILTER(B:B, A:A="2021-02"), 0))), "Left", "Ativo")</f>
        <v>Ativo</v>
      </c>
      <c r="E3581" s="10" t="str" cm="1">
        <f t="array" ref="E3581">IF(AND(A3581="2021-02", ISNA(MATCH(B3581, _xlfn._xlws.FILTER(B:B, A:A="2021-03"), 0))), "Left", "Ativo")</f>
        <v>Ativo</v>
      </c>
      <c r="F3581" s="12" t="str" cm="1">
        <f t="array" ref="F3581">IF(AND(A3581="2021-03", ISNA(MATCH(B3581, _xlfn._xlws.FILTER(B:B, A:A="2021-04"), 0))), "Left", "Ativo")</f>
        <v>Ativo</v>
      </c>
    </row>
    <row r="3582" spans="1:6" x14ac:dyDescent="0.25">
      <c r="A3582" t="s">
        <v>1531</v>
      </c>
      <c r="B3582" t="s">
        <v>653</v>
      </c>
      <c r="C3582" s="10" t="str" cm="1">
        <f t="array" ref="C3582">IF(AND(A3582="2020-12", ISNA(MATCH(B3582, _xlfn._xlws.FILTER(B:B, A:A="2021-01"), 0))), "Left", "Ativo")</f>
        <v>Ativo</v>
      </c>
      <c r="D3582" s="10" t="str" cm="1">
        <f t="array" ref="D3582">IF(AND(A3582="2021-01", ISNA(MATCH(B3582, _xlfn._xlws.FILTER(B:B, A:A="2021-02"), 0))), "Left", "Ativo")</f>
        <v>Ativo</v>
      </c>
      <c r="E3582" s="10" t="str" cm="1">
        <f t="array" ref="E3582">IF(AND(A3582="2021-02", ISNA(MATCH(B3582, _xlfn._xlws.FILTER(B:B, A:A="2021-03"), 0))), "Left", "Ativo")</f>
        <v>Ativo</v>
      </c>
      <c r="F3582" s="12" t="str" cm="1">
        <f t="array" ref="F3582">IF(AND(A3582="2021-03", ISNA(MATCH(B3582, _xlfn._xlws.FILTER(B:B, A:A="2021-04"), 0))), "Left", "Ativo")</f>
        <v>Ativo</v>
      </c>
    </row>
    <row r="3583" spans="1:6" x14ac:dyDescent="0.25">
      <c r="A3583" t="s">
        <v>1531</v>
      </c>
      <c r="B3583" t="s">
        <v>654</v>
      </c>
      <c r="C3583" s="10" t="str" cm="1">
        <f t="array" ref="C3583">IF(AND(A3583="2020-12", ISNA(MATCH(B3583, _xlfn._xlws.FILTER(B:B, A:A="2021-01"), 0))), "Left", "Ativo")</f>
        <v>Ativo</v>
      </c>
      <c r="D3583" s="10" t="str" cm="1">
        <f t="array" ref="D3583">IF(AND(A3583="2021-01", ISNA(MATCH(B3583, _xlfn._xlws.FILTER(B:B, A:A="2021-02"), 0))), "Left", "Ativo")</f>
        <v>Ativo</v>
      </c>
      <c r="E3583" s="10" t="str" cm="1">
        <f t="array" ref="E3583">IF(AND(A3583="2021-02", ISNA(MATCH(B3583, _xlfn._xlws.FILTER(B:B, A:A="2021-03"), 0))), "Left", "Ativo")</f>
        <v>Ativo</v>
      </c>
      <c r="F3583" s="12" t="str" cm="1">
        <f t="array" ref="F3583">IF(AND(A3583="2021-03", ISNA(MATCH(B3583, _xlfn._xlws.FILTER(B:B, A:A="2021-04"), 0))), "Left", "Ativo")</f>
        <v>Ativo</v>
      </c>
    </row>
    <row r="3584" spans="1:6" x14ac:dyDescent="0.25">
      <c r="A3584" t="s">
        <v>1531</v>
      </c>
      <c r="B3584" t="s">
        <v>655</v>
      </c>
      <c r="C3584" s="10" t="str" cm="1">
        <f t="array" ref="C3584">IF(AND(A3584="2020-12", ISNA(MATCH(B3584, _xlfn._xlws.FILTER(B:B, A:A="2021-01"), 0))), "Left", "Ativo")</f>
        <v>Ativo</v>
      </c>
      <c r="D3584" s="10" t="str" cm="1">
        <f t="array" ref="D3584">IF(AND(A3584="2021-01", ISNA(MATCH(B3584, _xlfn._xlws.FILTER(B:B, A:A="2021-02"), 0))), "Left", "Ativo")</f>
        <v>Ativo</v>
      </c>
      <c r="E3584" s="10" t="str" cm="1">
        <f t="array" ref="E3584">IF(AND(A3584="2021-02", ISNA(MATCH(B3584, _xlfn._xlws.FILTER(B:B, A:A="2021-03"), 0))), "Left", "Ativo")</f>
        <v>Ativo</v>
      </c>
      <c r="F3584" s="12" t="str" cm="1">
        <f t="array" ref="F3584">IF(AND(A3584="2021-03", ISNA(MATCH(B3584, _xlfn._xlws.FILTER(B:B, A:A="2021-04"), 0))), "Left", "Ativo")</f>
        <v>Ativo</v>
      </c>
    </row>
    <row r="3585" spans="1:6" x14ac:dyDescent="0.25">
      <c r="A3585" t="s">
        <v>1531</v>
      </c>
      <c r="B3585" t="s">
        <v>656</v>
      </c>
      <c r="C3585" s="10" t="str" cm="1">
        <f t="array" ref="C3585">IF(AND(A3585="2020-12", ISNA(MATCH(B3585, _xlfn._xlws.FILTER(B:B, A:A="2021-01"), 0))), "Left", "Ativo")</f>
        <v>Ativo</v>
      </c>
      <c r="D3585" s="10" t="str" cm="1">
        <f t="array" ref="D3585">IF(AND(A3585="2021-01", ISNA(MATCH(B3585, _xlfn._xlws.FILTER(B:B, A:A="2021-02"), 0))), "Left", "Ativo")</f>
        <v>Ativo</v>
      </c>
      <c r="E3585" s="10" t="str" cm="1">
        <f t="array" ref="E3585">IF(AND(A3585="2021-02", ISNA(MATCH(B3585, _xlfn._xlws.FILTER(B:B, A:A="2021-03"), 0))), "Left", "Ativo")</f>
        <v>Ativo</v>
      </c>
      <c r="F3585" s="12" t="str" cm="1">
        <f t="array" ref="F3585">IF(AND(A3585="2021-03", ISNA(MATCH(B3585, _xlfn._xlws.FILTER(B:B, A:A="2021-04"), 0))), "Left", "Ativo")</f>
        <v>Ativo</v>
      </c>
    </row>
    <row r="3586" spans="1:6" x14ac:dyDescent="0.25">
      <c r="A3586" t="s">
        <v>1531</v>
      </c>
      <c r="B3586" t="s">
        <v>657</v>
      </c>
      <c r="C3586" s="10" t="str" cm="1">
        <f t="array" ref="C3586">IF(AND(A3586="2020-12", ISNA(MATCH(B3586, _xlfn._xlws.FILTER(B:B, A:A="2021-01"), 0))), "Left", "Ativo")</f>
        <v>Ativo</v>
      </c>
      <c r="D3586" s="10" t="str" cm="1">
        <f t="array" ref="D3586">IF(AND(A3586="2021-01", ISNA(MATCH(B3586, _xlfn._xlws.FILTER(B:B, A:A="2021-02"), 0))), "Left", "Ativo")</f>
        <v>Ativo</v>
      </c>
      <c r="E3586" s="10" t="str" cm="1">
        <f t="array" ref="E3586">IF(AND(A3586="2021-02", ISNA(MATCH(B3586, _xlfn._xlws.FILTER(B:B, A:A="2021-03"), 0))), "Left", "Ativo")</f>
        <v>Ativo</v>
      </c>
      <c r="F3586" s="12" t="str" cm="1">
        <f t="array" ref="F3586">IF(AND(A3586="2021-03", ISNA(MATCH(B3586, _xlfn._xlws.FILTER(B:B, A:A="2021-04"), 0))), "Left", "Ativo")</f>
        <v>Ativo</v>
      </c>
    </row>
    <row r="3587" spans="1:6" x14ac:dyDescent="0.25">
      <c r="A3587" t="s">
        <v>1531</v>
      </c>
      <c r="B3587" t="s">
        <v>658</v>
      </c>
      <c r="C3587" s="10" t="str" cm="1">
        <f t="array" ref="C3587">IF(AND(A3587="2020-12", ISNA(MATCH(B3587, _xlfn._xlws.FILTER(B:B, A:A="2021-01"), 0))), "Left", "Ativo")</f>
        <v>Ativo</v>
      </c>
      <c r="D3587" s="10" t="str" cm="1">
        <f t="array" ref="D3587">IF(AND(A3587="2021-01", ISNA(MATCH(B3587, _xlfn._xlws.FILTER(B:B, A:A="2021-02"), 0))), "Left", "Ativo")</f>
        <v>Ativo</v>
      </c>
      <c r="E3587" s="10" t="str" cm="1">
        <f t="array" ref="E3587">IF(AND(A3587="2021-02", ISNA(MATCH(B3587, _xlfn._xlws.FILTER(B:B, A:A="2021-03"), 0))), "Left", "Ativo")</f>
        <v>Ativo</v>
      </c>
      <c r="F3587" s="12" t="str" cm="1">
        <f t="array" ref="F3587">IF(AND(A3587="2021-03", ISNA(MATCH(B3587, _xlfn._xlws.FILTER(B:B, A:A="2021-04"), 0))), "Left", "Ativo")</f>
        <v>Ativo</v>
      </c>
    </row>
    <row r="3588" spans="1:6" x14ac:dyDescent="0.25">
      <c r="A3588" t="s">
        <v>1531</v>
      </c>
      <c r="B3588" t="s">
        <v>659</v>
      </c>
      <c r="C3588" s="10" t="str" cm="1">
        <f t="array" ref="C3588">IF(AND(A3588="2020-12", ISNA(MATCH(B3588, _xlfn._xlws.FILTER(B:B, A:A="2021-01"), 0))), "Left", "Ativo")</f>
        <v>Ativo</v>
      </c>
      <c r="D3588" s="10" t="str" cm="1">
        <f t="array" ref="D3588">IF(AND(A3588="2021-01", ISNA(MATCH(B3588, _xlfn._xlws.FILTER(B:B, A:A="2021-02"), 0))), "Left", "Ativo")</f>
        <v>Ativo</v>
      </c>
      <c r="E3588" s="10" t="str" cm="1">
        <f t="array" ref="E3588">IF(AND(A3588="2021-02", ISNA(MATCH(B3588, _xlfn._xlws.FILTER(B:B, A:A="2021-03"), 0))), "Left", "Ativo")</f>
        <v>Ativo</v>
      </c>
      <c r="F3588" s="12" t="str" cm="1">
        <f t="array" ref="F3588">IF(AND(A3588="2021-03", ISNA(MATCH(B3588, _xlfn._xlws.FILTER(B:B, A:A="2021-04"), 0))), "Left", "Ativo")</f>
        <v>Ativo</v>
      </c>
    </row>
    <row r="3589" spans="1:6" x14ac:dyDescent="0.25">
      <c r="A3589" t="s">
        <v>1531</v>
      </c>
      <c r="B3589" t="s">
        <v>660</v>
      </c>
      <c r="C3589" s="10" t="str" cm="1">
        <f t="array" ref="C3589">IF(AND(A3589="2020-12", ISNA(MATCH(B3589, _xlfn._xlws.FILTER(B:B, A:A="2021-01"), 0))), "Left", "Ativo")</f>
        <v>Ativo</v>
      </c>
      <c r="D3589" s="10" t="str" cm="1">
        <f t="array" ref="D3589">IF(AND(A3589="2021-01", ISNA(MATCH(B3589, _xlfn._xlws.FILTER(B:B, A:A="2021-02"), 0))), "Left", "Ativo")</f>
        <v>Ativo</v>
      </c>
      <c r="E3589" s="10" t="str" cm="1">
        <f t="array" ref="E3589">IF(AND(A3589="2021-02", ISNA(MATCH(B3589, _xlfn._xlws.FILTER(B:B, A:A="2021-03"), 0))), "Left", "Ativo")</f>
        <v>Ativo</v>
      </c>
      <c r="F3589" s="12" t="str" cm="1">
        <f t="array" ref="F3589">IF(AND(A3589="2021-03", ISNA(MATCH(B3589, _xlfn._xlws.FILTER(B:B, A:A="2021-04"), 0))), "Left", "Ativo")</f>
        <v>Ativo</v>
      </c>
    </row>
    <row r="3590" spans="1:6" x14ac:dyDescent="0.25">
      <c r="A3590" t="s">
        <v>1531</v>
      </c>
      <c r="B3590" t="s">
        <v>661</v>
      </c>
      <c r="C3590" s="10" t="str" cm="1">
        <f t="array" ref="C3590">IF(AND(A3590="2020-12", ISNA(MATCH(B3590, _xlfn._xlws.FILTER(B:B, A:A="2021-01"), 0))), "Left", "Ativo")</f>
        <v>Ativo</v>
      </c>
      <c r="D3590" s="10" t="str" cm="1">
        <f t="array" ref="D3590">IF(AND(A3590="2021-01", ISNA(MATCH(B3590, _xlfn._xlws.FILTER(B:B, A:A="2021-02"), 0))), "Left", "Ativo")</f>
        <v>Ativo</v>
      </c>
      <c r="E3590" s="10" t="str" cm="1">
        <f t="array" ref="E3590">IF(AND(A3590="2021-02", ISNA(MATCH(B3590, _xlfn._xlws.FILTER(B:B, A:A="2021-03"), 0))), "Left", "Ativo")</f>
        <v>Ativo</v>
      </c>
      <c r="F3590" s="12" t="str" cm="1">
        <f t="array" ref="F3590">IF(AND(A3590="2021-03", ISNA(MATCH(B3590, _xlfn._xlws.FILTER(B:B, A:A="2021-04"), 0))), "Left", "Ativo")</f>
        <v>Ativo</v>
      </c>
    </row>
    <row r="3591" spans="1:6" x14ac:dyDescent="0.25">
      <c r="A3591" t="s">
        <v>1531</v>
      </c>
      <c r="B3591" t="s">
        <v>662</v>
      </c>
      <c r="C3591" s="10" t="str" cm="1">
        <f t="array" ref="C3591">IF(AND(A3591="2020-12", ISNA(MATCH(B3591, _xlfn._xlws.FILTER(B:B, A:A="2021-01"), 0))), "Left", "Ativo")</f>
        <v>Ativo</v>
      </c>
      <c r="D3591" s="10" t="str" cm="1">
        <f t="array" ref="D3591">IF(AND(A3591="2021-01", ISNA(MATCH(B3591, _xlfn._xlws.FILTER(B:B, A:A="2021-02"), 0))), "Left", "Ativo")</f>
        <v>Ativo</v>
      </c>
      <c r="E3591" s="10" t="str" cm="1">
        <f t="array" ref="E3591">IF(AND(A3591="2021-02", ISNA(MATCH(B3591, _xlfn._xlws.FILTER(B:B, A:A="2021-03"), 0))), "Left", "Ativo")</f>
        <v>Ativo</v>
      </c>
      <c r="F3591" s="12" t="str" cm="1">
        <f t="array" ref="F3591">IF(AND(A3591="2021-03", ISNA(MATCH(B3591, _xlfn._xlws.FILTER(B:B, A:A="2021-04"), 0))), "Left", "Ativo")</f>
        <v>Ativo</v>
      </c>
    </row>
    <row r="3592" spans="1:6" x14ac:dyDescent="0.25">
      <c r="A3592" t="s">
        <v>1531</v>
      </c>
      <c r="B3592" t="s">
        <v>663</v>
      </c>
      <c r="C3592" s="10" t="str" cm="1">
        <f t="array" ref="C3592">IF(AND(A3592="2020-12", ISNA(MATCH(B3592, _xlfn._xlws.FILTER(B:B, A:A="2021-01"), 0))), "Left", "Ativo")</f>
        <v>Ativo</v>
      </c>
      <c r="D3592" s="10" t="str" cm="1">
        <f t="array" ref="D3592">IF(AND(A3592="2021-01", ISNA(MATCH(B3592, _xlfn._xlws.FILTER(B:B, A:A="2021-02"), 0))), "Left", "Ativo")</f>
        <v>Ativo</v>
      </c>
      <c r="E3592" s="10" t="str" cm="1">
        <f t="array" ref="E3592">IF(AND(A3592="2021-02", ISNA(MATCH(B3592, _xlfn._xlws.FILTER(B:B, A:A="2021-03"), 0))), "Left", "Ativo")</f>
        <v>Ativo</v>
      </c>
      <c r="F3592" s="12" t="str" cm="1">
        <f t="array" ref="F3592">IF(AND(A3592="2021-03", ISNA(MATCH(B3592, _xlfn._xlws.FILTER(B:B, A:A="2021-04"), 0))), "Left", "Ativo")</f>
        <v>Ativo</v>
      </c>
    </row>
    <row r="3593" spans="1:6" x14ac:dyDescent="0.25">
      <c r="A3593" t="s">
        <v>1531</v>
      </c>
      <c r="B3593" t="s">
        <v>664</v>
      </c>
      <c r="C3593" s="10" t="str" cm="1">
        <f t="array" ref="C3593">IF(AND(A3593="2020-12", ISNA(MATCH(B3593, _xlfn._xlws.FILTER(B:B, A:A="2021-01"), 0))), "Left", "Ativo")</f>
        <v>Ativo</v>
      </c>
      <c r="D3593" s="10" t="str" cm="1">
        <f t="array" ref="D3593">IF(AND(A3593="2021-01", ISNA(MATCH(B3593, _xlfn._xlws.FILTER(B:B, A:A="2021-02"), 0))), "Left", "Ativo")</f>
        <v>Ativo</v>
      </c>
      <c r="E3593" s="10" t="str" cm="1">
        <f t="array" ref="E3593">IF(AND(A3593="2021-02", ISNA(MATCH(B3593, _xlfn._xlws.FILTER(B:B, A:A="2021-03"), 0))), "Left", "Ativo")</f>
        <v>Ativo</v>
      </c>
      <c r="F3593" s="12" t="str" cm="1">
        <f t="array" ref="F3593">IF(AND(A3593="2021-03", ISNA(MATCH(B3593, _xlfn._xlws.FILTER(B:B, A:A="2021-04"), 0))), "Left", "Ativo")</f>
        <v>Ativo</v>
      </c>
    </row>
    <row r="3594" spans="1:6" x14ac:dyDescent="0.25">
      <c r="A3594" t="s">
        <v>1531</v>
      </c>
      <c r="B3594" t="s">
        <v>665</v>
      </c>
      <c r="C3594" s="10" t="str" cm="1">
        <f t="array" ref="C3594">IF(AND(A3594="2020-12", ISNA(MATCH(B3594, _xlfn._xlws.FILTER(B:B, A:A="2021-01"), 0))), "Left", "Ativo")</f>
        <v>Ativo</v>
      </c>
      <c r="D3594" s="10" t="str" cm="1">
        <f t="array" ref="D3594">IF(AND(A3594="2021-01", ISNA(MATCH(B3594, _xlfn._xlws.FILTER(B:B, A:A="2021-02"), 0))), "Left", "Ativo")</f>
        <v>Ativo</v>
      </c>
      <c r="E3594" s="10" t="str" cm="1">
        <f t="array" ref="E3594">IF(AND(A3594="2021-02", ISNA(MATCH(B3594, _xlfn._xlws.FILTER(B:B, A:A="2021-03"), 0))), "Left", "Ativo")</f>
        <v>Ativo</v>
      </c>
      <c r="F3594" s="12" t="str" cm="1">
        <f t="array" ref="F3594">IF(AND(A3594="2021-03", ISNA(MATCH(B3594, _xlfn._xlws.FILTER(B:B, A:A="2021-04"), 0))), "Left", "Ativo")</f>
        <v>Ativo</v>
      </c>
    </row>
    <row r="3595" spans="1:6" x14ac:dyDescent="0.25">
      <c r="A3595" t="s">
        <v>1531</v>
      </c>
      <c r="B3595" t="s">
        <v>666</v>
      </c>
      <c r="C3595" s="10" t="str" cm="1">
        <f t="array" ref="C3595">IF(AND(A3595="2020-12", ISNA(MATCH(B3595, _xlfn._xlws.FILTER(B:B, A:A="2021-01"), 0))), "Left", "Ativo")</f>
        <v>Ativo</v>
      </c>
      <c r="D3595" s="10" t="str" cm="1">
        <f t="array" ref="D3595">IF(AND(A3595="2021-01", ISNA(MATCH(B3595, _xlfn._xlws.FILTER(B:B, A:A="2021-02"), 0))), "Left", "Ativo")</f>
        <v>Ativo</v>
      </c>
      <c r="E3595" s="10" t="str" cm="1">
        <f t="array" ref="E3595">IF(AND(A3595="2021-02", ISNA(MATCH(B3595, _xlfn._xlws.FILTER(B:B, A:A="2021-03"), 0))), "Left", "Ativo")</f>
        <v>Ativo</v>
      </c>
      <c r="F3595" s="12" t="str" cm="1">
        <f t="array" ref="F3595">IF(AND(A3595="2021-03", ISNA(MATCH(B3595, _xlfn._xlws.FILTER(B:B, A:A="2021-04"), 0))), "Left", "Ativo")</f>
        <v>Ativo</v>
      </c>
    </row>
    <row r="3596" spans="1:6" x14ac:dyDescent="0.25">
      <c r="A3596" t="s">
        <v>1531</v>
      </c>
      <c r="B3596" t="s">
        <v>667</v>
      </c>
      <c r="C3596" s="10" t="str" cm="1">
        <f t="array" ref="C3596">IF(AND(A3596="2020-12", ISNA(MATCH(B3596, _xlfn._xlws.FILTER(B:B, A:A="2021-01"), 0))), "Left", "Ativo")</f>
        <v>Ativo</v>
      </c>
      <c r="D3596" s="10" t="str" cm="1">
        <f t="array" ref="D3596">IF(AND(A3596="2021-01", ISNA(MATCH(B3596, _xlfn._xlws.FILTER(B:B, A:A="2021-02"), 0))), "Left", "Ativo")</f>
        <v>Ativo</v>
      </c>
      <c r="E3596" s="10" t="str" cm="1">
        <f t="array" ref="E3596">IF(AND(A3596="2021-02", ISNA(MATCH(B3596, _xlfn._xlws.FILTER(B:B, A:A="2021-03"), 0))), "Left", "Ativo")</f>
        <v>Ativo</v>
      </c>
      <c r="F3596" s="12" t="str" cm="1">
        <f t="array" ref="F3596">IF(AND(A3596="2021-03", ISNA(MATCH(B3596, _xlfn._xlws.FILTER(B:B, A:A="2021-04"), 0))), "Left", "Ativo")</f>
        <v>Ativo</v>
      </c>
    </row>
    <row r="3597" spans="1:6" x14ac:dyDescent="0.25">
      <c r="A3597" t="s">
        <v>1531</v>
      </c>
      <c r="B3597" t="s">
        <v>668</v>
      </c>
      <c r="C3597" s="10" t="str" cm="1">
        <f t="array" ref="C3597">IF(AND(A3597="2020-12", ISNA(MATCH(B3597, _xlfn._xlws.FILTER(B:B, A:A="2021-01"), 0))), "Left", "Ativo")</f>
        <v>Ativo</v>
      </c>
      <c r="D3597" s="10" t="str" cm="1">
        <f t="array" ref="D3597">IF(AND(A3597="2021-01", ISNA(MATCH(B3597, _xlfn._xlws.FILTER(B:B, A:A="2021-02"), 0))), "Left", "Ativo")</f>
        <v>Ativo</v>
      </c>
      <c r="E3597" s="10" t="str" cm="1">
        <f t="array" ref="E3597">IF(AND(A3597="2021-02", ISNA(MATCH(B3597, _xlfn._xlws.FILTER(B:B, A:A="2021-03"), 0))), "Left", "Ativo")</f>
        <v>Ativo</v>
      </c>
      <c r="F3597" s="12" t="str" cm="1">
        <f t="array" ref="F3597">IF(AND(A3597="2021-03", ISNA(MATCH(B3597, _xlfn._xlws.FILTER(B:B, A:A="2021-04"), 0))), "Left", "Ativo")</f>
        <v>Ativo</v>
      </c>
    </row>
    <row r="3598" spans="1:6" x14ac:dyDescent="0.25">
      <c r="A3598" t="s">
        <v>1531</v>
      </c>
      <c r="B3598" t="s">
        <v>669</v>
      </c>
      <c r="C3598" s="10" t="str" cm="1">
        <f t="array" ref="C3598">IF(AND(A3598="2020-12", ISNA(MATCH(B3598, _xlfn._xlws.FILTER(B:B, A:A="2021-01"), 0))), "Left", "Ativo")</f>
        <v>Ativo</v>
      </c>
      <c r="D3598" s="10" t="str" cm="1">
        <f t="array" ref="D3598">IF(AND(A3598="2021-01", ISNA(MATCH(B3598, _xlfn._xlws.FILTER(B:B, A:A="2021-02"), 0))), "Left", "Ativo")</f>
        <v>Ativo</v>
      </c>
      <c r="E3598" s="10" t="str" cm="1">
        <f t="array" ref="E3598">IF(AND(A3598="2021-02", ISNA(MATCH(B3598, _xlfn._xlws.FILTER(B:B, A:A="2021-03"), 0))), "Left", "Ativo")</f>
        <v>Ativo</v>
      </c>
      <c r="F3598" s="12" t="str" cm="1">
        <f t="array" ref="F3598">IF(AND(A3598="2021-03", ISNA(MATCH(B3598, _xlfn._xlws.FILTER(B:B, A:A="2021-04"), 0))), "Left", "Ativo")</f>
        <v>Ativo</v>
      </c>
    </row>
    <row r="3599" spans="1:6" x14ac:dyDescent="0.25">
      <c r="A3599" t="s">
        <v>1531</v>
      </c>
      <c r="B3599" t="s">
        <v>670</v>
      </c>
      <c r="C3599" s="10" t="str" cm="1">
        <f t="array" ref="C3599">IF(AND(A3599="2020-12", ISNA(MATCH(B3599, _xlfn._xlws.FILTER(B:B, A:A="2021-01"), 0))), "Left", "Ativo")</f>
        <v>Ativo</v>
      </c>
      <c r="D3599" s="10" t="str" cm="1">
        <f t="array" ref="D3599">IF(AND(A3599="2021-01", ISNA(MATCH(B3599, _xlfn._xlws.FILTER(B:B, A:A="2021-02"), 0))), "Left", "Ativo")</f>
        <v>Ativo</v>
      </c>
      <c r="E3599" s="10" t="str" cm="1">
        <f t="array" ref="E3599">IF(AND(A3599="2021-02", ISNA(MATCH(B3599, _xlfn._xlws.FILTER(B:B, A:A="2021-03"), 0))), "Left", "Ativo")</f>
        <v>Ativo</v>
      </c>
      <c r="F3599" s="12" t="str" cm="1">
        <f t="array" ref="F3599">IF(AND(A3599="2021-03", ISNA(MATCH(B3599, _xlfn._xlws.FILTER(B:B, A:A="2021-04"), 0))), "Left", "Ativo")</f>
        <v>Ativo</v>
      </c>
    </row>
    <row r="3600" spans="1:6" x14ac:dyDescent="0.25">
      <c r="A3600" t="s">
        <v>1531</v>
      </c>
      <c r="B3600" t="s">
        <v>671</v>
      </c>
      <c r="C3600" s="10" t="str" cm="1">
        <f t="array" ref="C3600">IF(AND(A3600="2020-12", ISNA(MATCH(B3600, _xlfn._xlws.FILTER(B:B, A:A="2021-01"), 0))), "Left", "Ativo")</f>
        <v>Ativo</v>
      </c>
      <c r="D3600" s="10" t="str" cm="1">
        <f t="array" ref="D3600">IF(AND(A3600="2021-01", ISNA(MATCH(B3600, _xlfn._xlws.FILTER(B:B, A:A="2021-02"), 0))), "Left", "Ativo")</f>
        <v>Ativo</v>
      </c>
      <c r="E3600" s="10" t="str" cm="1">
        <f t="array" ref="E3600">IF(AND(A3600="2021-02", ISNA(MATCH(B3600, _xlfn._xlws.FILTER(B:B, A:A="2021-03"), 0))), "Left", "Ativo")</f>
        <v>Ativo</v>
      </c>
      <c r="F3600" s="12" t="str" cm="1">
        <f t="array" ref="F3600">IF(AND(A3600="2021-03", ISNA(MATCH(B3600, _xlfn._xlws.FILTER(B:B, A:A="2021-04"), 0))), "Left", "Ativo")</f>
        <v>Ativo</v>
      </c>
    </row>
    <row r="3601" spans="1:6" x14ac:dyDescent="0.25">
      <c r="A3601" t="s">
        <v>1531</v>
      </c>
      <c r="B3601" t="s">
        <v>672</v>
      </c>
      <c r="C3601" s="10" t="str" cm="1">
        <f t="array" ref="C3601">IF(AND(A3601="2020-12", ISNA(MATCH(B3601, _xlfn._xlws.FILTER(B:B, A:A="2021-01"), 0))), "Left", "Ativo")</f>
        <v>Ativo</v>
      </c>
      <c r="D3601" s="10" t="str" cm="1">
        <f t="array" ref="D3601">IF(AND(A3601="2021-01", ISNA(MATCH(B3601, _xlfn._xlws.FILTER(B:B, A:A="2021-02"), 0))), "Left", "Ativo")</f>
        <v>Ativo</v>
      </c>
      <c r="E3601" s="10" t="str" cm="1">
        <f t="array" ref="E3601">IF(AND(A3601="2021-02", ISNA(MATCH(B3601, _xlfn._xlws.FILTER(B:B, A:A="2021-03"), 0))), "Left", "Ativo")</f>
        <v>Ativo</v>
      </c>
      <c r="F3601" s="12" t="str" cm="1">
        <f t="array" ref="F3601">IF(AND(A3601="2021-03", ISNA(MATCH(B3601, _xlfn._xlws.FILTER(B:B, A:A="2021-04"), 0))), "Left", "Ativo")</f>
        <v>Ativo</v>
      </c>
    </row>
    <row r="3602" spans="1:6" x14ac:dyDescent="0.25">
      <c r="A3602" t="s">
        <v>1531</v>
      </c>
      <c r="B3602" t="s">
        <v>673</v>
      </c>
      <c r="C3602" s="10" t="str" cm="1">
        <f t="array" ref="C3602">IF(AND(A3602="2020-12", ISNA(MATCH(B3602, _xlfn._xlws.FILTER(B:B, A:A="2021-01"), 0))), "Left", "Ativo")</f>
        <v>Ativo</v>
      </c>
      <c r="D3602" s="10" t="str" cm="1">
        <f t="array" ref="D3602">IF(AND(A3602="2021-01", ISNA(MATCH(B3602, _xlfn._xlws.FILTER(B:B, A:A="2021-02"), 0))), "Left", "Ativo")</f>
        <v>Ativo</v>
      </c>
      <c r="E3602" s="10" t="str" cm="1">
        <f t="array" ref="E3602">IF(AND(A3602="2021-02", ISNA(MATCH(B3602, _xlfn._xlws.FILTER(B:B, A:A="2021-03"), 0))), "Left", "Ativo")</f>
        <v>Ativo</v>
      </c>
      <c r="F3602" s="12" t="str" cm="1">
        <f t="array" ref="F3602">IF(AND(A3602="2021-03", ISNA(MATCH(B3602, _xlfn._xlws.FILTER(B:B, A:A="2021-04"), 0))), "Left", "Ativo")</f>
        <v>Ativo</v>
      </c>
    </row>
    <row r="3603" spans="1:6" x14ac:dyDescent="0.25">
      <c r="A3603" t="s">
        <v>1531</v>
      </c>
      <c r="B3603" t="s">
        <v>674</v>
      </c>
      <c r="C3603" s="10" t="str" cm="1">
        <f t="array" ref="C3603">IF(AND(A3603="2020-12", ISNA(MATCH(B3603, _xlfn._xlws.FILTER(B:B, A:A="2021-01"), 0))), "Left", "Ativo")</f>
        <v>Ativo</v>
      </c>
      <c r="D3603" s="10" t="str" cm="1">
        <f t="array" ref="D3603">IF(AND(A3603="2021-01", ISNA(MATCH(B3603, _xlfn._xlws.FILTER(B:B, A:A="2021-02"), 0))), "Left", "Ativo")</f>
        <v>Ativo</v>
      </c>
      <c r="E3603" s="10" t="str" cm="1">
        <f t="array" ref="E3603">IF(AND(A3603="2021-02", ISNA(MATCH(B3603, _xlfn._xlws.FILTER(B:B, A:A="2021-03"), 0))), "Left", "Ativo")</f>
        <v>Ativo</v>
      </c>
      <c r="F3603" s="12" t="str" cm="1">
        <f t="array" ref="F3603">IF(AND(A3603="2021-03", ISNA(MATCH(B3603, _xlfn._xlws.FILTER(B:B, A:A="2021-04"), 0))), "Left", "Ativo")</f>
        <v>Ativo</v>
      </c>
    </row>
    <row r="3604" spans="1:6" x14ac:dyDescent="0.25">
      <c r="A3604" t="s">
        <v>1531</v>
      </c>
      <c r="B3604" t="s">
        <v>675</v>
      </c>
      <c r="C3604" s="10" t="str" cm="1">
        <f t="array" ref="C3604">IF(AND(A3604="2020-12", ISNA(MATCH(B3604, _xlfn._xlws.FILTER(B:B, A:A="2021-01"), 0))), "Left", "Ativo")</f>
        <v>Ativo</v>
      </c>
      <c r="D3604" s="10" t="str" cm="1">
        <f t="array" ref="D3604">IF(AND(A3604="2021-01", ISNA(MATCH(B3604, _xlfn._xlws.FILTER(B:B, A:A="2021-02"), 0))), "Left", "Ativo")</f>
        <v>Ativo</v>
      </c>
      <c r="E3604" s="10" t="str" cm="1">
        <f t="array" ref="E3604">IF(AND(A3604="2021-02", ISNA(MATCH(B3604, _xlfn._xlws.FILTER(B:B, A:A="2021-03"), 0))), "Left", "Ativo")</f>
        <v>Ativo</v>
      </c>
      <c r="F3604" s="12" t="str" cm="1">
        <f t="array" ref="F3604">IF(AND(A3604="2021-03", ISNA(MATCH(B3604, _xlfn._xlws.FILTER(B:B, A:A="2021-04"), 0))), "Left", "Ativo")</f>
        <v>Ativo</v>
      </c>
    </row>
    <row r="3605" spans="1:6" x14ac:dyDescent="0.25">
      <c r="A3605" t="s">
        <v>1531</v>
      </c>
      <c r="B3605" t="s">
        <v>676</v>
      </c>
      <c r="C3605" s="10" t="str" cm="1">
        <f t="array" ref="C3605">IF(AND(A3605="2020-12", ISNA(MATCH(B3605, _xlfn._xlws.FILTER(B:B, A:A="2021-01"), 0))), "Left", "Ativo")</f>
        <v>Ativo</v>
      </c>
      <c r="D3605" s="10" t="str" cm="1">
        <f t="array" ref="D3605">IF(AND(A3605="2021-01", ISNA(MATCH(B3605, _xlfn._xlws.FILTER(B:B, A:A="2021-02"), 0))), "Left", "Ativo")</f>
        <v>Ativo</v>
      </c>
      <c r="E3605" s="10" t="str" cm="1">
        <f t="array" ref="E3605">IF(AND(A3605="2021-02", ISNA(MATCH(B3605, _xlfn._xlws.FILTER(B:B, A:A="2021-03"), 0))), "Left", "Ativo")</f>
        <v>Ativo</v>
      </c>
      <c r="F3605" s="12" t="str" cm="1">
        <f t="array" ref="F3605">IF(AND(A3605="2021-03", ISNA(MATCH(B3605, _xlfn._xlws.FILTER(B:B, A:A="2021-04"), 0))), "Left", "Ativo")</f>
        <v>Ativo</v>
      </c>
    </row>
    <row r="3606" spans="1:6" x14ac:dyDescent="0.25">
      <c r="A3606" t="s">
        <v>1531</v>
      </c>
      <c r="B3606" t="s">
        <v>677</v>
      </c>
      <c r="C3606" s="10" t="str" cm="1">
        <f t="array" ref="C3606">IF(AND(A3606="2020-12", ISNA(MATCH(B3606, _xlfn._xlws.FILTER(B:B, A:A="2021-01"), 0))), "Left", "Ativo")</f>
        <v>Ativo</v>
      </c>
      <c r="D3606" s="10" t="str" cm="1">
        <f t="array" ref="D3606">IF(AND(A3606="2021-01", ISNA(MATCH(B3606, _xlfn._xlws.FILTER(B:B, A:A="2021-02"), 0))), "Left", "Ativo")</f>
        <v>Ativo</v>
      </c>
      <c r="E3606" s="10" t="str" cm="1">
        <f t="array" ref="E3606">IF(AND(A3606="2021-02", ISNA(MATCH(B3606, _xlfn._xlws.FILTER(B:B, A:A="2021-03"), 0))), "Left", "Ativo")</f>
        <v>Ativo</v>
      </c>
      <c r="F3606" s="12" t="str" cm="1">
        <f t="array" ref="F3606">IF(AND(A3606="2021-03", ISNA(MATCH(B3606, _xlfn._xlws.FILTER(B:B, A:A="2021-04"), 0))), "Left", "Ativo")</f>
        <v>Left</v>
      </c>
    </row>
    <row r="3607" spans="1:6" x14ac:dyDescent="0.25">
      <c r="A3607" t="s">
        <v>1531</v>
      </c>
      <c r="B3607" t="s">
        <v>678</v>
      </c>
      <c r="C3607" s="10" t="str" cm="1">
        <f t="array" ref="C3607">IF(AND(A3607="2020-12", ISNA(MATCH(B3607, _xlfn._xlws.FILTER(B:B, A:A="2021-01"), 0))), "Left", "Ativo")</f>
        <v>Ativo</v>
      </c>
      <c r="D3607" s="10" t="str" cm="1">
        <f t="array" ref="D3607">IF(AND(A3607="2021-01", ISNA(MATCH(B3607, _xlfn._xlws.FILTER(B:B, A:A="2021-02"), 0))), "Left", "Ativo")</f>
        <v>Ativo</v>
      </c>
      <c r="E3607" s="10" t="str" cm="1">
        <f t="array" ref="E3607">IF(AND(A3607="2021-02", ISNA(MATCH(B3607, _xlfn._xlws.FILTER(B:B, A:A="2021-03"), 0))), "Left", "Ativo")</f>
        <v>Ativo</v>
      </c>
      <c r="F3607" s="12" t="str" cm="1">
        <f t="array" ref="F3607">IF(AND(A3607="2021-03", ISNA(MATCH(B3607, _xlfn._xlws.FILTER(B:B, A:A="2021-04"), 0))), "Left", "Ativo")</f>
        <v>Ativo</v>
      </c>
    </row>
    <row r="3608" spans="1:6" x14ac:dyDescent="0.25">
      <c r="A3608" t="s">
        <v>1531</v>
      </c>
      <c r="B3608" t="s">
        <v>679</v>
      </c>
      <c r="C3608" s="10" t="str" cm="1">
        <f t="array" ref="C3608">IF(AND(A3608="2020-12", ISNA(MATCH(B3608, _xlfn._xlws.FILTER(B:B, A:A="2021-01"), 0))), "Left", "Ativo")</f>
        <v>Ativo</v>
      </c>
      <c r="D3608" s="10" t="str" cm="1">
        <f t="array" ref="D3608">IF(AND(A3608="2021-01", ISNA(MATCH(B3608, _xlfn._xlws.FILTER(B:B, A:A="2021-02"), 0))), "Left", "Ativo")</f>
        <v>Ativo</v>
      </c>
      <c r="E3608" s="10" t="str" cm="1">
        <f t="array" ref="E3608">IF(AND(A3608="2021-02", ISNA(MATCH(B3608, _xlfn._xlws.FILTER(B:B, A:A="2021-03"), 0))), "Left", "Ativo")</f>
        <v>Ativo</v>
      </c>
      <c r="F3608" s="12" t="str" cm="1">
        <f t="array" ref="F3608">IF(AND(A3608="2021-03", ISNA(MATCH(B3608, _xlfn._xlws.FILTER(B:B, A:A="2021-04"), 0))), "Left", "Ativo")</f>
        <v>Ativo</v>
      </c>
    </row>
    <row r="3609" spans="1:6" x14ac:dyDescent="0.25">
      <c r="A3609" t="s">
        <v>1531</v>
      </c>
      <c r="B3609" t="s">
        <v>681</v>
      </c>
      <c r="C3609" s="10" t="str" cm="1">
        <f t="array" ref="C3609">IF(AND(A3609="2020-12", ISNA(MATCH(B3609, _xlfn._xlws.FILTER(B:B, A:A="2021-01"), 0))), "Left", "Ativo")</f>
        <v>Ativo</v>
      </c>
      <c r="D3609" s="10" t="str" cm="1">
        <f t="array" ref="D3609">IF(AND(A3609="2021-01", ISNA(MATCH(B3609, _xlfn._xlws.FILTER(B:B, A:A="2021-02"), 0))), "Left", "Ativo")</f>
        <v>Ativo</v>
      </c>
      <c r="E3609" s="10" t="str" cm="1">
        <f t="array" ref="E3609">IF(AND(A3609="2021-02", ISNA(MATCH(B3609, _xlfn._xlws.FILTER(B:B, A:A="2021-03"), 0))), "Left", "Ativo")</f>
        <v>Ativo</v>
      </c>
      <c r="F3609" s="12" t="str" cm="1">
        <f t="array" ref="F3609">IF(AND(A3609="2021-03", ISNA(MATCH(B3609, _xlfn._xlws.FILTER(B:B, A:A="2021-04"), 0))), "Left", "Ativo")</f>
        <v>Ativo</v>
      </c>
    </row>
    <row r="3610" spans="1:6" x14ac:dyDescent="0.25">
      <c r="A3610" t="s">
        <v>1531</v>
      </c>
      <c r="B3610" t="s">
        <v>682</v>
      </c>
      <c r="C3610" s="10" t="str" cm="1">
        <f t="array" ref="C3610">IF(AND(A3610="2020-12", ISNA(MATCH(B3610, _xlfn._xlws.FILTER(B:B, A:A="2021-01"), 0))), "Left", "Ativo")</f>
        <v>Ativo</v>
      </c>
      <c r="D3610" s="10" t="str" cm="1">
        <f t="array" ref="D3610">IF(AND(A3610="2021-01", ISNA(MATCH(B3610, _xlfn._xlws.FILTER(B:B, A:A="2021-02"), 0))), "Left", "Ativo")</f>
        <v>Ativo</v>
      </c>
      <c r="E3610" s="10" t="str" cm="1">
        <f t="array" ref="E3610">IF(AND(A3610="2021-02", ISNA(MATCH(B3610, _xlfn._xlws.FILTER(B:B, A:A="2021-03"), 0))), "Left", "Ativo")</f>
        <v>Ativo</v>
      </c>
      <c r="F3610" s="12" t="str" cm="1">
        <f t="array" ref="F3610">IF(AND(A3610="2021-03", ISNA(MATCH(B3610, _xlfn._xlws.FILTER(B:B, A:A="2021-04"), 0))), "Left", "Ativo")</f>
        <v>Ativo</v>
      </c>
    </row>
    <row r="3611" spans="1:6" x14ac:dyDescent="0.25">
      <c r="A3611" t="s">
        <v>1531</v>
      </c>
      <c r="B3611" t="s">
        <v>683</v>
      </c>
      <c r="C3611" s="10" t="str" cm="1">
        <f t="array" ref="C3611">IF(AND(A3611="2020-12", ISNA(MATCH(B3611, _xlfn._xlws.FILTER(B:B, A:A="2021-01"), 0))), "Left", "Ativo")</f>
        <v>Ativo</v>
      </c>
      <c r="D3611" s="10" t="str" cm="1">
        <f t="array" ref="D3611">IF(AND(A3611="2021-01", ISNA(MATCH(B3611, _xlfn._xlws.FILTER(B:B, A:A="2021-02"), 0))), "Left", "Ativo")</f>
        <v>Ativo</v>
      </c>
      <c r="E3611" s="10" t="str" cm="1">
        <f t="array" ref="E3611">IF(AND(A3611="2021-02", ISNA(MATCH(B3611, _xlfn._xlws.FILTER(B:B, A:A="2021-03"), 0))), "Left", "Ativo")</f>
        <v>Ativo</v>
      </c>
      <c r="F3611" s="12" t="str" cm="1">
        <f t="array" ref="F3611">IF(AND(A3611="2021-03", ISNA(MATCH(B3611, _xlfn._xlws.FILTER(B:B, A:A="2021-04"), 0))), "Left", "Ativo")</f>
        <v>Ativo</v>
      </c>
    </row>
    <row r="3612" spans="1:6" x14ac:dyDescent="0.25">
      <c r="A3612" t="s">
        <v>1531</v>
      </c>
      <c r="B3612" t="s">
        <v>684</v>
      </c>
      <c r="C3612" s="10" t="str" cm="1">
        <f t="array" ref="C3612">IF(AND(A3612="2020-12", ISNA(MATCH(B3612, _xlfn._xlws.FILTER(B:B, A:A="2021-01"), 0))), "Left", "Ativo")</f>
        <v>Ativo</v>
      </c>
      <c r="D3612" s="10" t="str" cm="1">
        <f t="array" ref="D3612">IF(AND(A3612="2021-01", ISNA(MATCH(B3612, _xlfn._xlws.FILTER(B:B, A:A="2021-02"), 0))), "Left", "Ativo")</f>
        <v>Ativo</v>
      </c>
      <c r="E3612" s="10" t="str" cm="1">
        <f t="array" ref="E3612">IF(AND(A3612="2021-02", ISNA(MATCH(B3612, _xlfn._xlws.FILTER(B:B, A:A="2021-03"), 0))), "Left", "Ativo")</f>
        <v>Ativo</v>
      </c>
      <c r="F3612" s="12" t="str" cm="1">
        <f t="array" ref="F3612">IF(AND(A3612="2021-03", ISNA(MATCH(B3612, _xlfn._xlws.FILTER(B:B, A:A="2021-04"), 0))), "Left", "Ativo")</f>
        <v>Ativo</v>
      </c>
    </row>
    <row r="3613" spans="1:6" x14ac:dyDescent="0.25">
      <c r="A3613" t="s">
        <v>1531</v>
      </c>
      <c r="B3613" t="s">
        <v>685</v>
      </c>
      <c r="C3613" s="10" t="str" cm="1">
        <f t="array" ref="C3613">IF(AND(A3613="2020-12", ISNA(MATCH(B3613, _xlfn._xlws.FILTER(B:B, A:A="2021-01"), 0))), "Left", "Ativo")</f>
        <v>Ativo</v>
      </c>
      <c r="D3613" s="10" t="str" cm="1">
        <f t="array" ref="D3613">IF(AND(A3613="2021-01", ISNA(MATCH(B3613, _xlfn._xlws.FILTER(B:B, A:A="2021-02"), 0))), "Left", "Ativo")</f>
        <v>Ativo</v>
      </c>
      <c r="E3613" s="10" t="str" cm="1">
        <f t="array" ref="E3613">IF(AND(A3613="2021-02", ISNA(MATCH(B3613, _xlfn._xlws.FILTER(B:B, A:A="2021-03"), 0))), "Left", "Ativo")</f>
        <v>Ativo</v>
      </c>
      <c r="F3613" s="12" t="str" cm="1">
        <f t="array" ref="F3613">IF(AND(A3613="2021-03", ISNA(MATCH(B3613, _xlfn._xlws.FILTER(B:B, A:A="2021-04"), 0))), "Left", "Ativo")</f>
        <v>Ativo</v>
      </c>
    </row>
    <row r="3614" spans="1:6" x14ac:dyDescent="0.25">
      <c r="A3614" t="s">
        <v>1531</v>
      </c>
      <c r="B3614" t="s">
        <v>686</v>
      </c>
      <c r="C3614" s="10" t="str" cm="1">
        <f t="array" ref="C3614">IF(AND(A3614="2020-12", ISNA(MATCH(B3614, _xlfn._xlws.FILTER(B:B, A:A="2021-01"), 0))), "Left", "Ativo")</f>
        <v>Ativo</v>
      </c>
      <c r="D3614" s="10" t="str" cm="1">
        <f t="array" ref="D3614">IF(AND(A3614="2021-01", ISNA(MATCH(B3614, _xlfn._xlws.FILTER(B:B, A:A="2021-02"), 0))), "Left", "Ativo")</f>
        <v>Ativo</v>
      </c>
      <c r="E3614" s="10" t="str" cm="1">
        <f t="array" ref="E3614">IF(AND(A3614="2021-02", ISNA(MATCH(B3614, _xlfn._xlws.FILTER(B:B, A:A="2021-03"), 0))), "Left", "Ativo")</f>
        <v>Ativo</v>
      </c>
      <c r="F3614" s="12" t="str" cm="1">
        <f t="array" ref="F3614">IF(AND(A3614="2021-03", ISNA(MATCH(B3614, _xlfn._xlws.FILTER(B:B, A:A="2021-04"), 0))), "Left", "Ativo")</f>
        <v>Ativo</v>
      </c>
    </row>
    <row r="3615" spans="1:6" x14ac:dyDescent="0.25">
      <c r="A3615" t="s">
        <v>1531</v>
      </c>
      <c r="B3615" t="s">
        <v>687</v>
      </c>
      <c r="C3615" s="10" t="str" cm="1">
        <f t="array" ref="C3615">IF(AND(A3615="2020-12", ISNA(MATCH(B3615, _xlfn._xlws.FILTER(B:B, A:A="2021-01"), 0))), "Left", "Ativo")</f>
        <v>Ativo</v>
      </c>
      <c r="D3615" s="10" t="str" cm="1">
        <f t="array" ref="D3615">IF(AND(A3615="2021-01", ISNA(MATCH(B3615, _xlfn._xlws.FILTER(B:B, A:A="2021-02"), 0))), "Left", "Ativo")</f>
        <v>Ativo</v>
      </c>
      <c r="E3615" s="10" t="str" cm="1">
        <f t="array" ref="E3615">IF(AND(A3615="2021-02", ISNA(MATCH(B3615, _xlfn._xlws.FILTER(B:B, A:A="2021-03"), 0))), "Left", "Ativo")</f>
        <v>Ativo</v>
      </c>
      <c r="F3615" s="12" t="str" cm="1">
        <f t="array" ref="F3615">IF(AND(A3615="2021-03", ISNA(MATCH(B3615, _xlfn._xlws.FILTER(B:B, A:A="2021-04"), 0))), "Left", "Ativo")</f>
        <v>Ativo</v>
      </c>
    </row>
    <row r="3616" spans="1:6" x14ac:dyDescent="0.25">
      <c r="A3616" t="s">
        <v>1531</v>
      </c>
      <c r="B3616" t="s">
        <v>688</v>
      </c>
      <c r="C3616" s="10" t="str" cm="1">
        <f t="array" ref="C3616">IF(AND(A3616="2020-12", ISNA(MATCH(B3616, _xlfn._xlws.FILTER(B:B, A:A="2021-01"), 0))), "Left", "Ativo")</f>
        <v>Ativo</v>
      </c>
      <c r="D3616" s="10" t="str" cm="1">
        <f t="array" ref="D3616">IF(AND(A3616="2021-01", ISNA(MATCH(B3616, _xlfn._xlws.FILTER(B:B, A:A="2021-02"), 0))), "Left", "Ativo")</f>
        <v>Ativo</v>
      </c>
      <c r="E3616" s="10" t="str" cm="1">
        <f t="array" ref="E3616">IF(AND(A3616="2021-02", ISNA(MATCH(B3616, _xlfn._xlws.FILTER(B:B, A:A="2021-03"), 0))), "Left", "Ativo")</f>
        <v>Ativo</v>
      </c>
      <c r="F3616" s="12" t="str" cm="1">
        <f t="array" ref="F3616">IF(AND(A3616="2021-03", ISNA(MATCH(B3616, _xlfn._xlws.FILTER(B:B, A:A="2021-04"), 0))), "Left", "Ativo")</f>
        <v>Ativo</v>
      </c>
    </row>
    <row r="3617" spans="1:6" x14ac:dyDescent="0.25">
      <c r="A3617" t="s">
        <v>1531</v>
      </c>
      <c r="B3617" t="s">
        <v>689</v>
      </c>
      <c r="C3617" s="10" t="str" cm="1">
        <f t="array" ref="C3617">IF(AND(A3617="2020-12", ISNA(MATCH(B3617, _xlfn._xlws.FILTER(B:B, A:A="2021-01"), 0))), "Left", "Ativo")</f>
        <v>Ativo</v>
      </c>
      <c r="D3617" s="10" t="str" cm="1">
        <f t="array" ref="D3617">IF(AND(A3617="2021-01", ISNA(MATCH(B3617, _xlfn._xlws.FILTER(B:B, A:A="2021-02"), 0))), "Left", "Ativo")</f>
        <v>Ativo</v>
      </c>
      <c r="E3617" s="10" t="str" cm="1">
        <f t="array" ref="E3617">IF(AND(A3617="2021-02", ISNA(MATCH(B3617, _xlfn._xlws.FILTER(B:B, A:A="2021-03"), 0))), "Left", "Ativo")</f>
        <v>Ativo</v>
      </c>
      <c r="F3617" s="12" t="str" cm="1">
        <f t="array" ref="F3617">IF(AND(A3617="2021-03", ISNA(MATCH(B3617, _xlfn._xlws.FILTER(B:B, A:A="2021-04"), 0))), "Left", "Ativo")</f>
        <v>Ativo</v>
      </c>
    </row>
    <row r="3618" spans="1:6" x14ac:dyDescent="0.25">
      <c r="A3618" t="s">
        <v>1531</v>
      </c>
      <c r="B3618" t="s">
        <v>690</v>
      </c>
      <c r="C3618" s="10" t="str" cm="1">
        <f t="array" ref="C3618">IF(AND(A3618="2020-12", ISNA(MATCH(B3618, _xlfn._xlws.FILTER(B:B, A:A="2021-01"), 0))), "Left", "Ativo")</f>
        <v>Ativo</v>
      </c>
      <c r="D3618" s="10" t="str" cm="1">
        <f t="array" ref="D3618">IF(AND(A3618="2021-01", ISNA(MATCH(B3618, _xlfn._xlws.FILTER(B:B, A:A="2021-02"), 0))), "Left", "Ativo")</f>
        <v>Ativo</v>
      </c>
      <c r="E3618" s="10" t="str" cm="1">
        <f t="array" ref="E3618">IF(AND(A3618="2021-02", ISNA(MATCH(B3618, _xlfn._xlws.FILTER(B:B, A:A="2021-03"), 0))), "Left", "Ativo")</f>
        <v>Ativo</v>
      </c>
      <c r="F3618" s="12" t="str" cm="1">
        <f t="array" ref="F3618">IF(AND(A3618="2021-03", ISNA(MATCH(B3618, _xlfn._xlws.FILTER(B:B, A:A="2021-04"), 0))), "Left", "Ativo")</f>
        <v>Ativo</v>
      </c>
    </row>
    <row r="3619" spans="1:6" x14ac:dyDescent="0.25">
      <c r="A3619" t="s">
        <v>1531</v>
      </c>
      <c r="B3619" t="s">
        <v>691</v>
      </c>
      <c r="C3619" s="10" t="str" cm="1">
        <f t="array" ref="C3619">IF(AND(A3619="2020-12", ISNA(MATCH(B3619, _xlfn._xlws.FILTER(B:B, A:A="2021-01"), 0))), "Left", "Ativo")</f>
        <v>Ativo</v>
      </c>
      <c r="D3619" s="10" t="str" cm="1">
        <f t="array" ref="D3619">IF(AND(A3619="2021-01", ISNA(MATCH(B3619, _xlfn._xlws.FILTER(B:B, A:A="2021-02"), 0))), "Left", "Ativo")</f>
        <v>Ativo</v>
      </c>
      <c r="E3619" s="10" t="str" cm="1">
        <f t="array" ref="E3619">IF(AND(A3619="2021-02", ISNA(MATCH(B3619, _xlfn._xlws.FILTER(B:B, A:A="2021-03"), 0))), "Left", "Ativo")</f>
        <v>Ativo</v>
      </c>
      <c r="F3619" s="12" t="str" cm="1">
        <f t="array" ref="F3619">IF(AND(A3619="2021-03", ISNA(MATCH(B3619, _xlfn._xlws.FILTER(B:B, A:A="2021-04"), 0))), "Left", "Ativo")</f>
        <v>Ativo</v>
      </c>
    </row>
    <row r="3620" spans="1:6" x14ac:dyDescent="0.25">
      <c r="A3620" t="s">
        <v>1531</v>
      </c>
      <c r="B3620" t="s">
        <v>692</v>
      </c>
      <c r="C3620" s="10" t="str" cm="1">
        <f t="array" ref="C3620">IF(AND(A3620="2020-12", ISNA(MATCH(B3620, _xlfn._xlws.FILTER(B:B, A:A="2021-01"), 0))), "Left", "Ativo")</f>
        <v>Ativo</v>
      </c>
      <c r="D3620" s="10" t="str" cm="1">
        <f t="array" ref="D3620">IF(AND(A3620="2021-01", ISNA(MATCH(B3620, _xlfn._xlws.FILTER(B:B, A:A="2021-02"), 0))), "Left", "Ativo")</f>
        <v>Ativo</v>
      </c>
      <c r="E3620" s="10" t="str" cm="1">
        <f t="array" ref="E3620">IF(AND(A3620="2021-02", ISNA(MATCH(B3620, _xlfn._xlws.FILTER(B:B, A:A="2021-03"), 0))), "Left", "Ativo")</f>
        <v>Ativo</v>
      </c>
      <c r="F3620" s="12" t="str" cm="1">
        <f t="array" ref="F3620">IF(AND(A3620="2021-03", ISNA(MATCH(B3620, _xlfn._xlws.FILTER(B:B, A:A="2021-04"), 0))), "Left", "Ativo")</f>
        <v>Ativo</v>
      </c>
    </row>
    <row r="3621" spans="1:6" x14ac:dyDescent="0.25">
      <c r="A3621" t="s">
        <v>1531</v>
      </c>
      <c r="B3621" t="s">
        <v>693</v>
      </c>
      <c r="C3621" s="10" t="str" cm="1">
        <f t="array" ref="C3621">IF(AND(A3621="2020-12", ISNA(MATCH(B3621, _xlfn._xlws.FILTER(B:B, A:A="2021-01"), 0))), "Left", "Ativo")</f>
        <v>Ativo</v>
      </c>
      <c r="D3621" s="10" t="str" cm="1">
        <f t="array" ref="D3621">IF(AND(A3621="2021-01", ISNA(MATCH(B3621, _xlfn._xlws.FILTER(B:B, A:A="2021-02"), 0))), "Left", "Ativo")</f>
        <v>Ativo</v>
      </c>
      <c r="E3621" s="10" t="str" cm="1">
        <f t="array" ref="E3621">IF(AND(A3621="2021-02", ISNA(MATCH(B3621, _xlfn._xlws.FILTER(B:B, A:A="2021-03"), 0))), "Left", "Ativo")</f>
        <v>Ativo</v>
      </c>
      <c r="F3621" s="12" t="str" cm="1">
        <f t="array" ref="F3621">IF(AND(A3621="2021-03", ISNA(MATCH(B3621, _xlfn._xlws.FILTER(B:B, A:A="2021-04"), 0))), "Left", "Ativo")</f>
        <v>Ativo</v>
      </c>
    </row>
    <row r="3622" spans="1:6" x14ac:dyDescent="0.25">
      <c r="A3622" t="s">
        <v>1531</v>
      </c>
      <c r="B3622" t="s">
        <v>694</v>
      </c>
      <c r="C3622" s="10" t="str" cm="1">
        <f t="array" ref="C3622">IF(AND(A3622="2020-12", ISNA(MATCH(B3622, _xlfn._xlws.FILTER(B:B, A:A="2021-01"), 0))), "Left", "Ativo")</f>
        <v>Ativo</v>
      </c>
      <c r="D3622" s="10" t="str" cm="1">
        <f t="array" ref="D3622">IF(AND(A3622="2021-01", ISNA(MATCH(B3622, _xlfn._xlws.FILTER(B:B, A:A="2021-02"), 0))), "Left", "Ativo")</f>
        <v>Ativo</v>
      </c>
      <c r="E3622" s="10" t="str" cm="1">
        <f t="array" ref="E3622">IF(AND(A3622="2021-02", ISNA(MATCH(B3622, _xlfn._xlws.FILTER(B:B, A:A="2021-03"), 0))), "Left", "Ativo")</f>
        <v>Ativo</v>
      </c>
      <c r="F3622" s="12" t="str" cm="1">
        <f t="array" ref="F3622">IF(AND(A3622="2021-03", ISNA(MATCH(B3622, _xlfn._xlws.FILTER(B:B, A:A="2021-04"), 0))), "Left", "Ativo")</f>
        <v>Ativo</v>
      </c>
    </row>
    <row r="3623" spans="1:6" x14ac:dyDescent="0.25">
      <c r="A3623" t="s">
        <v>1531</v>
      </c>
      <c r="B3623" t="s">
        <v>695</v>
      </c>
      <c r="C3623" s="10" t="str" cm="1">
        <f t="array" ref="C3623">IF(AND(A3623="2020-12", ISNA(MATCH(B3623, _xlfn._xlws.FILTER(B:B, A:A="2021-01"), 0))), "Left", "Ativo")</f>
        <v>Ativo</v>
      </c>
      <c r="D3623" s="10" t="str" cm="1">
        <f t="array" ref="D3623">IF(AND(A3623="2021-01", ISNA(MATCH(B3623, _xlfn._xlws.FILTER(B:B, A:A="2021-02"), 0))), "Left", "Ativo")</f>
        <v>Ativo</v>
      </c>
      <c r="E3623" s="10" t="str" cm="1">
        <f t="array" ref="E3623">IF(AND(A3623="2021-02", ISNA(MATCH(B3623, _xlfn._xlws.FILTER(B:B, A:A="2021-03"), 0))), "Left", "Ativo")</f>
        <v>Ativo</v>
      </c>
      <c r="F3623" s="12" t="str" cm="1">
        <f t="array" ref="F3623">IF(AND(A3623="2021-03", ISNA(MATCH(B3623, _xlfn._xlws.FILTER(B:B, A:A="2021-04"), 0))), "Left", "Ativo")</f>
        <v>Ativo</v>
      </c>
    </row>
    <row r="3624" spans="1:6" x14ac:dyDescent="0.25">
      <c r="A3624" t="s">
        <v>1531</v>
      </c>
      <c r="B3624" t="s">
        <v>696</v>
      </c>
      <c r="C3624" s="10" t="str" cm="1">
        <f t="array" ref="C3624">IF(AND(A3624="2020-12", ISNA(MATCH(B3624, _xlfn._xlws.FILTER(B:B, A:A="2021-01"), 0))), "Left", "Ativo")</f>
        <v>Ativo</v>
      </c>
      <c r="D3624" s="10" t="str" cm="1">
        <f t="array" ref="D3624">IF(AND(A3624="2021-01", ISNA(MATCH(B3624, _xlfn._xlws.FILTER(B:B, A:A="2021-02"), 0))), "Left", "Ativo")</f>
        <v>Ativo</v>
      </c>
      <c r="E3624" s="10" t="str" cm="1">
        <f t="array" ref="E3624">IF(AND(A3624="2021-02", ISNA(MATCH(B3624, _xlfn._xlws.FILTER(B:B, A:A="2021-03"), 0))), "Left", "Ativo")</f>
        <v>Ativo</v>
      </c>
      <c r="F3624" s="12" t="str" cm="1">
        <f t="array" ref="F3624">IF(AND(A3624="2021-03", ISNA(MATCH(B3624, _xlfn._xlws.FILTER(B:B, A:A="2021-04"), 0))), "Left", "Ativo")</f>
        <v>Ativo</v>
      </c>
    </row>
    <row r="3625" spans="1:6" x14ac:dyDescent="0.25">
      <c r="A3625" t="s">
        <v>1531</v>
      </c>
      <c r="B3625" t="s">
        <v>697</v>
      </c>
      <c r="C3625" s="10" t="str" cm="1">
        <f t="array" ref="C3625">IF(AND(A3625="2020-12", ISNA(MATCH(B3625, _xlfn._xlws.FILTER(B:B, A:A="2021-01"), 0))), "Left", "Ativo")</f>
        <v>Ativo</v>
      </c>
      <c r="D3625" s="10" t="str" cm="1">
        <f t="array" ref="D3625">IF(AND(A3625="2021-01", ISNA(MATCH(B3625, _xlfn._xlws.FILTER(B:B, A:A="2021-02"), 0))), "Left", "Ativo")</f>
        <v>Ativo</v>
      </c>
      <c r="E3625" s="10" t="str" cm="1">
        <f t="array" ref="E3625">IF(AND(A3625="2021-02", ISNA(MATCH(B3625, _xlfn._xlws.FILTER(B:B, A:A="2021-03"), 0))), "Left", "Ativo")</f>
        <v>Ativo</v>
      </c>
      <c r="F3625" s="12" t="str" cm="1">
        <f t="array" ref="F3625">IF(AND(A3625="2021-03", ISNA(MATCH(B3625, _xlfn._xlws.FILTER(B:B, A:A="2021-04"), 0))), "Left", "Ativo")</f>
        <v>Ativo</v>
      </c>
    </row>
    <row r="3626" spans="1:6" x14ac:dyDescent="0.25">
      <c r="A3626" t="s">
        <v>1531</v>
      </c>
      <c r="B3626" t="s">
        <v>698</v>
      </c>
      <c r="C3626" s="10" t="str" cm="1">
        <f t="array" ref="C3626">IF(AND(A3626="2020-12", ISNA(MATCH(B3626, _xlfn._xlws.FILTER(B:B, A:A="2021-01"), 0))), "Left", "Ativo")</f>
        <v>Ativo</v>
      </c>
      <c r="D3626" s="10" t="str" cm="1">
        <f t="array" ref="D3626">IF(AND(A3626="2021-01", ISNA(MATCH(B3626, _xlfn._xlws.FILTER(B:B, A:A="2021-02"), 0))), "Left", "Ativo")</f>
        <v>Ativo</v>
      </c>
      <c r="E3626" s="10" t="str" cm="1">
        <f t="array" ref="E3626">IF(AND(A3626="2021-02", ISNA(MATCH(B3626, _xlfn._xlws.FILTER(B:B, A:A="2021-03"), 0))), "Left", "Ativo")</f>
        <v>Ativo</v>
      </c>
      <c r="F3626" s="12" t="str" cm="1">
        <f t="array" ref="F3626">IF(AND(A3626="2021-03", ISNA(MATCH(B3626, _xlfn._xlws.FILTER(B:B, A:A="2021-04"), 0))), "Left", "Ativo")</f>
        <v>Ativo</v>
      </c>
    </row>
    <row r="3627" spans="1:6" x14ac:dyDescent="0.25">
      <c r="A3627" t="s">
        <v>1531</v>
      </c>
      <c r="B3627" t="s">
        <v>699</v>
      </c>
      <c r="C3627" s="10" t="str" cm="1">
        <f t="array" ref="C3627">IF(AND(A3627="2020-12", ISNA(MATCH(B3627, _xlfn._xlws.FILTER(B:B, A:A="2021-01"), 0))), "Left", "Ativo")</f>
        <v>Ativo</v>
      </c>
      <c r="D3627" s="10" t="str" cm="1">
        <f t="array" ref="D3627">IF(AND(A3627="2021-01", ISNA(MATCH(B3627, _xlfn._xlws.FILTER(B:B, A:A="2021-02"), 0))), "Left", "Ativo")</f>
        <v>Ativo</v>
      </c>
      <c r="E3627" s="10" t="str" cm="1">
        <f t="array" ref="E3627">IF(AND(A3627="2021-02", ISNA(MATCH(B3627, _xlfn._xlws.FILTER(B:B, A:A="2021-03"), 0))), "Left", "Ativo")</f>
        <v>Ativo</v>
      </c>
      <c r="F3627" s="12" t="str" cm="1">
        <f t="array" ref="F3627">IF(AND(A3627="2021-03", ISNA(MATCH(B3627, _xlfn._xlws.FILTER(B:B, A:A="2021-04"), 0))), "Left", "Ativo")</f>
        <v>Ativo</v>
      </c>
    </row>
    <row r="3628" spans="1:6" x14ac:dyDescent="0.25">
      <c r="A3628" t="s">
        <v>1531</v>
      </c>
      <c r="B3628" t="s">
        <v>700</v>
      </c>
      <c r="C3628" s="10" t="str" cm="1">
        <f t="array" ref="C3628">IF(AND(A3628="2020-12", ISNA(MATCH(B3628, _xlfn._xlws.FILTER(B:B, A:A="2021-01"), 0))), "Left", "Ativo")</f>
        <v>Ativo</v>
      </c>
      <c r="D3628" s="10" t="str" cm="1">
        <f t="array" ref="D3628">IF(AND(A3628="2021-01", ISNA(MATCH(B3628, _xlfn._xlws.FILTER(B:B, A:A="2021-02"), 0))), "Left", "Ativo")</f>
        <v>Ativo</v>
      </c>
      <c r="E3628" s="10" t="str" cm="1">
        <f t="array" ref="E3628">IF(AND(A3628="2021-02", ISNA(MATCH(B3628, _xlfn._xlws.FILTER(B:B, A:A="2021-03"), 0))), "Left", "Ativo")</f>
        <v>Ativo</v>
      </c>
      <c r="F3628" s="12" t="str" cm="1">
        <f t="array" ref="F3628">IF(AND(A3628="2021-03", ISNA(MATCH(B3628, _xlfn._xlws.FILTER(B:B, A:A="2021-04"), 0))), "Left", "Ativo")</f>
        <v>Ativo</v>
      </c>
    </row>
    <row r="3629" spans="1:6" x14ac:dyDescent="0.25">
      <c r="A3629" t="s">
        <v>1531</v>
      </c>
      <c r="B3629" t="s">
        <v>701</v>
      </c>
      <c r="C3629" s="10" t="str" cm="1">
        <f t="array" ref="C3629">IF(AND(A3629="2020-12", ISNA(MATCH(B3629, _xlfn._xlws.FILTER(B:B, A:A="2021-01"), 0))), "Left", "Ativo")</f>
        <v>Ativo</v>
      </c>
      <c r="D3629" s="10" t="str" cm="1">
        <f t="array" ref="D3629">IF(AND(A3629="2021-01", ISNA(MATCH(B3629, _xlfn._xlws.FILTER(B:B, A:A="2021-02"), 0))), "Left", "Ativo")</f>
        <v>Ativo</v>
      </c>
      <c r="E3629" s="10" t="str" cm="1">
        <f t="array" ref="E3629">IF(AND(A3629="2021-02", ISNA(MATCH(B3629, _xlfn._xlws.FILTER(B:B, A:A="2021-03"), 0))), "Left", "Ativo")</f>
        <v>Ativo</v>
      </c>
      <c r="F3629" s="12" t="str" cm="1">
        <f t="array" ref="F3629">IF(AND(A3629="2021-03", ISNA(MATCH(B3629, _xlfn._xlws.FILTER(B:B, A:A="2021-04"), 0))), "Left", "Ativo")</f>
        <v>Ativo</v>
      </c>
    </row>
    <row r="3630" spans="1:6" x14ac:dyDescent="0.25">
      <c r="A3630" t="s">
        <v>1531</v>
      </c>
      <c r="B3630" t="s">
        <v>702</v>
      </c>
      <c r="C3630" s="10" t="str" cm="1">
        <f t="array" ref="C3630">IF(AND(A3630="2020-12", ISNA(MATCH(B3630, _xlfn._xlws.FILTER(B:B, A:A="2021-01"), 0))), "Left", "Ativo")</f>
        <v>Ativo</v>
      </c>
      <c r="D3630" s="10" t="str" cm="1">
        <f t="array" ref="D3630">IF(AND(A3630="2021-01", ISNA(MATCH(B3630, _xlfn._xlws.FILTER(B:B, A:A="2021-02"), 0))), "Left", "Ativo")</f>
        <v>Ativo</v>
      </c>
      <c r="E3630" s="10" t="str" cm="1">
        <f t="array" ref="E3630">IF(AND(A3630="2021-02", ISNA(MATCH(B3630, _xlfn._xlws.FILTER(B:B, A:A="2021-03"), 0))), "Left", "Ativo")</f>
        <v>Ativo</v>
      </c>
      <c r="F3630" s="12" t="str" cm="1">
        <f t="array" ref="F3630">IF(AND(A3630="2021-03", ISNA(MATCH(B3630, _xlfn._xlws.FILTER(B:B, A:A="2021-04"), 0))), "Left", "Ativo")</f>
        <v>Ativo</v>
      </c>
    </row>
    <row r="3631" spans="1:6" x14ac:dyDescent="0.25">
      <c r="A3631" t="s">
        <v>1531</v>
      </c>
      <c r="B3631" t="s">
        <v>703</v>
      </c>
      <c r="C3631" s="10" t="str" cm="1">
        <f t="array" ref="C3631">IF(AND(A3631="2020-12", ISNA(MATCH(B3631, _xlfn._xlws.FILTER(B:B, A:A="2021-01"), 0))), "Left", "Ativo")</f>
        <v>Ativo</v>
      </c>
      <c r="D3631" s="10" t="str" cm="1">
        <f t="array" ref="D3631">IF(AND(A3631="2021-01", ISNA(MATCH(B3631, _xlfn._xlws.FILTER(B:B, A:A="2021-02"), 0))), "Left", "Ativo")</f>
        <v>Ativo</v>
      </c>
      <c r="E3631" s="10" t="str" cm="1">
        <f t="array" ref="E3631">IF(AND(A3631="2021-02", ISNA(MATCH(B3631, _xlfn._xlws.FILTER(B:B, A:A="2021-03"), 0))), "Left", "Ativo")</f>
        <v>Ativo</v>
      </c>
      <c r="F3631" s="12" t="str" cm="1">
        <f t="array" ref="F3631">IF(AND(A3631="2021-03", ISNA(MATCH(B3631, _xlfn._xlws.FILTER(B:B, A:A="2021-04"), 0))), "Left", "Ativo")</f>
        <v>Ativo</v>
      </c>
    </row>
    <row r="3632" spans="1:6" x14ac:dyDescent="0.25">
      <c r="A3632" t="s">
        <v>1531</v>
      </c>
      <c r="B3632" t="s">
        <v>704</v>
      </c>
      <c r="C3632" s="10" t="str" cm="1">
        <f t="array" ref="C3632">IF(AND(A3632="2020-12", ISNA(MATCH(B3632, _xlfn._xlws.FILTER(B:B, A:A="2021-01"), 0))), "Left", "Ativo")</f>
        <v>Ativo</v>
      </c>
      <c r="D3632" s="10" t="str" cm="1">
        <f t="array" ref="D3632">IF(AND(A3632="2021-01", ISNA(MATCH(B3632, _xlfn._xlws.FILTER(B:B, A:A="2021-02"), 0))), "Left", "Ativo")</f>
        <v>Ativo</v>
      </c>
      <c r="E3632" s="10" t="str" cm="1">
        <f t="array" ref="E3632">IF(AND(A3632="2021-02", ISNA(MATCH(B3632, _xlfn._xlws.FILTER(B:B, A:A="2021-03"), 0))), "Left", "Ativo")</f>
        <v>Ativo</v>
      </c>
      <c r="F3632" s="12" t="str" cm="1">
        <f t="array" ref="F3632">IF(AND(A3632="2021-03", ISNA(MATCH(B3632, _xlfn._xlws.FILTER(B:B, A:A="2021-04"), 0))), "Left", "Ativo")</f>
        <v>Ativo</v>
      </c>
    </row>
    <row r="3633" spans="1:6" x14ac:dyDescent="0.25">
      <c r="A3633" t="s">
        <v>1531</v>
      </c>
      <c r="B3633" t="s">
        <v>705</v>
      </c>
      <c r="C3633" s="10" t="str" cm="1">
        <f t="array" ref="C3633">IF(AND(A3633="2020-12", ISNA(MATCH(B3633, _xlfn._xlws.FILTER(B:B, A:A="2021-01"), 0))), "Left", "Ativo")</f>
        <v>Ativo</v>
      </c>
      <c r="D3633" s="10" t="str" cm="1">
        <f t="array" ref="D3633">IF(AND(A3633="2021-01", ISNA(MATCH(B3633, _xlfn._xlws.FILTER(B:B, A:A="2021-02"), 0))), "Left", "Ativo")</f>
        <v>Ativo</v>
      </c>
      <c r="E3633" s="10" t="str" cm="1">
        <f t="array" ref="E3633">IF(AND(A3633="2021-02", ISNA(MATCH(B3633, _xlfn._xlws.FILTER(B:B, A:A="2021-03"), 0))), "Left", "Ativo")</f>
        <v>Ativo</v>
      </c>
      <c r="F3633" s="12" t="str" cm="1">
        <f t="array" ref="F3633">IF(AND(A3633="2021-03", ISNA(MATCH(B3633, _xlfn._xlws.FILTER(B:B, A:A="2021-04"), 0))), "Left", "Ativo")</f>
        <v>Ativo</v>
      </c>
    </row>
    <row r="3634" spans="1:6" x14ac:dyDescent="0.25">
      <c r="A3634" t="s">
        <v>1531</v>
      </c>
      <c r="B3634" t="s">
        <v>706</v>
      </c>
      <c r="C3634" s="10" t="str" cm="1">
        <f t="array" ref="C3634">IF(AND(A3634="2020-12", ISNA(MATCH(B3634, _xlfn._xlws.FILTER(B:B, A:A="2021-01"), 0))), "Left", "Ativo")</f>
        <v>Ativo</v>
      </c>
      <c r="D3634" s="10" t="str" cm="1">
        <f t="array" ref="D3634">IF(AND(A3634="2021-01", ISNA(MATCH(B3634, _xlfn._xlws.FILTER(B:B, A:A="2021-02"), 0))), "Left", "Ativo")</f>
        <v>Ativo</v>
      </c>
      <c r="E3634" s="10" t="str" cm="1">
        <f t="array" ref="E3634">IF(AND(A3634="2021-02", ISNA(MATCH(B3634, _xlfn._xlws.FILTER(B:B, A:A="2021-03"), 0))), "Left", "Ativo")</f>
        <v>Ativo</v>
      </c>
      <c r="F3634" s="12" t="str" cm="1">
        <f t="array" ref="F3634">IF(AND(A3634="2021-03", ISNA(MATCH(B3634, _xlfn._xlws.FILTER(B:B, A:A="2021-04"), 0))), "Left", "Ativo")</f>
        <v>Ativo</v>
      </c>
    </row>
    <row r="3635" spans="1:6" x14ac:dyDescent="0.25">
      <c r="A3635" t="s">
        <v>1531</v>
      </c>
      <c r="B3635" t="s">
        <v>707</v>
      </c>
      <c r="C3635" s="10" t="str" cm="1">
        <f t="array" ref="C3635">IF(AND(A3635="2020-12", ISNA(MATCH(B3635, _xlfn._xlws.FILTER(B:B, A:A="2021-01"), 0))), "Left", "Ativo")</f>
        <v>Ativo</v>
      </c>
      <c r="D3635" s="10" t="str" cm="1">
        <f t="array" ref="D3635">IF(AND(A3635="2021-01", ISNA(MATCH(B3635, _xlfn._xlws.FILTER(B:B, A:A="2021-02"), 0))), "Left", "Ativo")</f>
        <v>Ativo</v>
      </c>
      <c r="E3635" s="10" t="str" cm="1">
        <f t="array" ref="E3635">IF(AND(A3635="2021-02", ISNA(MATCH(B3635, _xlfn._xlws.FILTER(B:B, A:A="2021-03"), 0))), "Left", "Ativo")</f>
        <v>Ativo</v>
      </c>
      <c r="F3635" s="12" t="str" cm="1">
        <f t="array" ref="F3635">IF(AND(A3635="2021-03", ISNA(MATCH(B3635, _xlfn._xlws.FILTER(B:B, A:A="2021-04"), 0))), "Left", "Ativo")</f>
        <v>Ativo</v>
      </c>
    </row>
    <row r="3636" spans="1:6" x14ac:dyDescent="0.25">
      <c r="A3636" t="s">
        <v>1531</v>
      </c>
      <c r="B3636" t="s">
        <v>708</v>
      </c>
      <c r="C3636" s="10" t="str" cm="1">
        <f t="array" ref="C3636">IF(AND(A3636="2020-12", ISNA(MATCH(B3636, _xlfn._xlws.FILTER(B:B, A:A="2021-01"), 0))), "Left", "Ativo")</f>
        <v>Ativo</v>
      </c>
      <c r="D3636" s="10" t="str" cm="1">
        <f t="array" ref="D3636">IF(AND(A3636="2021-01", ISNA(MATCH(B3636, _xlfn._xlws.FILTER(B:B, A:A="2021-02"), 0))), "Left", "Ativo")</f>
        <v>Ativo</v>
      </c>
      <c r="E3636" s="10" t="str" cm="1">
        <f t="array" ref="E3636">IF(AND(A3636="2021-02", ISNA(MATCH(B3636, _xlfn._xlws.FILTER(B:B, A:A="2021-03"), 0))), "Left", "Ativo")</f>
        <v>Ativo</v>
      </c>
      <c r="F3636" s="12" t="str" cm="1">
        <f t="array" ref="F3636">IF(AND(A3636="2021-03", ISNA(MATCH(B3636, _xlfn._xlws.FILTER(B:B, A:A="2021-04"), 0))), "Left", "Ativo")</f>
        <v>Ativo</v>
      </c>
    </row>
    <row r="3637" spans="1:6" x14ac:dyDescent="0.25">
      <c r="A3637" t="s">
        <v>1531</v>
      </c>
      <c r="B3637" t="s">
        <v>709</v>
      </c>
      <c r="C3637" s="10" t="str" cm="1">
        <f t="array" ref="C3637">IF(AND(A3637="2020-12", ISNA(MATCH(B3637, _xlfn._xlws.FILTER(B:B, A:A="2021-01"), 0))), "Left", "Ativo")</f>
        <v>Ativo</v>
      </c>
      <c r="D3637" s="10" t="str" cm="1">
        <f t="array" ref="D3637">IF(AND(A3637="2021-01", ISNA(MATCH(B3637, _xlfn._xlws.FILTER(B:B, A:A="2021-02"), 0))), "Left", "Ativo")</f>
        <v>Ativo</v>
      </c>
      <c r="E3637" s="10" t="str" cm="1">
        <f t="array" ref="E3637">IF(AND(A3637="2021-02", ISNA(MATCH(B3637, _xlfn._xlws.FILTER(B:B, A:A="2021-03"), 0))), "Left", "Ativo")</f>
        <v>Ativo</v>
      </c>
      <c r="F3637" s="12" t="str" cm="1">
        <f t="array" ref="F3637">IF(AND(A3637="2021-03", ISNA(MATCH(B3637, _xlfn._xlws.FILTER(B:B, A:A="2021-04"), 0))), "Left", "Ativo")</f>
        <v>Ativo</v>
      </c>
    </row>
    <row r="3638" spans="1:6" x14ac:dyDescent="0.25">
      <c r="A3638" t="s">
        <v>1531</v>
      </c>
      <c r="B3638" t="s">
        <v>710</v>
      </c>
      <c r="C3638" s="10" t="str" cm="1">
        <f t="array" ref="C3638">IF(AND(A3638="2020-12", ISNA(MATCH(B3638, _xlfn._xlws.FILTER(B:B, A:A="2021-01"), 0))), "Left", "Ativo")</f>
        <v>Ativo</v>
      </c>
      <c r="D3638" s="10" t="str" cm="1">
        <f t="array" ref="D3638">IF(AND(A3638="2021-01", ISNA(MATCH(B3638, _xlfn._xlws.FILTER(B:B, A:A="2021-02"), 0))), "Left", "Ativo")</f>
        <v>Ativo</v>
      </c>
      <c r="E3638" s="10" t="str" cm="1">
        <f t="array" ref="E3638">IF(AND(A3638="2021-02", ISNA(MATCH(B3638, _xlfn._xlws.FILTER(B:B, A:A="2021-03"), 0))), "Left", "Ativo")</f>
        <v>Ativo</v>
      </c>
      <c r="F3638" s="12" t="str" cm="1">
        <f t="array" ref="F3638">IF(AND(A3638="2021-03", ISNA(MATCH(B3638, _xlfn._xlws.FILTER(B:B, A:A="2021-04"), 0))), "Left", "Ativo")</f>
        <v>Ativo</v>
      </c>
    </row>
    <row r="3639" spans="1:6" x14ac:dyDescent="0.25">
      <c r="A3639" t="s">
        <v>1531</v>
      </c>
      <c r="B3639" t="s">
        <v>711</v>
      </c>
      <c r="C3639" s="10" t="str" cm="1">
        <f t="array" ref="C3639">IF(AND(A3639="2020-12", ISNA(MATCH(B3639, _xlfn._xlws.FILTER(B:B, A:A="2021-01"), 0))), "Left", "Ativo")</f>
        <v>Ativo</v>
      </c>
      <c r="D3639" s="10" t="str" cm="1">
        <f t="array" ref="D3639">IF(AND(A3639="2021-01", ISNA(MATCH(B3639, _xlfn._xlws.FILTER(B:B, A:A="2021-02"), 0))), "Left", "Ativo")</f>
        <v>Ativo</v>
      </c>
      <c r="E3639" s="10" t="str" cm="1">
        <f t="array" ref="E3639">IF(AND(A3639="2021-02", ISNA(MATCH(B3639, _xlfn._xlws.FILTER(B:B, A:A="2021-03"), 0))), "Left", "Ativo")</f>
        <v>Ativo</v>
      </c>
      <c r="F3639" s="12" t="str" cm="1">
        <f t="array" ref="F3639">IF(AND(A3639="2021-03", ISNA(MATCH(B3639, _xlfn._xlws.FILTER(B:B, A:A="2021-04"), 0))), "Left", "Ativo")</f>
        <v>Ativo</v>
      </c>
    </row>
    <row r="3640" spans="1:6" x14ac:dyDescent="0.25">
      <c r="A3640" t="s">
        <v>1531</v>
      </c>
      <c r="B3640" t="s">
        <v>712</v>
      </c>
      <c r="C3640" s="10" t="str" cm="1">
        <f t="array" ref="C3640">IF(AND(A3640="2020-12", ISNA(MATCH(B3640, _xlfn._xlws.FILTER(B:B, A:A="2021-01"), 0))), "Left", "Ativo")</f>
        <v>Ativo</v>
      </c>
      <c r="D3640" s="10" t="str" cm="1">
        <f t="array" ref="D3640">IF(AND(A3640="2021-01", ISNA(MATCH(B3640, _xlfn._xlws.FILTER(B:B, A:A="2021-02"), 0))), "Left", "Ativo")</f>
        <v>Ativo</v>
      </c>
      <c r="E3640" s="10" t="str" cm="1">
        <f t="array" ref="E3640">IF(AND(A3640="2021-02", ISNA(MATCH(B3640, _xlfn._xlws.FILTER(B:B, A:A="2021-03"), 0))), "Left", "Ativo")</f>
        <v>Ativo</v>
      </c>
      <c r="F3640" s="12" t="str" cm="1">
        <f t="array" ref="F3640">IF(AND(A3640="2021-03", ISNA(MATCH(B3640, _xlfn._xlws.FILTER(B:B, A:A="2021-04"), 0))), "Left", "Ativo")</f>
        <v>Ativo</v>
      </c>
    </row>
    <row r="3641" spans="1:6" x14ac:dyDescent="0.25">
      <c r="A3641" t="s">
        <v>1531</v>
      </c>
      <c r="B3641" t="s">
        <v>713</v>
      </c>
      <c r="C3641" s="10" t="str" cm="1">
        <f t="array" ref="C3641">IF(AND(A3641="2020-12", ISNA(MATCH(B3641, _xlfn._xlws.FILTER(B:B, A:A="2021-01"), 0))), "Left", "Ativo")</f>
        <v>Ativo</v>
      </c>
      <c r="D3641" s="10" t="str" cm="1">
        <f t="array" ref="D3641">IF(AND(A3641="2021-01", ISNA(MATCH(B3641, _xlfn._xlws.FILTER(B:B, A:A="2021-02"), 0))), "Left", "Ativo")</f>
        <v>Ativo</v>
      </c>
      <c r="E3641" s="10" t="str" cm="1">
        <f t="array" ref="E3641">IF(AND(A3641="2021-02", ISNA(MATCH(B3641, _xlfn._xlws.FILTER(B:B, A:A="2021-03"), 0))), "Left", "Ativo")</f>
        <v>Ativo</v>
      </c>
      <c r="F3641" s="12" t="str" cm="1">
        <f t="array" ref="F3641">IF(AND(A3641="2021-03", ISNA(MATCH(B3641, _xlfn._xlws.FILTER(B:B, A:A="2021-04"), 0))), "Left", "Ativo")</f>
        <v>Ativo</v>
      </c>
    </row>
    <row r="3642" spans="1:6" x14ac:dyDescent="0.25">
      <c r="A3642" t="s">
        <v>1531</v>
      </c>
      <c r="B3642" t="s">
        <v>714</v>
      </c>
      <c r="C3642" s="10" t="str" cm="1">
        <f t="array" ref="C3642">IF(AND(A3642="2020-12", ISNA(MATCH(B3642, _xlfn._xlws.FILTER(B:B, A:A="2021-01"), 0))), "Left", "Ativo")</f>
        <v>Ativo</v>
      </c>
      <c r="D3642" s="10" t="str" cm="1">
        <f t="array" ref="D3642">IF(AND(A3642="2021-01", ISNA(MATCH(B3642, _xlfn._xlws.FILTER(B:B, A:A="2021-02"), 0))), "Left", "Ativo")</f>
        <v>Ativo</v>
      </c>
      <c r="E3642" s="10" t="str" cm="1">
        <f t="array" ref="E3642">IF(AND(A3642="2021-02", ISNA(MATCH(B3642, _xlfn._xlws.FILTER(B:B, A:A="2021-03"), 0))), "Left", "Ativo")</f>
        <v>Ativo</v>
      </c>
      <c r="F3642" s="12" t="str" cm="1">
        <f t="array" ref="F3642">IF(AND(A3642="2021-03", ISNA(MATCH(B3642, _xlfn._xlws.FILTER(B:B, A:A="2021-04"), 0))), "Left", "Ativo")</f>
        <v>Ativo</v>
      </c>
    </row>
    <row r="3643" spans="1:6" x14ac:dyDescent="0.25">
      <c r="A3643" t="s">
        <v>1531</v>
      </c>
      <c r="B3643" t="s">
        <v>715</v>
      </c>
      <c r="C3643" s="10" t="str" cm="1">
        <f t="array" ref="C3643">IF(AND(A3643="2020-12", ISNA(MATCH(B3643, _xlfn._xlws.FILTER(B:B, A:A="2021-01"), 0))), "Left", "Ativo")</f>
        <v>Ativo</v>
      </c>
      <c r="D3643" s="10" t="str" cm="1">
        <f t="array" ref="D3643">IF(AND(A3643="2021-01", ISNA(MATCH(B3643, _xlfn._xlws.FILTER(B:B, A:A="2021-02"), 0))), "Left", "Ativo")</f>
        <v>Ativo</v>
      </c>
      <c r="E3643" s="10" t="str" cm="1">
        <f t="array" ref="E3643">IF(AND(A3643="2021-02", ISNA(MATCH(B3643, _xlfn._xlws.FILTER(B:B, A:A="2021-03"), 0))), "Left", "Ativo")</f>
        <v>Ativo</v>
      </c>
      <c r="F3643" s="12" t="str" cm="1">
        <f t="array" ref="F3643">IF(AND(A3643="2021-03", ISNA(MATCH(B3643, _xlfn._xlws.FILTER(B:B, A:A="2021-04"), 0))), "Left", "Ativo")</f>
        <v>Ativo</v>
      </c>
    </row>
    <row r="3644" spans="1:6" x14ac:dyDescent="0.25">
      <c r="A3644" t="s">
        <v>1531</v>
      </c>
      <c r="B3644" t="s">
        <v>716</v>
      </c>
      <c r="C3644" s="10" t="str" cm="1">
        <f t="array" ref="C3644">IF(AND(A3644="2020-12", ISNA(MATCH(B3644, _xlfn._xlws.FILTER(B:B, A:A="2021-01"), 0))), "Left", "Ativo")</f>
        <v>Ativo</v>
      </c>
      <c r="D3644" s="10" t="str" cm="1">
        <f t="array" ref="D3644">IF(AND(A3644="2021-01", ISNA(MATCH(B3644, _xlfn._xlws.FILTER(B:B, A:A="2021-02"), 0))), "Left", "Ativo")</f>
        <v>Ativo</v>
      </c>
      <c r="E3644" s="10" t="str" cm="1">
        <f t="array" ref="E3644">IF(AND(A3644="2021-02", ISNA(MATCH(B3644, _xlfn._xlws.FILTER(B:B, A:A="2021-03"), 0))), "Left", "Ativo")</f>
        <v>Ativo</v>
      </c>
      <c r="F3644" s="12" t="str" cm="1">
        <f t="array" ref="F3644">IF(AND(A3644="2021-03", ISNA(MATCH(B3644, _xlfn._xlws.FILTER(B:B, A:A="2021-04"), 0))), "Left", "Ativo")</f>
        <v>Ativo</v>
      </c>
    </row>
    <row r="3645" spans="1:6" x14ac:dyDescent="0.25">
      <c r="A3645" t="s">
        <v>1531</v>
      </c>
      <c r="B3645" t="s">
        <v>717</v>
      </c>
      <c r="C3645" s="10" t="str" cm="1">
        <f t="array" ref="C3645">IF(AND(A3645="2020-12", ISNA(MATCH(B3645, _xlfn._xlws.FILTER(B:B, A:A="2021-01"), 0))), "Left", "Ativo")</f>
        <v>Ativo</v>
      </c>
      <c r="D3645" s="10" t="str" cm="1">
        <f t="array" ref="D3645">IF(AND(A3645="2021-01", ISNA(MATCH(B3645, _xlfn._xlws.FILTER(B:B, A:A="2021-02"), 0))), "Left", "Ativo")</f>
        <v>Ativo</v>
      </c>
      <c r="E3645" s="10" t="str" cm="1">
        <f t="array" ref="E3645">IF(AND(A3645="2021-02", ISNA(MATCH(B3645, _xlfn._xlws.FILTER(B:B, A:A="2021-03"), 0))), "Left", "Ativo")</f>
        <v>Ativo</v>
      </c>
      <c r="F3645" s="12" t="str" cm="1">
        <f t="array" ref="F3645">IF(AND(A3645="2021-03", ISNA(MATCH(B3645, _xlfn._xlws.FILTER(B:B, A:A="2021-04"), 0))), "Left", "Ativo")</f>
        <v>Ativo</v>
      </c>
    </row>
    <row r="3646" spans="1:6" x14ac:dyDescent="0.25">
      <c r="A3646" t="s">
        <v>1531</v>
      </c>
      <c r="B3646" t="s">
        <v>718</v>
      </c>
      <c r="C3646" s="10" t="str" cm="1">
        <f t="array" ref="C3646">IF(AND(A3646="2020-12", ISNA(MATCH(B3646, _xlfn._xlws.FILTER(B:B, A:A="2021-01"), 0))), "Left", "Ativo")</f>
        <v>Ativo</v>
      </c>
      <c r="D3646" s="10" t="str" cm="1">
        <f t="array" ref="D3646">IF(AND(A3646="2021-01", ISNA(MATCH(B3646, _xlfn._xlws.FILTER(B:B, A:A="2021-02"), 0))), "Left", "Ativo")</f>
        <v>Ativo</v>
      </c>
      <c r="E3646" s="10" t="str" cm="1">
        <f t="array" ref="E3646">IF(AND(A3646="2021-02", ISNA(MATCH(B3646, _xlfn._xlws.FILTER(B:B, A:A="2021-03"), 0))), "Left", "Ativo")</f>
        <v>Ativo</v>
      </c>
      <c r="F3646" s="12" t="str" cm="1">
        <f t="array" ref="F3646">IF(AND(A3646="2021-03", ISNA(MATCH(B3646, _xlfn._xlws.FILTER(B:B, A:A="2021-04"), 0))), "Left", "Ativo")</f>
        <v>Ativo</v>
      </c>
    </row>
    <row r="3647" spans="1:6" x14ac:dyDescent="0.25">
      <c r="A3647" t="s">
        <v>1531</v>
      </c>
      <c r="B3647" t="s">
        <v>719</v>
      </c>
      <c r="C3647" s="10" t="str" cm="1">
        <f t="array" ref="C3647">IF(AND(A3647="2020-12", ISNA(MATCH(B3647, _xlfn._xlws.FILTER(B:B, A:A="2021-01"), 0))), "Left", "Ativo")</f>
        <v>Ativo</v>
      </c>
      <c r="D3647" s="10" t="str" cm="1">
        <f t="array" ref="D3647">IF(AND(A3647="2021-01", ISNA(MATCH(B3647, _xlfn._xlws.FILTER(B:B, A:A="2021-02"), 0))), "Left", "Ativo")</f>
        <v>Ativo</v>
      </c>
      <c r="E3647" s="10" t="str" cm="1">
        <f t="array" ref="E3647">IF(AND(A3647="2021-02", ISNA(MATCH(B3647, _xlfn._xlws.FILTER(B:B, A:A="2021-03"), 0))), "Left", "Ativo")</f>
        <v>Ativo</v>
      </c>
      <c r="F3647" s="12" t="str" cm="1">
        <f t="array" ref="F3647">IF(AND(A3647="2021-03", ISNA(MATCH(B3647, _xlfn._xlws.FILTER(B:B, A:A="2021-04"), 0))), "Left", "Ativo")</f>
        <v>Ativo</v>
      </c>
    </row>
    <row r="3648" spans="1:6" x14ac:dyDescent="0.25">
      <c r="A3648" t="s">
        <v>1531</v>
      </c>
      <c r="B3648" t="s">
        <v>720</v>
      </c>
      <c r="C3648" s="10" t="str" cm="1">
        <f t="array" ref="C3648">IF(AND(A3648="2020-12", ISNA(MATCH(B3648, _xlfn._xlws.FILTER(B:B, A:A="2021-01"), 0))), "Left", "Ativo")</f>
        <v>Ativo</v>
      </c>
      <c r="D3648" s="10" t="str" cm="1">
        <f t="array" ref="D3648">IF(AND(A3648="2021-01", ISNA(MATCH(B3648, _xlfn._xlws.FILTER(B:B, A:A="2021-02"), 0))), "Left", "Ativo")</f>
        <v>Ativo</v>
      </c>
      <c r="E3648" s="10" t="str" cm="1">
        <f t="array" ref="E3648">IF(AND(A3648="2021-02", ISNA(MATCH(B3648, _xlfn._xlws.FILTER(B:B, A:A="2021-03"), 0))), "Left", "Ativo")</f>
        <v>Ativo</v>
      </c>
      <c r="F3648" s="12" t="str" cm="1">
        <f t="array" ref="F3648">IF(AND(A3648="2021-03", ISNA(MATCH(B3648, _xlfn._xlws.FILTER(B:B, A:A="2021-04"), 0))), "Left", "Ativo")</f>
        <v>Ativo</v>
      </c>
    </row>
    <row r="3649" spans="1:6" x14ac:dyDescent="0.25">
      <c r="A3649" t="s">
        <v>1531</v>
      </c>
      <c r="B3649" t="s">
        <v>721</v>
      </c>
      <c r="C3649" s="10" t="str" cm="1">
        <f t="array" ref="C3649">IF(AND(A3649="2020-12", ISNA(MATCH(B3649, _xlfn._xlws.FILTER(B:B, A:A="2021-01"), 0))), "Left", "Ativo")</f>
        <v>Ativo</v>
      </c>
      <c r="D3649" s="10" t="str" cm="1">
        <f t="array" ref="D3649">IF(AND(A3649="2021-01", ISNA(MATCH(B3649, _xlfn._xlws.FILTER(B:B, A:A="2021-02"), 0))), "Left", "Ativo")</f>
        <v>Ativo</v>
      </c>
      <c r="E3649" s="10" t="str" cm="1">
        <f t="array" ref="E3649">IF(AND(A3649="2021-02", ISNA(MATCH(B3649, _xlfn._xlws.FILTER(B:B, A:A="2021-03"), 0))), "Left", "Ativo")</f>
        <v>Ativo</v>
      </c>
      <c r="F3649" s="12" t="str" cm="1">
        <f t="array" ref="F3649">IF(AND(A3649="2021-03", ISNA(MATCH(B3649, _xlfn._xlws.FILTER(B:B, A:A="2021-04"), 0))), "Left", "Ativo")</f>
        <v>Ativo</v>
      </c>
    </row>
    <row r="3650" spans="1:6" x14ac:dyDescent="0.25">
      <c r="A3650" t="s">
        <v>1531</v>
      </c>
      <c r="B3650" t="s">
        <v>722</v>
      </c>
      <c r="C3650" s="10" t="str" cm="1">
        <f t="array" ref="C3650">IF(AND(A3650="2020-12", ISNA(MATCH(B3650, _xlfn._xlws.FILTER(B:B, A:A="2021-01"), 0))), "Left", "Ativo")</f>
        <v>Ativo</v>
      </c>
      <c r="D3650" s="10" t="str" cm="1">
        <f t="array" ref="D3650">IF(AND(A3650="2021-01", ISNA(MATCH(B3650, _xlfn._xlws.FILTER(B:B, A:A="2021-02"), 0))), "Left", "Ativo")</f>
        <v>Ativo</v>
      </c>
      <c r="E3650" s="10" t="str" cm="1">
        <f t="array" ref="E3650">IF(AND(A3650="2021-02", ISNA(MATCH(B3650, _xlfn._xlws.FILTER(B:B, A:A="2021-03"), 0))), "Left", "Ativo")</f>
        <v>Ativo</v>
      </c>
      <c r="F3650" s="12" t="str" cm="1">
        <f t="array" ref="F3650">IF(AND(A3650="2021-03", ISNA(MATCH(B3650, _xlfn._xlws.FILTER(B:B, A:A="2021-04"), 0))), "Left", "Ativo")</f>
        <v>Ativo</v>
      </c>
    </row>
    <row r="3651" spans="1:6" x14ac:dyDescent="0.25">
      <c r="A3651" t="s">
        <v>1531</v>
      </c>
      <c r="B3651" t="s">
        <v>723</v>
      </c>
      <c r="C3651" s="10" t="str" cm="1">
        <f t="array" ref="C3651">IF(AND(A3651="2020-12", ISNA(MATCH(B3651, _xlfn._xlws.FILTER(B:B, A:A="2021-01"), 0))), "Left", "Ativo")</f>
        <v>Ativo</v>
      </c>
      <c r="D3651" s="10" t="str" cm="1">
        <f t="array" ref="D3651">IF(AND(A3651="2021-01", ISNA(MATCH(B3651, _xlfn._xlws.FILTER(B:B, A:A="2021-02"), 0))), "Left", "Ativo")</f>
        <v>Ativo</v>
      </c>
      <c r="E3651" s="10" t="str" cm="1">
        <f t="array" ref="E3651">IF(AND(A3651="2021-02", ISNA(MATCH(B3651, _xlfn._xlws.FILTER(B:B, A:A="2021-03"), 0))), "Left", "Ativo")</f>
        <v>Ativo</v>
      </c>
      <c r="F3651" s="12" t="str" cm="1">
        <f t="array" ref="F3651">IF(AND(A3651="2021-03", ISNA(MATCH(B3651, _xlfn._xlws.FILTER(B:B, A:A="2021-04"), 0))), "Left", "Ativo")</f>
        <v>Ativo</v>
      </c>
    </row>
    <row r="3652" spans="1:6" x14ac:dyDescent="0.25">
      <c r="A3652" t="s">
        <v>1531</v>
      </c>
      <c r="B3652" t="s">
        <v>724</v>
      </c>
      <c r="C3652" s="10" t="str" cm="1">
        <f t="array" ref="C3652">IF(AND(A3652="2020-12", ISNA(MATCH(B3652, _xlfn._xlws.FILTER(B:B, A:A="2021-01"), 0))), "Left", "Ativo")</f>
        <v>Ativo</v>
      </c>
      <c r="D3652" s="10" t="str" cm="1">
        <f t="array" ref="D3652">IF(AND(A3652="2021-01", ISNA(MATCH(B3652, _xlfn._xlws.FILTER(B:B, A:A="2021-02"), 0))), "Left", "Ativo")</f>
        <v>Ativo</v>
      </c>
      <c r="E3652" s="10" t="str" cm="1">
        <f t="array" ref="E3652">IF(AND(A3652="2021-02", ISNA(MATCH(B3652, _xlfn._xlws.FILTER(B:B, A:A="2021-03"), 0))), "Left", "Ativo")</f>
        <v>Ativo</v>
      </c>
      <c r="F3652" s="12" t="str" cm="1">
        <f t="array" ref="F3652">IF(AND(A3652="2021-03", ISNA(MATCH(B3652, _xlfn._xlws.FILTER(B:B, A:A="2021-04"), 0))), "Left", "Ativo")</f>
        <v>Ativo</v>
      </c>
    </row>
    <row r="3653" spans="1:6" x14ac:dyDescent="0.25">
      <c r="A3653" t="s">
        <v>1531</v>
      </c>
      <c r="B3653" t="s">
        <v>725</v>
      </c>
      <c r="C3653" s="10" t="str" cm="1">
        <f t="array" ref="C3653">IF(AND(A3653="2020-12", ISNA(MATCH(B3653, _xlfn._xlws.FILTER(B:B, A:A="2021-01"), 0))), "Left", "Ativo")</f>
        <v>Ativo</v>
      </c>
      <c r="D3653" s="10" t="str" cm="1">
        <f t="array" ref="D3653">IF(AND(A3653="2021-01", ISNA(MATCH(B3653, _xlfn._xlws.FILTER(B:B, A:A="2021-02"), 0))), "Left", "Ativo")</f>
        <v>Ativo</v>
      </c>
      <c r="E3653" s="10" t="str" cm="1">
        <f t="array" ref="E3653">IF(AND(A3653="2021-02", ISNA(MATCH(B3653, _xlfn._xlws.FILTER(B:B, A:A="2021-03"), 0))), "Left", "Ativo")</f>
        <v>Ativo</v>
      </c>
      <c r="F3653" s="12" t="str" cm="1">
        <f t="array" ref="F3653">IF(AND(A3653="2021-03", ISNA(MATCH(B3653, _xlfn._xlws.FILTER(B:B, A:A="2021-04"), 0))), "Left", "Ativo")</f>
        <v>Ativo</v>
      </c>
    </row>
    <row r="3654" spans="1:6" x14ac:dyDescent="0.25">
      <c r="A3654" t="s">
        <v>1531</v>
      </c>
      <c r="B3654" t="s">
        <v>726</v>
      </c>
      <c r="C3654" s="10" t="str" cm="1">
        <f t="array" ref="C3654">IF(AND(A3654="2020-12", ISNA(MATCH(B3654, _xlfn._xlws.FILTER(B:B, A:A="2021-01"), 0))), "Left", "Ativo")</f>
        <v>Ativo</v>
      </c>
      <c r="D3654" s="10" t="str" cm="1">
        <f t="array" ref="D3654">IF(AND(A3654="2021-01", ISNA(MATCH(B3654, _xlfn._xlws.FILTER(B:B, A:A="2021-02"), 0))), "Left", "Ativo")</f>
        <v>Ativo</v>
      </c>
      <c r="E3654" s="10" t="str" cm="1">
        <f t="array" ref="E3654">IF(AND(A3654="2021-02", ISNA(MATCH(B3654, _xlfn._xlws.FILTER(B:B, A:A="2021-03"), 0))), "Left", "Ativo")</f>
        <v>Ativo</v>
      </c>
      <c r="F3654" s="12" t="str" cm="1">
        <f t="array" ref="F3654">IF(AND(A3654="2021-03", ISNA(MATCH(B3654, _xlfn._xlws.FILTER(B:B, A:A="2021-04"), 0))), "Left", "Ativo")</f>
        <v>Ativo</v>
      </c>
    </row>
    <row r="3655" spans="1:6" x14ac:dyDescent="0.25">
      <c r="A3655" t="s">
        <v>1531</v>
      </c>
      <c r="B3655" t="s">
        <v>727</v>
      </c>
      <c r="C3655" s="10" t="str" cm="1">
        <f t="array" ref="C3655">IF(AND(A3655="2020-12", ISNA(MATCH(B3655, _xlfn._xlws.FILTER(B:B, A:A="2021-01"), 0))), "Left", "Ativo")</f>
        <v>Ativo</v>
      </c>
      <c r="D3655" s="10" t="str" cm="1">
        <f t="array" ref="D3655">IF(AND(A3655="2021-01", ISNA(MATCH(B3655, _xlfn._xlws.FILTER(B:B, A:A="2021-02"), 0))), "Left", "Ativo")</f>
        <v>Ativo</v>
      </c>
      <c r="E3655" s="10" t="str" cm="1">
        <f t="array" ref="E3655">IF(AND(A3655="2021-02", ISNA(MATCH(B3655, _xlfn._xlws.FILTER(B:B, A:A="2021-03"), 0))), "Left", "Ativo")</f>
        <v>Ativo</v>
      </c>
      <c r="F3655" s="12" t="str" cm="1">
        <f t="array" ref="F3655">IF(AND(A3655="2021-03", ISNA(MATCH(B3655, _xlfn._xlws.FILTER(B:B, A:A="2021-04"), 0))), "Left", "Ativo")</f>
        <v>Ativo</v>
      </c>
    </row>
    <row r="3656" spans="1:6" x14ac:dyDescent="0.25">
      <c r="A3656" t="s">
        <v>1531</v>
      </c>
      <c r="B3656" t="s">
        <v>728</v>
      </c>
      <c r="C3656" s="10" t="str" cm="1">
        <f t="array" ref="C3656">IF(AND(A3656="2020-12", ISNA(MATCH(B3656, _xlfn._xlws.FILTER(B:B, A:A="2021-01"), 0))), "Left", "Ativo")</f>
        <v>Ativo</v>
      </c>
      <c r="D3656" s="10" t="str" cm="1">
        <f t="array" ref="D3656">IF(AND(A3656="2021-01", ISNA(MATCH(B3656, _xlfn._xlws.FILTER(B:B, A:A="2021-02"), 0))), "Left", "Ativo")</f>
        <v>Ativo</v>
      </c>
      <c r="E3656" s="10" t="str" cm="1">
        <f t="array" ref="E3656">IF(AND(A3656="2021-02", ISNA(MATCH(B3656, _xlfn._xlws.FILTER(B:B, A:A="2021-03"), 0))), "Left", "Ativo")</f>
        <v>Ativo</v>
      </c>
      <c r="F3656" s="12" t="str" cm="1">
        <f t="array" ref="F3656">IF(AND(A3656="2021-03", ISNA(MATCH(B3656, _xlfn._xlws.FILTER(B:B, A:A="2021-04"), 0))), "Left", "Ativo")</f>
        <v>Ativo</v>
      </c>
    </row>
    <row r="3657" spans="1:6" x14ac:dyDescent="0.25">
      <c r="A3657" t="s">
        <v>1531</v>
      </c>
      <c r="B3657" t="s">
        <v>729</v>
      </c>
      <c r="C3657" s="10" t="str" cm="1">
        <f t="array" ref="C3657">IF(AND(A3657="2020-12", ISNA(MATCH(B3657, _xlfn._xlws.FILTER(B:B, A:A="2021-01"), 0))), "Left", "Ativo")</f>
        <v>Ativo</v>
      </c>
      <c r="D3657" s="10" t="str" cm="1">
        <f t="array" ref="D3657">IF(AND(A3657="2021-01", ISNA(MATCH(B3657, _xlfn._xlws.FILTER(B:B, A:A="2021-02"), 0))), "Left", "Ativo")</f>
        <v>Ativo</v>
      </c>
      <c r="E3657" s="10" t="str" cm="1">
        <f t="array" ref="E3657">IF(AND(A3657="2021-02", ISNA(MATCH(B3657, _xlfn._xlws.FILTER(B:B, A:A="2021-03"), 0))), "Left", "Ativo")</f>
        <v>Ativo</v>
      </c>
      <c r="F3657" s="12" t="str" cm="1">
        <f t="array" ref="F3657">IF(AND(A3657="2021-03", ISNA(MATCH(B3657, _xlfn._xlws.FILTER(B:B, A:A="2021-04"), 0))), "Left", "Ativo")</f>
        <v>Ativo</v>
      </c>
    </row>
    <row r="3658" spans="1:6" x14ac:dyDescent="0.25">
      <c r="A3658" t="s">
        <v>1531</v>
      </c>
      <c r="B3658" t="s">
        <v>730</v>
      </c>
      <c r="C3658" s="10" t="str" cm="1">
        <f t="array" ref="C3658">IF(AND(A3658="2020-12", ISNA(MATCH(B3658, _xlfn._xlws.FILTER(B:B, A:A="2021-01"), 0))), "Left", "Ativo")</f>
        <v>Ativo</v>
      </c>
      <c r="D3658" s="10" t="str" cm="1">
        <f t="array" ref="D3658">IF(AND(A3658="2021-01", ISNA(MATCH(B3658, _xlfn._xlws.FILTER(B:B, A:A="2021-02"), 0))), "Left", "Ativo")</f>
        <v>Ativo</v>
      </c>
      <c r="E3658" s="10" t="str" cm="1">
        <f t="array" ref="E3658">IF(AND(A3658="2021-02", ISNA(MATCH(B3658, _xlfn._xlws.FILTER(B:B, A:A="2021-03"), 0))), "Left", "Ativo")</f>
        <v>Ativo</v>
      </c>
      <c r="F3658" s="12" t="str" cm="1">
        <f t="array" ref="F3658">IF(AND(A3658="2021-03", ISNA(MATCH(B3658, _xlfn._xlws.FILTER(B:B, A:A="2021-04"), 0))), "Left", "Ativo")</f>
        <v>Ativo</v>
      </c>
    </row>
    <row r="3659" spans="1:6" x14ac:dyDescent="0.25">
      <c r="A3659" t="s">
        <v>1531</v>
      </c>
      <c r="B3659" t="s">
        <v>731</v>
      </c>
      <c r="C3659" s="10" t="str" cm="1">
        <f t="array" ref="C3659">IF(AND(A3659="2020-12", ISNA(MATCH(B3659, _xlfn._xlws.FILTER(B:B, A:A="2021-01"), 0))), "Left", "Ativo")</f>
        <v>Ativo</v>
      </c>
      <c r="D3659" s="10" t="str" cm="1">
        <f t="array" ref="D3659">IF(AND(A3659="2021-01", ISNA(MATCH(B3659, _xlfn._xlws.FILTER(B:B, A:A="2021-02"), 0))), "Left", "Ativo")</f>
        <v>Ativo</v>
      </c>
      <c r="E3659" s="10" t="str" cm="1">
        <f t="array" ref="E3659">IF(AND(A3659="2021-02", ISNA(MATCH(B3659, _xlfn._xlws.FILTER(B:B, A:A="2021-03"), 0))), "Left", "Ativo")</f>
        <v>Ativo</v>
      </c>
      <c r="F3659" s="12" t="str" cm="1">
        <f t="array" ref="F3659">IF(AND(A3659="2021-03", ISNA(MATCH(B3659, _xlfn._xlws.FILTER(B:B, A:A="2021-04"), 0))), "Left", "Ativo")</f>
        <v>Ativo</v>
      </c>
    </row>
    <row r="3660" spans="1:6" x14ac:dyDescent="0.25">
      <c r="A3660" t="s">
        <v>1531</v>
      </c>
      <c r="B3660" t="s">
        <v>732</v>
      </c>
      <c r="C3660" s="10" t="str" cm="1">
        <f t="array" ref="C3660">IF(AND(A3660="2020-12", ISNA(MATCH(B3660, _xlfn._xlws.FILTER(B:B, A:A="2021-01"), 0))), "Left", "Ativo")</f>
        <v>Ativo</v>
      </c>
      <c r="D3660" s="10" t="str" cm="1">
        <f t="array" ref="D3660">IF(AND(A3660="2021-01", ISNA(MATCH(B3660, _xlfn._xlws.FILTER(B:B, A:A="2021-02"), 0))), "Left", "Ativo")</f>
        <v>Ativo</v>
      </c>
      <c r="E3660" s="10" t="str" cm="1">
        <f t="array" ref="E3660">IF(AND(A3660="2021-02", ISNA(MATCH(B3660, _xlfn._xlws.FILTER(B:B, A:A="2021-03"), 0))), "Left", "Ativo")</f>
        <v>Ativo</v>
      </c>
      <c r="F3660" s="12" t="str" cm="1">
        <f t="array" ref="F3660">IF(AND(A3660="2021-03", ISNA(MATCH(B3660, _xlfn._xlws.FILTER(B:B, A:A="2021-04"), 0))), "Left", "Ativo")</f>
        <v>Ativo</v>
      </c>
    </row>
    <row r="3661" spans="1:6" x14ac:dyDescent="0.25">
      <c r="A3661" t="s">
        <v>1531</v>
      </c>
      <c r="B3661" t="s">
        <v>733</v>
      </c>
      <c r="C3661" s="10" t="str" cm="1">
        <f t="array" ref="C3661">IF(AND(A3661="2020-12", ISNA(MATCH(B3661, _xlfn._xlws.FILTER(B:B, A:A="2021-01"), 0))), "Left", "Ativo")</f>
        <v>Ativo</v>
      </c>
      <c r="D3661" s="10" t="str" cm="1">
        <f t="array" ref="D3661">IF(AND(A3661="2021-01", ISNA(MATCH(B3661, _xlfn._xlws.FILTER(B:B, A:A="2021-02"), 0))), "Left", "Ativo")</f>
        <v>Ativo</v>
      </c>
      <c r="E3661" s="10" t="str" cm="1">
        <f t="array" ref="E3661">IF(AND(A3661="2021-02", ISNA(MATCH(B3661, _xlfn._xlws.FILTER(B:B, A:A="2021-03"), 0))), "Left", "Ativo")</f>
        <v>Ativo</v>
      </c>
      <c r="F3661" s="12" t="str" cm="1">
        <f t="array" ref="F3661">IF(AND(A3661="2021-03", ISNA(MATCH(B3661, _xlfn._xlws.FILTER(B:B, A:A="2021-04"), 0))), "Left", "Ativo")</f>
        <v>Ativo</v>
      </c>
    </row>
    <row r="3662" spans="1:6" x14ac:dyDescent="0.25">
      <c r="A3662" t="s">
        <v>1531</v>
      </c>
      <c r="B3662" t="s">
        <v>734</v>
      </c>
      <c r="C3662" s="10" t="str" cm="1">
        <f t="array" ref="C3662">IF(AND(A3662="2020-12", ISNA(MATCH(B3662, _xlfn._xlws.FILTER(B:B, A:A="2021-01"), 0))), "Left", "Ativo")</f>
        <v>Ativo</v>
      </c>
      <c r="D3662" s="10" t="str" cm="1">
        <f t="array" ref="D3662">IF(AND(A3662="2021-01", ISNA(MATCH(B3662, _xlfn._xlws.FILTER(B:B, A:A="2021-02"), 0))), "Left", "Ativo")</f>
        <v>Ativo</v>
      </c>
      <c r="E3662" s="10" t="str" cm="1">
        <f t="array" ref="E3662">IF(AND(A3662="2021-02", ISNA(MATCH(B3662, _xlfn._xlws.FILTER(B:B, A:A="2021-03"), 0))), "Left", "Ativo")</f>
        <v>Ativo</v>
      </c>
      <c r="F3662" s="12" t="str" cm="1">
        <f t="array" ref="F3662">IF(AND(A3662="2021-03", ISNA(MATCH(B3662, _xlfn._xlws.FILTER(B:B, A:A="2021-04"), 0))), "Left", "Ativo")</f>
        <v>Ativo</v>
      </c>
    </row>
    <row r="3663" spans="1:6" x14ac:dyDescent="0.25">
      <c r="A3663" t="s">
        <v>1531</v>
      </c>
      <c r="B3663" t="s">
        <v>735</v>
      </c>
      <c r="C3663" s="10" t="str" cm="1">
        <f t="array" ref="C3663">IF(AND(A3663="2020-12", ISNA(MATCH(B3663, _xlfn._xlws.FILTER(B:B, A:A="2021-01"), 0))), "Left", "Ativo")</f>
        <v>Ativo</v>
      </c>
      <c r="D3663" s="10" t="str" cm="1">
        <f t="array" ref="D3663">IF(AND(A3663="2021-01", ISNA(MATCH(B3663, _xlfn._xlws.FILTER(B:B, A:A="2021-02"), 0))), "Left", "Ativo")</f>
        <v>Ativo</v>
      </c>
      <c r="E3663" s="10" t="str" cm="1">
        <f t="array" ref="E3663">IF(AND(A3663="2021-02", ISNA(MATCH(B3663, _xlfn._xlws.FILTER(B:B, A:A="2021-03"), 0))), "Left", "Ativo")</f>
        <v>Ativo</v>
      </c>
      <c r="F3663" s="12" t="str" cm="1">
        <f t="array" ref="F3663">IF(AND(A3663="2021-03", ISNA(MATCH(B3663, _xlfn._xlws.FILTER(B:B, A:A="2021-04"), 0))), "Left", "Ativo")</f>
        <v>Ativo</v>
      </c>
    </row>
    <row r="3664" spans="1:6" x14ac:dyDescent="0.25">
      <c r="A3664" t="s">
        <v>1531</v>
      </c>
      <c r="B3664" t="s">
        <v>736</v>
      </c>
      <c r="C3664" s="10" t="str" cm="1">
        <f t="array" ref="C3664">IF(AND(A3664="2020-12", ISNA(MATCH(B3664, _xlfn._xlws.FILTER(B:B, A:A="2021-01"), 0))), "Left", "Ativo")</f>
        <v>Ativo</v>
      </c>
      <c r="D3664" s="10" t="str" cm="1">
        <f t="array" ref="D3664">IF(AND(A3664="2021-01", ISNA(MATCH(B3664, _xlfn._xlws.FILTER(B:B, A:A="2021-02"), 0))), "Left", "Ativo")</f>
        <v>Ativo</v>
      </c>
      <c r="E3664" s="10" t="str" cm="1">
        <f t="array" ref="E3664">IF(AND(A3664="2021-02", ISNA(MATCH(B3664, _xlfn._xlws.FILTER(B:B, A:A="2021-03"), 0))), "Left", "Ativo")</f>
        <v>Ativo</v>
      </c>
      <c r="F3664" s="12" t="str" cm="1">
        <f t="array" ref="F3664">IF(AND(A3664="2021-03", ISNA(MATCH(B3664, _xlfn._xlws.FILTER(B:B, A:A="2021-04"), 0))), "Left", "Ativo")</f>
        <v>Ativo</v>
      </c>
    </row>
    <row r="3665" spans="1:6" x14ac:dyDescent="0.25">
      <c r="A3665" t="s">
        <v>1531</v>
      </c>
      <c r="B3665" t="s">
        <v>737</v>
      </c>
      <c r="C3665" s="10" t="str" cm="1">
        <f t="array" ref="C3665">IF(AND(A3665="2020-12", ISNA(MATCH(B3665, _xlfn._xlws.FILTER(B:B, A:A="2021-01"), 0))), "Left", "Ativo")</f>
        <v>Ativo</v>
      </c>
      <c r="D3665" s="10" t="str" cm="1">
        <f t="array" ref="D3665">IF(AND(A3665="2021-01", ISNA(MATCH(B3665, _xlfn._xlws.FILTER(B:B, A:A="2021-02"), 0))), "Left", "Ativo")</f>
        <v>Ativo</v>
      </c>
      <c r="E3665" s="10" t="str" cm="1">
        <f t="array" ref="E3665">IF(AND(A3665="2021-02", ISNA(MATCH(B3665, _xlfn._xlws.FILTER(B:B, A:A="2021-03"), 0))), "Left", "Ativo")</f>
        <v>Ativo</v>
      </c>
      <c r="F3665" s="12" t="str" cm="1">
        <f t="array" ref="F3665">IF(AND(A3665="2021-03", ISNA(MATCH(B3665, _xlfn._xlws.FILTER(B:B, A:A="2021-04"), 0))), "Left", "Ativo")</f>
        <v>Ativo</v>
      </c>
    </row>
    <row r="3666" spans="1:6" x14ac:dyDescent="0.25">
      <c r="A3666" t="s">
        <v>1531</v>
      </c>
      <c r="B3666" t="s">
        <v>738</v>
      </c>
      <c r="C3666" s="10" t="str" cm="1">
        <f t="array" ref="C3666">IF(AND(A3666="2020-12", ISNA(MATCH(B3666, _xlfn._xlws.FILTER(B:B, A:A="2021-01"), 0))), "Left", "Ativo")</f>
        <v>Ativo</v>
      </c>
      <c r="D3666" s="10" t="str" cm="1">
        <f t="array" ref="D3666">IF(AND(A3666="2021-01", ISNA(MATCH(B3666, _xlfn._xlws.FILTER(B:B, A:A="2021-02"), 0))), "Left", "Ativo")</f>
        <v>Ativo</v>
      </c>
      <c r="E3666" s="10" t="str" cm="1">
        <f t="array" ref="E3666">IF(AND(A3666="2021-02", ISNA(MATCH(B3666, _xlfn._xlws.FILTER(B:B, A:A="2021-03"), 0))), "Left", "Ativo")</f>
        <v>Ativo</v>
      </c>
      <c r="F3666" s="12" t="str" cm="1">
        <f t="array" ref="F3666">IF(AND(A3666="2021-03", ISNA(MATCH(B3666, _xlfn._xlws.FILTER(B:B, A:A="2021-04"), 0))), "Left", "Ativo")</f>
        <v>Ativo</v>
      </c>
    </row>
    <row r="3667" spans="1:6" x14ac:dyDescent="0.25">
      <c r="A3667" t="s">
        <v>1531</v>
      </c>
      <c r="B3667" t="s">
        <v>739</v>
      </c>
      <c r="C3667" s="10" t="str" cm="1">
        <f t="array" ref="C3667">IF(AND(A3667="2020-12", ISNA(MATCH(B3667, _xlfn._xlws.FILTER(B:B, A:A="2021-01"), 0))), "Left", "Ativo")</f>
        <v>Ativo</v>
      </c>
      <c r="D3667" s="10" t="str" cm="1">
        <f t="array" ref="D3667">IF(AND(A3667="2021-01", ISNA(MATCH(B3667, _xlfn._xlws.FILTER(B:B, A:A="2021-02"), 0))), "Left", "Ativo")</f>
        <v>Ativo</v>
      </c>
      <c r="E3667" s="10" t="str" cm="1">
        <f t="array" ref="E3667">IF(AND(A3667="2021-02", ISNA(MATCH(B3667, _xlfn._xlws.FILTER(B:B, A:A="2021-03"), 0))), "Left", "Ativo")</f>
        <v>Ativo</v>
      </c>
      <c r="F3667" s="12" t="str" cm="1">
        <f t="array" ref="F3667">IF(AND(A3667="2021-03", ISNA(MATCH(B3667, _xlfn._xlws.FILTER(B:B, A:A="2021-04"), 0))), "Left", "Ativo")</f>
        <v>Ativo</v>
      </c>
    </row>
    <row r="3668" spans="1:6" x14ac:dyDescent="0.25">
      <c r="A3668" t="s">
        <v>1531</v>
      </c>
      <c r="B3668" t="s">
        <v>740</v>
      </c>
      <c r="C3668" s="10" t="str" cm="1">
        <f t="array" ref="C3668">IF(AND(A3668="2020-12", ISNA(MATCH(B3668, _xlfn._xlws.FILTER(B:B, A:A="2021-01"), 0))), "Left", "Ativo")</f>
        <v>Ativo</v>
      </c>
      <c r="D3668" s="10" t="str" cm="1">
        <f t="array" ref="D3668">IF(AND(A3668="2021-01", ISNA(MATCH(B3668, _xlfn._xlws.FILTER(B:B, A:A="2021-02"), 0))), "Left", "Ativo")</f>
        <v>Ativo</v>
      </c>
      <c r="E3668" s="10" t="str" cm="1">
        <f t="array" ref="E3668">IF(AND(A3668="2021-02", ISNA(MATCH(B3668, _xlfn._xlws.FILTER(B:B, A:A="2021-03"), 0))), "Left", "Ativo")</f>
        <v>Ativo</v>
      </c>
      <c r="F3668" s="12" t="str" cm="1">
        <f t="array" ref="F3668">IF(AND(A3668="2021-03", ISNA(MATCH(B3668, _xlfn._xlws.FILTER(B:B, A:A="2021-04"), 0))), "Left", "Ativo")</f>
        <v>Ativo</v>
      </c>
    </row>
    <row r="3669" spans="1:6" x14ac:dyDescent="0.25">
      <c r="A3669" t="s">
        <v>1531</v>
      </c>
      <c r="B3669" t="s">
        <v>741</v>
      </c>
      <c r="C3669" s="10" t="str" cm="1">
        <f t="array" ref="C3669">IF(AND(A3669="2020-12", ISNA(MATCH(B3669, _xlfn._xlws.FILTER(B:B, A:A="2021-01"), 0))), "Left", "Ativo")</f>
        <v>Ativo</v>
      </c>
      <c r="D3669" s="10" t="str" cm="1">
        <f t="array" ref="D3669">IF(AND(A3669="2021-01", ISNA(MATCH(B3669, _xlfn._xlws.FILTER(B:B, A:A="2021-02"), 0))), "Left", "Ativo")</f>
        <v>Ativo</v>
      </c>
      <c r="E3669" s="10" t="str" cm="1">
        <f t="array" ref="E3669">IF(AND(A3669="2021-02", ISNA(MATCH(B3669, _xlfn._xlws.FILTER(B:B, A:A="2021-03"), 0))), "Left", "Ativo")</f>
        <v>Ativo</v>
      </c>
      <c r="F3669" s="12" t="str" cm="1">
        <f t="array" ref="F3669">IF(AND(A3669="2021-03", ISNA(MATCH(B3669, _xlfn._xlws.FILTER(B:B, A:A="2021-04"), 0))), "Left", "Ativo")</f>
        <v>Ativo</v>
      </c>
    </row>
    <row r="3670" spans="1:6" x14ac:dyDescent="0.25">
      <c r="A3670" t="s">
        <v>1531</v>
      </c>
      <c r="B3670" t="s">
        <v>742</v>
      </c>
      <c r="C3670" s="10" t="str" cm="1">
        <f t="array" ref="C3670">IF(AND(A3670="2020-12", ISNA(MATCH(B3670, _xlfn._xlws.FILTER(B:B, A:A="2021-01"), 0))), "Left", "Ativo")</f>
        <v>Ativo</v>
      </c>
      <c r="D3670" s="10" t="str" cm="1">
        <f t="array" ref="D3670">IF(AND(A3670="2021-01", ISNA(MATCH(B3670, _xlfn._xlws.FILTER(B:B, A:A="2021-02"), 0))), "Left", "Ativo")</f>
        <v>Ativo</v>
      </c>
      <c r="E3670" s="10" t="str" cm="1">
        <f t="array" ref="E3670">IF(AND(A3670="2021-02", ISNA(MATCH(B3670, _xlfn._xlws.FILTER(B:B, A:A="2021-03"), 0))), "Left", "Ativo")</f>
        <v>Ativo</v>
      </c>
      <c r="F3670" s="12" t="str" cm="1">
        <f t="array" ref="F3670">IF(AND(A3670="2021-03", ISNA(MATCH(B3670, _xlfn._xlws.FILTER(B:B, A:A="2021-04"), 0))), "Left", "Ativo")</f>
        <v>Ativo</v>
      </c>
    </row>
    <row r="3671" spans="1:6" x14ac:dyDescent="0.25">
      <c r="A3671" t="s">
        <v>1531</v>
      </c>
      <c r="B3671" t="s">
        <v>743</v>
      </c>
      <c r="C3671" s="10" t="str" cm="1">
        <f t="array" ref="C3671">IF(AND(A3671="2020-12", ISNA(MATCH(B3671, _xlfn._xlws.FILTER(B:B, A:A="2021-01"), 0))), "Left", "Ativo")</f>
        <v>Ativo</v>
      </c>
      <c r="D3671" s="10" t="str" cm="1">
        <f t="array" ref="D3671">IF(AND(A3671="2021-01", ISNA(MATCH(B3671, _xlfn._xlws.FILTER(B:B, A:A="2021-02"), 0))), "Left", "Ativo")</f>
        <v>Ativo</v>
      </c>
      <c r="E3671" s="10" t="str" cm="1">
        <f t="array" ref="E3671">IF(AND(A3671="2021-02", ISNA(MATCH(B3671, _xlfn._xlws.FILTER(B:B, A:A="2021-03"), 0))), "Left", "Ativo")</f>
        <v>Ativo</v>
      </c>
      <c r="F3671" s="12" t="str" cm="1">
        <f t="array" ref="F3671">IF(AND(A3671="2021-03", ISNA(MATCH(B3671, _xlfn._xlws.FILTER(B:B, A:A="2021-04"), 0))), "Left", "Ativo")</f>
        <v>Ativo</v>
      </c>
    </row>
    <row r="3672" spans="1:6" x14ac:dyDescent="0.25">
      <c r="A3672" t="s">
        <v>1531</v>
      </c>
      <c r="B3672" t="s">
        <v>744</v>
      </c>
      <c r="C3672" s="10" t="str" cm="1">
        <f t="array" ref="C3672">IF(AND(A3672="2020-12", ISNA(MATCH(B3672, _xlfn._xlws.FILTER(B:B, A:A="2021-01"), 0))), "Left", "Ativo")</f>
        <v>Ativo</v>
      </c>
      <c r="D3672" s="10" t="str" cm="1">
        <f t="array" ref="D3672">IF(AND(A3672="2021-01", ISNA(MATCH(B3672, _xlfn._xlws.FILTER(B:B, A:A="2021-02"), 0))), "Left", "Ativo")</f>
        <v>Ativo</v>
      </c>
      <c r="E3672" s="10" t="str" cm="1">
        <f t="array" ref="E3672">IF(AND(A3672="2021-02", ISNA(MATCH(B3672, _xlfn._xlws.FILTER(B:B, A:A="2021-03"), 0))), "Left", "Ativo")</f>
        <v>Ativo</v>
      </c>
      <c r="F3672" s="12" t="str" cm="1">
        <f t="array" ref="F3672">IF(AND(A3672="2021-03", ISNA(MATCH(B3672, _xlfn._xlws.FILTER(B:B, A:A="2021-04"), 0))), "Left", "Ativo")</f>
        <v>Ativo</v>
      </c>
    </row>
    <row r="3673" spans="1:6" x14ac:dyDescent="0.25">
      <c r="A3673" t="s">
        <v>1531</v>
      </c>
      <c r="B3673" t="s">
        <v>745</v>
      </c>
      <c r="C3673" s="10" t="str" cm="1">
        <f t="array" ref="C3673">IF(AND(A3673="2020-12", ISNA(MATCH(B3673, _xlfn._xlws.FILTER(B:B, A:A="2021-01"), 0))), "Left", "Ativo")</f>
        <v>Ativo</v>
      </c>
      <c r="D3673" s="10" t="str" cm="1">
        <f t="array" ref="D3673">IF(AND(A3673="2021-01", ISNA(MATCH(B3673, _xlfn._xlws.FILTER(B:B, A:A="2021-02"), 0))), "Left", "Ativo")</f>
        <v>Ativo</v>
      </c>
      <c r="E3673" s="10" t="str" cm="1">
        <f t="array" ref="E3673">IF(AND(A3673="2021-02", ISNA(MATCH(B3673, _xlfn._xlws.FILTER(B:B, A:A="2021-03"), 0))), "Left", "Ativo")</f>
        <v>Ativo</v>
      </c>
      <c r="F3673" s="12" t="str" cm="1">
        <f t="array" ref="F3673">IF(AND(A3673="2021-03", ISNA(MATCH(B3673, _xlfn._xlws.FILTER(B:B, A:A="2021-04"), 0))), "Left", "Ativo")</f>
        <v>Ativo</v>
      </c>
    </row>
    <row r="3674" spans="1:6" x14ac:dyDescent="0.25">
      <c r="A3674" t="s">
        <v>1531</v>
      </c>
      <c r="B3674" t="s">
        <v>746</v>
      </c>
      <c r="C3674" s="10" t="str" cm="1">
        <f t="array" ref="C3674">IF(AND(A3674="2020-12", ISNA(MATCH(B3674, _xlfn._xlws.FILTER(B:B, A:A="2021-01"), 0))), "Left", "Ativo")</f>
        <v>Ativo</v>
      </c>
      <c r="D3674" s="10" t="str" cm="1">
        <f t="array" ref="D3674">IF(AND(A3674="2021-01", ISNA(MATCH(B3674, _xlfn._xlws.FILTER(B:B, A:A="2021-02"), 0))), "Left", "Ativo")</f>
        <v>Ativo</v>
      </c>
      <c r="E3674" s="10" t="str" cm="1">
        <f t="array" ref="E3674">IF(AND(A3674="2021-02", ISNA(MATCH(B3674, _xlfn._xlws.FILTER(B:B, A:A="2021-03"), 0))), "Left", "Ativo")</f>
        <v>Ativo</v>
      </c>
      <c r="F3674" s="12" t="str" cm="1">
        <f t="array" ref="F3674">IF(AND(A3674="2021-03", ISNA(MATCH(B3674, _xlfn._xlws.FILTER(B:B, A:A="2021-04"), 0))), "Left", "Ativo")</f>
        <v>Ativo</v>
      </c>
    </row>
    <row r="3675" spans="1:6" x14ac:dyDescent="0.25">
      <c r="A3675" t="s">
        <v>1531</v>
      </c>
      <c r="B3675" t="s">
        <v>747</v>
      </c>
      <c r="C3675" s="10" t="str" cm="1">
        <f t="array" ref="C3675">IF(AND(A3675="2020-12", ISNA(MATCH(B3675, _xlfn._xlws.FILTER(B:B, A:A="2021-01"), 0))), "Left", "Ativo")</f>
        <v>Ativo</v>
      </c>
      <c r="D3675" s="10" t="str" cm="1">
        <f t="array" ref="D3675">IF(AND(A3675="2021-01", ISNA(MATCH(B3675, _xlfn._xlws.FILTER(B:B, A:A="2021-02"), 0))), "Left", "Ativo")</f>
        <v>Ativo</v>
      </c>
      <c r="E3675" s="10" t="str" cm="1">
        <f t="array" ref="E3675">IF(AND(A3675="2021-02", ISNA(MATCH(B3675, _xlfn._xlws.FILTER(B:B, A:A="2021-03"), 0))), "Left", "Ativo")</f>
        <v>Ativo</v>
      </c>
      <c r="F3675" s="12" t="str" cm="1">
        <f t="array" ref="F3675">IF(AND(A3675="2021-03", ISNA(MATCH(B3675, _xlfn._xlws.FILTER(B:B, A:A="2021-04"), 0))), "Left", "Ativo")</f>
        <v>Ativo</v>
      </c>
    </row>
    <row r="3676" spans="1:6" x14ac:dyDescent="0.25">
      <c r="A3676" t="s">
        <v>1531</v>
      </c>
      <c r="B3676" t="s">
        <v>748</v>
      </c>
      <c r="C3676" s="10" t="str" cm="1">
        <f t="array" ref="C3676">IF(AND(A3676="2020-12", ISNA(MATCH(B3676, _xlfn._xlws.FILTER(B:B, A:A="2021-01"), 0))), "Left", "Ativo")</f>
        <v>Ativo</v>
      </c>
      <c r="D3676" s="10" t="str" cm="1">
        <f t="array" ref="D3676">IF(AND(A3676="2021-01", ISNA(MATCH(B3676, _xlfn._xlws.FILTER(B:B, A:A="2021-02"), 0))), "Left", "Ativo")</f>
        <v>Ativo</v>
      </c>
      <c r="E3676" s="10" t="str" cm="1">
        <f t="array" ref="E3676">IF(AND(A3676="2021-02", ISNA(MATCH(B3676, _xlfn._xlws.FILTER(B:B, A:A="2021-03"), 0))), "Left", "Ativo")</f>
        <v>Ativo</v>
      </c>
      <c r="F3676" s="12" t="str" cm="1">
        <f t="array" ref="F3676">IF(AND(A3676="2021-03", ISNA(MATCH(B3676, _xlfn._xlws.FILTER(B:B, A:A="2021-04"), 0))), "Left", "Ativo")</f>
        <v>Ativo</v>
      </c>
    </row>
    <row r="3677" spans="1:6" x14ac:dyDescent="0.25">
      <c r="A3677" t="s">
        <v>1531</v>
      </c>
      <c r="B3677" t="s">
        <v>749</v>
      </c>
      <c r="C3677" s="10" t="str" cm="1">
        <f t="array" ref="C3677">IF(AND(A3677="2020-12", ISNA(MATCH(B3677, _xlfn._xlws.FILTER(B:B, A:A="2021-01"), 0))), "Left", "Ativo")</f>
        <v>Ativo</v>
      </c>
      <c r="D3677" s="10" t="str" cm="1">
        <f t="array" ref="D3677">IF(AND(A3677="2021-01", ISNA(MATCH(B3677, _xlfn._xlws.FILTER(B:B, A:A="2021-02"), 0))), "Left", "Ativo")</f>
        <v>Ativo</v>
      </c>
      <c r="E3677" s="10" t="str" cm="1">
        <f t="array" ref="E3677">IF(AND(A3677="2021-02", ISNA(MATCH(B3677, _xlfn._xlws.FILTER(B:B, A:A="2021-03"), 0))), "Left", "Ativo")</f>
        <v>Ativo</v>
      </c>
      <c r="F3677" s="12" t="str" cm="1">
        <f t="array" ref="F3677">IF(AND(A3677="2021-03", ISNA(MATCH(B3677, _xlfn._xlws.FILTER(B:B, A:A="2021-04"), 0))), "Left", "Ativo")</f>
        <v>Ativo</v>
      </c>
    </row>
    <row r="3678" spans="1:6" x14ac:dyDescent="0.25">
      <c r="A3678" t="s">
        <v>1531</v>
      </c>
      <c r="B3678" t="s">
        <v>750</v>
      </c>
      <c r="C3678" s="10" t="str" cm="1">
        <f t="array" ref="C3678">IF(AND(A3678="2020-12", ISNA(MATCH(B3678, _xlfn._xlws.FILTER(B:B, A:A="2021-01"), 0))), "Left", "Ativo")</f>
        <v>Ativo</v>
      </c>
      <c r="D3678" s="10" t="str" cm="1">
        <f t="array" ref="D3678">IF(AND(A3678="2021-01", ISNA(MATCH(B3678, _xlfn._xlws.FILTER(B:B, A:A="2021-02"), 0))), "Left", "Ativo")</f>
        <v>Ativo</v>
      </c>
      <c r="E3678" s="10" t="str" cm="1">
        <f t="array" ref="E3678">IF(AND(A3678="2021-02", ISNA(MATCH(B3678, _xlfn._xlws.FILTER(B:B, A:A="2021-03"), 0))), "Left", "Ativo")</f>
        <v>Ativo</v>
      </c>
      <c r="F3678" s="12" t="str" cm="1">
        <f t="array" ref="F3678">IF(AND(A3678="2021-03", ISNA(MATCH(B3678, _xlfn._xlws.FILTER(B:B, A:A="2021-04"), 0))), "Left", "Ativo")</f>
        <v>Ativo</v>
      </c>
    </row>
    <row r="3679" spans="1:6" x14ac:dyDescent="0.25">
      <c r="A3679" t="s">
        <v>1531</v>
      </c>
      <c r="B3679" t="s">
        <v>751</v>
      </c>
      <c r="C3679" s="10" t="str" cm="1">
        <f t="array" ref="C3679">IF(AND(A3679="2020-12", ISNA(MATCH(B3679, _xlfn._xlws.FILTER(B:B, A:A="2021-01"), 0))), "Left", "Ativo")</f>
        <v>Ativo</v>
      </c>
      <c r="D3679" s="10" t="str" cm="1">
        <f t="array" ref="D3679">IF(AND(A3679="2021-01", ISNA(MATCH(B3679, _xlfn._xlws.FILTER(B:B, A:A="2021-02"), 0))), "Left", "Ativo")</f>
        <v>Ativo</v>
      </c>
      <c r="E3679" s="10" t="str" cm="1">
        <f t="array" ref="E3679">IF(AND(A3679="2021-02", ISNA(MATCH(B3679, _xlfn._xlws.FILTER(B:B, A:A="2021-03"), 0))), "Left", "Ativo")</f>
        <v>Ativo</v>
      </c>
      <c r="F3679" s="12" t="str" cm="1">
        <f t="array" ref="F3679">IF(AND(A3679="2021-03", ISNA(MATCH(B3679, _xlfn._xlws.FILTER(B:B, A:A="2021-04"), 0))), "Left", "Ativo")</f>
        <v>Ativo</v>
      </c>
    </row>
    <row r="3680" spans="1:6" x14ac:dyDescent="0.25">
      <c r="A3680" t="s">
        <v>1531</v>
      </c>
      <c r="B3680" t="s">
        <v>752</v>
      </c>
      <c r="C3680" s="10" t="str" cm="1">
        <f t="array" ref="C3680">IF(AND(A3680="2020-12", ISNA(MATCH(B3680, _xlfn._xlws.FILTER(B:B, A:A="2021-01"), 0))), "Left", "Ativo")</f>
        <v>Ativo</v>
      </c>
      <c r="D3680" s="10" t="str" cm="1">
        <f t="array" ref="D3680">IF(AND(A3680="2021-01", ISNA(MATCH(B3680, _xlfn._xlws.FILTER(B:B, A:A="2021-02"), 0))), "Left", "Ativo")</f>
        <v>Ativo</v>
      </c>
      <c r="E3680" s="10" t="str" cm="1">
        <f t="array" ref="E3680">IF(AND(A3680="2021-02", ISNA(MATCH(B3680, _xlfn._xlws.FILTER(B:B, A:A="2021-03"), 0))), "Left", "Ativo")</f>
        <v>Ativo</v>
      </c>
      <c r="F3680" s="12" t="str" cm="1">
        <f t="array" ref="F3680">IF(AND(A3680="2021-03", ISNA(MATCH(B3680, _xlfn._xlws.FILTER(B:B, A:A="2021-04"), 0))), "Left", "Ativo")</f>
        <v>Ativo</v>
      </c>
    </row>
    <row r="3681" spans="1:6" x14ac:dyDescent="0.25">
      <c r="A3681" t="s">
        <v>1531</v>
      </c>
      <c r="B3681" t="s">
        <v>1049</v>
      </c>
      <c r="C3681" s="10" t="str" cm="1">
        <f t="array" ref="C3681">IF(AND(A3681="2020-12", ISNA(MATCH(B3681, _xlfn._xlws.FILTER(B:B, A:A="2021-01"), 0))), "Left", "Ativo")</f>
        <v>Ativo</v>
      </c>
      <c r="D3681" s="10" t="str" cm="1">
        <f t="array" ref="D3681">IF(AND(A3681="2021-01", ISNA(MATCH(B3681, _xlfn._xlws.FILTER(B:B, A:A="2021-02"), 0))), "Left", "Ativo")</f>
        <v>Ativo</v>
      </c>
      <c r="E3681" s="10" t="str" cm="1">
        <f t="array" ref="E3681">IF(AND(A3681="2021-02", ISNA(MATCH(B3681, _xlfn._xlws.FILTER(B:B, A:A="2021-03"), 0))), "Left", "Ativo")</f>
        <v>Ativo</v>
      </c>
      <c r="F3681" s="12" t="str" cm="1">
        <f t="array" ref="F3681">IF(AND(A3681="2021-03", ISNA(MATCH(B3681, _xlfn._xlws.FILTER(B:B, A:A="2021-04"), 0))), "Left", "Ativo")</f>
        <v>Ativo</v>
      </c>
    </row>
    <row r="3682" spans="1:6" x14ac:dyDescent="0.25">
      <c r="A3682" t="s">
        <v>1531</v>
      </c>
      <c r="B3682" t="s">
        <v>1050</v>
      </c>
      <c r="C3682" s="10" t="str" cm="1">
        <f t="array" ref="C3682">IF(AND(A3682="2020-12", ISNA(MATCH(B3682, _xlfn._xlws.FILTER(B:B, A:A="2021-01"), 0))), "Left", "Ativo")</f>
        <v>Ativo</v>
      </c>
      <c r="D3682" s="10" t="str" cm="1">
        <f t="array" ref="D3682">IF(AND(A3682="2021-01", ISNA(MATCH(B3682, _xlfn._xlws.FILTER(B:B, A:A="2021-02"), 0))), "Left", "Ativo")</f>
        <v>Ativo</v>
      </c>
      <c r="E3682" s="10" t="str" cm="1">
        <f t="array" ref="E3682">IF(AND(A3682="2021-02", ISNA(MATCH(B3682, _xlfn._xlws.FILTER(B:B, A:A="2021-03"), 0))), "Left", "Ativo")</f>
        <v>Ativo</v>
      </c>
      <c r="F3682" s="12" t="str" cm="1">
        <f t="array" ref="F3682">IF(AND(A3682="2021-03", ISNA(MATCH(B3682, _xlfn._xlws.FILTER(B:B, A:A="2021-04"), 0))), "Left", "Ativo")</f>
        <v>Ativo</v>
      </c>
    </row>
    <row r="3683" spans="1:6" x14ac:dyDescent="0.25">
      <c r="A3683" t="s">
        <v>1531</v>
      </c>
      <c r="B3683" t="s">
        <v>1051</v>
      </c>
      <c r="C3683" s="10" t="str" cm="1">
        <f t="array" ref="C3683">IF(AND(A3683="2020-12", ISNA(MATCH(B3683, _xlfn._xlws.FILTER(B:B, A:A="2021-01"), 0))), "Left", "Ativo")</f>
        <v>Ativo</v>
      </c>
      <c r="D3683" s="10" t="str" cm="1">
        <f t="array" ref="D3683">IF(AND(A3683="2021-01", ISNA(MATCH(B3683, _xlfn._xlws.FILTER(B:B, A:A="2021-02"), 0))), "Left", "Ativo")</f>
        <v>Ativo</v>
      </c>
      <c r="E3683" s="10" t="str" cm="1">
        <f t="array" ref="E3683">IF(AND(A3683="2021-02", ISNA(MATCH(B3683, _xlfn._xlws.FILTER(B:B, A:A="2021-03"), 0))), "Left", "Ativo")</f>
        <v>Ativo</v>
      </c>
      <c r="F3683" s="12" t="str" cm="1">
        <f t="array" ref="F3683">IF(AND(A3683="2021-03", ISNA(MATCH(B3683, _xlfn._xlws.FILTER(B:B, A:A="2021-04"), 0))), "Left", "Ativo")</f>
        <v>Ativo</v>
      </c>
    </row>
    <row r="3684" spans="1:6" x14ac:dyDescent="0.25">
      <c r="A3684" t="s">
        <v>1531</v>
      </c>
      <c r="B3684" t="s">
        <v>1052</v>
      </c>
      <c r="C3684" s="10" t="str" cm="1">
        <f t="array" ref="C3684">IF(AND(A3684="2020-12", ISNA(MATCH(B3684, _xlfn._xlws.FILTER(B:B, A:A="2021-01"), 0))), "Left", "Ativo")</f>
        <v>Ativo</v>
      </c>
      <c r="D3684" s="10" t="str" cm="1">
        <f t="array" ref="D3684">IF(AND(A3684="2021-01", ISNA(MATCH(B3684, _xlfn._xlws.FILTER(B:B, A:A="2021-02"), 0))), "Left", "Ativo")</f>
        <v>Ativo</v>
      </c>
      <c r="E3684" s="10" t="str" cm="1">
        <f t="array" ref="E3684">IF(AND(A3684="2021-02", ISNA(MATCH(B3684, _xlfn._xlws.FILTER(B:B, A:A="2021-03"), 0))), "Left", "Ativo")</f>
        <v>Ativo</v>
      </c>
      <c r="F3684" s="12" t="str" cm="1">
        <f t="array" ref="F3684">IF(AND(A3684="2021-03", ISNA(MATCH(B3684, _xlfn._xlws.FILTER(B:B, A:A="2021-04"), 0))), "Left", "Ativo")</f>
        <v>Ativo</v>
      </c>
    </row>
    <row r="3685" spans="1:6" x14ac:dyDescent="0.25">
      <c r="A3685" t="s">
        <v>1531</v>
      </c>
      <c r="B3685" t="s">
        <v>1053</v>
      </c>
      <c r="C3685" s="10" t="str" cm="1">
        <f t="array" ref="C3685">IF(AND(A3685="2020-12", ISNA(MATCH(B3685, _xlfn._xlws.FILTER(B:B, A:A="2021-01"), 0))), "Left", "Ativo")</f>
        <v>Ativo</v>
      </c>
      <c r="D3685" s="10" t="str" cm="1">
        <f t="array" ref="D3685">IF(AND(A3685="2021-01", ISNA(MATCH(B3685, _xlfn._xlws.FILTER(B:B, A:A="2021-02"), 0))), "Left", "Ativo")</f>
        <v>Ativo</v>
      </c>
      <c r="E3685" s="10" t="str" cm="1">
        <f t="array" ref="E3685">IF(AND(A3685="2021-02", ISNA(MATCH(B3685, _xlfn._xlws.FILTER(B:B, A:A="2021-03"), 0))), "Left", "Ativo")</f>
        <v>Ativo</v>
      </c>
      <c r="F3685" s="12" t="str" cm="1">
        <f t="array" ref="F3685">IF(AND(A3685="2021-03", ISNA(MATCH(B3685, _xlfn._xlws.FILTER(B:B, A:A="2021-04"), 0))), "Left", "Ativo")</f>
        <v>Ativo</v>
      </c>
    </row>
    <row r="3686" spans="1:6" x14ac:dyDescent="0.25">
      <c r="A3686" t="s">
        <v>1531</v>
      </c>
      <c r="B3686" t="s">
        <v>1054</v>
      </c>
      <c r="C3686" s="10" t="str" cm="1">
        <f t="array" ref="C3686">IF(AND(A3686="2020-12", ISNA(MATCH(B3686, _xlfn._xlws.FILTER(B:B, A:A="2021-01"), 0))), "Left", "Ativo")</f>
        <v>Ativo</v>
      </c>
      <c r="D3686" s="10" t="str" cm="1">
        <f t="array" ref="D3686">IF(AND(A3686="2021-01", ISNA(MATCH(B3686, _xlfn._xlws.FILTER(B:B, A:A="2021-02"), 0))), "Left", "Ativo")</f>
        <v>Ativo</v>
      </c>
      <c r="E3686" s="10" t="str" cm="1">
        <f t="array" ref="E3686">IF(AND(A3686="2021-02", ISNA(MATCH(B3686, _xlfn._xlws.FILTER(B:B, A:A="2021-03"), 0))), "Left", "Ativo")</f>
        <v>Ativo</v>
      </c>
      <c r="F3686" s="12" t="str" cm="1">
        <f t="array" ref="F3686">IF(AND(A3686="2021-03", ISNA(MATCH(B3686, _xlfn._xlws.FILTER(B:B, A:A="2021-04"), 0))), "Left", "Ativo")</f>
        <v>Ativo</v>
      </c>
    </row>
    <row r="3687" spans="1:6" x14ac:dyDescent="0.25">
      <c r="A3687" t="s">
        <v>1531</v>
      </c>
      <c r="B3687" t="s">
        <v>1055</v>
      </c>
      <c r="C3687" s="10" t="str" cm="1">
        <f t="array" ref="C3687">IF(AND(A3687="2020-12", ISNA(MATCH(B3687, _xlfn._xlws.FILTER(B:B, A:A="2021-01"), 0))), "Left", "Ativo")</f>
        <v>Ativo</v>
      </c>
      <c r="D3687" s="10" t="str" cm="1">
        <f t="array" ref="D3687">IF(AND(A3687="2021-01", ISNA(MATCH(B3687, _xlfn._xlws.FILTER(B:B, A:A="2021-02"), 0))), "Left", "Ativo")</f>
        <v>Ativo</v>
      </c>
      <c r="E3687" s="10" t="str" cm="1">
        <f t="array" ref="E3687">IF(AND(A3687="2021-02", ISNA(MATCH(B3687, _xlfn._xlws.FILTER(B:B, A:A="2021-03"), 0))), "Left", "Ativo")</f>
        <v>Ativo</v>
      </c>
      <c r="F3687" s="12" t="str" cm="1">
        <f t="array" ref="F3687">IF(AND(A3687="2021-03", ISNA(MATCH(B3687, _xlfn._xlws.FILTER(B:B, A:A="2021-04"), 0))), "Left", "Ativo")</f>
        <v>Ativo</v>
      </c>
    </row>
    <row r="3688" spans="1:6" x14ac:dyDescent="0.25">
      <c r="A3688" t="s">
        <v>1531</v>
      </c>
      <c r="B3688" t="s">
        <v>1056</v>
      </c>
      <c r="C3688" s="10" t="str" cm="1">
        <f t="array" ref="C3688">IF(AND(A3688="2020-12", ISNA(MATCH(B3688, _xlfn._xlws.FILTER(B:B, A:A="2021-01"), 0))), "Left", "Ativo")</f>
        <v>Ativo</v>
      </c>
      <c r="D3688" s="10" t="str" cm="1">
        <f t="array" ref="D3688">IF(AND(A3688="2021-01", ISNA(MATCH(B3688, _xlfn._xlws.FILTER(B:B, A:A="2021-02"), 0))), "Left", "Ativo")</f>
        <v>Ativo</v>
      </c>
      <c r="E3688" s="10" t="str" cm="1">
        <f t="array" ref="E3688">IF(AND(A3688="2021-02", ISNA(MATCH(B3688, _xlfn._xlws.FILTER(B:B, A:A="2021-03"), 0))), "Left", "Ativo")</f>
        <v>Ativo</v>
      </c>
      <c r="F3688" s="12" t="str" cm="1">
        <f t="array" ref="F3688">IF(AND(A3688="2021-03", ISNA(MATCH(B3688, _xlfn._xlws.FILTER(B:B, A:A="2021-04"), 0))), "Left", "Ativo")</f>
        <v>Ativo</v>
      </c>
    </row>
    <row r="3689" spans="1:6" x14ac:dyDescent="0.25">
      <c r="A3689" t="s">
        <v>1531</v>
      </c>
      <c r="B3689" t="s">
        <v>1057</v>
      </c>
      <c r="C3689" s="10" t="str" cm="1">
        <f t="array" ref="C3689">IF(AND(A3689="2020-12", ISNA(MATCH(B3689, _xlfn._xlws.FILTER(B:B, A:A="2021-01"), 0))), "Left", "Ativo")</f>
        <v>Ativo</v>
      </c>
      <c r="D3689" s="10" t="str" cm="1">
        <f t="array" ref="D3689">IF(AND(A3689="2021-01", ISNA(MATCH(B3689, _xlfn._xlws.FILTER(B:B, A:A="2021-02"), 0))), "Left", "Ativo")</f>
        <v>Ativo</v>
      </c>
      <c r="E3689" s="10" t="str" cm="1">
        <f t="array" ref="E3689">IF(AND(A3689="2021-02", ISNA(MATCH(B3689, _xlfn._xlws.FILTER(B:B, A:A="2021-03"), 0))), "Left", "Ativo")</f>
        <v>Ativo</v>
      </c>
      <c r="F3689" s="12" t="str" cm="1">
        <f t="array" ref="F3689">IF(AND(A3689="2021-03", ISNA(MATCH(B3689, _xlfn._xlws.FILTER(B:B, A:A="2021-04"), 0))), "Left", "Ativo")</f>
        <v>Ativo</v>
      </c>
    </row>
    <row r="3690" spans="1:6" x14ac:dyDescent="0.25">
      <c r="A3690" t="s">
        <v>1531</v>
      </c>
      <c r="B3690" t="s">
        <v>1058</v>
      </c>
      <c r="C3690" s="10" t="str" cm="1">
        <f t="array" ref="C3690">IF(AND(A3690="2020-12", ISNA(MATCH(B3690, _xlfn._xlws.FILTER(B:B, A:A="2021-01"), 0))), "Left", "Ativo")</f>
        <v>Ativo</v>
      </c>
      <c r="D3690" s="10" t="str" cm="1">
        <f t="array" ref="D3690">IF(AND(A3690="2021-01", ISNA(MATCH(B3690, _xlfn._xlws.FILTER(B:B, A:A="2021-02"), 0))), "Left", "Ativo")</f>
        <v>Ativo</v>
      </c>
      <c r="E3690" s="10" t="str" cm="1">
        <f t="array" ref="E3690">IF(AND(A3690="2021-02", ISNA(MATCH(B3690, _xlfn._xlws.FILTER(B:B, A:A="2021-03"), 0))), "Left", "Ativo")</f>
        <v>Ativo</v>
      </c>
      <c r="F3690" s="12" t="str" cm="1">
        <f t="array" ref="F3690">IF(AND(A3690="2021-03", ISNA(MATCH(B3690, _xlfn._xlws.FILTER(B:B, A:A="2021-04"), 0))), "Left", "Ativo")</f>
        <v>Ativo</v>
      </c>
    </row>
    <row r="3691" spans="1:6" x14ac:dyDescent="0.25">
      <c r="A3691" t="s">
        <v>1531</v>
      </c>
      <c r="B3691" t="s">
        <v>1059</v>
      </c>
      <c r="C3691" s="10" t="str" cm="1">
        <f t="array" ref="C3691">IF(AND(A3691="2020-12", ISNA(MATCH(B3691, _xlfn._xlws.FILTER(B:B, A:A="2021-01"), 0))), "Left", "Ativo")</f>
        <v>Ativo</v>
      </c>
      <c r="D3691" s="10" t="str" cm="1">
        <f t="array" ref="D3691">IF(AND(A3691="2021-01", ISNA(MATCH(B3691, _xlfn._xlws.FILTER(B:B, A:A="2021-02"), 0))), "Left", "Ativo")</f>
        <v>Ativo</v>
      </c>
      <c r="E3691" s="10" t="str" cm="1">
        <f t="array" ref="E3691">IF(AND(A3691="2021-02", ISNA(MATCH(B3691, _xlfn._xlws.FILTER(B:B, A:A="2021-03"), 0))), "Left", "Ativo")</f>
        <v>Ativo</v>
      </c>
      <c r="F3691" s="12" t="str" cm="1">
        <f t="array" ref="F3691">IF(AND(A3691="2021-03", ISNA(MATCH(B3691, _xlfn._xlws.FILTER(B:B, A:A="2021-04"), 0))), "Left", "Ativo")</f>
        <v>Ativo</v>
      </c>
    </row>
    <row r="3692" spans="1:6" x14ac:dyDescent="0.25">
      <c r="A3692" t="s">
        <v>1531</v>
      </c>
      <c r="B3692" t="s">
        <v>1060</v>
      </c>
      <c r="C3692" s="10" t="str" cm="1">
        <f t="array" ref="C3692">IF(AND(A3692="2020-12", ISNA(MATCH(B3692, _xlfn._xlws.FILTER(B:B, A:A="2021-01"), 0))), "Left", "Ativo")</f>
        <v>Ativo</v>
      </c>
      <c r="D3692" s="10" t="str" cm="1">
        <f t="array" ref="D3692">IF(AND(A3692="2021-01", ISNA(MATCH(B3692, _xlfn._xlws.FILTER(B:B, A:A="2021-02"), 0))), "Left", "Ativo")</f>
        <v>Ativo</v>
      </c>
      <c r="E3692" s="10" t="str" cm="1">
        <f t="array" ref="E3692">IF(AND(A3692="2021-02", ISNA(MATCH(B3692, _xlfn._xlws.FILTER(B:B, A:A="2021-03"), 0))), "Left", "Ativo")</f>
        <v>Ativo</v>
      </c>
      <c r="F3692" s="12" t="str" cm="1">
        <f t="array" ref="F3692">IF(AND(A3692="2021-03", ISNA(MATCH(B3692, _xlfn._xlws.FILTER(B:B, A:A="2021-04"), 0))), "Left", "Ativo")</f>
        <v>Ativo</v>
      </c>
    </row>
    <row r="3693" spans="1:6" x14ac:dyDescent="0.25">
      <c r="A3693" t="s">
        <v>1531</v>
      </c>
      <c r="B3693" t="s">
        <v>1061</v>
      </c>
      <c r="C3693" s="10" t="str" cm="1">
        <f t="array" ref="C3693">IF(AND(A3693="2020-12", ISNA(MATCH(B3693, _xlfn._xlws.FILTER(B:B, A:A="2021-01"), 0))), "Left", "Ativo")</f>
        <v>Ativo</v>
      </c>
      <c r="D3693" s="10" t="str" cm="1">
        <f t="array" ref="D3693">IF(AND(A3693="2021-01", ISNA(MATCH(B3693, _xlfn._xlws.FILTER(B:B, A:A="2021-02"), 0))), "Left", "Ativo")</f>
        <v>Ativo</v>
      </c>
      <c r="E3693" s="10" t="str" cm="1">
        <f t="array" ref="E3693">IF(AND(A3693="2021-02", ISNA(MATCH(B3693, _xlfn._xlws.FILTER(B:B, A:A="2021-03"), 0))), "Left", "Ativo")</f>
        <v>Ativo</v>
      </c>
      <c r="F3693" s="12" t="str" cm="1">
        <f t="array" ref="F3693">IF(AND(A3693="2021-03", ISNA(MATCH(B3693, _xlfn._xlws.FILTER(B:B, A:A="2021-04"), 0))), "Left", "Ativo")</f>
        <v>Ativo</v>
      </c>
    </row>
    <row r="3694" spans="1:6" x14ac:dyDescent="0.25">
      <c r="A3694" t="s">
        <v>1531</v>
      </c>
      <c r="B3694" t="s">
        <v>1062</v>
      </c>
      <c r="C3694" s="10" t="str" cm="1">
        <f t="array" ref="C3694">IF(AND(A3694="2020-12", ISNA(MATCH(B3694, _xlfn._xlws.FILTER(B:B, A:A="2021-01"), 0))), "Left", "Ativo")</f>
        <v>Ativo</v>
      </c>
      <c r="D3694" s="10" t="str" cm="1">
        <f t="array" ref="D3694">IF(AND(A3694="2021-01", ISNA(MATCH(B3694, _xlfn._xlws.FILTER(B:B, A:A="2021-02"), 0))), "Left", "Ativo")</f>
        <v>Ativo</v>
      </c>
      <c r="E3694" s="10" t="str" cm="1">
        <f t="array" ref="E3694">IF(AND(A3694="2021-02", ISNA(MATCH(B3694, _xlfn._xlws.FILTER(B:B, A:A="2021-03"), 0))), "Left", "Ativo")</f>
        <v>Ativo</v>
      </c>
      <c r="F3694" s="12" t="str" cm="1">
        <f t="array" ref="F3694">IF(AND(A3694="2021-03", ISNA(MATCH(B3694, _xlfn._xlws.FILTER(B:B, A:A="2021-04"), 0))), "Left", "Ativo")</f>
        <v>Ativo</v>
      </c>
    </row>
    <row r="3695" spans="1:6" x14ac:dyDescent="0.25">
      <c r="A3695" t="s">
        <v>1531</v>
      </c>
      <c r="B3695" t="s">
        <v>1063</v>
      </c>
      <c r="C3695" s="10" t="str" cm="1">
        <f t="array" ref="C3695">IF(AND(A3695="2020-12", ISNA(MATCH(B3695, _xlfn._xlws.FILTER(B:B, A:A="2021-01"), 0))), "Left", "Ativo")</f>
        <v>Ativo</v>
      </c>
      <c r="D3695" s="10" t="str" cm="1">
        <f t="array" ref="D3695">IF(AND(A3695="2021-01", ISNA(MATCH(B3695, _xlfn._xlws.FILTER(B:B, A:A="2021-02"), 0))), "Left", "Ativo")</f>
        <v>Ativo</v>
      </c>
      <c r="E3695" s="10" t="str" cm="1">
        <f t="array" ref="E3695">IF(AND(A3695="2021-02", ISNA(MATCH(B3695, _xlfn._xlws.FILTER(B:B, A:A="2021-03"), 0))), "Left", "Ativo")</f>
        <v>Ativo</v>
      </c>
      <c r="F3695" s="12" t="str" cm="1">
        <f t="array" ref="F3695">IF(AND(A3695="2021-03", ISNA(MATCH(B3695, _xlfn._xlws.FILTER(B:B, A:A="2021-04"), 0))), "Left", "Ativo")</f>
        <v>Ativo</v>
      </c>
    </row>
    <row r="3696" spans="1:6" x14ac:dyDescent="0.25">
      <c r="A3696" t="s">
        <v>1531</v>
      </c>
      <c r="B3696" t="s">
        <v>1064</v>
      </c>
      <c r="C3696" s="10" t="str" cm="1">
        <f t="array" ref="C3696">IF(AND(A3696="2020-12", ISNA(MATCH(B3696, _xlfn._xlws.FILTER(B:B, A:A="2021-01"), 0))), "Left", "Ativo")</f>
        <v>Ativo</v>
      </c>
      <c r="D3696" s="10" t="str" cm="1">
        <f t="array" ref="D3696">IF(AND(A3696="2021-01", ISNA(MATCH(B3696, _xlfn._xlws.FILTER(B:B, A:A="2021-02"), 0))), "Left", "Ativo")</f>
        <v>Ativo</v>
      </c>
      <c r="E3696" s="10" t="str" cm="1">
        <f t="array" ref="E3696">IF(AND(A3696="2021-02", ISNA(MATCH(B3696, _xlfn._xlws.FILTER(B:B, A:A="2021-03"), 0))), "Left", "Ativo")</f>
        <v>Ativo</v>
      </c>
      <c r="F3696" s="12" t="str" cm="1">
        <f t="array" ref="F3696">IF(AND(A3696="2021-03", ISNA(MATCH(B3696, _xlfn._xlws.FILTER(B:B, A:A="2021-04"), 0))), "Left", "Ativo")</f>
        <v>Ativo</v>
      </c>
    </row>
    <row r="3697" spans="1:6" x14ac:dyDescent="0.25">
      <c r="A3697" t="s">
        <v>1531</v>
      </c>
      <c r="B3697" t="s">
        <v>1065</v>
      </c>
      <c r="C3697" s="10" t="str" cm="1">
        <f t="array" ref="C3697">IF(AND(A3697="2020-12", ISNA(MATCH(B3697, _xlfn._xlws.FILTER(B:B, A:A="2021-01"), 0))), "Left", "Ativo")</f>
        <v>Ativo</v>
      </c>
      <c r="D3697" s="10" t="str" cm="1">
        <f t="array" ref="D3697">IF(AND(A3697="2021-01", ISNA(MATCH(B3697, _xlfn._xlws.FILTER(B:B, A:A="2021-02"), 0))), "Left", "Ativo")</f>
        <v>Ativo</v>
      </c>
      <c r="E3697" s="10" t="str" cm="1">
        <f t="array" ref="E3697">IF(AND(A3697="2021-02", ISNA(MATCH(B3697, _xlfn._xlws.FILTER(B:B, A:A="2021-03"), 0))), "Left", "Ativo")</f>
        <v>Ativo</v>
      </c>
      <c r="F3697" s="12" t="str" cm="1">
        <f t="array" ref="F3697">IF(AND(A3697="2021-03", ISNA(MATCH(B3697, _xlfn._xlws.FILTER(B:B, A:A="2021-04"), 0))), "Left", "Ativo")</f>
        <v>Ativo</v>
      </c>
    </row>
    <row r="3698" spans="1:6" x14ac:dyDescent="0.25">
      <c r="A3698" t="s">
        <v>1531</v>
      </c>
      <c r="B3698" t="s">
        <v>1066</v>
      </c>
      <c r="C3698" s="10" t="str" cm="1">
        <f t="array" ref="C3698">IF(AND(A3698="2020-12", ISNA(MATCH(B3698, _xlfn._xlws.FILTER(B:B, A:A="2021-01"), 0))), "Left", "Ativo")</f>
        <v>Ativo</v>
      </c>
      <c r="D3698" s="10" t="str" cm="1">
        <f t="array" ref="D3698">IF(AND(A3698="2021-01", ISNA(MATCH(B3698, _xlfn._xlws.FILTER(B:B, A:A="2021-02"), 0))), "Left", "Ativo")</f>
        <v>Ativo</v>
      </c>
      <c r="E3698" s="10" t="str" cm="1">
        <f t="array" ref="E3698">IF(AND(A3698="2021-02", ISNA(MATCH(B3698, _xlfn._xlws.FILTER(B:B, A:A="2021-03"), 0))), "Left", "Ativo")</f>
        <v>Ativo</v>
      </c>
      <c r="F3698" s="12" t="str" cm="1">
        <f t="array" ref="F3698">IF(AND(A3698="2021-03", ISNA(MATCH(B3698, _xlfn._xlws.FILTER(B:B, A:A="2021-04"), 0))), "Left", "Ativo")</f>
        <v>Ativo</v>
      </c>
    </row>
    <row r="3699" spans="1:6" x14ac:dyDescent="0.25">
      <c r="A3699" t="s">
        <v>1531</v>
      </c>
      <c r="B3699" t="s">
        <v>1067</v>
      </c>
      <c r="C3699" s="10" t="str" cm="1">
        <f t="array" ref="C3699">IF(AND(A3699="2020-12", ISNA(MATCH(B3699, _xlfn._xlws.FILTER(B:B, A:A="2021-01"), 0))), "Left", "Ativo")</f>
        <v>Ativo</v>
      </c>
      <c r="D3699" s="10" t="str" cm="1">
        <f t="array" ref="D3699">IF(AND(A3699="2021-01", ISNA(MATCH(B3699, _xlfn._xlws.FILTER(B:B, A:A="2021-02"), 0))), "Left", "Ativo")</f>
        <v>Ativo</v>
      </c>
      <c r="E3699" s="10" t="str" cm="1">
        <f t="array" ref="E3699">IF(AND(A3699="2021-02", ISNA(MATCH(B3699, _xlfn._xlws.FILTER(B:B, A:A="2021-03"), 0))), "Left", "Ativo")</f>
        <v>Ativo</v>
      </c>
      <c r="F3699" s="12" t="str" cm="1">
        <f t="array" ref="F3699">IF(AND(A3699="2021-03", ISNA(MATCH(B3699, _xlfn._xlws.FILTER(B:B, A:A="2021-04"), 0))), "Left", "Ativo")</f>
        <v>Ativo</v>
      </c>
    </row>
    <row r="3700" spans="1:6" x14ac:dyDescent="0.25">
      <c r="A3700" t="s">
        <v>1531</v>
      </c>
      <c r="B3700" t="s">
        <v>1068</v>
      </c>
      <c r="C3700" s="10" t="str" cm="1">
        <f t="array" ref="C3700">IF(AND(A3700="2020-12", ISNA(MATCH(B3700, _xlfn._xlws.FILTER(B:B, A:A="2021-01"), 0))), "Left", "Ativo")</f>
        <v>Ativo</v>
      </c>
      <c r="D3700" s="10" t="str" cm="1">
        <f t="array" ref="D3700">IF(AND(A3700="2021-01", ISNA(MATCH(B3700, _xlfn._xlws.FILTER(B:B, A:A="2021-02"), 0))), "Left", "Ativo")</f>
        <v>Ativo</v>
      </c>
      <c r="E3700" s="10" t="str" cm="1">
        <f t="array" ref="E3700">IF(AND(A3700="2021-02", ISNA(MATCH(B3700, _xlfn._xlws.FILTER(B:B, A:A="2021-03"), 0))), "Left", "Ativo")</f>
        <v>Ativo</v>
      </c>
      <c r="F3700" s="12" t="str" cm="1">
        <f t="array" ref="F3700">IF(AND(A3700="2021-03", ISNA(MATCH(B3700, _xlfn._xlws.FILTER(B:B, A:A="2021-04"), 0))), "Left", "Ativo")</f>
        <v>Ativo</v>
      </c>
    </row>
    <row r="3701" spans="1:6" x14ac:dyDescent="0.25">
      <c r="A3701" t="s">
        <v>1531</v>
      </c>
      <c r="B3701" t="s">
        <v>1069</v>
      </c>
      <c r="C3701" s="10" t="str" cm="1">
        <f t="array" ref="C3701">IF(AND(A3701="2020-12", ISNA(MATCH(B3701, _xlfn._xlws.FILTER(B:B, A:A="2021-01"), 0))), "Left", "Ativo")</f>
        <v>Ativo</v>
      </c>
      <c r="D3701" s="10" t="str" cm="1">
        <f t="array" ref="D3701">IF(AND(A3701="2021-01", ISNA(MATCH(B3701, _xlfn._xlws.FILTER(B:B, A:A="2021-02"), 0))), "Left", "Ativo")</f>
        <v>Ativo</v>
      </c>
      <c r="E3701" s="10" t="str" cm="1">
        <f t="array" ref="E3701">IF(AND(A3701="2021-02", ISNA(MATCH(B3701, _xlfn._xlws.FILTER(B:B, A:A="2021-03"), 0))), "Left", "Ativo")</f>
        <v>Ativo</v>
      </c>
      <c r="F3701" s="12" t="str" cm="1">
        <f t="array" ref="F3701">IF(AND(A3701="2021-03", ISNA(MATCH(B3701, _xlfn._xlws.FILTER(B:B, A:A="2021-04"), 0))), "Left", "Ativo")</f>
        <v>Ativo</v>
      </c>
    </row>
    <row r="3702" spans="1:6" x14ac:dyDescent="0.25">
      <c r="A3702" t="s">
        <v>1531</v>
      </c>
      <c r="B3702" t="s">
        <v>1135</v>
      </c>
      <c r="C3702" s="10" t="str" cm="1">
        <f t="array" ref="C3702">IF(AND(A3702="2020-12", ISNA(MATCH(B3702, _xlfn._xlws.FILTER(B:B, A:A="2021-01"), 0))), "Left", "Ativo")</f>
        <v>Ativo</v>
      </c>
      <c r="D3702" s="10" t="str" cm="1">
        <f t="array" ref="D3702">IF(AND(A3702="2021-01", ISNA(MATCH(B3702, _xlfn._xlws.FILTER(B:B, A:A="2021-02"), 0))), "Left", "Ativo")</f>
        <v>Ativo</v>
      </c>
      <c r="E3702" s="10" t="str" cm="1">
        <f t="array" ref="E3702">IF(AND(A3702="2021-02", ISNA(MATCH(B3702, _xlfn._xlws.FILTER(B:B, A:A="2021-03"), 0))), "Left", "Ativo")</f>
        <v>Ativo</v>
      </c>
      <c r="F3702" s="12" t="str" cm="1">
        <f t="array" ref="F3702">IF(AND(A3702="2021-03", ISNA(MATCH(B3702, _xlfn._xlws.FILTER(B:B, A:A="2021-04"), 0))), "Left", "Ativo")</f>
        <v>Ativo</v>
      </c>
    </row>
    <row r="3703" spans="1:6" x14ac:dyDescent="0.25">
      <c r="A3703" t="s">
        <v>1531</v>
      </c>
      <c r="B3703" t="s">
        <v>1136</v>
      </c>
      <c r="C3703" s="10" t="str" cm="1">
        <f t="array" ref="C3703">IF(AND(A3703="2020-12", ISNA(MATCH(B3703, _xlfn._xlws.FILTER(B:B, A:A="2021-01"), 0))), "Left", "Ativo")</f>
        <v>Ativo</v>
      </c>
      <c r="D3703" s="10" t="str" cm="1">
        <f t="array" ref="D3703">IF(AND(A3703="2021-01", ISNA(MATCH(B3703, _xlfn._xlws.FILTER(B:B, A:A="2021-02"), 0))), "Left", "Ativo")</f>
        <v>Ativo</v>
      </c>
      <c r="E3703" s="10" t="str" cm="1">
        <f t="array" ref="E3703">IF(AND(A3703="2021-02", ISNA(MATCH(B3703, _xlfn._xlws.FILTER(B:B, A:A="2021-03"), 0))), "Left", "Ativo")</f>
        <v>Ativo</v>
      </c>
      <c r="F3703" s="12" t="str" cm="1">
        <f t="array" ref="F3703">IF(AND(A3703="2021-03", ISNA(MATCH(B3703, _xlfn._xlws.FILTER(B:B, A:A="2021-04"), 0))), "Left", "Ativo")</f>
        <v>Ativo</v>
      </c>
    </row>
    <row r="3704" spans="1:6" x14ac:dyDescent="0.25">
      <c r="A3704" t="s">
        <v>1531</v>
      </c>
      <c r="B3704" t="s">
        <v>1137</v>
      </c>
      <c r="C3704" s="10" t="str" cm="1">
        <f t="array" ref="C3704">IF(AND(A3704="2020-12", ISNA(MATCH(B3704, _xlfn._xlws.FILTER(B:B, A:A="2021-01"), 0))), "Left", "Ativo")</f>
        <v>Ativo</v>
      </c>
      <c r="D3704" s="10" t="str" cm="1">
        <f t="array" ref="D3704">IF(AND(A3704="2021-01", ISNA(MATCH(B3704, _xlfn._xlws.FILTER(B:B, A:A="2021-02"), 0))), "Left", "Ativo")</f>
        <v>Ativo</v>
      </c>
      <c r="E3704" s="10" t="str" cm="1">
        <f t="array" ref="E3704">IF(AND(A3704="2021-02", ISNA(MATCH(B3704, _xlfn._xlws.FILTER(B:B, A:A="2021-03"), 0))), "Left", "Ativo")</f>
        <v>Ativo</v>
      </c>
      <c r="F3704" s="12" t="str" cm="1">
        <f t="array" ref="F3704">IF(AND(A3704="2021-03", ISNA(MATCH(B3704, _xlfn._xlws.FILTER(B:B, A:A="2021-04"), 0))), "Left", "Ativo")</f>
        <v>Ativo</v>
      </c>
    </row>
    <row r="3705" spans="1:6" x14ac:dyDescent="0.25">
      <c r="A3705" t="s">
        <v>1531</v>
      </c>
      <c r="B3705" t="s">
        <v>1138</v>
      </c>
      <c r="C3705" s="10" t="str" cm="1">
        <f t="array" ref="C3705">IF(AND(A3705="2020-12", ISNA(MATCH(B3705, _xlfn._xlws.FILTER(B:B, A:A="2021-01"), 0))), "Left", "Ativo")</f>
        <v>Ativo</v>
      </c>
      <c r="D3705" s="10" t="str" cm="1">
        <f t="array" ref="D3705">IF(AND(A3705="2021-01", ISNA(MATCH(B3705, _xlfn._xlws.FILTER(B:B, A:A="2021-02"), 0))), "Left", "Ativo")</f>
        <v>Ativo</v>
      </c>
      <c r="E3705" s="10" t="str" cm="1">
        <f t="array" ref="E3705">IF(AND(A3705="2021-02", ISNA(MATCH(B3705, _xlfn._xlws.FILTER(B:B, A:A="2021-03"), 0))), "Left", "Ativo")</f>
        <v>Ativo</v>
      </c>
      <c r="F3705" s="12" t="str" cm="1">
        <f t="array" ref="F3705">IF(AND(A3705="2021-03", ISNA(MATCH(B3705, _xlfn._xlws.FILTER(B:B, A:A="2021-04"), 0))), "Left", "Ativo")</f>
        <v>Ativo</v>
      </c>
    </row>
    <row r="3706" spans="1:6" x14ac:dyDescent="0.25">
      <c r="A3706" t="s">
        <v>1531</v>
      </c>
      <c r="B3706" t="s">
        <v>1139</v>
      </c>
      <c r="C3706" s="10" t="str" cm="1">
        <f t="array" ref="C3706">IF(AND(A3706="2020-12", ISNA(MATCH(B3706, _xlfn._xlws.FILTER(B:B, A:A="2021-01"), 0))), "Left", "Ativo")</f>
        <v>Ativo</v>
      </c>
      <c r="D3706" s="10" t="str" cm="1">
        <f t="array" ref="D3706">IF(AND(A3706="2021-01", ISNA(MATCH(B3706, _xlfn._xlws.FILTER(B:B, A:A="2021-02"), 0))), "Left", "Ativo")</f>
        <v>Ativo</v>
      </c>
      <c r="E3706" s="10" t="str" cm="1">
        <f t="array" ref="E3706">IF(AND(A3706="2021-02", ISNA(MATCH(B3706, _xlfn._xlws.FILTER(B:B, A:A="2021-03"), 0))), "Left", "Ativo")</f>
        <v>Ativo</v>
      </c>
      <c r="F3706" s="12" t="str" cm="1">
        <f t="array" ref="F3706">IF(AND(A3706="2021-03", ISNA(MATCH(B3706, _xlfn._xlws.FILTER(B:B, A:A="2021-04"), 0))), "Left", "Ativo")</f>
        <v>Ativo</v>
      </c>
    </row>
    <row r="3707" spans="1:6" x14ac:dyDescent="0.25">
      <c r="A3707" t="s">
        <v>1531</v>
      </c>
      <c r="B3707" t="s">
        <v>1140</v>
      </c>
      <c r="C3707" s="10" t="str" cm="1">
        <f t="array" ref="C3707">IF(AND(A3707="2020-12", ISNA(MATCH(B3707, _xlfn._xlws.FILTER(B:B, A:A="2021-01"), 0))), "Left", "Ativo")</f>
        <v>Ativo</v>
      </c>
      <c r="D3707" s="10" t="str" cm="1">
        <f t="array" ref="D3707">IF(AND(A3707="2021-01", ISNA(MATCH(B3707, _xlfn._xlws.FILTER(B:B, A:A="2021-02"), 0))), "Left", "Ativo")</f>
        <v>Ativo</v>
      </c>
      <c r="E3707" s="10" t="str" cm="1">
        <f t="array" ref="E3707">IF(AND(A3707="2021-02", ISNA(MATCH(B3707, _xlfn._xlws.FILTER(B:B, A:A="2021-03"), 0))), "Left", "Ativo")</f>
        <v>Ativo</v>
      </c>
      <c r="F3707" s="12" t="str" cm="1">
        <f t="array" ref="F3707">IF(AND(A3707="2021-03", ISNA(MATCH(B3707, _xlfn._xlws.FILTER(B:B, A:A="2021-04"), 0))), "Left", "Ativo")</f>
        <v>Ativo</v>
      </c>
    </row>
    <row r="3708" spans="1:6" x14ac:dyDescent="0.25">
      <c r="A3708" t="s">
        <v>1531</v>
      </c>
      <c r="B3708" t="s">
        <v>1141</v>
      </c>
      <c r="C3708" s="10" t="str" cm="1">
        <f t="array" ref="C3708">IF(AND(A3708="2020-12", ISNA(MATCH(B3708, _xlfn._xlws.FILTER(B:B, A:A="2021-01"), 0))), "Left", "Ativo")</f>
        <v>Ativo</v>
      </c>
      <c r="D3708" s="10" t="str" cm="1">
        <f t="array" ref="D3708">IF(AND(A3708="2021-01", ISNA(MATCH(B3708, _xlfn._xlws.FILTER(B:B, A:A="2021-02"), 0))), "Left", "Ativo")</f>
        <v>Ativo</v>
      </c>
      <c r="E3708" s="10" t="str" cm="1">
        <f t="array" ref="E3708">IF(AND(A3708="2021-02", ISNA(MATCH(B3708, _xlfn._xlws.FILTER(B:B, A:A="2021-03"), 0))), "Left", "Ativo")</f>
        <v>Ativo</v>
      </c>
      <c r="F3708" s="12" t="str" cm="1">
        <f t="array" ref="F3708">IF(AND(A3708="2021-03", ISNA(MATCH(B3708, _xlfn._xlws.FILTER(B:B, A:A="2021-04"), 0))), "Left", "Ativo")</f>
        <v>Ativo</v>
      </c>
    </row>
    <row r="3709" spans="1:6" x14ac:dyDescent="0.25">
      <c r="A3709" t="s">
        <v>1531</v>
      </c>
      <c r="B3709" t="s">
        <v>1142</v>
      </c>
      <c r="C3709" s="10" t="str" cm="1">
        <f t="array" ref="C3709">IF(AND(A3709="2020-12", ISNA(MATCH(B3709, _xlfn._xlws.FILTER(B:B, A:A="2021-01"), 0))), "Left", "Ativo")</f>
        <v>Ativo</v>
      </c>
      <c r="D3709" s="10" t="str" cm="1">
        <f t="array" ref="D3709">IF(AND(A3709="2021-01", ISNA(MATCH(B3709, _xlfn._xlws.FILTER(B:B, A:A="2021-02"), 0))), "Left", "Ativo")</f>
        <v>Ativo</v>
      </c>
      <c r="E3709" s="10" t="str" cm="1">
        <f t="array" ref="E3709">IF(AND(A3709="2021-02", ISNA(MATCH(B3709, _xlfn._xlws.FILTER(B:B, A:A="2021-03"), 0))), "Left", "Ativo")</f>
        <v>Ativo</v>
      </c>
      <c r="F3709" s="12" t="str" cm="1">
        <f t="array" ref="F3709">IF(AND(A3709="2021-03", ISNA(MATCH(B3709, _xlfn._xlws.FILTER(B:B, A:A="2021-04"), 0))), "Left", "Ativo")</f>
        <v>Left</v>
      </c>
    </row>
    <row r="3710" spans="1:6" x14ac:dyDescent="0.25">
      <c r="A3710" t="s">
        <v>1531</v>
      </c>
      <c r="B3710" t="s">
        <v>1143</v>
      </c>
      <c r="C3710" s="10" t="str" cm="1">
        <f t="array" ref="C3710">IF(AND(A3710="2020-12", ISNA(MATCH(B3710, _xlfn._xlws.FILTER(B:B, A:A="2021-01"), 0))), "Left", "Ativo")</f>
        <v>Ativo</v>
      </c>
      <c r="D3710" s="10" t="str" cm="1">
        <f t="array" ref="D3710">IF(AND(A3710="2021-01", ISNA(MATCH(B3710, _xlfn._xlws.FILTER(B:B, A:A="2021-02"), 0))), "Left", "Ativo")</f>
        <v>Ativo</v>
      </c>
      <c r="E3710" s="10" t="str" cm="1">
        <f t="array" ref="E3710">IF(AND(A3710="2021-02", ISNA(MATCH(B3710, _xlfn._xlws.FILTER(B:B, A:A="2021-03"), 0))), "Left", "Ativo")</f>
        <v>Ativo</v>
      </c>
      <c r="F3710" s="12" t="str" cm="1">
        <f t="array" ref="F3710">IF(AND(A3710="2021-03", ISNA(MATCH(B3710, _xlfn._xlws.FILTER(B:B, A:A="2021-04"), 0))), "Left", "Ativo")</f>
        <v>Left</v>
      </c>
    </row>
    <row r="3711" spans="1:6" x14ac:dyDescent="0.25">
      <c r="A3711" t="s">
        <v>1531</v>
      </c>
      <c r="B3711" t="s">
        <v>1144</v>
      </c>
      <c r="C3711" s="10" t="str" cm="1">
        <f t="array" ref="C3711">IF(AND(A3711="2020-12", ISNA(MATCH(B3711, _xlfn._xlws.FILTER(B:B, A:A="2021-01"), 0))), "Left", "Ativo")</f>
        <v>Ativo</v>
      </c>
      <c r="D3711" s="10" t="str" cm="1">
        <f t="array" ref="D3711">IF(AND(A3711="2021-01", ISNA(MATCH(B3711, _xlfn._xlws.FILTER(B:B, A:A="2021-02"), 0))), "Left", "Ativo")</f>
        <v>Ativo</v>
      </c>
      <c r="E3711" s="10" t="str" cm="1">
        <f t="array" ref="E3711">IF(AND(A3711="2021-02", ISNA(MATCH(B3711, _xlfn._xlws.FILTER(B:B, A:A="2021-03"), 0))), "Left", "Ativo")</f>
        <v>Ativo</v>
      </c>
      <c r="F3711" s="12" t="str" cm="1">
        <f t="array" ref="F3711">IF(AND(A3711="2021-03", ISNA(MATCH(B3711, _xlfn._xlws.FILTER(B:B, A:A="2021-04"), 0))), "Left", "Ativo")</f>
        <v>Ativo</v>
      </c>
    </row>
    <row r="3712" spans="1:6" x14ac:dyDescent="0.25">
      <c r="A3712" t="s">
        <v>1531</v>
      </c>
      <c r="B3712" t="s">
        <v>1145</v>
      </c>
      <c r="C3712" s="10" t="str" cm="1">
        <f t="array" ref="C3712">IF(AND(A3712="2020-12", ISNA(MATCH(B3712, _xlfn._xlws.FILTER(B:B, A:A="2021-01"), 0))), "Left", "Ativo")</f>
        <v>Ativo</v>
      </c>
      <c r="D3712" s="10" t="str" cm="1">
        <f t="array" ref="D3712">IF(AND(A3712="2021-01", ISNA(MATCH(B3712, _xlfn._xlws.FILTER(B:B, A:A="2021-02"), 0))), "Left", "Ativo")</f>
        <v>Ativo</v>
      </c>
      <c r="E3712" s="10" t="str" cm="1">
        <f t="array" ref="E3712">IF(AND(A3712="2021-02", ISNA(MATCH(B3712, _xlfn._xlws.FILTER(B:B, A:A="2021-03"), 0))), "Left", "Ativo")</f>
        <v>Ativo</v>
      </c>
      <c r="F3712" s="12" t="str" cm="1">
        <f t="array" ref="F3712">IF(AND(A3712="2021-03", ISNA(MATCH(B3712, _xlfn._xlws.FILTER(B:B, A:A="2021-04"), 0))), "Left", "Ativo")</f>
        <v>Ativo</v>
      </c>
    </row>
    <row r="3713" spans="1:6" x14ac:dyDescent="0.25">
      <c r="A3713" t="s">
        <v>1531</v>
      </c>
      <c r="B3713" t="s">
        <v>1146</v>
      </c>
      <c r="C3713" s="10" t="str" cm="1">
        <f t="array" ref="C3713">IF(AND(A3713="2020-12", ISNA(MATCH(B3713, _xlfn._xlws.FILTER(B:B, A:A="2021-01"), 0))), "Left", "Ativo")</f>
        <v>Ativo</v>
      </c>
      <c r="D3713" s="10" t="str" cm="1">
        <f t="array" ref="D3713">IF(AND(A3713="2021-01", ISNA(MATCH(B3713, _xlfn._xlws.FILTER(B:B, A:A="2021-02"), 0))), "Left", "Ativo")</f>
        <v>Ativo</v>
      </c>
      <c r="E3713" s="10" t="str" cm="1">
        <f t="array" ref="E3713">IF(AND(A3713="2021-02", ISNA(MATCH(B3713, _xlfn._xlws.FILTER(B:B, A:A="2021-03"), 0))), "Left", "Ativo")</f>
        <v>Ativo</v>
      </c>
      <c r="F3713" s="12" t="str" cm="1">
        <f t="array" ref="F3713">IF(AND(A3713="2021-03", ISNA(MATCH(B3713, _xlfn._xlws.FILTER(B:B, A:A="2021-04"), 0))), "Left", "Ativo")</f>
        <v>Ativo</v>
      </c>
    </row>
    <row r="3714" spans="1:6" x14ac:dyDescent="0.25">
      <c r="A3714" t="s">
        <v>1531</v>
      </c>
      <c r="B3714" t="s">
        <v>763</v>
      </c>
      <c r="C3714" s="10" t="str" cm="1">
        <f t="array" ref="C3714">IF(AND(A3714="2020-12", ISNA(MATCH(B3714, _xlfn._xlws.FILTER(B:B, A:A="2021-01"), 0))), "Left", "Ativo")</f>
        <v>Ativo</v>
      </c>
      <c r="D3714" s="10" t="str" cm="1">
        <f t="array" ref="D3714">IF(AND(A3714="2021-01", ISNA(MATCH(B3714, _xlfn._xlws.FILTER(B:B, A:A="2021-02"), 0))), "Left", "Ativo")</f>
        <v>Ativo</v>
      </c>
      <c r="E3714" s="10" t="str" cm="1">
        <f t="array" ref="E3714">IF(AND(A3714="2021-02", ISNA(MATCH(B3714, _xlfn._xlws.FILTER(B:B, A:A="2021-03"), 0))), "Left", "Ativo")</f>
        <v>Ativo</v>
      </c>
      <c r="F3714" s="12" t="str" cm="1">
        <f t="array" ref="F3714">IF(AND(A3714="2021-03", ISNA(MATCH(B3714, _xlfn._xlws.FILTER(B:B, A:A="2021-04"), 0))), "Left", "Ativo")</f>
        <v>Ativo</v>
      </c>
    </row>
    <row r="3715" spans="1:6" x14ac:dyDescent="0.25">
      <c r="A3715" t="s">
        <v>1531</v>
      </c>
      <c r="B3715" t="s">
        <v>764</v>
      </c>
      <c r="C3715" s="10" t="str" cm="1">
        <f t="array" ref="C3715">IF(AND(A3715="2020-12", ISNA(MATCH(B3715, _xlfn._xlws.FILTER(B:B, A:A="2021-01"), 0))), "Left", "Ativo")</f>
        <v>Ativo</v>
      </c>
      <c r="D3715" s="10" t="str" cm="1">
        <f t="array" ref="D3715">IF(AND(A3715="2021-01", ISNA(MATCH(B3715, _xlfn._xlws.FILTER(B:B, A:A="2021-02"), 0))), "Left", "Ativo")</f>
        <v>Ativo</v>
      </c>
      <c r="E3715" s="10" t="str" cm="1">
        <f t="array" ref="E3715">IF(AND(A3715="2021-02", ISNA(MATCH(B3715, _xlfn._xlws.FILTER(B:B, A:A="2021-03"), 0))), "Left", "Ativo")</f>
        <v>Ativo</v>
      </c>
      <c r="F3715" s="12" t="str" cm="1">
        <f t="array" ref="F3715">IF(AND(A3715="2021-03", ISNA(MATCH(B3715, _xlfn._xlws.FILTER(B:B, A:A="2021-04"), 0))), "Left", "Ativo")</f>
        <v>Ativo</v>
      </c>
    </row>
    <row r="3716" spans="1:6" x14ac:dyDescent="0.25">
      <c r="A3716" t="s">
        <v>1531</v>
      </c>
      <c r="B3716" t="s">
        <v>765</v>
      </c>
      <c r="C3716" s="10" t="str" cm="1">
        <f t="array" ref="C3716">IF(AND(A3716="2020-12", ISNA(MATCH(B3716, _xlfn._xlws.FILTER(B:B, A:A="2021-01"), 0))), "Left", "Ativo")</f>
        <v>Ativo</v>
      </c>
      <c r="D3716" s="10" t="str" cm="1">
        <f t="array" ref="D3716">IF(AND(A3716="2021-01", ISNA(MATCH(B3716, _xlfn._xlws.FILTER(B:B, A:A="2021-02"), 0))), "Left", "Ativo")</f>
        <v>Ativo</v>
      </c>
      <c r="E3716" s="10" t="str" cm="1">
        <f t="array" ref="E3716">IF(AND(A3716="2021-02", ISNA(MATCH(B3716, _xlfn._xlws.FILTER(B:B, A:A="2021-03"), 0))), "Left", "Ativo")</f>
        <v>Ativo</v>
      </c>
      <c r="F3716" s="12" t="str" cm="1">
        <f t="array" ref="F3716">IF(AND(A3716="2021-03", ISNA(MATCH(B3716, _xlfn._xlws.FILTER(B:B, A:A="2021-04"), 0))), "Left", "Ativo")</f>
        <v>Ativo</v>
      </c>
    </row>
    <row r="3717" spans="1:6" x14ac:dyDescent="0.25">
      <c r="A3717" t="s">
        <v>1531</v>
      </c>
      <c r="B3717" t="s">
        <v>770</v>
      </c>
      <c r="C3717" s="10" t="str" cm="1">
        <f t="array" ref="C3717">IF(AND(A3717="2020-12", ISNA(MATCH(B3717, _xlfn._xlws.FILTER(B:B, A:A="2021-01"), 0))), "Left", "Ativo")</f>
        <v>Ativo</v>
      </c>
      <c r="D3717" s="10" t="str" cm="1">
        <f t="array" ref="D3717">IF(AND(A3717="2021-01", ISNA(MATCH(B3717, _xlfn._xlws.FILTER(B:B, A:A="2021-02"), 0))), "Left", "Ativo")</f>
        <v>Ativo</v>
      </c>
      <c r="E3717" s="10" t="str" cm="1">
        <f t="array" ref="E3717">IF(AND(A3717="2021-02", ISNA(MATCH(B3717, _xlfn._xlws.FILTER(B:B, A:A="2021-03"), 0))), "Left", "Ativo")</f>
        <v>Ativo</v>
      </c>
      <c r="F3717" s="12" t="str" cm="1">
        <f t="array" ref="F3717">IF(AND(A3717="2021-03", ISNA(MATCH(B3717, _xlfn._xlws.FILTER(B:B, A:A="2021-04"), 0))), "Left", "Ativo")</f>
        <v>Ativo</v>
      </c>
    </row>
    <row r="3718" spans="1:6" x14ac:dyDescent="0.25">
      <c r="A3718" t="s">
        <v>1531</v>
      </c>
      <c r="B3718" t="s">
        <v>771</v>
      </c>
      <c r="C3718" s="10" t="str" cm="1">
        <f t="array" ref="C3718">IF(AND(A3718="2020-12", ISNA(MATCH(B3718, _xlfn._xlws.FILTER(B:B, A:A="2021-01"), 0))), "Left", "Ativo")</f>
        <v>Ativo</v>
      </c>
      <c r="D3718" s="10" t="str" cm="1">
        <f t="array" ref="D3718">IF(AND(A3718="2021-01", ISNA(MATCH(B3718, _xlfn._xlws.FILTER(B:B, A:A="2021-02"), 0))), "Left", "Ativo")</f>
        <v>Ativo</v>
      </c>
      <c r="E3718" s="10" t="str" cm="1">
        <f t="array" ref="E3718">IF(AND(A3718="2021-02", ISNA(MATCH(B3718, _xlfn._xlws.FILTER(B:B, A:A="2021-03"), 0))), "Left", "Ativo")</f>
        <v>Ativo</v>
      </c>
      <c r="F3718" s="12" t="str" cm="1">
        <f t="array" ref="F3718">IF(AND(A3718="2021-03", ISNA(MATCH(B3718, _xlfn._xlws.FILTER(B:B, A:A="2021-04"), 0))), "Left", "Ativo")</f>
        <v>Ativo</v>
      </c>
    </row>
    <row r="3719" spans="1:6" x14ac:dyDescent="0.25">
      <c r="A3719" t="s">
        <v>1531</v>
      </c>
      <c r="B3719" t="s">
        <v>772</v>
      </c>
      <c r="C3719" s="10" t="str" cm="1">
        <f t="array" ref="C3719">IF(AND(A3719="2020-12", ISNA(MATCH(B3719, _xlfn._xlws.FILTER(B:B, A:A="2021-01"), 0))), "Left", "Ativo")</f>
        <v>Ativo</v>
      </c>
      <c r="D3719" s="10" t="str" cm="1">
        <f t="array" ref="D3719">IF(AND(A3719="2021-01", ISNA(MATCH(B3719, _xlfn._xlws.FILTER(B:B, A:A="2021-02"), 0))), "Left", "Ativo")</f>
        <v>Ativo</v>
      </c>
      <c r="E3719" s="10" t="str" cm="1">
        <f t="array" ref="E3719">IF(AND(A3719="2021-02", ISNA(MATCH(B3719, _xlfn._xlws.FILTER(B:B, A:A="2021-03"), 0))), "Left", "Ativo")</f>
        <v>Ativo</v>
      </c>
      <c r="F3719" s="12" t="str" cm="1">
        <f t="array" ref="F3719">IF(AND(A3719="2021-03", ISNA(MATCH(B3719, _xlfn._xlws.FILTER(B:B, A:A="2021-04"), 0))), "Left", "Ativo")</f>
        <v>Ativo</v>
      </c>
    </row>
    <row r="3720" spans="1:6" x14ac:dyDescent="0.25">
      <c r="A3720" t="s">
        <v>1531</v>
      </c>
      <c r="B3720" t="s">
        <v>773</v>
      </c>
      <c r="C3720" s="10" t="str" cm="1">
        <f t="array" ref="C3720">IF(AND(A3720="2020-12", ISNA(MATCH(B3720, _xlfn._xlws.FILTER(B:B, A:A="2021-01"), 0))), "Left", "Ativo")</f>
        <v>Ativo</v>
      </c>
      <c r="D3720" s="10" t="str" cm="1">
        <f t="array" ref="D3720">IF(AND(A3720="2021-01", ISNA(MATCH(B3720, _xlfn._xlws.FILTER(B:B, A:A="2021-02"), 0))), "Left", "Ativo")</f>
        <v>Ativo</v>
      </c>
      <c r="E3720" s="10" t="str" cm="1">
        <f t="array" ref="E3720">IF(AND(A3720="2021-02", ISNA(MATCH(B3720, _xlfn._xlws.FILTER(B:B, A:A="2021-03"), 0))), "Left", "Ativo")</f>
        <v>Ativo</v>
      </c>
      <c r="F3720" s="12" t="str" cm="1">
        <f t="array" ref="F3720">IF(AND(A3720="2021-03", ISNA(MATCH(B3720, _xlfn._xlws.FILTER(B:B, A:A="2021-04"), 0))), "Left", "Ativo")</f>
        <v>Ativo</v>
      </c>
    </row>
    <row r="3721" spans="1:6" x14ac:dyDescent="0.25">
      <c r="A3721" t="s">
        <v>1531</v>
      </c>
      <c r="B3721" t="s">
        <v>774</v>
      </c>
      <c r="C3721" s="10" t="str" cm="1">
        <f t="array" ref="C3721">IF(AND(A3721="2020-12", ISNA(MATCH(B3721, _xlfn._xlws.FILTER(B:B, A:A="2021-01"), 0))), "Left", "Ativo")</f>
        <v>Ativo</v>
      </c>
      <c r="D3721" s="10" t="str" cm="1">
        <f t="array" ref="D3721">IF(AND(A3721="2021-01", ISNA(MATCH(B3721, _xlfn._xlws.FILTER(B:B, A:A="2021-02"), 0))), "Left", "Ativo")</f>
        <v>Ativo</v>
      </c>
      <c r="E3721" s="10" t="str" cm="1">
        <f t="array" ref="E3721">IF(AND(A3721="2021-02", ISNA(MATCH(B3721, _xlfn._xlws.FILTER(B:B, A:A="2021-03"), 0))), "Left", "Ativo")</f>
        <v>Ativo</v>
      </c>
      <c r="F3721" s="12" t="str" cm="1">
        <f t="array" ref="F3721">IF(AND(A3721="2021-03", ISNA(MATCH(B3721, _xlfn._xlws.FILTER(B:B, A:A="2021-04"), 0))), "Left", "Ativo")</f>
        <v>Ativo</v>
      </c>
    </row>
    <row r="3722" spans="1:6" x14ac:dyDescent="0.25">
      <c r="A3722" t="s">
        <v>1531</v>
      </c>
      <c r="B3722" t="s">
        <v>775</v>
      </c>
      <c r="C3722" s="10" t="str" cm="1">
        <f t="array" ref="C3722">IF(AND(A3722="2020-12", ISNA(MATCH(B3722, _xlfn._xlws.FILTER(B:B, A:A="2021-01"), 0))), "Left", "Ativo")</f>
        <v>Ativo</v>
      </c>
      <c r="D3722" s="10" t="str" cm="1">
        <f t="array" ref="D3722">IF(AND(A3722="2021-01", ISNA(MATCH(B3722, _xlfn._xlws.FILTER(B:B, A:A="2021-02"), 0))), "Left", "Ativo")</f>
        <v>Ativo</v>
      </c>
      <c r="E3722" s="10" t="str" cm="1">
        <f t="array" ref="E3722">IF(AND(A3722="2021-02", ISNA(MATCH(B3722, _xlfn._xlws.FILTER(B:B, A:A="2021-03"), 0))), "Left", "Ativo")</f>
        <v>Ativo</v>
      </c>
      <c r="F3722" s="12" t="str" cm="1">
        <f t="array" ref="F3722">IF(AND(A3722="2021-03", ISNA(MATCH(B3722, _xlfn._xlws.FILTER(B:B, A:A="2021-04"), 0))), "Left", "Ativo")</f>
        <v>Ativo</v>
      </c>
    </row>
    <row r="3723" spans="1:6" x14ac:dyDescent="0.25">
      <c r="A3723" t="s">
        <v>1531</v>
      </c>
      <c r="B3723" t="s">
        <v>776</v>
      </c>
      <c r="C3723" s="10" t="str" cm="1">
        <f t="array" ref="C3723">IF(AND(A3723="2020-12", ISNA(MATCH(B3723, _xlfn._xlws.FILTER(B:B, A:A="2021-01"), 0))), "Left", "Ativo")</f>
        <v>Ativo</v>
      </c>
      <c r="D3723" s="10" t="str" cm="1">
        <f t="array" ref="D3723">IF(AND(A3723="2021-01", ISNA(MATCH(B3723, _xlfn._xlws.FILTER(B:B, A:A="2021-02"), 0))), "Left", "Ativo")</f>
        <v>Ativo</v>
      </c>
      <c r="E3723" s="10" t="str" cm="1">
        <f t="array" ref="E3723">IF(AND(A3723="2021-02", ISNA(MATCH(B3723, _xlfn._xlws.FILTER(B:B, A:A="2021-03"), 0))), "Left", "Ativo")</f>
        <v>Ativo</v>
      </c>
      <c r="F3723" s="12" t="str" cm="1">
        <f t="array" ref="F3723">IF(AND(A3723="2021-03", ISNA(MATCH(B3723, _xlfn._xlws.FILTER(B:B, A:A="2021-04"), 0))), "Left", "Ativo")</f>
        <v>Ativo</v>
      </c>
    </row>
    <row r="3724" spans="1:6" x14ac:dyDescent="0.25">
      <c r="A3724" t="s">
        <v>1531</v>
      </c>
      <c r="B3724" t="s">
        <v>777</v>
      </c>
      <c r="C3724" s="10" t="str" cm="1">
        <f t="array" ref="C3724">IF(AND(A3724="2020-12", ISNA(MATCH(B3724, _xlfn._xlws.FILTER(B:B, A:A="2021-01"), 0))), "Left", "Ativo")</f>
        <v>Ativo</v>
      </c>
      <c r="D3724" s="10" t="str" cm="1">
        <f t="array" ref="D3724">IF(AND(A3724="2021-01", ISNA(MATCH(B3724, _xlfn._xlws.FILTER(B:B, A:A="2021-02"), 0))), "Left", "Ativo")</f>
        <v>Ativo</v>
      </c>
      <c r="E3724" s="10" t="str" cm="1">
        <f t="array" ref="E3724">IF(AND(A3724="2021-02", ISNA(MATCH(B3724, _xlfn._xlws.FILTER(B:B, A:A="2021-03"), 0))), "Left", "Ativo")</f>
        <v>Ativo</v>
      </c>
      <c r="F3724" s="12" t="str" cm="1">
        <f t="array" ref="F3724">IF(AND(A3724="2021-03", ISNA(MATCH(B3724, _xlfn._xlws.FILTER(B:B, A:A="2021-04"), 0))), "Left", "Ativo")</f>
        <v>Ativo</v>
      </c>
    </row>
    <row r="3725" spans="1:6" x14ac:dyDescent="0.25">
      <c r="A3725" t="s">
        <v>1531</v>
      </c>
      <c r="B3725" t="s">
        <v>778</v>
      </c>
      <c r="C3725" s="10" t="str" cm="1">
        <f t="array" ref="C3725">IF(AND(A3725="2020-12", ISNA(MATCH(B3725, _xlfn._xlws.FILTER(B:B, A:A="2021-01"), 0))), "Left", "Ativo")</f>
        <v>Ativo</v>
      </c>
      <c r="D3725" s="10" t="str" cm="1">
        <f t="array" ref="D3725">IF(AND(A3725="2021-01", ISNA(MATCH(B3725, _xlfn._xlws.FILTER(B:B, A:A="2021-02"), 0))), "Left", "Ativo")</f>
        <v>Ativo</v>
      </c>
      <c r="E3725" s="10" t="str" cm="1">
        <f t="array" ref="E3725">IF(AND(A3725="2021-02", ISNA(MATCH(B3725, _xlfn._xlws.FILTER(B:B, A:A="2021-03"), 0))), "Left", "Ativo")</f>
        <v>Ativo</v>
      </c>
      <c r="F3725" s="12" t="str" cm="1">
        <f t="array" ref="F3725">IF(AND(A3725="2021-03", ISNA(MATCH(B3725, _xlfn._xlws.FILTER(B:B, A:A="2021-04"), 0))), "Left", "Ativo")</f>
        <v>Ativo</v>
      </c>
    </row>
    <row r="3726" spans="1:6" x14ac:dyDescent="0.25">
      <c r="A3726" t="s">
        <v>1531</v>
      </c>
      <c r="B3726" t="s">
        <v>779</v>
      </c>
      <c r="C3726" s="10" t="str" cm="1">
        <f t="array" ref="C3726">IF(AND(A3726="2020-12", ISNA(MATCH(B3726, _xlfn._xlws.FILTER(B:B, A:A="2021-01"), 0))), "Left", "Ativo")</f>
        <v>Ativo</v>
      </c>
      <c r="D3726" s="10" t="str" cm="1">
        <f t="array" ref="D3726">IF(AND(A3726="2021-01", ISNA(MATCH(B3726, _xlfn._xlws.FILTER(B:B, A:A="2021-02"), 0))), "Left", "Ativo")</f>
        <v>Ativo</v>
      </c>
      <c r="E3726" s="10" t="str" cm="1">
        <f t="array" ref="E3726">IF(AND(A3726="2021-02", ISNA(MATCH(B3726, _xlfn._xlws.FILTER(B:B, A:A="2021-03"), 0))), "Left", "Ativo")</f>
        <v>Ativo</v>
      </c>
      <c r="F3726" s="12" t="str" cm="1">
        <f t="array" ref="F3726">IF(AND(A3726="2021-03", ISNA(MATCH(B3726, _xlfn._xlws.FILTER(B:B, A:A="2021-04"), 0))), "Left", "Ativo")</f>
        <v>Ativo</v>
      </c>
    </row>
    <row r="3727" spans="1:6" x14ac:dyDescent="0.25">
      <c r="A3727" t="s">
        <v>1531</v>
      </c>
      <c r="B3727" t="s">
        <v>780</v>
      </c>
      <c r="C3727" s="10" t="str" cm="1">
        <f t="array" ref="C3727">IF(AND(A3727="2020-12", ISNA(MATCH(B3727, _xlfn._xlws.FILTER(B:B, A:A="2021-01"), 0))), "Left", "Ativo")</f>
        <v>Ativo</v>
      </c>
      <c r="D3727" s="10" t="str" cm="1">
        <f t="array" ref="D3727">IF(AND(A3727="2021-01", ISNA(MATCH(B3727, _xlfn._xlws.FILTER(B:B, A:A="2021-02"), 0))), "Left", "Ativo")</f>
        <v>Ativo</v>
      </c>
      <c r="E3727" s="10" t="str" cm="1">
        <f t="array" ref="E3727">IF(AND(A3727="2021-02", ISNA(MATCH(B3727, _xlfn._xlws.FILTER(B:B, A:A="2021-03"), 0))), "Left", "Ativo")</f>
        <v>Ativo</v>
      </c>
      <c r="F3727" s="12" t="str" cm="1">
        <f t="array" ref="F3727">IF(AND(A3727="2021-03", ISNA(MATCH(B3727, _xlfn._xlws.FILTER(B:B, A:A="2021-04"), 0))), "Left", "Ativo")</f>
        <v>Ativo</v>
      </c>
    </row>
    <row r="3728" spans="1:6" x14ac:dyDescent="0.25">
      <c r="A3728" t="s">
        <v>1531</v>
      </c>
      <c r="B3728" t="s">
        <v>781</v>
      </c>
      <c r="C3728" s="10" t="str" cm="1">
        <f t="array" ref="C3728">IF(AND(A3728="2020-12", ISNA(MATCH(B3728, _xlfn._xlws.FILTER(B:B, A:A="2021-01"), 0))), "Left", "Ativo")</f>
        <v>Ativo</v>
      </c>
      <c r="D3728" s="10" t="str" cm="1">
        <f t="array" ref="D3728">IF(AND(A3728="2021-01", ISNA(MATCH(B3728, _xlfn._xlws.FILTER(B:B, A:A="2021-02"), 0))), "Left", "Ativo")</f>
        <v>Ativo</v>
      </c>
      <c r="E3728" s="10" t="str" cm="1">
        <f t="array" ref="E3728">IF(AND(A3728="2021-02", ISNA(MATCH(B3728, _xlfn._xlws.FILTER(B:B, A:A="2021-03"), 0))), "Left", "Ativo")</f>
        <v>Ativo</v>
      </c>
      <c r="F3728" s="12" t="str" cm="1">
        <f t="array" ref="F3728">IF(AND(A3728="2021-03", ISNA(MATCH(B3728, _xlfn._xlws.FILTER(B:B, A:A="2021-04"), 0))), "Left", "Ativo")</f>
        <v>Ativo</v>
      </c>
    </row>
    <row r="3729" spans="1:6" x14ac:dyDescent="0.25">
      <c r="A3729" t="s">
        <v>1531</v>
      </c>
      <c r="B3729" t="s">
        <v>782</v>
      </c>
      <c r="C3729" s="10" t="str" cm="1">
        <f t="array" ref="C3729">IF(AND(A3729="2020-12", ISNA(MATCH(B3729, _xlfn._xlws.FILTER(B:B, A:A="2021-01"), 0))), "Left", "Ativo")</f>
        <v>Ativo</v>
      </c>
      <c r="D3729" s="10" t="str" cm="1">
        <f t="array" ref="D3729">IF(AND(A3729="2021-01", ISNA(MATCH(B3729, _xlfn._xlws.FILTER(B:B, A:A="2021-02"), 0))), "Left", "Ativo")</f>
        <v>Ativo</v>
      </c>
      <c r="E3729" s="10" t="str" cm="1">
        <f t="array" ref="E3729">IF(AND(A3729="2021-02", ISNA(MATCH(B3729, _xlfn._xlws.FILTER(B:B, A:A="2021-03"), 0))), "Left", "Ativo")</f>
        <v>Ativo</v>
      </c>
      <c r="F3729" s="12" t="str" cm="1">
        <f t="array" ref="F3729">IF(AND(A3729="2021-03", ISNA(MATCH(B3729, _xlfn._xlws.FILTER(B:B, A:A="2021-04"), 0))), "Left", "Ativo")</f>
        <v>Ativo</v>
      </c>
    </row>
    <row r="3730" spans="1:6" x14ac:dyDescent="0.25">
      <c r="A3730" t="s">
        <v>1531</v>
      </c>
      <c r="B3730" t="s">
        <v>783</v>
      </c>
      <c r="C3730" s="10" t="str" cm="1">
        <f t="array" ref="C3730">IF(AND(A3730="2020-12", ISNA(MATCH(B3730, _xlfn._xlws.FILTER(B:B, A:A="2021-01"), 0))), "Left", "Ativo")</f>
        <v>Ativo</v>
      </c>
      <c r="D3730" s="10" t="str" cm="1">
        <f t="array" ref="D3730">IF(AND(A3730="2021-01", ISNA(MATCH(B3730, _xlfn._xlws.FILTER(B:B, A:A="2021-02"), 0))), "Left", "Ativo")</f>
        <v>Ativo</v>
      </c>
      <c r="E3730" s="10" t="str" cm="1">
        <f t="array" ref="E3730">IF(AND(A3730="2021-02", ISNA(MATCH(B3730, _xlfn._xlws.FILTER(B:B, A:A="2021-03"), 0))), "Left", "Ativo")</f>
        <v>Ativo</v>
      </c>
      <c r="F3730" s="12" t="str" cm="1">
        <f t="array" ref="F3730">IF(AND(A3730="2021-03", ISNA(MATCH(B3730, _xlfn._xlws.FILTER(B:B, A:A="2021-04"), 0))), "Left", "Ativo")</f>
        <v>Ativo</v>
      </c>
    </row>
    <row r="3731" spans="1:6" x14ac:dyDescent="0.25">
      <c r="A3731" t="s">
        <v>1531</v>
      </c>
      <c r="B3731" t="s">
        <v>784</v>
      </c>
      <c r="C3731" s="10" t="str" cm="1">
        <f t="array" ref="C3731">IF(AND(A3731="2020-12", ISNA(MATCH(B3731, _xlfn._xlws.FILTER(B:B, A:A="2021-01"), 0))), "Left", "Ativo")</f>
        <v>Ativo</v>
      </c>
      <c r="D3731" s="10" t="str" cm="1">
        <f t="array" ref="D3731">IF(AND(A3731="2021-01", ISNA(MATCH(B3731, _xlfn._xlws.FILTER(B:B, A:A="2021-02"), 0))), "Left", "Ativo")</f>
        <v>Ativo</v>
      </c>
      <c r="E3731" s="10" t="str" cm="1">
        <f t="array" ref="E3731">IF(AND(A3731="2021-02", ISNA(MATCH(B3731, _xlfn._xlws.FILTER(B:B, A:A="2021-03"), 0))), "Left", "Ativo")</f>
        <v>Ativo</v>
      </c>
      <c r="F3731" s="12" t="str" cm="1">
        <f t="array" ref="F3731">IF(AND(A3731="2021-03", ISNA(MATCH(B3731, _xlfn._xlws.FILTER(B:B, A:A="2021-04"), 0))), "Left", "Ativo")</f>
        <v>Ativo</v>
      </c>
    </row>
    <row r="3732" spans="1:6" x14ac:dyDescent="0.25">
      <c r="A3732" t="s">
        <v>1531</v>
      </c>
      <c r="B3732" t="s">
        <v>785</v>
      </c>
      <c r="C3732" s="10" t="str" cm="1">
        <f t="array" ref="C3732">IF(AND(A3732="2020-12", ISNA(MATCH(B3732, _xlfn._xlws.FILTER(B:B, A:A="2021-01"), 0))), "Left", "Ativo")</f>
        <v>Ativo</v>
      </c>
      <c r="D3732" s="10" t="str" cm="1">
        <f t="array" ref="D3732">IF(AND(A3732="2021-01", ISNA(MATCH(B3732, _xlfn._xlws.FILTER(B:B, A:A="2021-02"), 0))), "Left", "Ativo")</f>
        <v>Ativo</v>
      </c>
      <c r="E3732" s="10" t="str" cm="1">
        <f t="array" ref="E3732">IF(AND(A3732="2021-02", ISNA(MATCH(B3732, _xlfn._xlws.FILTER(B:B, A:A="2021-03"), 0))), "Left", "Ativo")</f>
        <v>Ativo</v>
      </c>
      <c r="F3732" s="12" t="str" cm="1">
        <f t="array" ref="F3732">IF(AND(A3732="2021-03", ISNA(MATCH(B3732, _xlfn._xlws.FILTER(B:B, A:A="2021-04"), 0))), "Left", "Ativo")</f>
        <v>Ativo</v>
      </c>
    </row>
    <row r="3733" spans="1:6" x14ac:dyDescent="0.25">
      <c r="A3733" t="s">
        <v>1531</v>
      </c>
      <c r="B3733" t="s">
        <v>786</v>
      </c>
      <c r="C3733" s="10" t="str" cm="1">
        <f t="array" ref="C3733">IF(AND(A3733="2020-12", ISNA(MATCH(B3733, _xlfn._xlws.FILTER(B:B, A:A="2021-01"), 0))), "Left", "Ativo")</f>
        <v>Ativo</v>
      </c>
      <c r="D3733" s="10" t="str" cm="1">
        <f t="array" ref="D3733">IF(AND(A3733="2021-01", ISNA(MATCH(B3733, _xlfn._xlws.FILTER(B:B, A:A="2021-02"), 0))), "Left", "Ativo")</f>
        <v>Ativo</v>
      </c>
      <c r="E3733" s="10" t="str" cm="1">
        <f t="array" ref="E3733">IF(AND(A3733="2021-02", ISNA(MATCH(B3733, _xlfn._xlws.FILTER(B:B, A:A="2021-03"), 0))), "Left", "Ativo")</f>
        <v>Ativo</v>
      </c>
      <c r="F3733" s="12" t="str" cm="1">
        <f t="array" ref="F3733">IF(AND(A3733="2021-03", ISNA(MATCH(B3733, _xlfn._xlws.FILTER(B:B, A:A="2021-04"), 0))), "Left", "Ativo")</f>
        <v>Ativo</v>
      </c>
    </row>
    <row r="3734" spans="1:6" x14ac:dyDescent="0.25">
      <c r="A3734" t="s">
        <v>1531</v>
      </c>
      <c r="B3734" t="s">
        <v>787</v>
      </c>
      <c r="C3734" s="10" t="str" cm="1">
        <f t="array" ref="C3734">IF(AND(A3734="2020-12", ISNA(MATCH(B3734, _xlfn._xlws.FILTER(B:B, A:A="2021-01"), 0))), "Left", "Ativo")</f>
        <v>Ativo</v>
      </c>
      <c r="D3734" s="10" t="str" cm="1">
        <f t="array" ref="D3734">IF(AND(A3734="2021-01", ISNA(MATCH(B3734, _xlfn._xlws.FILTER(B:B, A:A="2021-02"), 0))), "Left", "Ativo")</f>
        <v>Ativo</v>
      </c>
      <c r="E3734" s="10" t="str" cm="1">
        <f t="array" ref="E3734">IF(AND(A3734="2021-02", ISNA(MATCH(B3734, _xlfn._xlws.FILTER(B:B, A:A="2021-03"), 0))), "Left", "Ativo")</f>
        <v>Ativo</v>
      </c>
      <c r="F3734" s="12" t="str" cm="1">
        <f t="array" ref="F3734">IF(AND(A3734="2021-03", ISNA(MATCH(B3734, _xlfn._xlws.FILTER(B:B, A:A="2021-04"), 0))), "Left", "Ativo")</f>
        <v>Ativo</v>
      </c>
    </row>
    <row r="3735" spans="1:6" x14ac:dyDescent="0.25">
      <c r="A3735" t="s">
        <v>1531</v>
      </c>
      <c r="B3735" t="s">
        <v>788</v>
      </c>
      <c r="C3735" s="10" t="str" cm="1">
        <f t="array" ref="C3735">IF(AND(A3735="2020-12", ISNA(MATCH(B3735, _xlfn._xlws.FILTER(B:B, A:A="2021-01"), 0))), "Left", "Ativo")</f>
        <v>Ativo</v>
      </c>
      <c r="D3735" s="10" t="str" cm="1">
        <f t="array" ref="D3735">IF(AND(A3735="2021-01", ISNA(MATCH(B3735, _xlfn._xlws.FILTER(B:B, A:A="2021-02"), 0))), "Left", "Ativo")</f>
        <v>Ativo</v>
      </c>
      <c r="E3735" s="10" t="str" cm="1">
        <f t="array" ref="E3735">IF(AND(A3735="2021-02", ISNA(MATCH(B3735, _xlfn._xlws.FILTER(B:B, A:A="2021-03"), 0))), "Left", "Ativo")</f>
        <v>Ativo</v>
      </c>
      <c r="F3735" s="12" t="str" cm="1">
        <f t="array" ref="F3735">IF(AND(A3735="2021-03", ISNA(MATCH(B3735, _xlfn._xlws.FILTER(B:B, A:A="2021-04"), 0))), "Left", "Ativo")</f>
        <v>Ativo</v>
      </c>
    </row>
    <row r="3736" spans="1:6" x14ac:dyDescent="0.25">
      <c r="A3736" t="s">
        <v>1531</v>
      </c>
      <c r="B3736" t="s">
        <v>789</v>
      </c>
      <c r="C3736" s="10" t="str" cm="1">
        <f t="array" ref="C3736">IF(AND(A3736="2020-12", ISNA(MATCH(B3736, _xlfn._xlws.FILTER(B:B, A:A="2021-01"), 0))), "Left", "Ativo")</f>
        <v>Ativo</v>
      </c>
      <c r="D3736" s="10" t="str" cm="1">
        <f t="array" ref="D3736">IF(AND(A3736="2021-01", ISNA(MATCH(B3736, _xlfn._xlws.FILTER(B:B, A:A="2021-02"), 0))), "Left", "Ativo")</f>
        <v>Ativo</v>
      </c>
      <c r="E3736" s="10" t="str" cm="1">
        <f t="array" ref="E3736">IF(AND(A3736="2021-02", ISNA(MATCH(B3736, _xlfn._xlws.FILTER(B:B, A:A="2021-03"), 0))), "Left", "Ativo")</f>
        <v>Ativo</v>
      </c>
      <c r="F3736" s="12" t="str" cm="1">
        <f t="array" ref="F3736">IF(AND(A3736="2021-03", ISNA(MATCH(B3736, _xlfn._xlws.FILTER(B:B, A:A="2021-04"), 0))), "Left", "Ativo")</f>
        <v>Left</v>
      </c>
    </row>
    <row r="3737" spans="1:6" x14ac:dyDescent="0.25">
      <c r="A3737" t="s">
        <v>1531</v>
      </c>
      <c r="B3737" t="s">
        <v>790</v>
      </c>
      <c r="C3737" s="10" t="str" cm="1">
        <f t="array" ref="C3737">IF(AND(A3737="2020-12", ISNA(MATCH(B3737, _xlfn._xlws.FILTER(B:B, A:A="2021-01"), 0))), "Left", "Ativo")</f>
        <v>Ativo</v>
      </c>
      <c r="D3737" s="10" t="str" cm="1">
        <f t="array" ref="D3737">IF(AND(A3737="2021-01", ISNA(MATCH(B3737, _xlfn._xlws.FILTER(B:B, A:A="2021-02"), 0))), "Left", "Ativo")</f>
        <v>Ativo</v>
      </c>
      <c r="E3737" s="10" t="str" cm="1">
        <f t="array" ref="E3737">IF(AND(A3737="2021-02", ISNA(MATCH(B3737, _xlfn._xlws.FILTER(B:B, A:A="2021-03"), 0))), "Left", "Ativo")</f>
        <v>Ativo</v>
      </c>
      <c r="F3737" s="12" t="str" cm="1">
        <f t="array" ref="F3737">IF(AND(A3737="2021-03", ISNA(MATCH(B3737, _xlfn._xlws.FILTER(B:B, A:A="2021-04"), 0))), "Left", "Ativo")</f>
        <v>Left</v>
      </c>
    </row>
    <row r="3738" spans="1:6" x14ac:dyDescent="0.25">
      <c r="A3738" t="s">
        <v>1531</v>
      </c>
      <c r="B3738" t="s">
        <v>791</v>
      </c>
      <c r="C3738" s="10" t="str" cm="1">
        <f t="array" ref="C3738">IF(AND(A3738="2020-12", ISNA(MATCH(B3738, _xlfn._xlws.FILTER(B:B, A:A="2021-01"), 0))), "Left", "Ativo")</f>
        <v>Ativo</v>
      </c>
      <c r="D3738" s="10" t="str" cm="1">
        <f t="array" ref="D3738">IF(AND(A3738="2021-01", ISNA(MATCH(B3738, _xlfn._xlws.FILTER(B:B, A:A="2021-02"), 0))), "Left", "Ativo")</f>
        <v>Ativo</v>
      </c>
      <c r="E3738" s="10" t="str" cm="1">
        <f t="array" ref="E3738">IF(AND(A3738="2021-02", ISNA(MATCH(B3738, _xlfn._xlws.FILTER(B:B, A:A="2021-03"), 0))), "Left", "Ativo")</f>
        <v>Ativo</v>
      </c>
      <c r="F3738" s="12" t="str" cm="1">
        <f t="array" ref="F3738">IF(AND(A3738="2021-03", ISNA(MATCH(B3738, _xlfn._xlws.FILTER(B:B, A:A="2021-04"), 0))), "Left", "Ativo")</f>
        <v>Left</v>
      </c>
    </row>
    <row r="3739" spans="1:6" x14ac:dyDescent="0.25">
      <c r="A3739" t="s">
        <v>1531</v>
      </c>
      <c r="B3739" t="s">
        <v>792</v>
      </c>
      <c r="C3739" s="10" t="str" cm="1">
        <f t="array" ref="C3739">IF(AND(A3739="2020-12", ISNA(MATCH(B3739, _xlfn._xlws.FILTER(B:B, A:A="2021-01"), 0))), "Left", "Ativo")</f>
        <v>Ativo</v>
      </c>
      <c r="D3739" s="10" t="str" cm="1">
        <f t="array" ref="D3739">IF(AND(A3739="2021-01", ISNA(MATCH(B3739, _xlfn._xlws.FILTER(B:B, A:A="2021-02"), 0))), "Left", "Ativo")</f>
        <v>Ativo</v>
      </c>
      <c r="E3739" s="10" t="str" cm="1">
        <f t="array" ref="E3739">IF(AND(A3739="2021-02", ISNA(MATCH(B3739, _xlfn._xlws.FILTER(B:B, A:A="2021-03"), 0))), "Left", "Ativo")</f>
        <v>Ativo</v>
      </c>
      <c r="F3739" s="12" t="str" cm="1">
        <f t="array" ref="F3739">IF(AND(A3739="2021-03", ISNA(MATCH(B3739, _xlfn._xlws.FILTER(B:B, A:A="2021-04"), 0))), "Left", "Ativo")</f>
        <v>Left</v>
      </c>
    </row>
    <row r="3740" spans="1:6" x14ac:dyDescent="0.25">
      <c r="A3740" t="s">
        <v>1531</v>
      </c>
      <c r="B3740" t="s">
        <v>793</v>
      </c>
      <c r="C3740" s="10" t="str" cm="1">
        <f t="array" ref="C3740">IF(AND(A3740="2020-12", ISNA(MATCH(B3740, _xlfn._xlws.FILTER(B:B, A:A="2021-01"), 0))), "Left", "Ativo")</f>
        <v>Ativo</v>
      </c>
      <c r="D3740" s="10" t="str" cm="1">
        <f t="array" ref="D3740">IF(AND(A3740="2021-01", ISNA(MATCH(B3740, _xlfn._xlws.FILTER(B:B, A:A="2021-02"), 0))), "Left", "Ativo")</f>
        <v>Ativo</v>
      </c>
      <c r="E3740" s="10" t="str" cm="1">
        <f t="array" ref="E3740">IF(AND(A3740="2021-02", ISNA(MATCH(B3740, _xlfn._xlws.FILTER(B:B, A:A="2021-03"), 0))), "Left", "Ativo")</f>
        <v>Ativo</v>
      </c>
      <c r="F3740" s="12" t="str" cm="1">
        <f t="array" ref="F3740">IF(AND(A3740="2021-03", ISNA(MATCH(B3740, _xlfn._xlws.FILTER(B:B, A:A="2021-04"), 0))), "Left", "Ativo")</f>
        <v>Left</v>
      </c>
    </row>
    <row r="3741" spans="1:6" x14ac:dyDescent="0.25">
      <c r="A3741" t="s">
        <v>1531</v>
      </c>
      <c r="B3741" t="s">
        <v>794</v>
      </c>
      <c r="C3741" s="10" t="str" cm="1">
        <f t="array" ref="C3741">IF(AND(A3741="2020-12", ISNA(MATCH(B3741, _xlfn._xlws.FILTER(B:B, A:A="2021-01"), 0))), "Left", "Ativo")</f>
        <v>Ativo</v>
      </c>
      <c r="D3741" s="10" t="str" cm="1">
        <f t="array" ref="D3741">IF(AND(A3741="2021-01", ISNA(MATCH(B3741, _xlfn._xlws.FILTER(B:B, A:A="2021-02"), 0))), "Left", "Ativo")</f>
        <v>Ativo</v>
      </c>
      <c r="E3741" s="10" t="str" cm="1">
        <f t="array" ref="E3741">IF(AND(A3741="2021-02", ISNA(MATCH(B3741, _xlfn._xlws.FILTER(B:B, A:A="2021-03"), 0))), "Left", "Ativo")</f>
        <v>Ativo</v>
      </c>
      <c r="F3741" s="12" t="str" cm="1">
        <f t="array" ref="F3741">IF(AND(A3741="2021-03", ISNA(MATCH(B3741, _xlfn._xlws.FILTER(B:B, A:A="2021-04"), 0))), "Left", "Ativo")</f>
        <v>Ativo</v>
      </c>
    </row>
    <row r="3742" spans="1:6" x14ac:dyDescent="0.25">
      <c r="A3742" t="s">
        <v>1531</v>
      </c>
      <c r="B3742" t="s">
        <v>795</v>
      </c>
      <c r="C3742" s="10" t="str" cm="1">
        <f t="array" ref="C3742">IF(AND(A3742="2020-12", ISNA(MATCH(B3742, _xlfn._xlws.FILTER(B:B, A:A="2021-01"), 0))), "Left", "Ativo")</f>
        <v>Ativo</v>
      </c>
      <c r="D3742" s="10" t="str" cm="1">
        <f t="array" ref="D3742">IF(AND(A3742="2021-01", ISNA(MATCH(B3742, _xlfn._xlws.FILTER(B:B, A:A="2021-02"), 0))), "Left", "Ativo")</f>
        <v>Ativo</v>
      </c>
      <c r="E3742" s="10" t="str" cm="1">
        <f t="array" ref="E3742">IF(AND(A3742="2021-02", ISNA(MATCH(B3742, _xlfn._xlws.FILTER(B:B, A:A="2021-03"), 0))), "Left", "Ativo")</f>
        <v>Ativo</v>
      </c>
      <c r="F3742" s="12" t="str" cm="1">
        <f t="array" ref="F3742">IF(AND(A3742="2021-03", ISNA(MATCH(B3742, _xlfn._xlws.FILTER(B:B, A:A="2021-04"), 0))), "Left", "Ativo")</f>
        <v>Ativo</v>
      </c>
    </row>
    <row r="3743" spans="1:6" x14ac:dyDescent="0.25">
      <c r="A3743" t="s">
        <v>1531</v>
      </c>
      <c r="B3743" t="s">
        <v>796</v>
      </c>
      <c r="C3743" s="10" t="str" cm="1">
        <f t="array" ref="C3743">IF(AND(A3743="2020-12", ISNA(MATCH(B3743, _xlfn._xlws.FILTER(B:B, A:A="2021-01"), 0))), "Left", "Ativo")</f>
        <v>Ativo</v>
      </c>
      <c r="D3743" s="10" t="str" cm="1">
        <f t="array" ref="D3743">IF(AND(A3743="2021-01", ISNA(MATCH(B3743, _xlfn._xlws.FILTER(B:B, A:A="2021-02"), 0))), "Left", "Ativo")</f>
        <v>Ativo</v>
      </c>
      <c r="E3743" s="10" t="str" cm="1">
        <f t="array" ref="E3743">IF(AND(A3743="2021-02", ISNA(MATCH(B3743, _xlfn._xlws.FILTER(B:B, A:A="2021-03"), 0))), "Left", "Ativo")</f>
        <v>Ativo</v>
      </c>
      <c r="F3743" s="12" t="str" cm="1">
        <f t="array" ref="F3743">IF(AND(A3743="2021-03", ISNA(MATCH(B3743, _xlfn._xlws.FILTER(B:B, A:A="2021-04"), 0))), "Left", "Ativo")</f>
        <v>Ativo</v>
      </c>
    </row>
    <row r="3744" spans="1:6" x14ac:dyDescent="0.25">
      <c r="A3744" t="s">
        <v>1531</v>
      </c>
      <c r="B3744" t="s">
        <v>797</v>
      </c>
      <c r="C3744" s="10" t="str" cm="1">
        <f t="array" ref="C3744">IF(AND(A3744="2020-12", ISNA(MATCH(B3744, _xlfn._xlws.FILTER(B:B, A:A="2021-01"), 0))), "Left", "Ativo")</f>
        <v>Ativo</v>
      </c>
      <c r="D3744" s="10" t="str" cm="1">
        <f t="array" ref="D3744">IF(AND(A3744="2021-01", ISNA(MATCH(B3744, _xlfn._xlws.FILTER(B:B, A:A="2021-02"), 0))), "Left", "Ativo")</f>
        <v>Ativo</v>
      </c>
      <c r="E3744" s="10" t="str" cm="1">
        <f t="array" ref="E3744">IF(AND(A3744="2021-02", ISNA(MATCH(B3744, _xlfn._xlws.FILTER(B:B, A:A="2021-03"), 0))), "Left", "Ativo")</f>
        <v>Ativo</v>
      </c>
      <c r="F3744" s="12" t="str" cm="1">
        <f t="array" ref="F3744">IF(AND(A3744="2021-03", ISNA(MATCH(B3744, _xlfn._xlws.FILTER(B:B, A:A="2021-04"), 0))), "Left", "Ativo")</f>
        <v>Ativo</v>
      </c>
    </row>
    <row r="3745" spans="1:6" x14ac:dyDescent="0.25">
      <c r="A3745" t="s">
        <v>1531</v>
      </c>
      <c r="B3745" t="s">
        <v>1147</v>
      </c>
      <c r="C3745" s="10" t="str" cm="1">
        <f t="array" ref="C3745">IF(AND(A3745="2020-12", ISNA(MATCH(B3745, _xlfn._xlws.FILTER(B:B, A:A="2021-01"), 0))), "Left", "Ativo")</f>
        <v>Ativo</v>
      </c>
      <c r="D3745" s="10" t="str" cm="1">
        <f t="array" ref="D3745">IF(AND(A3745="2021-01", ISNA(MATCH(B3745, _xlfn._xlws.FILTER(B:B, A:A="2021-02"), 0))), "Left", "Ativo")</f>
        <v>Ativo</v>
      </c>
      <c r="E3745" s="10" t="str" cm="1">
        <f t="array" ref="E3745">IF(AND(A3745="2021-02", ISNA(MATCH(B3745, _xlfn._xlws.FILTER(B:B, A:A="2021-03"), 0))), "Left", "Ativo")</f>
        <v>Ativo</v>
      </c>
      <c r="F3745" s="12" t="str" cm="1">
        <f t="array" ref="F3745">IF(AND(A3745="2021-03", ISNA(MATCH(B3745, _xlfn._xlws.FILTER(B:B, A:A="2021-04"), 0))), "Left", "Ativo")</f>
        <v>Left</v>
      </c>
    </row>
    <row r="3746" spans="1:6" x14ac:dyDescent="0.25">
      <c r="A3746" t="s">
        <v>1531</v>
      </c>
      <c r="B3746" t="s">
        <v>799</v>
      </c>
      <c r="C3746" s="10" t="str" cm="1">
        <f t="array" ref="C3746">IF(AND(A3746="2020-12", ISNA(MATCH(B3746, _xlfn._xlws.FILTER(B:B, A:A="2021-01"), 0))), "Left", "Ativo")</f>
        <v>Ativo</v>
      </c>
      <c r="D3746" s="10" t="str" cm="1">
        <f t="array" ref="D3746">IF(AND(A3746="2021-01", ISNA(MATCH(B3746, _xlfn._xlws.FILTER(B:B, A:A="2021-02"), 0))), "Left", "Ativo")</f>
        <v>Ativo</v>
      </c>
      <c r="E3746" s="10" t="str" cm="1">
        <f t="array" ref="E3746">IF(AND(A3746="2021-02", ISNA(MATCH(B3746, _xlfn._xlws.FILTER(B:B, A:A="2021-03"), 0))), "Left", "Ativo")</f>
        <v>Ativo</v>
      </c>
      <c r="F3746" s="12" t="str" cm="1">
        <f t="array" ref="F3746">IF(AND(A3746="2021-03", ISNA(MATCH(B3746, _xlfn._xlws.FILTER(B:B, A:A="2021-04"), 0))), "Left", "Ativo")</f>
        <v>Ativo</v>
      </c>
    </row>
    <row r="3747" spans="1:6" x14ac:dyDescent="0.25">
      <c r="A3747" t="s">
        <v>1531</v>
      </c>
      <c r="B3747" t="s">
        <v>800</v>
      </c>
      <c r="C3747" s="10" t="str" cm="1">
        <f t="array" ref="C3747">IF(AND(A3747="2020-12", ISNA(MATCH(B3747, _xlfn._xlws.FILTER(B:B, A:A="2021-01"), 0))), "Left", "Ativo")</f>
        <v>Ativo</v>
      </c>
      <c r="D3747" s="10" t="str" cm="1">
        <f t="array" ref="D3747">IF(AND(A3747="2021-01", ISNA(MATCH(B3747, _xlfn._xlws.FILTER(B:B, A:A="2021-02"), 0))), "Left", "Ativo")</f>
        <v>Ativo</v>
      </c>
      <c r="E3747" s="10" t="str" cm="1">
        <f t="array" ref="E3747">IF(AND(A3747="2021-02", ISNA(MATCH(B3747, _xlfn._xlws.FILTER(B:B, A:A="2021-03"), 0))), "Left", "Ativo")</f>
        <v>Ativo</v>
      </c>
      <c r="F3747" s="12" t="str" cm="1">
        <f t="array" ref="F3747">IF(AND(A3747="2021-03", ISNA(MATCH(B3747, _xlfn._xlws.FILTER(B:B, A:A="2021-04"), 0))), "Left", "Ativo")</f>
        <v>Ativo</v>
      </c>
    </row>
    <row r="3748" spans="1:6" x14ac:dyDescent="0.25">
      <c r="A3748" t="s">
        <v>1531</v>
      </c>
      <c r="B3748" t="s">
        <v>803</v>
      </c>
      <c r="C3748" s="10" t="str" cm="1">
        <f t="array" ref="C3748">IF(AND(A3748="2020-12", ISNA(MATCH(B3748, _xlfn._xlws.FILTER(B:B, A:A="2021-01"), 0))), "Left", "Ativo")</f>
        <v>Ativo</v>
      </c>
      <c r="D3748" s="10" t="str" cm="1">
        <f t="array" ref="D3748">IF(AND(A3748="2021-01", ISNA(MATCH(B3748, _xlfn._xlws.FILTER(B:B, A:A="2021-02"), 0))), "Left", "Ativo")</f>
        <v>Ativo</v>
      </c>
      <c r="E3748" s="10" t="str" cm="1">
        <f t="array" ref="E3748">IF(AND(A3748="2021-02", ISNA(MATCH(B3748, _xlfn._xlws.FILTER(B:B, A:A="2021-03"), 0))), "Left", "Ativo")</f>
        <v>Ativo</v>
      </c>
      <c r="F3748" s="12" t="str" cm="1">
        <f t="array" ref="F3748">IF(AND(A3748="2021-03", ISNA(MATCH(B3748, _xlfn._xlws.FILTER(B:B, A:A="2021-04"), 0))), "Left", "Ativo")</f>
        <v>Ativo</v>
      </c>
    </row>
    <row r="3749" spans="1:6" x14ac:dyDescent="0.25">
      <c r="A3749" t="s">
        <v>1531</v>
      </c>
      <c r="B3749" t="s">
        <v>804</v>
      </c>
      <c r="C3749" s="10" t="str" cm="1">
        <f t="array" ref="C3749">IF(AND(A3749="2020-12", ISNA(MATCH(B3749, _xlfn._xlws.FILTER(B:B, A:A="2021-01"), 0))), "Left", "Ativo")</f>
        <v>Ativo</v>
      </c>
      <c r="D3749" s="10" t="str" cm="1">
        <f t="array" ref="D3749">IF(AND(A3749="2021-01", ISNA(MATCH(B3749, _xlfn._xlws.FILTER(B:B, A:A="2021-02"), 0))), "Left", "Ativo")</f>
        <v>Ativo</v>
      </c>
      <c r="E3749" s="10" t="str" cm="1">
        <f t="array" ref="E3749">IF(AND(A3749="2021-02", ISNA(MATCH(B3749, _xlfn._xlws.FILTER(B:B, A:A="2021-03"), 0))), "Left", "Ativo")</f>
        <v>Ativo</v>
      </c>
      <c r="F3749" s="12" t="str" cm="1">
        <f t="array" ref="F3749">IF(AND(A3749="2021-03", ISNA(MATCH(B3749, _xlfn._xlws.FILTER(B:B, A:A="2021-04"), 0))), "Left", "Ativo")</f>
        <v>Ativo</v>
      </c>
    </row>
    <row r="3750" spans="1:6" x14ac:dyDescent="0.25">
      <c r="A3750" t="s">
        <v>1531</v>
      </c>
      <c r="B3750" t="s">
        <v>805</v>
      </c>
      <c r="C3750" s="10" t="str" cm="1">
        <f t="array" ref="C3750">IF(AND(A3750="2020-12", ISNA(MATCH(B3750, _xlfn._xlws.FILTER(B:B, A:A="2021-01"), 0))), "Left", "Ativo")</f>
        <v>Ativo</v>
      </c>
      <c r="D3750" s="10" t="str" cm="1">
        <f t="array" ref="D3750">IF(AND(A3750="2021-01", ISNA(MATCH(B3750, _xlfn._xlws.FILTER(B:B, A:A="2021-02"), 0))), "Left", "Ativo")</f>
        <v>Ativo</v>
      </c>
      <c r="E3750" s="10" t="str" cm="1">
        <f t="array" ref="E3750">IF(AND(A3750="2021-02", ISNA(MATCH(B3750, _xlfn._xlws.FILTER(B:B, A:A="2021-03"), 0))), "Left", "Ativo")</f>
        <v>Ativo</v>
      </c>
      <c r="F3750" s="12" t="str" cm="1">
        <f t="array" ref="F3750">IF(AND(A3750="2021-03", ISNA(MATCH(B3750, _xlfn._xlws.FILTER(B:B, A:A="2021-04"), 0))), "Left", "Ativo")</f>
        <v>Ativo</v>
      </c>
    </row>
    <row r="3751" spans="1:6" x14ac:dyDescent="0.25">
      <c r="A3751" t="s">
        <v>1531</v>
      </c>
      <c r="B3751" t="s">
        <v>806</v>
      </c>
      <c r="C3751" s="10" t="str" cm="1">
        <f t="array" ref="C3751">IF(AND(A3751="2020-12", ISNA(MATCH(B3751, _xlfn._xlws.FILTER(B:B, A:A="2021-01"), 0))), "Left", "Ativo")</f>
        <v>Ativo</v>
      </c>
      <c r="D3751" s="10" t="str" cm="1">
        <f t="array" ref="D3751">IF(AND(A3751="2021-01", ISNA(MATCH(B3751, _xlfn._xlws.FILTER(B:B, A:A="2021-02"), 0))), "Left", "Ativo")</f>
        <v>Ativo</v>
      </c>
      <c r="E3751" s="10" t="str" cm="1">
        <f t="array" ref="E3751">IF(AND(A3751="2021-02", ISNA(MATCH(B3751, _xlfn._xlws.FILTER(B:B, A:A="2021-03"), 0))), "Left", "Ativo")</f>
        <v>Ativo</v>
      </c>
      <c r="F3751" s="12" t="str" cm="1">
        <f t="array" ref="F3751">IF(AND(A3751="2021-03", ISNA(MATCH(B3751, _xlfn._xlws.FILTER(B:B, A:A="2021-04"), 0))), "Left", "Ativo")</f>
        <v>Ativo</v>
      </c>
    </row>
    <row r="3752" spans="1:6" x14ac:dyDescent="0.25">
      <c r="A3752" t="s">
        <v>1531</v>
      </c>
      <c r="B3752" t="s">
        <v>807</v>
      </c>
      <c r="C3752" s="10" t="str" cm="1">
        <f t="array" ref="C3752">IF(AND(A3752="2020-12", ISNA(MATCH(B3752, _xlfn._xlws.FILTER(B:B, A:A="2021-01"), 0))), "Left", "Ativo")</f>
        <v>Ativo</v>
      </c>
      <c r="D3752" s="10" t="str" cm="1">
        <f t="array" ref="D3752">IF(AND(A3752="2021-01", ISNA(MATCH(B3752, _xlfn._xlws.FILTER(B:B, A:A="2021-02"), 0))), "Left", "Ativo")</f>
        <v>Ativo</v>
      </c>
      <c r="E3752" s="10" t="str" cm="1">
        <f t="array" ref="E3752">IF(AND(A3752="2021-02", ISNA(MATCH(B3752, _xlfn._xlws.FILTER(B:B, A:A="2021-03"), 0))), "Left", "Ativo")</f>
        <v>Ativo</v>
      </c>
      <c r="F3752" s="12" t="str" cm="1">
        <f t="array" ref="F3752">IF(AND(A3752="2021-03", ISNA(MATCH(B3752, _xlfn._xlws.FILTER(B:B, A:A="2021-04"), 0))), "Left", "Ativo")</f>
        <v>Ativo</v>
      </c>
    </row>
    <row r="3753" spans="1:6" x14ac:dyDescent="0.25">
      <c r="A3753" t="s">
        <v>1531</v>
      </c>
      <c r="B3753" t="s">
        <v>808</v>
      </c>
      <c r="C3753" s="10" t="str" cm="1">
        <f t="array" ref="C3753">IF(AND(A3753="2020-12", ISNA(MATCH(B3753, _xlfn._xlws.FILTER(B:B, A:A="2021-01"), 0))), "Left", "Ativo")</f>
        <v>Ativo</v>
      </c>
      <c r="D3753" s="10" t="str" cm="1">
        <f t="array" ref="D3753">IF(AND(A3753="2021-01", ISNA(MATCH(B3753, _xlfn._xlws.FILTER(B:B, A:A="2021-02"), 0))), "Left", "Ativo")</f>
        <v>Ativo</v>
      </c>
      <c r="E3753" s="10" t="str" cm="1">
        <f t="array" ref="E3753">IF(AND(A3753="2021-02", ISNA(MATCH(B3753, _xlfn._xlws.FILTER(B:B, A:A="2021-03"), 0))), "Left", "Ativo")</f>
        <v>Ativo</v>
      </c>
      <c r="F3753" s="12" t="str" cm="1">
        <f t="array" ref="F3753">IF(AND(A3753="2021-03", ISNA(MATCH(B3753, _xlfn._xlws.FILTER(B:B, A:A="2021-04"), 0))), "Left", "Ativo")</f>
        <v>Ativo</v>
      </c>
    </row>
    <row r="3754" spans="1:6" x14ac:dyDescent="0.25">
      <c r="A3754" t="s">
        <v>1531</v>
      </c>
      <c r="B3754" t="s">
        <v>809</v>
      </c>
      <c r="C3754" s="10" t="str" cm="1">
        <f t="array" ref="C3754">IF(AND(A3754="2020-12", ISNA(MATCH(B3754, _xlfn._xlws.FILTER(B:B, A:A="2021-01"), 0))), "Left", "Ativo")</f>
        <v>Ativo</v>
      </c>
      <c r="D3754" s="10" t="str" cm="1">
        <f t="array" ref="D3754">IF(AND(A3754="2021-01", ISNA(MATCH(B3754, _xlfn._xlws.FILTER(B:B, A:A="2021-02"), 0))), "Left", "Ativo")</f>
        <v>Ativo</v>
      </c>
      <c r="E3754" s="10" t="str" cm="1">
        <f t="array" ref="E3754">IF(AND(A3754="2021-02", ISNA(MATCH(B3754, _xlfn._xlws.FILTER(B:B, A:A="2021-03"), 0))), "Left", "Ativo")</f>
        <v>Ativo</v>
      </c>
      <c r="F3754" s="12" t="str" cm="1">
        <f t="array" ref="F3754">IF(AND(A3754="2021-03", ISNA(MATCH(B3754, _xlfn._xlws.FILTER(B:B, A:A="2021-04"), 0))), "Left", "Ativo")</f>
        <v>Ativo</v>
      </c>
    </row>
    <row r="3755" spans="1:6" x14ac:dyDescent="0.25">
      <c r="A3755" t="s">
        <v>1531</v>
      </c>
      <c r="B3755" t="s">
        <v>810</v>
      </c>
      <c r="C3755" s="10" t="str" cm="1">
        <f t="array" ref="C3755">IF(AND(A3755="2020-12", ISNA(MATCH(B3755, _xlfn._xlws.FILTER(B:B, A:A="2021-01"), 0))), "Left", "Ativo")</f>
        <v>Ativo</v>
      </c>
      <c r="D3755" s="10" t="str" cm="1">
        <f t="array" ref="D3755">IF(AND(A3755="2021-01", ISNA(MATCH(B3755, _xlfn._xlws.FILTER(B:B, A:A="2021-02"), 0))), "Left", "Ativo")</f>
        <v>Ativo</v>
      </c>
      <c r="E3755" s="10" t="str" cm="1">
        <f t="array" ref="E3755">IF(AND(A3755="2021-02", ISNA(MATCH(B3755, _xlfn._xlws.FILTER(B:B, A:A="2021-03"), 0))), "Left", "Ativo")</f>
        <v>Ativo</v>
      </c>
      <c r="F3755" s="12" t="str" cm="1">
        <f t="array" ref="F3755">IF(AND(A3755="2021-03", ISNA(MATCH(B3755, _xlfn._xlws.FILTER(B:B, A:A="2021-04"), 0))), "Left", "Ativo")</f>
        <v>Ativo</v>
      </c>
    </row>
    <row r="3756" spans="1:6" x14ac:dyDescent="0.25">
      <c r="A3756" t="s">
        <v>1531</v>
      </c>
      <c r="B3756" t="s">
        <v>811</v>
      </c>
      <c r="C3756" s="10" t="str" cm="1">
        <f t="array" ref="C3756">IF(AND(A3756="2020-12", ISNA(MATCH(B3756, _xlfn._xlws.FILTER(B:B, A:A="2021-01"), 0))), "Left", "Ativo")</f>
        <v>Ativo</v>
      </c>
      <c r="D3756" s="10" t="str" cm="1">
        <f t="array" ref="D3756">IF(AND(A3756="2021-01", ISNA(MATCH(B3756, _xlfn._xlws.FILTER(B:B, A:A="2021-02"), 0))), "Left", "Ativo")</f>
        <v>Ativo</v>
      </c>
      <c r="E3756" s="10" t="str" cm="1">
        <f t="array" ref="E3756">IF(AND(A3756="2021-02", ISNA(MATCH(B3756, _xlfn._xlws.FILTER(B:B, A:A="2021-03"), 0))), "Left", "Ativo")</f>
        <v>Ativo</v>
      </c>
      <c r="F3756" s="12" t="str" cm="1">
        <f t="array" ref="F3756">IF(AND(A3756="2021-03", ISNA(MATCH(B3756, _xlfn._xlws.FILTER(B:B, A:A="2021-04"), 0))), "Left", "Ativo")</f>
        <v>Ativo</v>
      </c>
    </row>
    <row r="3757" spans="1:6" x14ac:dyDescent="0.25">
      <c r="A3757" t="s">
        <v>1531</v>
      </c>
      <c r="B3757" t="s">
        <v>812</v>
      </c>
      <c r="C3757" s="10" t="str" cm="1">
        <f t="array" ref="C3757">IF(AND(A3757="2020-12", ISNA(MATCH(B3757, _xlfn._xlws.FILTER(B:B, A:A="2021-01"), 0))), "Left", "Ativo")</f>
        <v>Ativo</v>
      </c>
      <c r="D3757" s="10" t="str" cm="1">
        <f t="array" ref="D3757">IF(AND(A3757="2021-01", ISNA(MATCH(B3757, _xlfn._xlws.FILTER(B:B, A:A="2021-02"), 0))), "Left", "Ativo")</f>
        <v>Ativo</v>
      </c>
      <c r="E3757" s="10" t="str" cm="1">
        <f t="array" ref="E3757">IF(AND(A3757="2021-02", ISNA(MATCH(B3757, _xlfn._xlws.FILTER(B:B, A:A="2021-03"), 0))), "Left", "Ativo")</f>
        <v>Ativo</v>
      </c>
      <c r="F3757" s="12" t="str" cm="1">
        <f t="array" ref="F3757">IF(AND(A3757="2021-03", ISNA(MATCH(B3757, _xlfn._xlws.FILTER(B:B, A:A="2021-04"), 0))), "Left", "Ativo")</f>
        <v>Ativo</v>
      </c>
    </row>
    <row r="3758" spans="1:6" x14ac:dyDescent="0.25">
      <c r="A3758" t="s">
        <v>1531</v>
      </c>
      <c r="B3758" t="s">
        <v>813</v>
      </c>
      <c r="C3758" s="10" t="str" cm="1">
        <f t="array" ref="C3758">IF(AND(A3758="2020-12", ISNA(MATCH(B3758, _xlfn._xlws.FILTER(B:B, A:A="2021-01"), 0))), "Left", "Ativo")</f>
        <v>Ativo</v>
      </c>
      <c r="D3758" s="10" t="str" cm="1">
        <f t="array" ref="D3758">IF(AND(A3758="2021-01", ISNA(MATCH(B3758, _xlfn._xlws.FILTER(B:B, A:A="2021-02"), 0))), "Left", "Ativo")</f>
        <v>Ativo</v>
      </c>
      <c r="E3758" s="10" t="str" cm="1">
        <f t="array" ref="E3758">IF(AND(A3758="2021-02", ISNA(MATCH(B3758, _xlfn._xlws.FILTER(B:B, A:A="2021-03"), 0))), "Left", "Ativo")</f>
        <v>Ativo</v>
      </c>
      <c r="F3758" s="12" t="str" cm="1">
        <f t="array" ref="F3758">IF(AND(A3758="2021-03", ISNA(MATCH(B3758, _xlfn._xlws.FILTER(B:B, A:A="2021-04"), 0))), "Left", "Ativo")</f>
        <v>Ativo</v>
      </c>
    </row>
    <row r="3759" spans="1:6" x14ac:dyDescent="0.25">
      <c r="A3759" t="s">
        <v>1531</v>
      </c>
      <c r="B3759" t="s">
        <v>814</v>
      </c>
      <c r="C3759" s="10" t="str" cm="1">
        <f t="array" ref="C3759">IF(AND(A3759="2020-12", ISNA(MATCH(B3759, _xlfn._xlws.FILTER(B:B, A:A="2021-01"), 0))), "Left", "Ativo")</f>
        <v>Ativo</v>
      </c>
      <c r="D3759" s="10" t="str" cm="1">
        <f t="array" ref="D3759">IF(AND(A3759="2021-01", ISNA(MATCH(B3759, _xlfn._xlws.FILTER(B:B, A:A="2021-02"), 0))), "Left", "Ativo")</f>
        <v>Ativo</v>
      </c>
      <c r="E3759" s="10" t="str" cm="1">
        <f t="array" ref="E3759">IF(AND(A3759="2021-02", ISNA(MATCH(B3759, _xlfn._xlws.FILTER(B:B, A:A="2021-03"), 0))), "Left", "Ativo")</f>
        <v>Ativo</v>
      </c>
      <c r="F3759" s="12" t="str" cm="1">
        <f t="array" ref="F3759">IF(AND(A3759="2021-03", ISNA(MATCH(B3759, _xlfn._xlws.FILTER(B:B, A:A="2021-04"), 0))), "Left", "Ativo")</f>
        <v>Ativo</v>
      </c>
    </row>
    <row r="3760" spans="1:6" x14ac:dyDescent="0.25">
      <c r="A3760" t="s">
        <v>1531</v>
      </c>
      <c r="B3760" t="s">
        <v>815</v>
      </c>
      <c r="C3760" s="10" t="str" cm="1">
        <f t="array" ref="C3760">IF(AND(A3760="2020-12", ISNA(MATCH(B3760, _xlfn._xlws.FILTER(B:B, A:A="2021-01"), 0))), "Left", "Ativo")</f>
        <v>Ativo</v>
      </c>
      <c r="D3760" s="10" t="str" cm="1">
        <f t="array" ref="D3760">IF(AND(A3760="2021-01", ISNA(MATCH(B3760, _xlfn._xlws.FILTER(B:B, A:A="2021-02"), 0))), "Left", "Ativo")</f>
        <v>Ativo</v>
      </c>
      <c r="E3760" s="10" t="str" cm="1">
        <f t="array" ref="E3760">IF(AND(A3760="2021-02", ISNA(MATCH(B3760, _xlfn._xlws.FILTER(B:B, A:A="2021-03"), 0))), "Left", "Ativo")</f>
        <v>Ativo</v>
      </c>
      <c r="F3760" s="12" t="str" cm="1">
        <f t="array" ref="F3760">IF(AND(A3760="2021-03", ISNA(MATCH(B3760, _xlfn._xlws.FILTER(B:B, A:A="2021-04"), 0))), "Left", "Ativo")</f>
        <v>Ativo</v>
      </c>
    </row>
    <row r="3761" spans="1:6" x14ac:dyDescent="0.25">
      <c r="A3761" t="s">
        <v>1531</v>
      </c>
      <c r="B3761" t="s">
        <v>1148</v>
      </c>
      <c r="C3761" s="10" t="str" cm="1">
        <f t="array" ref="C3761">IF(AND(A3761="2020-12", ISNA(MATCH(B3761, _xlfn._xlws.FILTER(B:B, A:A="2021-01"), 0))), "Left", "Ativo")</f>
        <v>Ativo</v>
      </c>
      <c r="D3761" s="10" t="str" cm="1">
        <f t="array" ref="D3761">IF(AND(A3761="2021-01", ISNA(MATCH(B3761, _xlfn._xlws.FILTER(B:B, A:A="2021-02"), 0))), "Left", "Ativo")</f>
        <v>Ativo</v>
      </c>
      <c r="E3761" s="10" t="str" cm="1">
        <f t="array" ref="E3761">IF(AND(A3761="2021-02", ISNA(MATCH(B3761, _xlfn._xlws.FILTER(B:B, A:A="2021-03"), 0))), "Left", "Ativo")</f>
        <v>Ativo</v>
      </c>
      <c r="F3761" s="12" t="str" cm="1">
        <f t="array" ref="F3761">IF(AND(A3761="2021-03", ISNA(MATCH(B3761, _xlfn._xlws.FILTER(B:B, A:A="2021-04"), 0))), "Left", "Ativo")</f>
        <v>Left</v>
      </c>
    </row>
    <row r="3762" spans="1:6" x14ac:dyDescent="0.25">
      <c r="A3762" t="s">
        <v>1531</v>
      </c>
      <c r="B3762" t="s">
        <v>817</v>
      </c>
      <c r="C3762" s="10" t="str" cm="1">
        <f t="array" ref="C3762">IF(AND(A3762="2020-12", ISNA(MATCH(B3762, _xlfn._xlws.FILTER(B:B, A:A="2021-01"), 0))), "Left", "Ativo")</f>
        <v>Ativo</v>
      </c>
      <c r="D3762" s="10" t="str" cm="1">
        <f t="array" ref="D3762">IF(AND(A3762="2021-01", ISNA(MATCH(B3762, _xlfn._xlws.FILTER(B:B, A:A="2021-02"), 0))), "Left", "Ativo")</f>
        <v>Ativo</v>
      </c>
      <c r="E3762" s="10" t="str" cm="1">
        <f t="array" ref="E3762">IF(AND(A3762="2021-02", ISNA(MATCH(B3762, _xlfn._xlws.FILTER(B:B, A:A="2021-03"), 0))), "Left", "Ativo")</f>
        <v>Ativo</v>
      </c>
      <c r="F3762" s="12" t="str" cm="1">
        <f t="array" ref="F3762">IF(AND(A3762="2021-03", ISNA(MATCH(B3762, _xlfn._xlws.FILTER(B:B, A:A="2021-04"), 0))), "Left", "Ativo")</f>
        <v>Ativo</v>
      </c>
    </row>
    <row r="3763" spans="1:6" x14ac:dyDescent="0.25">
      <c r="A3763" t="s">
        <v>1531</v>
      </c>
      <c r="B3763" t="s">
        <v>818</v>
      </c>
      <c r="C3763" s="10" t="str" cm="1">
        <f t="array" ref="C3763">IF(AND(A3763="2020-12", ISNA(MATCH(B3763, _xlfn._xlws.FILTER(B:B, A:A="2021-01"), 0))), "Left", "Ativo")</f>
        <v>Ativo</v>
      </c>
      <c r="D3763" s="10" t="str" cm="1">
        <f t="array" ref="D3763">IF(AND(A3763="2021-01", ISNA(MATCH(B3763, _xlfn._xlws.FILTER(B:B, A:A="2021-02"), 0))), "Left", "Ativo")</f>
        <v>Ativo</v>
      </c>
      <c r="E3763" s="10" t="str" cm="1">
        <f t="array" ref="E3763">IF(AND(A3763="2021-02", ISNA(MATCH(B3763, _xlfn._xlws.FILTER(B:B, A:A="2021-03"), 0))), "Left", "Ativo")</f>
        <v>Ativo</v>
      </c>
      <c r="F3763" s="12" t="str" cm="1">
        <f t="array" ref="F3763">IF(AND(A3763="2021-03", ISNA(MATCH(B3763, _xlfn._xlws.FILTER(B:B, A:A="2021-04"), 0))), "Left", "Ativo")</f>
        <v>Ativo</v>
      </c>
    </row>
    <row r="3764" spans="1:6" x14ac:dyDescent="0.25">
      <c r="A3764" t="s">
        <v>1531</v>
      </c>
      <c r="B3764" t="s">
        <v>819</v>
      </c>
      <c r="C3764" s="10" t="str" cm="1">
        <f t="array" ref="C3764">IF(AND(A3764="2020-12", ISNA(MATCH(B3764, _xlfn._xlws.FILTER(B:B, A:A="2021-01"), 0))), "Left", "Ativo")</f>
        <v>Ativo</v>
      </c>
      <c r="D3764" s="10" t="str" cm="1">
        <f t="array" ref="D3764">IF(AND(A3764="2021-01", ISNA(MATCH(B3764, _xlfn._xlws.FILTER(B:B, A:A="2021-02"), 0))), "Left", "Ativo")</f>
        <v>Ativo</v>
      </c>
      <c r="E3764" s="10" t="str" cm="1">
        <f t="array" ref="E3764">IF(AND(A3764="2021-02", ISNA(MATCH(B3764, _xlfn._xlws.FILTER(B:B, A:A="2021-03"), 0))), "Left", "Ativo")</f>
        <v>Ativo</v>
      </c>
      <c r="F3764" s="12" t="str" cm="1">
        <f t="array" ref="F3764">IF(AND(A3764="2021-03", ISNA(MATCH(B3764, _xlfn._xlws.FILTER(B:B, A:A="2021-04"), 0))), "Left", "Ativo")</f>
        <v>Ativo</v>
      </c>
    </row>
    <row r="3765" spans="1:6" x14ac:dyDescent="0.25">
      <c r="A3765" t="s">
        <v>1531</v>
      </c>
      <c r="B3765" t="s">
        <v>820</v>
      </c>
      <c r="C3765" s="10" t="str" cm="1">
        <f t="array" ref="C3765">IF(AND(A3765="2020-12", ISNA(MATCH(B3765, _xlfn._xlws.FILTER(B:B, A:A="2021-01"), 0))), "Left", "Ativo")</f>
        <v>Ativo</v>
      </c>
      <c r="D3765" s="10" t="str" cm="1">
        <f t="array" ref="D3765">IF(AND(A3765="2021-01", ISNA(MATCH(B3765, _xlfn._xlws.FILTER(B:B, A:A="2021-02"), 0))), "Left", "Ativo")</f>
        <v>Ativo</v>
      </c>
      <c r="E3765" s="10" t="str" cm="1">
        <f t="array" ref="E3765">IF(AND(A3765="2021-02", ISNA(MATCH(B3765, _xlfn._xlws.FILTER(B:B, A:A="2021-03"), 0))), "Left", "Ativo")</f>
        <v>Ativo</v>
      </c>
      <c r="F3765" s="12" t="str" cm="1">
        <f t="array" ref="F3765">IF(AND(A3765="2021-03", ISNA(MATCH(B3765, _xlfn._xlws.FILTER(B:B, A:A="2021-04"), 0))), "Left", "Ativo")</f>
        <v>Ativo</v>
      </c>
    </row>
    <row r="3766" spans="1:6" x14ac:dyDescent="0.25">
      <c r="A3766" t="s">
        <v>1531</v>
      </c>
      <c r="B3766" t="s">
        <v>821</v>
      </c>
      <c r="C3766" s="10" t="str" cm="1">
        <f t="array" ref="C3766">IF(AND(A3766="2020-12", ISNA(MATCH(B3766, _xlfn._xlws.FILTER(B:B, A:A="2021-01"), 0))), "Left", "Ativo")</f>
        <v>Ativo</v>
      </c>
      <c r="D3766" s="10" t="str" cm="1">
        <f t="array" ref="D3766">IF(AND(A3766="2021-01", ISNA(MATCH(B3766, _xlfn._xlws.FILTER(B:B, A:A="2021-02"), 0))), "Left", "Ativo")</f>
        <v>Ativo</v>
      </c>
      <c r="E3766" s="10" t="str" cm="1">
        <f t="array" ref="E3766">IF(AND(A3766="2021-02", ISNA(MATCH(B3766, _xlfn._xlws.FILTER(B:B, A:A="2021-03"), 0))), "Left", "Ativo")</f>
        <v>Ativo</v>
      </c>
      <c r="F3766" s="12" t="str" cm="1">
        <f t="array" ref="F3766">IF(AND(A3766="2021-03", ISNA(MATCH(B3766, _xlfn._xlws.FILTER(B:B, A:A="2021-04"), 0))), "Left", "Ativo")</f>
        <v>Ativo</v>
      </c>
    </row>
    <row r="3767" spans="1:6" x14ac:dyDescent="0.25">
      <c r="A3767" t="s">
        <v>1531</v>
      </c>
      <c r="B3767" t="s">
        <v>822</v>
      </c>
      <c r="C3767" s="10" t="str" cm="1">
        <f t="array" ref="C3767">IF(AND(A3767="2020-12", ISNA(MATCH(B3767, _xlfn._xlws.FILTER(B:B, A:A="2021-01"), 0))), "Left", "Ativo")</f>
        <v>Ativo</v>
      </c>
      <c r="D3767" s="10" t="str" cm="1">
        <f t="array" ref="D3767">IF(AND(A3767="2021-01", ISNA(MATCH(B3767, _xlfn._xlws.FILTER(B:B, A:A="2021-02"), 0))), "Left", "Ativo")</f>
        <v>Ativo</v>
      </c>
      <c r="E3767" s="10" t="str" cm="1">
        <f t="array" ref="E3767">IF(AND(A3767="2021-02", ISNA(MATCH(B3767, _xlfn._xlws.FILTER(B:B, A:A="2021-03"), 0))), "Left", "Ativo")</f>
        <v>Ativo</v>
      </c>
      <c r="F3767" s="12" t="str" cm="1">
        <f t="array" ref="F3767">IF(AND(A3767="2021-03", ISNA(MATCH(B3767, _xlfn._xlws.FILTER(B:B, A:A="2021-04"), 0))), "Left", "Ativo")</f>
        <v>Ativo</v>
      </c>
    </row>
    <row r="3768" spans="1:6" x14ac:dyDescent="0.25">
      <c r="A3768" t="s">
        <v>1531</v>
      </c>
      <c r="B3768" t="s">
        <v>823</v>
      </c>
      <c r="C3768" s="10" t="str" cm="1">
        <f t="array" ref="C3768">IF(AND(A3768="2020-12", ISNA(MATCH(B3768, _xlfn._xlws.FILTER(B:B, A:A="2021-01"), 0))), "Left", "Ativo")</f>
        <v>Ativo</v>
      </c>
      <c r="D3768" s="10" t="str" cm="1">
        <f t="array" ref="D3768">IF(AND(A3768="2021-01", ISNA(MATCH(B3768, _xlfn._xlws.FILTER(B:B, A:A="2021-02"), 0))), "Left", "Ativo")</f>
        <v>Ativo</v>
      </c>
      <c r="E3768" s="10" t="str" cm="1">
        <f t="array" ref="E3768">IF(AND(A3768="2021-02", ISNA(MATCH(B3768, _xlfn._xlws.FILTER(B:B, A:A="2021-03"), 0))), "Left", "Ativo")</f>
        <v>Ativo</v>
      </c>
      <c r="F3768" s="12" t="str" cm="1">
        <f t="array" ref="F3768">IF(AND(A3768="2021-03", ISNA(MATCH(B3768, _xlfn._xlws.FILTER(B:B, A:A="2021-04"), 0))), "Left", "Ativo")</f>
        <v>Ativo</v>
      </c>
    </row>
    <row r="3769" spans="1:6" x14ac:dyDescent="0.25">
      <c r="A3769" t="s">
        <v>1531</v>
      </c>
      <c r="B3769" t="s">
        <v>824</v>
      </c>
      <c r="C3769" s="10" t="str" cm="1">
        <f t="array" ref="C3769">IF(AND(A3769="2020-12", ISNA(MATCH(B3769, _xlfn._xlws.FILTER(B:B, A:A="2021-01"), 0))), "Left", "Ativo")</f>
        <v>Ativo</v>
      </c>
      <c r="D3769" s="10" t="str" cm="1">
        <f t="array" ref="D3769">IF(AND(A3769="2021-01", ISNA(MATCH(B3769, _xlfn._xlws.FILTER(B:B, A:A="2021-02"), 0))), "Left", "Ativo")</f>
        <v>Ativo</v>
      </c>
      <c r="E3769" s="10" t="str" cm="1">
        <f t="array" ref="E3769">IF(AND(A3769="2021-02", ISNA(MATCH(B3769, _xlfn._xlws.FILTER(B:B, A:A="2021-03"), 0))), "Left", "Ativo")</f>
        <v>Ativo</v>
      </c>
      <c r="F3769" s="12" t="str" cm="1">
        <f t="array" ref="F3769">IF(AND(A3769="2021-03", ISNA(MATCH(B3769, _xlfn._xlws.FILTER(B:B, A:A="2021-04"), 0))), "Left", "Ativo")</f>
        <v>Ativo</v>
      </c>
    </row>
    <row r="3770" spans="1:6" x14ac:dyDescent="0.25">
      <c r="A3770" t="s">
        <v>1531</v>
      </c>
      <c r="B3770" t="s">
        <v>825</v>
      </c>
      <c r="C3770" s="10" t="str" cm="1">
        <f t="array" ref="C3770">IF(AND(A3770="2020-12", ISNA(MATCH(B3770, _xlfn._xlws.FILTER(B:B, A:A="2021-01"), 0))), "Left", "Ativo")</f>
        <v>Ativo</v>
      </c>
      <c r="D3770" s="10" t="str" cm="1">
        <f t="array" ref="D3770">IF(AND(A3770="2021-01", ISNA(MATCH(B3770, _xlfn._xlws.FILTER(B:B, A:A="2021-02"), 0))), "Left", "Ativo")</f>
        <v>Ativo</v>
      </c>
      <c r="E3770" s="10" t="str" cm="1">
        <f t="array" ref="E3770">IF(AND(A3770="2021-02", ISNA(MATCH(B3770, _xlfn._xlws.FILTER(B:B, A:A="2021-03"), 0))), "Left", "Ativo")</f>
        <v>Ativo</v>
      </c>
      <c r="F3770" s="12" t="str" cm="1">
        <f t="array" ref="F3770">IF(AND(A3770="2021-03", ISNA(MATCH(B3770, _xlfn._xlws.FILTER(B:B, A:A="2021-04"), 0))), "Left", "Ativo")</f>
        <v>Ativo</v>
      </c>
    </row>
    <row r="3771" spans="1:6" x14ac:dyDescent="0.25">
      <c r="A3771" t="s">
        <v>1531</v>
      </c>
      <c r="B3771" t="s">
        <v>826</v>
      </c>
      <c r="C3771" s="10" t="str" cm="1">
        <f t="array" ref="C3771">IF(AND(A3771="2020-12", ISNA(MATCH(B3771, _xlfn._xlws.FILTER(B:B, A:A="2021-01"), 0))), "Left", "Ativo")</f>
        <v>Ativo</v>
      </c>
      <c r="D3771" s="10" t="str" cm="1">
        <f t="array" ref="D3771">IF(AND(A3771="2021-01", ISNA(MATCH(B3771, _xlfn._xlws.FILTER(B:B, A:A="2021-02"), 0))), "Left", "Ativo")</f>
        <v>Ativo</v>
      </c>
      <c r="E3771" s="10" t="str" cm="1">
        <f t="array" ref="E3771">IF(AND(A3771="2021-02", ISNA(MATCH(B3771, _xlfn._xlws.FILTER(B:B, A:A="2021-03"), 0))), "Left", "Ativo")</f>
        <v>Ativo</v>
      </c>
      <c r="F3771" s="12" t="str" cm="1">
        <f t="array" ref="F3771">IF(AND(A3771="2021-03", ISNA(MATCH(B3771, _xlfn._xlws.FILTER(B:B, A:A="2021-04"), 0))), "Left", "Ativo")</f>
        <v>Ativo</v>
      </c>
    </row>
    <row r="3772" spans="1:6" x14ac:dyDescent="0.25">
      <c r="A3772" t="s">
        <v>1531</v>
      </c>
      <c r="B3772" t="s">
        <v>827</v>
      </c>
      <c r="C3772" s="10" t="str" cm="1">
        <f t="array" ref="C3772">IF(AND(A3772="2020-12", ISNA(MATCH(B3772, _xlfn._xlws.FILTER(B:B, A:A="2021-01"), 0))), "Left", "Ativo")</f>
        <v>Ativo</v>
      </c>
      <c r="D3772" s="10" t="str" cm="1">
        <f t="array" ref="D3772">IF(AND(A3772="2021-01", ISNA(MATCH(B3772, _xlfn._xlws.FILTER(B:B, A:A="2021-02"), 0))), "Left", "Ativo")</f>
        <v>Ativo</v>
      </c>
      <c r="E3772" s="10" t="str" cm="1">
        <f t="array" ref="E3772">IF(AND(A3772="2021-02", ISNA(MATCH(B3772, _xlfn._xlws.FILTER(B:B, A:A="2021-03"), 0))), "Left", "Ativo")</f>
        <v>Ativo</v>
      </c>
      <c r="F3772" s="12" t="str" cm="1">
        <f t="array" ref="F3772">IF(AND(A3772="2021-03", ISNA(MATCH(B3772, _xlfn._xlws.FILTER(B:B, A:A="2021-04"), 0))), "Left", "Ativo")</f>
        <v>Ativo</v>
      </c>
    </row>
    <row r="3773" spans="1:6" x14ac:dyDescent="0.25">
      <c r="A3773" t="s">
        <v>1531</v>
      </c>
      <c r="B3773" t="s">
        <v>828</v>
      </c>
      <c r="C3773" s="10" t="str" cm="1">
        <f t="array" ref="C3773">IF(AND(A3773="2020-12", ISNA(MATCH(B3773, _xlfn._xlws.FILTER(B:B, A:A="2021-01"), 0))), "Left", "Ativo")</f>
        <v>Ativo</v>
      </c>
      <c r="D3773" s="10" t="str" cm="1">
        <f t="array" ref="D3773">IF(AND(A3773="2021-01", ISNA(MATCH(B3773, _xlfn._xlws.FILTER(B:B, A:A="2021-02"), 0))), "Left", "Ativo")</f>
        <v>Ativo</v>
      </c>
      <c r="E3773" s="10" t="str" cm="1">
        <f t="array" ref="E3773">IF(AND(A3773="2021-02", ISNA(MATCH(B3773, _xlfn._xlws.FILTER(B:B, A:A="2021-03"), 0))), "Left", "Ativo")</f>
        <v>Ativo</v>
      </c>
      <c r="F3773" s="12" t="str" cm="1">
        <f t="array" ref="F3773">IF(AND(A3773="2021-03", ISNA(MATCH(B3773, _xlfn._xlws.FILTER(B:B, A:A="2021-04"), 0))), "Left", "Ativo")</f>
        <v>Ativo</v>
      </c>
    </row>
    <row r="3774" spans="1:6" x14ac:dyDescent="0.25">
      <c r="A3774" t="s">
        <v>1531</v>
      </c>
      <c r="B3774" t="s">
        <v>829</v>
      </c>
      <c r="C3774" s="10" t="str" cm="1">
        <f t="array" ref="C3774">IF(AND(A3774="2020-12", ISNA(MATCH(B3774, _xlfn._xlws.FILTER(B:B, A:A="2021-01"), 0))), "Left", "Ativo")</f>
        <v>Ativo</v>
      </c>
      <c r="D3774" s="10" t="str" cm="1">
        <f t="array" ref="D3774">IF(AND(A3774="2021-01", ISNA(MATCH(B3774, _xlfn._xlws.FILTER(B:B, A:A="2021-02"), 0))), "Left", "Ativo")</f>
        <v>Ativo</v>
      </c>
      <c r="E3774" s="10" t="str" cm="1">
        <f t="array" ref="E3774">IF(AND(A3774="2021-02", ISNA(MATCH(B3774, _xlfn._xlws.FILTER(B:B, A:A="2021-03"), 0))), "Left", "Ativo")</f>
        <v>Ativo</v>
      </c>
      <c r="F3774" s="12" t="str" cm="1">
        <f t="array" ref="F3774">IF(AND(A3774="2021-03", ISNA(MATCH(B3774, _xlfn._xlws.FILTER(B:B, A:A="2021-04"), 0))), "Left", "Ativo")</f>
        <v>Ativo</v>
      </c>
    </row>
    <row r="3775" spans="1:6" x14ac:dyDescent="0.25">
      <c r="A3775" t="s">
        <v>1531</v>
      </c>
      <c r="B3775" t="s">
        <v>830</v>
      </c>
      <c r="C3775" s="10" t="str" cm="1">
        <f t="array" ref="C3775">IF(AND(A3775="2020-12", ISNA(MATCH(B3775, _xlfn._xlws.FILTER(B:B, A:A="2021-01"), 0))), "Left", "Ativo")</f>
        <v>Ativo</v>
      </c>
      <c r="D3775" s="10" t="str" cm="1">
        <f t="array" ref="D3775">IF(AND(A3775="2021-01", ISNA(MATCH(B3775, _xlfn._xlws.FILTER(B:B, A:A="2021-02"), 0))), "Left", "Ativo")</f>
        <v>Ativo</v>
      </c>
      <c r="E3775" s="10" t="str" cm="1">
        <f t="array" ref="E3775">IF(AND(A3775="2021-02", ISNA(MATCH(B3775, _xlfn._xlws.FILTER(B:B, A:A="2021-03"), 0))), "Left", "Ativo")</f>
        <v>Ativo</v>
      </c>
      <c r="F3775" s="12" t="str" cm="1">
        <f t="array" ref="F3775">IF(AND(A3775="2021-03", ISNA(MATCH(B3775, _xlfn._xlws.FILTER(B:B, A:A="2021-04"), 0))), "Left", "Ativo")</f>
        <v>Ativo</v>
      </c>
    </row>
    <row r="3776" spans="1:6" x14ac:dyDescent="0.25">
      <c r="A3776" t="s">
        <v>1531</v>
      </c>
      <c r="B3776" t="s">
        <v>831</v>
      </c>
      <c r="C3776" s="10" t="str" cm="1">
        <f t="array" ref="C3776">IF(AND(A3776="2020-12", ISNA(MATCH(B3776, _xlfn._xlws.FILTER(B:B, A:A="2021-01"), 0))), "Left", "Ativo")</f>
        <v>Ativo</v>
      </c>
      <c r="D3776" s="10" t="str" cm="1">
        <f t="array" ref="D3776">IF(AND(A3776="2021-01", ISNA(MATCH(B3776, _xlfn._xlws.FILTER(B:B, A:A="2021-02"), 0))), "Left", "Ativo")</f>
        <v>Ativo</v>
      </c>
      <c r="E3776" s="10" t="str" cm="1">
        <f t="array" ref="E3776">IF(AND(A3776="2021-02", ISNA(MATCH(B3776, _xlfn._xlws.FILTER(B:B, A:A="2021-03"), 0))), "Left", "Ativo")</f>
        <v>Ativo</v>
      </c>
      <c r="F3776" s="12" t="str" cm="1">
        <f t="array" ref="F3776">IF(AND(A3776="2021-03", ISNA(MATCH(B3776, _xlfn._xlws.FILTER(B:B, A:A="2021-04"), 0))), "Left", "Ativo")</f>
        <v>Ativo</v>
      </c>
    </row>
    <row r="3777" spans="1:6" x14ac:dyDescent="0.25">
      <c r="A3777" t="s">
        <v>1531</v>
      </c>
      <c r="B3777" t="s">
        <v>832</v>
      </c>
      <c r="C3777" s="10" t="str" cm="1">
        <f t="array" ref="C3777">IF(AND(A3777="2020-12", ISNA(MATCH(B3777, _xlfn._xlws.FILTER(B:B, A:A="2021-01"), 0))), "Left", "Ativo")</f>
        <v>Ativo</v>
      </c>
      <c r="D3777" s="10" t="str" cm="1">
        <f t="array" ref="D3777">IF(AND(A3777="2021-01", ISNA(MATCH(B3777, _xlfn._xlws.FILTER(B:B, A:A="2021-02"), 0))), "Left", "Ativo")</f>
        <v>Ativo</v>
      </c>
      <c r="E3777" s="10" t="str" cm="1">
        <f t="array" ref="E3777">IF(AND(A3777="2021-02", ISNA(MATCH(B3777, _xlfn._xlws.FILTER(B:B, A:A="2021-03"), 0))), "Left", "Ativo")</f>
        <v>Ativo</v>
      </c>
      <c r="F3777" s="12" t="str" cm="1">
        <f t="array" ref="F3777">IF(AND(A3777="2021-03", ISNA(MATCH(B3777, _xlfn._xlws.FILTER(B:B, A:A="2021-04"), 0))), "Left", "Ativo")</f>
        <v>Left</v>
      </c>
    </row>
    <row r="3778" spans="1:6" x14ac:dyDescent="0.25">
      <c r="A3778" t="s">
        <v>1531</v>
      </c>
      <c r="B3778" t="s">
        <v>833</v>
      </c>
      <c r="C3778" s="10" t="str" cm="1">
        <f t="array" ref="C3778">IF(AND(A3778="2020-12", ISNA(MATCH(B3778, _xlfn._xlws.FILTER(B:B, A:A="2021-01"), 0))), "Left", "Ativo")</f>
        <v>Ativo</v>
      </c>
      <c r="D3778" s="10" t="str" cm="1">
        <f t="array" ref="D3778">IF(AND(A3778="2021-01", ISNA(MATCH(B3778, _xlfn._xlws.FILTER(B:B, A:A="2021-02"), 0))), "Left", "Ativo")</f>
        <v>Ativo</v>
      </c>
      <c r="E3778" s="10" t="str" cm="1">
        <f t="array" ref="E3778">IF(AND(A3778="2021-02", ISNA(MATCH(B3778, _xlfn._xlws.FILTER(B:B, A:A="2021-03"), 0))), "Left", "Ativo")</f>
        <v>Ativo</v>
      </c>
      <c r="F3778" s="12" t="str" cm="1">
        <f t="array" ref="F3778">IF(AND(A3778="2021-03", ISNA(MATCH(B3778, _xlfn._xlws.FILTER(B:B, A:A="2021-04"), 0))), "Left", "Ativo")</f>
        <v>Left</v>
      </c>
    </row>
    <row r="3779" spans="1:6" x14ac:dyDescent="0.25">
      <c r="A3779" t="s">
        <v>1531</v>
      </c>
      <c r="B3779" t="s">
        <v>834</v>
      </c>
      <c r="C3779" s="10" t="str" cm="1">
        <f t="array" ref="C3779">IF(AND(A3779="2020-12", ISNA(MATCH(B3779, _xlfn._xlws.FILTER(B:B, A:A="2021-01"), 0))), "Left", "Ativo")</f>
        <v>Ativo</v>
      </c>
      <c r="D3779" s="10" t="str" cm="1">
        <f t="array" ref="D3779">IF(AND(A3779="2021-01", ISNA(MATCH(B3779, _xlfn._xlws.FILTER(B:B, A:A="2021-02"), 0))), "Left", "Ativo")</f>
        <v>Ativo</v>
      </c>
      <c r="E3779" s="10" t="str" cm="1">
        <f t="array" ref="E3779">IF(AND(A3779="2021-02", ISNA(MATCH(B3779, _xlfn._xlws.FILTER(B:B, A:A="2021-03"), 0))), "Left", "Ativo")</f>
        <v>Ativo</v>
      </c>
      <c r="F3779" s="12" t="str" cm="1">
        <f t="array" ref="F3779">IF(AND(A3779="2021-03", ISNA(MATCH(B3779, _xlfn._xlws.FILTER(B:B, A:A="2021-04"), 0))), "Left", "Ativo")</f>
        <v>Ativo</v>
      </c>
    </row>
    <row r="3780" spans="1:6" x14ac:dyDescent="0.25">
      <c r="A3780" t="s">
        <v>1531</v>
      </c>
      <c r="B3780" t="s">
        <v>835</v>
      </c>
      <c r="C3780" s="10" t="str" cm="1">
        <f t="array" ref="C3780">IF(AND(A3780="2020-12", ISNA(MATCH(B3780, _xlfn._xlws.FILTER(B:B, A:A="2021-01"), 0))), "Left", "Ativo")</f>
        <v>Ativo</v>
      </c>
      <c r="D3780" s="10" t="str" cm="1">
        <f t="array" ref="D3780">IF(AND(A3780="2021-01", ISNA(MATCH(B3780, _xlfn._xlws.FILTER(B:B, A:A="2021-02"), 0))), "Left", "Ativo")</f>
        <v>Ativo</v>
      </c>
      <c r="E3780" s="10" t="str" cm="1">
        <f t="array" ref="E3780">IF(AND(A3780="2021-02", ISNA(MATCH(B3780, _xlfn._xlws.FILTER(B:B, A:A="2021-03"), 0))), "Left", "Ativo")</f>
        <v>Ativo</v>
      </c>
      <c r="F3780" s="12" t="str" cm="1">
        <f t="array" ref="F3780">IF(AND(A3780="2021-03", ISNA(MATCH(B3780, _xlfn._xlws.FILTER(B:B, A:A="2021-04"), 0))), "Left", "Ativo")</f>
        <v>Ativo</v>
      </c>
    </row>
    <row r="3781" spans="1:6" x14ac:dyDescent="0.25">
      <c r="A3781" t="s">
        <v>1531</v>
      </c>
      <c r="B3781" t="s">
        <v>837</v>
      </c>
      <c r="C3781" s="10" t="str" cm="1">
        <f t="array" ref="C3781">IF(AND(A3781="2020-12", ISNA(MATCH(B3781, _xlfn._xlws.FILTER(B:B, A:A="2021-01"), 0))), "Left", "Ativo")</f>
        <v>Ativo</v>
      </c>
      <c r="D3781" s="10" t="str" cm="1">
        <f t="array" ref="D3781">IF(AND(A3781="2021-01", ISNA(MATCH(B3781, _xlfn._xlws.FILTER(B:B, A:A="2021-02"), 0))), "Left", "Ativo")</f>
        <v>Ativo</v>
      </c>
      <c r="E3781" s="10" t="str" cm="1">
        <f t="array" ref="E3781">IF(AND(A3781="2021-02", ISNA(MATCH(B3781, _xlfn._xlws.FILTER(B:B, A:A="2021-03"), 0))), "Left", "Ativo")</f>
        <v>Ativo</v>
      </c>
      <c r="F3781" s="12" t="str" cm="1">
        <f t="array" ref="F3781">IF(AND(A3781="2021-03", ISNA(MATCH(B3781, _xlfn._xlws.FILTER(B:B, A:A="2021-04"), 0))), "Left", "Ativo")</f>
        <v>Ativo</v>
      </c>
    </row>
    <row r="3782" spans="1:6" x14ac:dyDescent="0.25">
      <c r="A3782" t="s">
        <v>1531</v>
      </c>
      <c r="B3782" t="s">
        <v>838</v>
      </c>
      <c r="C3782" s="10" t="str" cm="1">
        <f t="array" ref="C3782">IF(AND(A3782="2020-12", ISNA(MATCH(B3782, _xlfn._xlws.FILTER(B:B, A:A="2021-01"), 0))), "Left", "Ativo")</f>
        <v>Ativo</v>
      </c>
      <c r="D3782" s="10" t="str" cm="1">
        <f t="array" ref="D3782">IF(AND(A3782="2021-01", ISNA(MATCH(B3782, _xlfn._xlws.FILTER(B:B, A:A="2021-02"), 0))), "Left", "Ativo")</f>
        <v>Ativo</v>
      </c>
      <c r="E3782" s="10" t="str" cm="1">
        <f t="array" ref="E3782">IF(AND(A3782="2021-02", ISNA(MATCH(B3782, _xlfn._xlws.FILTER(B:B, A:A="2021-03"), 0))), "Left", "Ativo")</f>
        <v>Ativo</v>
      </c>
      <c r="F3782" s="12" t="str" cm="1">
        <f t="array" ref="F3782">IF(AND(A3782="2021-03", ISNA(MATCH(B3782, _xlfn._xlws.FILTER(B:B, A:A="2021-04"), 0))), "Left", "Ativo")</f>
        <v>Ativo</v>
      </c>
    </row>
    <row r="3783" spans="1:6" x14ac:dyDescent="0.25">
      <c r="A3783" t="s">
        <v>1531</v>
      </c>
      <c r="B3783" t="s">
        <v>839</v>
      </c>
      <c r="C3783" s="10" t="str" cm="1">
        <f t="array" ref="C3783">IF(AND(A3783="2020-12", ISNA(MATCH(B3783, _xlfn._xlws.FILTER(B:B, A:A="2021-01"), 0))), "Left", "Ativo")</f>
        <v>Ativo</v>
      </c>
      <c r="D3783" s="10" t="str" cm="1">
        <f t="array" ref="D3783">IF(AND(A3783="2021-01", ISNA(MATCH(B3783, _xlfn._xlws.FILTER(B:B, A:A="2021-02"), 0))), "Left", "Ativo")</f>
        <v>Ativo</v>
      </c>
      <c r="E3783" s="10" t="str" cm="1">
        <f t="array" ref="E3783">IF(AND(A3783="2021-02", ISNA(MATCH(B3783, _xlfn._xlws.FILTER(B:B, A:A="2021-03"), 0))), "Left", "Ativo")</f>
        <v>Ativo</v>
      </c>
      <c r="F3783" s="12" t="str" cm="1">
        <f t="array" ref="F3783">IF(AND(A3783="2021-03", ISNA(MATCH(B3783, _xlfn._xlws.FILTER(B:B, A:A="2021-04"), 0))), "Left", "Ativo")</f>
        <v>Ativo</v>
      </c>
    </row>
    <row r="3784" spans="1:6" x14ac:dyDescent="0.25">
      <c r="A3784" t="s">
        <v>1531</v>
      </c>
      <c r="B3784" t="s">
        <v>840</v>
      </c>
      <c r="C3784" s="10" t="str" cm="1">
        <f t="array" ref="C3784">IF(AND(A3784="2020-12", ISNA(MATCH(B3784, _xlfn._xlws.FILTER(B:B, A:A="2021-01"), 0))), "Left", "Ativo")</f>
        <v>Ativo</v>
      </c>
      <c r="D3784" s="10" t="str" cm="1">
        <f t="array" ref="D3784">IF(AND(A3784="2021-01", ISNA(MATCH(B3784, _xlfn._xlws.FILTER(B:B, A:A="2021-02"), 0))), "Left", "Ativo")</f>
        <v>Ativo</v>
      </c>
      <c r="E3784" s="10" t="str" cm="1">
        <f t="array" ref="E3784">IF(AND(A3784="2021-02", ISNA(MATCH(B3784, _xlfn._xlws.FILTER(B:B, A:A="2021-03"), 0))), "Left", "Ativo")</f>
        <v>Ativo</v>
      </c>
      <c r="F3784" s="12" t="str" cm="1">
        <f t="array" ref="F3784">IF(AND(A3784="2021-03", ISNA(MATCH(B3784, _xlfn._xlws.FILTER(B:B, A:A="2021-04"), 0))), "Left", "Ativo")</f>
        <v>Ativo</v>
      </c>
    </row>
    <row r="3785" spans="1:6" x14ac:dyDescent="0.25">
      <c r="A3785" t="s">
        <v>1531</v>
      </c>
      <c r="B3785" t="s">
        <v>841</v>
      </c>
      <c r="C3785" s="10" t="str" cm="1">
        <f t="array" ref="C3785">IF(AND(A3785="2020-12", ISNA(MATCH(B3785, _xlfn._xlws.FILTER(B:B, A:A="2021-01"), 0))), "Left", "Ativo")</f>
        <v>Ativo</v>
      </c>
      <c r="D3785" s="10" t="str" cm="1">
        <f t="array" ref="D3785">IF(AND(A3785="2021-01", ISNA(MATCH(B3785, _xlfn._xlws.FILTER(B:B, A:A="2021-02"), 0))), "Left", "Ativo")</f>
        <v>Ativo</v>
      </c>
      <c r="E3785" s="10" t="str" cm="1">
        <f t="array" ref="E3785">IF(AND(A3785="2021-02", ISNA(MATCH(B3785, _xlfn._xlws.FILTER(B:B, A:A="2021-03"), 0))), "Left", "Ativo")</f>
        <v>Ativo</v>
      </c>
      <c r="F3785" s="12" t="str" cm="1">
        <f t="array" ref="F3785">IF(AND(A3785="2021-03", ISNA(MATCH(B3785, _xlfn._xlws.FILTER(B:B, A:A="2021-04"), 0))), "Left", "Ativo")</f>
        <v>Ativo</v>
      </c>
    </row>
    <row r="3786" spans="1:6" x14ac:dyDescent="0.25">
      <c r="A3786" t="s">
        <v>1531</v>
      </c>
      <c r="B3786" t="s">
        <v>842</v>
      </c>
      <c r="C3786" s="10" t="str" cm="1">
        <f t="array" ref="C3786">IF(AND(A3786="2020-12", ISNA(MATCH(B3786, _xlfn._xlws.FILTER(B:B, A:A="2021-01"), 0))), "Left", "Ativo")</f>
        <v>Ativo</v>
      </c>
      <c r="D3786" s="10" t="str" cm="1">
        <f t="array" ref="D3786">IF(AND(A3786="2021-01", ISNA(MATCH(B3786, _xlfn._xlws.FILTER(B:B, A:A="2021-02"), 0))), "Left", "Ativo")</f>
        <v>Ativo</v>
      </c>
      <c r="E3786" s="10" t="str" cm="1">
        <f t="array" ref="E3786">IF(AND(A3786="2021-02", ISNA(MATCH(B3786, _xlfn._xlws.FILTER(B:B, A:A="2021-03"), 0))), "Left", "Ativo")</f>
        <v>Ativo</v>
      </c>
      <c r="F3786" s="12" t="str" cm="1">
        <f t="array" ref="F3786">IF(AND(A3786="2021-03", ISNA(MATCH(B3786, _xlfn._xlws.FILTER(B:B, A:A="2021-04"), 0))), "Left", "Ativo")</f>
        <v>Ativo</v>
      </c>
    </row>
    <row r="3787" spans="1:6" x14ac:dyDescent="0.25">
      <c r="A3787" t="s">
        <v>1531</v>
      </c>
      <c r="B3787" t="s">
        <v>843</v>
      </c>
      <c r="C3787" s="10" t="str" cm="1">
        <f t="array" ref="C3787">IF(AND(A3787="2020-12", ISNA(MATCH(B3787, _xlfn._xlws.FILTER(B:B, A:A="2021-01"), 0))), "Left", "Ativo")</f>
        <v>Ativo</v>
      </c>
      <c r="D3787" s="10" t="str" cm="1">
        <f t="array" ref="D3787">IF(AND(A3787="2021-01", ISNA(MATCH(B3787, _xlfn._xlws.FILTER(B:B, A:A="2021-02"), 0))), "Left", "Ativo")</f>
        <v>Ativo</v>
      </c>
      <c r="E3787" s="10" t="str" cm="1">
        <f t="array" ref="E3787">IF(AND(A3787="2021-02", ISNA(MATCH(B3787, _xlfn._xlws.FILTER(B:B, A:A="2021-03"), 0))), "Left", "Ativo")</f>
        <v>Ativo</v>
      </c>
      <c r="F3787" s="12" t="str" cm="1">
        <f t="array" ref="F3787">IF(AND(A3787="2021-03", ISNA(MATCH(B3787, _xlfn._xlws.FILTER(B:B, A:A="2021-04"), 0))), "Left", "Ativo")</f>
        <v>Ativo</v>
      </c>
    </row>
    <row r="3788" spans="1:6" x14ac:dyDescent="0.25">
      <c r="A3788" t="s">
        <v>1531</v>
      </c>
      <c r="B3788" t="s">
        <v>844</v>
      </c>
      <c r="C3788" s="10" t="str" cm="1">
        <f t="array" ref="C3788">IF(AND(A3788="2020-12", ISNA(MATCH(B3788, _xlfn._xlws.FILTER(B:B, A:A="2021-01"), 0))), "Left", "Ativo")</f>
        <v>Ativo</v>
      </c>
      <c r="D3788" s="10" t="str" cm="1">
        <f t="array" ref="D3788">IF(AND(A3788="2021-01", ISNA(MATCH(B3788, _xlfn._xlws.FILTER(B:B, A:A="2021-02"), 0))), "Left", "Ativo")</f>
        <v>Ativo</v>
      </c>
      <c r="E3788" s="10" t="str" cm="1">
        <f t="array" ref="E3788">IF(AND(A3788="2021-02", ISNA(MATCH(B3788, _xlfn._xlws.FILTER(B:B, A:A="2021-03"), 0))), "Left", "Ativo")</f>
        <v>Ativo</v>
      </c>
      <c r="F3788" s="12" t="str" cm="1">
        <f t="array" ref="F3788">IF(AND(A3788="2021-03", ISNA(MATCH(B3788, _xlfn._xlws.FILTER(B:B, A:A="2021-04"), 0))), "Left", "Ativo")</f>
        <v>Ativo</v>
      </c>
    </row>
    <row r="3789" spans="1:6" x14ac:dyDescent="0.25">
      <c r="A3789" t="s">
        <v>1531</v>
      </c>
      <c r="B3789" t="s">
        <v>845</v>
      </c>
      <c r="C3789" s="10" t="str" cm="1">
        <f t="array" ref="C3789">IF(AND(A3789="2020-12", ISNA(MATCH(B3789, _xlfn._xlws.FILTER(B:B, A:A="2021-01"), 0))), "Left", "Ativo")</f>
        <v>Ativo</v>
      </c>
      <c r="D3789" s="10" t="str" cm="1">
        <f t="array" ref="D3789">IF(AND(A3789="2021-01", ISNA(MATCH(B3789, _xlfn._xlws.FILTER(B:B, A:A="2021-02"), 0))), "Left", "Ativo")</f>
        <v>Ativo</v>
      </c>
      <c r="E3789" s="10" t="str" cm="1">
        <f t="array" ref="E3789">IF(AND(A3789="2021-02", ISNA(MATCH(B3789, _xlfn._xlws.FILTER(B:B, A:A="2021-03"), 0))), "Left", "Ativo")</f>
        <v>Ativo</v>
      </c>
      <c r="F3789" s="12" t="str" cm="1">
        <f t="array" ref="F3789">IF(AND(A3789="2021-03", ISNA(MATCH(B3789, _xlfn._xlws.FILTER(B:B, A:A="2021-04"), 0))), "Left", "Ativo")</f>
        <v>Ativo</v>
      </c>
    </row>
    <row r="3790" spans="1:6" x14ac:dyDescent="0.25">
      <c r="A3790" t="s">
        <v>1531</v>
      </c>
      <c r="B3790" t="s">
        <v>846</v>
      </c>
      <c r="C3790" s="10" t="str" cm="1">
        <f t="array" ref="C3790">IF(AND(A3790="2020-12", ISNA(MATCH(B3790, _xlfn._xlws.FILTER(B:B, A:A="2021-01"), 0))), "Left", "Ativo")</f>
        <v>Ativo</v>
      </c>
      <c r="D3790" s="10" t="str" cm="1">
        <f t="array" ref="D3790">IF(AND(A3790="2021-01", ISNA(MATCH(B3790, _xlfn._xlws.FILTER(B:B, A:A="2021-02"), 0))), "Left", "Ativo")</f>
        <v>Ativo</v>
      </c>
      <c r="E3790" s="10" t="str" cm="1">
        <f t="array" ref="E3790">IF(AND(A3790="2021-02", ISNA(MATCH(B3790, _xlfn._xlws.FILTER(B:B, A:A="2021-03"), 0))), "Left", "Ativo")</f>
        <v>Ativo</v>
      </c>
      <c r="F3790" s="12" t="str" cm="1">
        <f t="array" ref="F3790">IF(AND(A3790="2021-03", ISNA(MATCH(B3790, _xlfn._xlws.FILTER(B:B, A:A="2021-04"), 0))), "Left", "Ativo")</f>
        <v>Ativo</v>
      </c>
    </row>
    <row r="3791" spans="1:6" x14ac:dyDescent="0.25">
      <c r="A3791" t="s">
        <v>1531</v>
      </c>
      <c r="B3791" t="s">
        <v>847</v>
      </c>
      <c r="C3791" s="10" t="str" cm="1">
        <f t="array" ref="C3791">IF(AND(A3791="2020-12", ISNA(MATCH(B3791, _xlfn._xlws.FILTER(B:B, A:A="2021-01"), 0))), "Left", "Ativo")</f>
        <v>Ativo</v>
      </c>
      <c r="D3791" s="10" t="str" cm="1">
        <f t="array" ref="D3791">IF(AND(A3791="2021-01", ISNA(MATCH(B3791, _xlfn._xlws.FILTER(B:B, A:A="2021-02"), 0))), "Left", "Ativo")</f>
        <v>Ativo</v>
      </c>
      <c r="E3791" s="10" t="str" cm="1">
        <f t="array" ref="E3791">IF(AND(A3791="2021-02", ISNA(MATCH(B3791, _xlfn._xlws.FILTER(B:B, A:A="2021-03"), 0))), "Left", "Ativo")</f>
        <v>Ativo</v>
      </c>
      <c r="F3791" s="12" t="str" cm="1">
        <f t="array" ref="F3791">IF(AND(A3791="2021-03", ISNA(MATCH(B3791, _xlfn._xlws.FILTER(B:B, A:A="2021-04"), 0))), "Left", "Ativo")</f>
        <v>Ativo</v>
      </c>
    </row>
    <row r="3792" spans="1:6" x14ac:dyDescent="0.25">
      <c r="A3792" t="s">
        <v>1531</v>
      </c>
      <c r="B3792" t="s">
        <v>848</v>
      </c>
      <c r="C3792" s="10" t="str" cm="1">
        <f t="array" ref="C3792">IF(AND(A3792="2020-12", ISNA(MATCH(B3792, _xlfn._xlws.FILTER(B:B, A:A="2021-01"), 0))), "Left", "Ativo")</f>
        <v>Ativo</v>
      </c>
      <c r="D3792" s="10" t="str" cm="1">
        <f t="array" ref="D3792">IF(AND(A3792="2021-01", ISNA(MATCH(B3792, _xlfn._xlws.FILTER(B:B, A:A="2021-02"), 0))), "Left", "Ativo")</f>
        <v>Ativo</v>
      </c>
      <c r="E3792" s="10" t="str" cm="1">
        <f t="array" ref="E3792">IF(AND(A3792="2021-02", ISNA(MATCH(B3792, _xlfn._xlws.FILTER(B:B, A:A="2021-03"), 0))), "Left", "Ativo")</f>
        <v>Ativo</v>
      </c>
      <c r="F3792" s="12" t="str" cm="1">
        <f t="array" ref="F3792">IF(AND(A3792="2021-03", ISNA(MATCH(B3792, _xlfn._xlws.FILTER(B:B, A:A="2021-04"), 0))), "Left", "Ativo")</f>
        <v>Ativo</v>
      </c>
    </row>
    <row r="3793" spans="1:6" x14ac:dyDescent="0.25">
      <c r="A3793" t="s">
        <v>1531</v>
      </c>
      <c r="B3793" t="s">
        <v>849</v>
      </c>
      <c r="C3793" s="10" t="str" cm="1">
        <f t="array" ref="C3793">IF(AND(A3793="2020-12", ISNA(MATCH(B3793, _xlfn._xlws.FILTER(B:B, A:A="2021-01"), 0))), "Left", "Ativo")</f>
        <v>Ativo</v>
      </c>
      <c r="D3793" s="10" t="str" cm="1">
        <f t="array" ref="D3793">IF(AND(A3793="2021-01", ISNA(MATCH(B3793, _xlfn._xlws.FILTER(B:B, A:A="2021-02"), 0))), "Left", "Ativo")</f>
        <v>Ativo</v>
      </c>
      <c r="E3793" s="10" t="str" cm="1">
        <f t="array" ref="E3793">IF(AND(A3793="2021-02", ISNA(MATCH(B3793, _xlfn._xlws.FILTER(B:B, A:A="2021-03"), 0))), "Left", "Ativo")</f>
        <v>Ativo</v>
      </c>
      <c r="F3793" s="12" t="str" cm="1">
        <f t="array" ref="F3793">IF(AND(A3793="2021-03", ISNA(MATCH(B3793, _xlfn._xlws.FILTER(B:B, A:A="2021-04"), 0))), "Left", "Ativo")</f>
        <v>Ativo</v>
      </c>
    </row>
    <row r="3794" spans="1:6" x14ac:dyDescent="0.25">
      <c r="A3794" t="s">
        <v>1531</v>
      </c>
      <c r="B3794" t="s">
        <v>850</v>
      </c>
      <c r="C3794" s="10" t="str" cm="1">
        <f t="array" ref="C3794">IF(AND(A3794="2020-12", ISNA(MATCH(B3794, _xlfn._xlws.FILTER(B:B, A:A="2021-01"), 0))), "Left", "Ativo")</f>
        <v>Ativo</v>
      </c>
      <c r="D3794" s="10" t="str" cm="1">
        <f t="array" ref="D3794">IF(AND(A3794="2021-01", ISNA(MATCH(B3794, _xlfn._xlws.FILTER(B:B, A:A="2021-02"), 0))), "Left", "Ativo")</f>
        <v>Ativo</v>
      </c>
      <c r="E3794" s="10" t="str" cm="1">
        <f t="array" ref="E3794">IF(AND(A3794="2021-02", ISNA(MATCH(B3794, _xlfn._xlws.FILTER(B:B, A:A="2021-03"), 0))), "Left", "Ativo")</f>
        <v>Ativo</v>
      </c>
      <c r="F3794" s="12" t="str" cm="1">
        <f t="array" ref="F3794">IF(AND(A3794="2021-03", ISNA(MATCH(B3794, _xlfn._xlws.FILTER(B:B, A:A="2021-04"), 0))), "Left", "Ativo")</f>
        <v>Ativo</v>
      </c>
    </row>
    <row r="3795" spans="1:6" x14ac:dyDescent="0.25">
      <c r="A3795" t="s">
        <v>1531</v>
      </c>
      <c r="B3795" t="s">
        <v>851</v>
      </c>
      <c r="C3795" s="10" t="str" cm="1">
        <f t="array" ref="C3795">IF(AND(A3795="2020-12", ISNA(MATCH(B3795, _xlfn._xlws.FILTER(B:B, A:A="2021-01"), 0))), "Left", "Ativo")</f>
        <v>Ativo</v>
      </c>
      <c r="D3795" s="10" t="str" cm="1">
        <f t="array" ref="D3795">IF(AND(A3795="2021-01", ISNA(MATCH(B3795, _xlfn._xlws.FILTER(B:B, A:A="2021-02"), 0))), "Left", "Ativo")</f>
        <v>Ativo</v>
      </c>
      <c r="E3795" s="10" t="str" cm="1">
        <f t="array" ref="E3795">IF(AND(A3795="2021-02", ISNA(MATCH(B3795, _xlfn._xlws.FILTER(B:B, A:A="2021-03"), 0))), "Left", "Ativo")</f>
        <v>Ativo</v>
      </c>
      <c r="F3795" s="12" t="str" cm="1">
        <f t="array" ref="F3795">IF(AND(A3795="2021-03", ISNA(MATCH(B3795, _xlfn._xlws.FILTER(B:B, A:A="2021-04"), 0))), "Left", "Ativo")</f>
        <v>Ativo</v>
      </c>
    </row>
    <row r="3796" spans="1:6" x14ac:dyDescent="0.25">
      <c r="A3796" t="s">
        <v>1531</v>
      </c>
      <c r="B3796" t="s">
        <v>852</v>
      </c>
      <c r="C3796" s="10" t="str" cm="1">
        <f t="array" ref="C3796">IF(AND(A3796="2020-12", ISNA(MATCH(B3796, _xlfn._xlws.FILTER(B:B, A:A="2021-01"), 0))), "Left", "Ativo")</f>
        <v>Ativo</v>
      </c>
      <c r="D3796" s="10" t="str" cm="1">
        <f t="array" ref="D3796">IF(AND(A3796="2021-01", ISNA(MATCH(B3796, _xlfn._xlws.FILTER(B:B, A:A="2021-02"), 0))), "Left", "Ativo")</f>
        <v>Ativo</v>
      </c>
      <c r="E3796" s="10" t="str" cm="1">
        <f t="array" ref="E3796">IF(AND(A3796="2021-02", ISNA(MATCH(B3796, _xlfn._xlws.FILTER(B:B, A:A="2021-03"), 0))), "Left", "Ativo")</f>
        <v>Ativo</v>
      </c>
      <c r="F3796" s="12" t="str" cm="1">
        <f t="array" ref="F3796">IF(AND(A3796="2021-03", ISNA(MATCH(B3796, _xlfn._xlws.FILTER(B:B, A:A="2021-04"), 0))), "Left", "Ativo")</f>
        <v>Ativo</v>
      </c>
    </row>
    <row r="3797" spans="1:6" x14ac:dyDescent="0.25">
      <c r="A3797" t="s">
        <v>1531</v>
      </c>
      <c r="B3797" t="s">
        <v>853</v>
      </c>
      <c r="C3797" s="10" t="str" cm="1">
        <f t="array" ref="C3797">IF(AND(A3797="2020-12", ISNA(MATCH(B3797, _xlfn._xlws.FILTER(B:B, A:A="2021-01"), 0))), "Left", "Ativo")</f>
        <v>Ativo</v>
      </c>
      <c r="D3797" s="10" t="str" cm="1">
        <f t="array" ref="D3797">IF(AND(A3797="2021-01", ISNA(MATCH(B3797, _xlfn._xlws.FILTER(B:B, A:A="2021-02"), 0))), "Left", "Ativo")</f>
        <v>Ativo</v>
      </c>
      <c r="E3797" s="10" t="str" cm="1">
        <f t="array" ref="E3797">IF(AND(A3797="2021-02", ISNA(MATCH(B3797, _xlfn._xlws.FILTER(B:B, A:A="2021-03"), 0))), "Left", "Ativo")</f>
        <v>Ativo</v>
      </c>
      <c r="F3797" s="12" t="str" cm="1">
        <f t="array" ref="F3797">IF(AND(A3797="2021-03", ISNA(MATCH(B3797, _xlfn._xlws.FILTER(B:B, A:A="2021-04"), 0))), "Left", "Ativo")</f>
        <v>Ativo</v>
      </c>
    </row>
    <row r="3798" spans="1:6" x14ac:dyDescent="0.25">
      <c r="A3798" t="s">
        <v>1531</v>
      </c>
      <c r="B3798" t="s">
        <v>854</v>
      </c>
      <c r="C3798" s="10" t="str" cm="1">
        <f t="array" ref="C3798">IF(AND(A3798="2020-12", ISNA(MATCH(B3798, _xlfn._xlws.FILTER(B:B, A:A="2021-01"), 0))), "Left", "Ativo")</f>
        <v>Ativo</v>
      </c>
      <c r="D3798" s="10" t="str" cm="1">
        <f t="array" ref="D3798">IF(AND(A3798="2021-01", ISNA(MATCH(B3798, _xlfn._xlws.FILTER(B:B, A:A="2021-02"), 0))), "Left", "Ativo")</f>
        <v>Ativo</v>
      </c>
      <c r="E3798" s="10" t="str" cm="1">
        <f t="array" ref="E3798">IF(AND(A3798="2021-02", ISNA(MATCH(B3798, _xlfn._xlws.FILTER(B:B, A:A="2021-03"), 0))), "Left", "Ativo")</f>
        <v>Ativo</v>
      </c>
      <c r="F3798" s="12" t="str" cm="1">
        <f t="array" ref="F3798">IF(AND(A3798="2021-03", ISNA(MATCH(B3798, _xlfn._xlws.FILTER(B:B, A:A="2021-04"), 0))), "Left", "Ativo")</f>
        <v>Ativo</v>
      </c>
    </row>
    <row r="3799" spans="1:6" x14ac:dyDescent="0.25">
      <c r="A3799" t="s">
        <v>1531</v>
      </c>
      <c r="B3799" t="s">
        <v>855</v>
      </c>
      <c r="C3799" s="10" t="str" cm="1">
        <f t="array" ref="C3799">IF(AND(A3799="2020-12", ISNA(MATCH(B3799, _xlfn._xlws.FILTER(B:B, A:A="2021-01"), 0))), "Left", "Ativo")</f>
        <v>Ativo</v>
      </c>
      <c r="D3799" s="10" t="str" cm="1">
        <f t="array" ref="D3799">IF(AND(A3799="2021-01", ISNA(MATCH(B3799, _xlfn._xlws.FILTER(B:B, A:A="2021-02"), 0))), "Left", "Ativo")</f>
        <v>Ativo</v>
      </c>
      <c r="E3799" s="10" t="str" cm="1">
        <f t="array" ref="E3799">IF(AND(A3799="2021-02", ISNA(MATCH(B3799, _xlfn._xlws.FILTER(B:B, A:A="2021-03"), 0))), "Left", "Ativo")</f>
        <v>Ativo</v>
      </c>
      <c r="F3799" s="12" t="str" cm="1">
        <f t="array" ref="F3799">IF(AND(A3799="2021-03", ISNA(MATCH(B3799, _xlfn._xlws.FILTER(B:B, A:A="2021-04"), 0))), "Left", "Ativo")</f>
        <v>Ativo</v>
      </c>
    </row>
    <row r="3800" spans="1:6" x14ac:dyDescent="0.25">
      <c r="A3800" t="s">
        <v>1531</v>
      </c>
      <c r="B3800" t="s">
        <v>856</v>
      </c>
      <c r="C3800" s="10" t="str" cm="1">
        <f t="array" ref="C3800">IF(AND(A3800="2020-12", ISNA(MATCH(B3800, _xlfn._xlws.FILTER(B:B, A:A="2021-01"), 0))), "Left", "Ativo")</f>
        <v>Ativo</v>
      </c>
      <c r="D3800" s="10" t="str" cm="1">
        <f t="array" ref="D3800">IF(AND(A3800="2021-01", ISNA(MATCH(B3800, _xlfn._xlws.FILTER(B:B, A:A="2021-02"), 0))), "Left", "Ativo")</f>
        <v>Ativo</v>
      </c>
      <c r="E3800" s="10" t="str" cm="1">
        <f t="array" ref="E3800">IF(AND(A3800="2021-02", ISNA(MATCH(B3800, _xlfn._xlws.FILTER(B:B, A:A="2021-03"), 0))), "Left", "Ativo")</f>
        <v>Ativo</v>
      </c>
      <c r="F3800" s="12" t="str" cm="1">
        <f t="array" ref="F3800">IF(AND(A3800="2021-03", ISNA(MATCH(B3800, _xlfn._xlws.FILTER(B:B, A:A="2021-04"), 0))), "Left", "Ativo")</f>
        <v>Ativo</v>
      </c>
    </row>
    <row r="3801" spans="1:6" x14ac:dyDescent="0.25">
      <c r="A3801" t="s">
        <v>1531</v>
      </c>
      <c r="B3801" t="s">
        <v>857</v>
      </c>
      <c r="C3801" s="10" t="str" cm="1">
        <f t="array" ref="C3801">IF(AND(A3801="2020-12", ISNA(MATCH(B3801, _xlfn._xlws.FILTER(B:B, A:A="2021-01"), 0))), "Left", "Ativo")</f>
        <v>Ativo</v>
      </c>
      <c r="D3801" s="10" t="str" cm="1">
        <f t="array" ref="D3801">IF(AND(A3801="2021-01", ISNA(MATCH(B3801, _xlfn._xlws.FILTER(B:B, A:A="2021-02"), 0))), "Left", "Ativo")</f>
        <v>Ativo</v>
      </c>
      <c r="E3801" s="10" t="str" cm="1">
        <f t="array" ref="E3801">IF(AND(A3801="2021-02", ISNA(MATCH(B3801, _xlfn._xlws.FILTER(B:B, A:A="2021-03"), 0))), "Left", "Ativo")</f>
        <v>Ativo</v>
      </c>
      <c r="F3801" s="12" t="str" cm="1">
        <f t="array" ref="F3801">IF(AND(A3801="2021-03", ISNA(MATCH(B3801, _xlfn._xlws.FILTER(B:B, A:A="2021-04"), 0))), "Left", "Ativo")</f>
        <v>Ativo</v>
      </c>
    </row>
    <row r="3802" spans="1:6" x14ac:dyDescent="0.25">
      <c r="A3802" t="s">
        <v>1531</v>
      </c>
      <c r="B3802" t="s">
        <v>858</v>
      </c>
      <c r="C3802" s="10" t="str" cm="1">
        <f t="array" ref="C3802">IF(AND(A3802="2020-12", ISNA(MATCH(B3802, _xlfn._xlws.FILTER(B:B, A:A="2021-01"), 0))), "Left", "Ativo")</f>
        <v>Ativo</v>
      </c>
      <c r="D3802" s="10" t="str" cm="1">
        <f t="array" ref="D3802">IF(AND(A3802="2021-01", ISNA(MATCH(B3802, _xlfn._xlws.FILTER(B:B, A:A="2021-02"), 0))), "Left", "Ativo")</f>
        <v>Ativo</v>
      </c>
      <c r="E3802" s="10" t="str" cm="1">
        <f t="array" ref="E3802">IF(AND(A3802="2021-02", ISNA(MATCH(B3802, _xlfn._xlws.FILTER(B:B, A:A="2021-03"), 0))), "Left", "Ativo")</f>
        <v>Ativo</v>
      </c>
      <c r="F3802" s="12" t="str" cm="1">
        <f t="array" ref="F3802">IF(AND(A3802="2021-03", ISNA(MATCH(B3802, _xlfn._xlws.FILTER(B:B, A:A="2021-04"), 0))), "Left", "Ativo")</f>
        <v>Ativo</v>
      </c>
    </row>
    <row r="3803" spans="1:6" x14ac:dyDescent="0.25">
      <c r="A3803" t="s">
        <v>1531</v>
      </c>
      <c r="B3803" t="s">
        <v>859</v>
      </c>
      <c r="C3803" s="10" t="str" cm="1">
        <f t="array" ref="C3803">IF(AND(A3803="2020-12", ISNA(MATCH(B3803, _xlfn._xlws.FILTER(B:B, A:A="2021-01"), 0))), "Left", "Ativo")</f>
        <v>Ativo</v>
      </c>
      <c r="D3803" s="10" t="str" cm="1">
        <f t="array" ref="D3803">IF(AND(A3803="2021-01", ISNA(MATCH(B3803, _xlfn._xlws.FILTER(B:B, A:A="2021-02"), 0))), "Left", "Ativo")</f>
        <v>Ativo</v>
      </c>
      <c r="E3803" s="10" t="str" cm="1">
        <f t="array" ref="E3803">IF(AND(A3803="2021-02", ISNA(MATCH(B3803, _xlfn._xlws.FILTER(B:B, A:A="2021-03"), 0))), "Left", "Ativo")</f>
        <v>Ativo</v>
      </c>
      <c r="F3803" s="12" t="str" cm="1">
        <f t="array" ref="F3803">IF(AND(A3803="2021-03", ISNA(MATCH(B3803, _xlfn._xlws.FILTER(B:B, A:A="2021-04"), 0))), "Left", "Ativo")</f>
        <v>Ativo</v>
      </c>
    </row>
    <row r="3804" spans="1:6" x14ac:dyDescent="0.25">
      <c r="A3804" t="s">
        <v>1531</v>
      </c>
      <c r="B3804" t="s">
        <v>860</v>
      </c>
      <c r="C3804" s="10" t="str" cm="1">
        <f t="array" ref="C3804">IF(AND(A3804="2020-12", ISNA(MATCH(B3804, _xlfn._xlws.FILTER(B:B, A:A="2021-01"), 0))), "Left", "Ativo")</f>
        <v>Ativo</v>
      </c>
      <c r="D3804" s="10" t="str" cm="1">
        <f t="array" ref="D3804">IF(AND(A3804="2021-01", ISNA(MATCH(B3804, _xlfn._xlws.FILTER(B:B, A:A="2021-02"), 0))), "Left", "Ativo")</f>
        <v>Ativo</v>
      </c>
      <c r="E3804" s="10" t="str" cm="1">
        <f t="array" ref="E3804">IF(AND(A3804="2021-02", ISNA(MATCH(B3804, _xlfn._xlws.FILTER(B:B, A:A="2021-03"), 0))), "Left", "Ativo")</f>
        <v>Ativo</v>
      </c>
      <c r="F3804" s="12" t="str" cm="1">
        <f t="array" ref="F3804">IF(AND(A3804="2021-03", ISNA(MATCH(B3804, _xlfn._xlws.FILTER(B:B, A:A="2021-04"), 0))), "Left", "Ativo")</f>
        <v>Ativo</v>
      </c>
    </row>
    <row r="3805" spans="1:6" x14ac:dyDescent="0.25">
      <c r="A3805" t="s">
        <v>1531</v>
      </c>
      <c r="B3805" t="s">
        <v>861</v>
      </c>
      <c r="C3805" s="10" t="str" cm="1">
        <f t="array" ref="C3805">IF(AND(A3805="2020-12", ISNA(MATCH(B3805, _xlfn._xlws.FILTER(B:B, A:A="2021-01"), 0))), "Left", "Ativo")</f>
        <v>Ativo</v>
      </c>
      <c r="D3805" s="10" t="str" cm="1">
        <f t="array" ref="D3805">IF(AND(A3805="2021-01", ISNA(MATCH(B3805, _xlfn._xlws.FILTER(B:B, A:A="2021-02"), 0))), "Left", "Ativo")</f>
        <v>Ativo</v>
      </c>
      <c r="E3805" s="10" t="str" cm="1">
        <f t="array" ref="E3805">IF(AND(A3805="2021-02", ISNA(MATCH(B3805, _xlfn._xlws.FILTER(B:B, A:A="2021-03"), 0))), "Left", "Ativo")</f>
        <v>Ativo</v>
      </c>
      <c r="F3805" s="12" t="str" cm="1">
        <f t="array" ref="F3805">IF(AND(A3805="2021-03", ISNA(MATCH(B3805, _xlfn._xlws.FILTER(B:B, A:A="2021-04"), 0))), "Left", "Ativo")</f>
        <v>Ativo</v>
      </c>
    </row>
    <row r="3806" spans="1:6" x14ac:dyDescent="0.25">
      <c r="A3806" t="s">
        <v>1531</v>
      </c>
      <c r="B3806" t="s">
        <v>862</v>
      </c>
      <c r="C3806" s="10" t="str" cm="1">
        <f t="array" ref="C3806">IF(AND(A3806="2020-12", ISNA(MATCH(B3806, _xlfn._xlws.FILTER(B:B, A:A="2021-01"), 0))), "Left", "Ativo")</f>
        <v>Ativo</v>
      </c>
      <c r="D3806" s="10" t="str" cm="1">
        <f t="array" ref="D3806">IF(AND(A3806="2021-01", ISNA(MATCH(B3806, _xlfn._xlws.FILTER(B:B, A:A="2021-02"), 0))), "Left", "Ativo")</f>
        <v>Ativo</v>
      </c>
      <c r="E3806" s="10" t="str" cm="1">
        <f t="array" ref="E3806">IF(AND(A3806="2021-02", ISNA(MATCH(B3806, _xlfn._xlws.FILTER(B:B, A:A="2021-03"), 0))), "Left", "Ativo")</f>
        <v>Ativo</v>
      </c>
      <c r="F3806" s="12" t="str" cm="1">
        <f t="array" ref="F3806">IF(AND(A3806="2021-03", ISNA(MATCH(B3806, _xlfn._xlws.FILTER(B:B, A:A="2021-04"), 0))), "Left", "Ativo")</f>
        <v>Ativo</v>
      </c>
    </row>
    <row r="3807" spans="1:6" x14ac:dyDescent="0.25">
      <c r="A3807" t="s">
        <v>1531</v>
      </c>
      <c r="B3807" t="s">
        <v>863</v>
      </c>
      <c r="C3807" s="10" t="str" cm="1">
        <f t="array" ref="C3807">IF(AND(A3807="2020-12", ISNA(MATCH(B3807, _xlfn._xlws.FILTER(B:B, A:A="2021-01"), 0))), "Left", "Ativo")</f>
        <v>Ativo</v>
      </c>
      <c r="D3807" s="10" t="str" cm="1">
        <f t="array" ref="D3807">IF(AND(A3807="2021-01", ISNA(MATCH(B3807, _xlfn._xlws.FILTER(B:B, A:A="2021-02"), 0))), "Left", "Ativo")</f>
        <v>Ativo</v>
      </c>
      <c r="E3807" s="10" t="str" cm="1">
        <f t="array" ref="E3807">IF(AND(A3807="2021-02", ISNA(MATCH(B3807, _xlfn._xlws.FILTER(B:B, A:A="2021-03"), 0))), "Left", "Ativo")</f>
        <v>Ativo</v>
      </c>
      <c r="F3807" s="12" t="str" cm="1">
        <f t="array" ref="F3807">IF(AND(A3807="2021-03", ISNA(MATCH(B3807, _xlfn._xlws.FILTER(B:B, A:A="2021-04"), 0))), "Left", "Ativo")</f>
        <v>Ativo</v>
      </c>
    </row>
    <row r="3808" spans="1:6" x14ac:dyDescent="0.25">
      <c r="A3808" t="s">
        <v>1531</v>
      </c>
      <c r="B3808" t="s">
        <v>864</v>
      </c>
      <c r="C3808" s="10" t="str" cm="1">
        <f t="array" ref="C3808">IF(AND(A3808="2020-12", ISNA(MATCH(B3808, _xlfn._xlws.FILTER(B:B, A:A="2021-01"), 0))), "Left", "Ativo")</f>
        <v>Ativo</v>
      </c>
      <c r="D3808" s="10" t="str" cm="1">
        <f t="array" ref="D3808">IF(AND(A3808="2021-01", ISNA(MATCH(B3808, _xlfn._xlws.FILTER(B:B, A:A="2021-02"), 0))), "Left", "Ativo")</f>
        <v>Ativo</v>
      </c>
      <c r="E3808" s="10" t="str" cm="1">
        <f t="array" ref="E3808">IF(AND(A3808="2021-02", ISNA(MATCH(B3808, _xlfn._xlws.FILTER(B:B, A:A="2021-03"), 0))), "Left", "Ativo")</f>
        <v>Ativo</v>
      </c>
      <c r="F3808" s="12" t="str" cm="1">
        <f t="array" ref="F3808">IF(AND(A3808="2021-03", ISNA(MATCH(B3808, _xlfn._xlws.FILTER(B:B, A:A="2021-04"), 0))), "Left", "Ativo")</f>
        <v>Ativo</v>
      </c>
    </row>
    <row r="3809" spans="1:6" x14ac:dyDescent="0.25">
      <c r="A3809" t="s">
        <v>1531</v>
      </c>
      <c r="B3809" t="s">
        <v>865</v>
      </c>
      <c r="C3809" s="10" t="str" cm="1">
        <f t="array" ref="C3809">IF(AND(A3809="2020-12", ISNA(MATCH(B3809, _xlfn._xlws.FILTER(B:B, A:A="2021-01"), 0))), "Left", "Ativo")</f>
        <v>Ativo</v>
      </c>
      <c r="D3809" s="10" t="str" cm="1">
        <f t="array" ref="D3809">IF(AND(A3809="2021-01", ISNA(MATCH(B3809, _xlfn._xlws.FILTER(B:B, A:A="2021-02"), 0))), "Left", "Ativo")</f>
        <v>Ativo</v>
      </c>
      <c r="E3809" s="10" t="str" cm="1">
        <f t="array" ref="E3809">IF(AND(A3809="2021-02", ISNA(MATCH(B3809, _xlfn._xlws.FILTER(B:B, A:A="2021-03"), 0))), "Left", "Ativo")</f>
        <v>Ativo</v>
      </c>
      <c r="F3809" s="12" t="str" cm="1">
        <f t="array" ref="F3809">IF(AND(A3809="2021-03", ISNA(MATCH(B3809, _xlfn._xlws.FILTER(B:B, A:A="2021-04"), 0))), "Left", "Ativo")</f>
        <v>Left</v>
      </c>
    </row>
    <row r="3810" spans="1:6" x14ac:dyDescent="0.25">
      <c r="A3810" t="s">
        <v>1531</v>
      </c>
      <c r="B3810" t="s">
        <v>866</v>
      </c>
      <c r="C3810" s="10" t="str" cm="1">
        <f t="array" ref="C3810">IF(AND(A3810="2020-12", ISNA(MATCH(B3810, _xlfn._xlws.FILTER(B:B, A:A="2021-01"), 0))), "Left", "Ativo")</f>
        <v>Ativo</v>
      </c>
      <c r="D3810" s="10" t="str" cm="1">
        <f t="array" ref="D3810">IF(AND(A3810="2021-01", ISNA(MATCH(B3810, _xlfn._xlws.FILTER(B:B, A:A="2021-02"), 0))), "Left", "Ativo")</f>
        <v>Ativo</v>
      </c>
      <c r="E3810" s="10" t="str" cm="1">
        <f t="array" ref="E3810">IF(AND(A3810="2021-02", ISNA(MATCH(B3810, _xlfn._xlws.FILTER(B:B, A:A="2021-03"), 0))), "Left", "Ativo")</f>
        <v>Ativo</v>
      </c>
      <c r="F3810" s="12" t="str" cm="1">
        <f t="array" ref="F3810">IF(AND(A3810="2021-03", ISNA(MATCH(B3810, _xlfn._xlws.FILTER(B:B, A:A="2021-04"), 0))), "Left", "Ativo")</f>
        <v>Ativo</v>
      </c>
    </row>
    <row r="3811" spans="1:6" x14ac:dyDescent="0.25">
      <c r="A3811" t="s">
        <v>1531</v>
      </c>
      <c r="B3811" t="s">
        <v>867</v>
      </c>
      <c r="C3811" s="10" t="str" cm="1">
        <f t="array" ref="C3811">IF(AND(A3811="2020-12", ISNA(MATCH(B3811, _xlfn._xlws.FILTER(B:B, A:A="2021-01"), 0))), "Left", "Ativo")</f>
        <v>Ativo</v>
      </c>
      <c r="D3811" s="10" t="str" cm="1">
        <f t="array" ref="D3811">IF(AND(A3811="2021-01", ISNA(MATCH(B3811, _xlfn._xlws.FILTER(B:B, A:A="2021-02"), 0))), "Left", "Ativo")</f>
        <v>Ativo</v>
      </c>
      <c r="E3811" s="10" t="str" cm="1">
        <f t="array" ref="E3811">IF(AND(A3811="2021-02", ISNA(MATCH(B3811, _xlfn._xlws.FILTER(B:B, A:A="2021-03"), 0))), "Left", "Ativo")</f>
        <v>Ativo</v>
      </c>
      <c r="F3811" s="12" t="str" cm="1">
        <f t="array" ref="F3811">IF(AND(A3811="2021-03", ISNA(MATCH(B3811, _xlfn._xlws.FILTER(B:B, A:A="2021-04"), 0))), "Left", "Ativo")</f>
        <v>Ativo</v>
      </c>
    </row>
    <row r="3812" spans="1:6" x14ac:dyDescent="0.25">
      <c r="A3812" t="s">
        <v>1531</v>
      </c>
      <c r="B3812" t="s">
        <v>869</v>
      </c>
      <c r="C3812" s="10" t="str" cm="1">
        <f t="array" ref="C3812">IF(AND(A3812="2020-12", ISNA(MATCH(B3812, _xlfn._xlws.FILTER(B:B, A:A="2021-01"), 0))), "Left", "Ativo")</f>
        <v>Ativo</v>
      </c>
      <c r="D3812" s="10" t="str" cm="1">
        <f t="array" ref="D3812">IF(AND(A3812="2021-01", ISNA(MATCH(B3812, _xlfn._xlws.FILTER(B:B, A:A="2021-02"), 0))), "Left", "Ativo")</f>
        <v>Ativo</v>
      </c>
      <c r="E3812" s="10" t="str" cm="1">
        <f t="array" ref="E3812">IF(AND(A3812="2021-02", ISNA(MATCH(B3812, _xlfn._xlws.FILTER(B:B, A:A="2021-03"), 0))), "Left", "Ativo")</f>
        <v>Ativo</v>
      </c>
      <c r="F3812" s="12" t="str" cm="1">
        <f t="array" ref="F3812">IF(AND(A3812="2021-03", ISNA(MATCH(B3812, _xlfn._xlws.FILTER(B:B, A:A="2021-04"), 0))), "Left", "Ativo")</f>
        <v>Ativo</v>
      </c>
    </row>
    <row r="3813" spans="1:6" x14ac:dyDescent="0.25">
      <c r="A3813" t="s">
        <v>1531</v>
      </c>
      <c r="B3813" t="s">
        <v>870</v>
      </c>
      <c r="C3813" s="10" t="str" cm="1">
        <f t="array" ref="C3813">IF(AND(A3813="2020-12", ISNA(MATCH(B3813, _xlfn._xlws.FILTER(B:B, A:A="2021-01"), 0))), "Left", "Ativo")</f>
        <v>Ativo</v>
      </c>
      <c r="D3813" s="10" t="str" cm="1">
        <f t="array" ref="D3813">IF(AND(A3813="2021-01", ISNA(MATCH(B3813, _xlfn._xlws.FILTER(B:B, A:A="2021-02"), 0))), "Left", "Ativo")</f>
        <v>Ativo</v>
      </c>
      <c r="E3813" s="10" t="str" cm="1">
        <f t="array" ref="E3813">IF(AND(A3813="2021-02", ISNA(MATCH(B3813, _xlfn._xlws.FILTER(B:B, A:A="2021-03"), 0))), "Left", "Ativo")</f>
        <v>Ativo</v>
      </c>
      <c r="F3813" s="12" t="str" cm="1">
        <f t="array" ref="F3813">IF(AND(A3813="2021-03", ISNA(MATCH(B3813, _xlfn._xlws.FILTER(B:B, A:A="2021-04"), 0))), "Left", "Ativo")</f>
        <v>Ativo</v>
      </c>
    </row>
    <row r="3814" spans="1:6" x14ac:dyDescent="0.25">
      <c r="A3814" t="s">
        <v>1531</v>
      </c>
      <c r="B3814" t="s">
        <v>871</v>
      </c>
      <c r="C3814" s="10" t="str" cm="1">
        <f t="array" ref="C3814">IF(AND(A3814="2020-12", ISNA(MATCH(B3814, _xlfn._xlws.FILTER(B:B, A:A="2021-01"), 0))), "Left", "Ativo")</f>
        <v>Ativo</v>
      </c>
      <c r="D3814" s="10" t="str" cm="1">
        <f t="array" ref="D3814">IF(AND(A3814="2021-01", ISNA(MATCH(B3814, _xlfn._xlws.FILTER(B:B, A:A="2021-02"), 0))), "Left", "Ativo")</f>
        <v>Ativo</v>
      </c>
      <c r="E3814" s="10" t="str" cm="1">
        <f t="array" ref="E3814">IF(AND(A3814="2021-02", ISNA(MATCH(B3814, _xlfn._xlws.FILTER(B:B, A:A="2021-03"), 0))), "Left", "Ativo")</f>
        <v>Ativo</v>
      </c>
      <c r="F3814" s="12" t="str" cm="1">
        <f t="array" ref="F3814">IF(AND(A3814="2021-03", ISNA(MATCH(B3814, _xlfn._xlws.FILTER(B:B, A:A="2021-04"), 0))), "Left", "Ativo")</f>
        <v>Ativo</v>
      </c>
    </row>
    <row r="3815" spans="1:6" x14ac:dyDescent="0.25">
      <c r="A3815" t="s">
        <v>1531</v>
      </c>
      <c r="B3815" t="s">
        <v>872</v>
      </c>
      <c r="C3815" s="10" t="str" cm="1">
        <f t="array" ref="C3815">IF(AND(A3815="2020-12", ISNA(MATCH(B3815, _xlfn._xlws.FILTER(B:B, A:A="2021-01"), 0))), "Left", "Ativo")</f>
        <v>Ativo</v>
      </c>
      <c r="D3815" s="10" t="str" cm="1">
        <f t="array" ref="D3815">IF(AND(A3815="2021-01", ISNA(MATCH(B3815, _xlfn._xlws.FILTER(B:B, A:A="2021-02"), 0))), "Left", "Ativo")</f>
        <v>Ativo</v>
      </c>
      <c r="E3815" s="10" t="str" cm="1">
        <f t="array" ref="E3815">IF(AND(A3815="2021-02", ISNA(MATCH(B3815, _xlfn._xlws.FILTER(B:B, A:A="2021-03"), 0))), "Left", "Ativo")</f>
        <v>Ativo</v>
      </c>
      <c r="F3815" s="12" t="str" cm="1">
        <f t="array" ref="F3815">IF(AND(A3815="2021-03", ISNA(MATCH(B3815, _xlfn._xlws.FILTER(B:B, A:A="2021-04"), 0))), "Left", "Ativo")</f>
        <v>Ativo</v>
      </c>
    </row>
    <row r="3816" spans="1:6" x14ac:dyDescent="0.25">
      <c r="A3816" t="s">
        <v>1531</v>
      </c>
      <c r="B3816" t="s">
        <v>873</v>
      </c>
      <c r="C3816" s="10" t="str" cm="1">
        <f t="array" ref="C3816">IF(AND(A3816="2020-12", ISNA(MATCH(B3816, _xlfn._xlws.FILTER(B:B, A:A="2021-01"), 0))), "Left", "Ativo")</f>
        <v>Ativo</v>
      </c>
      <c r="D3816" s="10" t="str" cm="1">
        <f t="array" ref="D3816">IF(AND(A3816="2021-01", ISNA(MATCH(B3816, _xlfn._xlws.FILTER(B:B, A:A="2021-02"), 0))), "Left", "Ativo")</f>
        <v>Ativo</v>
      </c>
      <c r="E3816" s="10" t="str" cm="1">
        <f t="array" ref="E3816">IF(AND(A3816="2021-02", ISNA(MATCH(B3816, _xlfn._xlws.FILTER(B:B, A:A="2021-03"), 0))), "Left", "Ativo")</f>
        <v>Ativo</v>
      </c>
      <c r="F3816" s="12" t="str" cm="1">
        <f t="array" ref="F3816">IF(AND(A3816="2021-03", ISNA(MATCH(B3816, _xlfn._xlws.FILTER(B:B, A:A="2021-04"), 0))), "Left", "Ativo")</f>
        <v>Ativo</v>
      </c>
    </row>
    <row r="3817" spans="1:6" x14ac:dyDescent="0.25">
      <c r="A3817" t="s">
        <v>1531</v>
      </c>
      <c r="B3817" t="s">
        <v>874</v>
      </c>
      <c r="C3817" s="10" t="str" cm="1">
        <f t="array" ref="C3817">IF(AND(A3817="2020-12", ISNA(MATCH(B3817, _xlfn._xlws.FILTER(B:B, A:A="2021-01"), 0))), "Left", "Ativo")</f>
        <v>Ativo</v>
      </c>
      <c r="D3817" s="10" t="str" cm="1">
        <f t="array" ref="D3817">IF(AND(A3817="2021-01", ISNA(MATCH(B3817, _xlfn._xlws.FILTER(B:B, A:A="2021-02"), 0))), "Left", "Ativo")</f>
        <v>Ativo</v>
      </c>
      <c r="E3817" s="10" t="str" cm="1">
        <f t="array" ref="E3817">IF(AND(A3817="2021-02", ISNA(MATCH(B3817, _xlfn._xlws.FILTER(B:B, A:A="2021-03"), 0))), "Left", "Ativo")</f>
        <v>Ativo</v>
      </c>
      <c r="F3817" s="12" t="str" cm="1">
        <f t="array" ref="F3817">IF(AND(A3817="2021-03", ISNA(MATCH(B3817, _xlfn._xlws.FILTER(B:B, A:A="2021-04"), 0))), "Left", "Ativo")</f>
        <v>Ativo</v>
      </c>
    </row>
    <row r="3818" spans="1:6" x14ac:dyDescent="0.25">
      <c r="A3818" t="s">
        <v>1531</v>
      </c>
      <c r="B3818" t="s">
        <v>875</v>
      </c>
      <c r="C3818" s="10" t="str" cm="1">
        <f t="array" ref="C3818">IF(AND(A3818="2020-12", ISNA(MATCH(B3818, _xlfn._xlws.FILTER(B:B, A:A="2021-01"), 0))), "Left", "Ativo")</f>
        <v>Ativo</v>
      </c>
      <c r="D3818" s="10" t="str" cm="1">
        <f t="array" ref="D3818">IF(AND(A3818="2021-01", ISNA(MATCH(B3818, _xlfn._xlws.FILTER(B:B, A:A="2021-02"), 0))), "Left", "Ativo")</f>
        <v>Ativo</v>
      </c>
      <c r="E3818" s="10" t="str" cm="1">
        <f t="array" ref="E3818">IF(AND(A3818="2021-02", ISNA(MATCH(B3818, _xlfn._xlws.FILTER(B:B, A:A="2021-03"), 0))), "Left", "Ativo")</f>
        <v>Ativo</v>
      </c>
      <c r="F3818" s="12" t="str" cm="1">
        <f t="array" ref="F3818">IF(AND(A3818="2021-03", ISNA(MATCH(B3818, _xlfn._xlws.FILTER(B:B, A:A="2021-04"), 0))), "Left", "Ativo")</f>
        <v>Ativo</v>
      </c>
    </row>
    <row r="3819" spans="1:6" x14ac:dyDescent="0.25">
      <c r="A3819" t="s">
        <v>1531</v>
      </c>
      <c r="B3819" t="s">
        <v>876</v>
      </c>
      <c r="C3819" s="10" t="str" cm="1">
        <f t="array" ref="C3819">IF(AND(A3819="2020-12", ISNA(MATCH(B3819, _xlfn._xlws.FILTER(B:B, A:A="2021-01"), 0))), "Left", "Ativo")</f>
        <v>Ativo</v>
      </c>
      <c r="D3819" s="10" t="str" cm="1">
        <f t="array" ref="D3819">IF(AND(A3819="2021-01", ISNA(MATCH(B3819, _xlfn._xlws.FILTER(B:B, A:A="2021-02"), 0))), "Left", "Ativo")</f>
        <v>Ativo</v>
      </c>
      <c r="E3819" s="10" t="str" cm="1">
        <f t="array" ref="E3819">IF(AND(A3819="2021-02", ISNA(MATCH(B3819, _xlfn._xlws.FILTER(B:B, A:A="2021-03"), 0))), "Left", "Ativo")</f>
        <v>Ativo</v>
      </c>
      <c r="F3819" s="12" t="str" cm="1">
        <f t="array" ref="F3819">IF(AND(A3819="2021-03", ISNA(MATCH(B3819, _xlfn._xlws.FILTER(B:B, A:A="2021-04"), 0))), "Left", "Ativo")</f>
        <v>Ativo</v>
      </c>
    </row>
    <row r="3820" spans="1:6" x14ac:dyDescent="0.25">
      <c r="A3820" t="s">
        <v>1531</v>
      </c>
      <c r="B3820" t="s">
        <v>877</v>
      </c>
      <c r="C3820" s="10" t="str" cm="1">
        <f t="array" ref="C3820">IF(AND(A3820="2020-12", ISNA(MATCH(B3820, _xlfn._xlws.FILTER(B:B, A:A="2021-01"), 0))), "Left", "Ativo")</f>
        <v>Ativo</v>
      </c>
      <c r="D3820" s="10" t="str" cm="1">
        <f t="array" ref="D3820">IF(AND(A3820="2021-01", ISNA(MATCH(B3820, _xlfn._xlws.FILTER(B:B, A:A="2021-02"), 0))), "Left", "Ativo")</f>
        <v>Ativo</v>
      </c>
      <c r="E3820" s="10" t="str" cm="1">
        <f t="array" ref="E3820">IF(AND(A3820="2021-02", ISNA(MATCH(B3820, _xlfn._xlws.FILTER(B:B, A:A="2021-03"), 0))), "Left", "Ativo")</f>
        <v>Ativo</v>
      </c>
      <c r="F3820" s="12" t="str" cm="1">
        <f t="array" ref="F3820">IF(AND(A3820="2021-03", ISNA(MATCH(B3820, _xlfn._xlws.FILTER(B:B, A:A="2021-04"), 0))), "Left", "Ativo")</f>
        <v>Ativo</v>
      </c>
    </row>
    <row r="3821" spans="1:6" x14ac:dyDescent="0.25">
      <c r="A3821" t="s">
        <v>1531</v>
      </c>
      <c r="B3821" t="s">
        <v>878</v>
      </c>
      <c r="C3821" s="10" t="str" cm="1">
        <f t="array" ref="C3821">IF(AND(A3821="2020-12", ISNA(MATCH(B3821, _xlfn._xlws.FILTER(B:B, A:A="2021-01"), 0))), "Left", "Ativo")</f>
        <v>Ativo</v>
      </c>
      <c r="D3821" s="10" t="str" cm="1">
        <f t="array" ref="D3821">IF(AND(A3821="2021-01", ISNA(MATCH(B3821, _xlfn._xlws.FILTER(B:B, A:A="2021-02"), 0))), "Left", "Ativo")</f>
        <v>Ativo</v>
      </c>
      <c r="E3821" s="10" t="str" cm="1">
        <f t="array" ref="E3821">IF(AND(A3821="2021-02", ISNA(MATCH(B3821, _xlfn._xlws.FILTER(B:B, A:A="2021-03"), 0))), "Left", "Ativo")</f>
        <v>Ativo</v>
      </c>
      <c r="F3821" s="12" t="str" cm="1">
        <f t="array" ref="F3821">IF(AND(A3821="2021-03", ISNA(MATCH(B3821, _xlfn._xlws.FILTER(B:B, A:A="2021-04"), 0))), "Left", "Ativo")</f>
        <v>Ativo</v>
      </c>
    </row>
    <row r="3822" spans="1:6" x14ac:dyDescent="0.25">
      <c r="A3822" t="s">
        <v>1531</v>
      </c>
      <c r="B3822" t="s">
        <v>879</v>
      </c>
      <c r="C3822" s="10" t="str" cm="1">
        <f t="array" ref="C3822">IF(AND(A3822="2020-12", ISNA(MATCH(B3822, _xlfn._xlws.FILTER(B:B, A:A="2021-01"), 0))), "Left", "Ativo")</f>
        <v>Ativo</v>
      </c>
      <c r="D3822" s="10" t="str" cm="1">
        <f t="array" ref="D3822">IF(AND(A3822="2021-01", ISNA(MATCH(B3822, _xlfn._xlws.FILTER(B:B, A:A="2021-02"), 0))), "Left", "Ativo")</f>
        <v>Ativo</v>
      </c>
      <c r="E3822" s="10" t="str" cm="1">
        <f t="array" ref="E3822">IF(AND(A3822="2021-02", ISNA(MATCH(B3822, _xlfn._xlws.FILTER(B:B, A:A="2021-03"), 0))), "Left", "Ativo")</f>
        <v>Ativo</v>
      </c>
      <c r="F3822" s="12" t="str" cm="1">
        <f t="array" ref="F3822">IF(AND(A3822="2021-03", ISNA(MATCH(B3822, _xlfn._xlws.FILTER(B:B, A:A="2021-04"), 0))), "Left", "Ativo")</f>
        <v>Ativo</v>
      </c>
    </row>
    <row r="3823" spans="1:6" x14ac:dyDescent="0.25">
      <c r="A3823" t="s">
        <v>1531</v>
      </c>
      <c r="B3823" t="s">
        <v>880</v>
      </c>
      <c r="C3823" s="10" t="str" cm="1">
        <f t="array" ref="C3823">IF(AND(A3823="2020-12", ISNA(MATCH(B3823, _xlfn._xlws.FILTER(B:B, A:A="2021-01"), 0))), "Left", "Ativo")</f>
        <v>Ativo</v>
      </c>
      <c r="D3823" s="10" t="str" cm="1">
        <f t="array" ref="D3823">IF(AND(A3823="2021-01", ISNA(MATCH(B3823, _xlfn._xlws.FILTER(B:B, A:A="2021-02"), 0))), "Left", "Ativo")</f>
        <v>Ativo</v>
      </c>
      <c r="E3823" s="10" t="str" cm="1">
        <f t="array" ref="E3823">IF(AND(A3823="2021-02", ISNA(MATCH(B3823, _xlfn._xlws.FILTER(B:B, A:A="2021-03"), 0))), "Left", "Ativo")</f>
        <v>Ativo</v>
      </c>
      <c r="F3823" s="12" t="str" cm="1">
        <f t="array" ref="F3823">IF(AND(A3823="2021-03", ISNA(MATCH(B3823, _xlfn._xlws.FILTER(B:B, A:A="2021-04"), 0))), "Left", "Ativo")</f>
        <v>Ativo</v>
      </c>
    </row>
    <row r="3824" spans="1:6" x14ac:dyDescent="0.25">
      <c r="A3824" t="s">
        <v>1531</v>
      </c>
      <c r="B3824" t="s">
        <v>881</v>
      </c>
      <c r="C3824" s="10" t="str" cm="1">
        <f t="array" ref="C3824">IF(AND(A3824="2020-12", ISNA(MATCH(B3824, _xlfn._xlws.FILTER(B:B, A:A="2021-01"), 0))), "Left", "Ativo")</f>
        <v>Ativo</v>
      </c>
      <c r="D3824" s="10" t="str" cm="1">
        <f t="array" ref="D3824">IF(AND(A3824="2021-01", ISNA(MATCH(B3824, _xlfn._xlws.FILTER(B:B, A:A="2021-02"), 0))), "Left", "Ativo")</f>
        <v>Ativo</v>
      </c>
      <c r="E3824" s="10" t="str" cm="1">
        <f t="array" ref="E3824">IF(AND(A3824="2021-02", ISNA(MATCH(B3824, _xlfn._xlws.FILTER(B:B, A:A="2021-03"), 0))), "Left", "Ativo")</f>
        <v>Ativo</v>
      </c>
      <c r="F3824" s="12" t="str" cm="1">
        <f t="array" ref="F3824">IF(AND(A3824="2021-03", ISNA(MATCH(B3824, _xlfn._xlws.FILTER(B:B, A:A="2021-04"), 0))), "Left", "Ativo")</f>
        <v>Ativo</v>
      </c>
    </row>
    <row r="3825" spans="1:6" x14ac:dyDescent="0.25">
      <c r="A3825" t="s">
        <v>1531</v>
      </c>
      <c r="B3825" t="s">
        <v>882</v>
      </c>
      <c r="C3825" s="10" t="str" cm="1">
        <f t="array" ref="C3825">IF(AND(A3825="2020-12", ISNA(MATCH(B3825, _xlfn._xlws.FILTER(B:B, A:A="2021-01"), 0))), "Left", "Ativo")</f>
        <v>Ativo</v>
      </c>
      <c r="D3825" s="10" t="str" cm="1">
        <f t="array" ref="D3825">IF(AND(A3825="2021-01", ISNA(MATCH(B3825, _xlfn._xlws.FILTER(B:B, A:A="2021-02"), 0))), "Left", "Ativo")</f>
        <v>Ativo</v>
      </c>
      <c r="E3825" s="10" t="str" cm="1">
        <f t="array" ref="E3825">IF(AND(A3825="2021-02", ISNA(MATCH(B3825, _xlfn._xlws.FILTER(B:B, A:A="2021-03"), 0))), "Left", "Ativo")</f>
        <v>Ativo</v>
      </c>
      <c r="F3825" s="12" t="str" cm="1">
        <f t="array" ref="F3825">IF(AND(A3825="2021-03", ISNA(MATCH(B3825, _xlfn._xlws.FILTER(B:B, A:A="2021-04"), 0))), "Left", "Ativo")</f>
        <v>Ativo</v>
      </c>
    </row>
    <row r="3826" spans="1:6" x14ac:dyDescent="0.25">
      <c r="A3826" t="s">
        <v>1531</v>
      </c>
      <c r="B3826" t="s">
        <v>883</v>
      </c>
      <c r="C3826" s="10" t="str" cm="1">
        <f t="array" ref="C3826">IF(AND(A3826="2020-12", ISNA(MATCH(B3826, _xlfn._xlws.FILTER(B:B, A:A="2021-01"), 0))), "Left", "Ativo")</f>
        <v>Ativo</v>
      </c>
      <c r="D3826" s="10" t="str" cm="1">
        <f t="array" ref="D3826">IF(AND(A3826="2021-01", ISNA(MATCH(B3826, _xlfn._xlws.FILTER(B:B, A:A="2021-02"), 0))), "Left", "Ativo")</f>
        <v>Ativo</v>
      </c>
      <c r="E3826" s="10" t="str" cm="1">
        <f t="array" ref="E3826">IF(AND(A3826="2021-02", ISNA(MATCH(B3826, _xlfn._xlws.FILTER(B:B, A:A="2021-03"), 0))), "Left", "Ativo")</f>
        <v>Ativo</v>
      </c>
      <c r="F3826" s="12" t="str" cm="1">
        <f t="array" ref="F3826">IF(AND(A3826="2021-03", ISNA(MATCH(B3826, _xlfn._xlws.FILTER(B:B, A:A="2021-04"), 0))), "Left", "Ativo")</f>
        <v>Ativo</v>
      </c>
    </row>
    <row r="3827" spans="1:6" x14ac:dyDescent="0.25">
      <c r="A3827" t="s">
        <v>1531</v>
      </c>
      <c r="B3827" t="s">
        <v>884</v>
      </c>
      <c r="C3827" s="10" t="str" cm="1">
        <f t="array" ref="C3827">IF(AND(A3827="2020-12", ISNA(MATCH(B3827, _xlfn._xlws.FILTER(B:B, A:A="2021-01"), 0))), "Left", "Ativo")</f>
        <v>Ativo</v>
      </c>
      <c r="D3827" s="10" t="str" cm="1">
        <f t="array" ref="D3827">IF(AND(A3827="2021-01", ISNA(MATCH(B3827, _xlfn._xlws.FILTER(B:B, A:A="2021-02"), 0))), "Left", "Ativo")</f>
        <v>Ativo</v>
      </c>
      <c r="E3827" s="10" t="str" cm="1">
        <f t="array" ref="E3827">IF(AND(A3827="2021-02", ISNA(MATCH(B3827, _xlfn._xlws.FILTER(B:B, A:A="2021-03"), 0))), "Left", "Ativo")</f>
        <v>Ativo</v>
      </c>
      <c r="F3827" s="12" t="str" cm="1">
        <f t="array" ref="F3827">IF(AND(A3827="2021-03", ISNA(MATCH(B3827, _xlfn._xlws.FILTER(B:B, A:A="2021-04"), 0))), "Left", "Ativo")</f>
        <v>Ativo</v>
      </c>
    </row>
    <row r="3828" spans="1:6" x14ac:dyDescent="0.25">
      <c r="A3828" t="s">
        <v>1531</v>
      </c>
      <c r="B3828" t="s">
        <v>885</v>
      </c>
      <c r="C3828" s="10" t="str" cm="1">
        <f t="array" ref="C3828">IF(AND(A3828="2020-12", ISNA(MATCH(B3828, _xlfn._xlws.FILTER(B:B, A:A="2021-01"), 0))), "Left", "Ativo")</f>
        <v>Ativo</v>
      </c>
      <c r="D3828" s="10" t="str" cm="1">
        <f t="array" ref="D3828">IF(AND(A3828="2021-01", ISNA(MATCH(B3828, _xlfn._xlws.FILTER(B:B, A:A="2021-02"), 0))), "Left", "Ativo")</f>
        <v>Ativo</v>
      </c>
      <c r="E3828" s="10" t="str" cm="1">
        <f t="array" ref="E3828">IF(AND(A3828="2021-02", ISNA(MATCH(B3828, _xlfn._xlws.FILTER(B:B, A:A="2021-03"), 0))), "Left", "Ativo")</f>
        <v>Ativo</v>
      </c>
      <c r="F3828" s="12" t="str" cm="1">
        <f t="array" ref="F3828">IF(AND(A3828="2021-03", ISNA(MATCH(B3828, _xlfn._xlws.FILTER(B:B, A:A="2021-04"), 0))), "Left", "Ativo")</f>
        <v>Ativo</v>
      </c>
    </row>
    <row r="3829" spans="1:6" x14ac:dyDescent="0.25">
      <c r="A3829" t="s">
        <v>1531</v>
      </c>
      <c r="B3829" t="s">
        <v>886</v>
      </c>
      <c r="C3829" s="10" t="str" cm="1">
        <f t="array" ref="C3829">IF(AND(A3829="2020-12", ISNA(MATCH(B3829, _xlfn._xlws.FILTER(B:B, A:A="2021-01"), 0))), "Left", "Ativo")</f>
        <v>Ativo</v>
      </c>
      <c r="D3829" s="10" t="str" cm="1">
        <f t="array" ref="D3829">IF(AND(A3829="2021-01", ISNA(MATCH(B3829, _xlfn._xlws.FILTER(B:B, A:A="2021-02"), 0))), "Left", "Ativo")</f>
        <v>Ativo</v>
      </c>
      <c r="E3829" s="10" t="str" cm="1">
        <f t="array" ref="E3829">IF(AND(A3829="2021-02", ISNA(MATCH(B3829, _xlfn._xlws.FILTER(B:B, A:A="2021-03"), 0))), "Left", "Ativo")</f>
        <v>Ativo</v>
      </c>
      <c r="F3829" s="12" t="str" cm="1">
        <f t="array" ref="F3829">IF(AND(A3829="2021-03", ISNA(MATCH(B3829, _xlfn._xlws.FILTER(B:B, A:A="2021-04"), 0))), "Left", "Ativo")</f>
        <v>Ativo</v>
      </c>
    </row>
    <row r="3830" spans="1:6" x14ac:dyDescent="0.25">
      <c r="A3830" t="s">
        <v>1531</v>
      </c>
      <c r="B3830" t="s">
        <v>887</v>
      </c>
      <c r="C3830" s="10" t="str" cm="1">
        <f t="array" ref="C3830">IF(AND(A3830="2020-12", ISNA(MATCH(B3830, _xlfn._xlws.FILTER(B:B, A:A="2021-01"), 0))), "Left", "Ativo")</f>
        <v>Ativo</v>
      </c>
      <c r="D3830" s="10" t="str" cm="1">
        <f t="array" ref="D3830">IF(AND(A3830="2021-01", ISNA(MATCH(B3830, _xlfn._xlws.FILTER(B:B, A:A="2021-02"), 0))), "Left", "Ativo")</f>
        <v>Ativo</v>
      </c>
      <c r="E3830" s="10" t="str" cm="1">
        <f t="array" ref="E3830">IF(AND(A3830="2021-02", ISNA(MATCH(B3830, _xlfn._xlws.FILTER(B:B, A:A="2021-03"), 0))), "Left", "Ativo")</f>
        <v>Ativo</v>
      </c>
      <c r="F3830" s="12" t="str" cm="1">
        <f t="array" ref="F3830">IF(AND(A3830="2021-03", ISNA(MATCH(B3830, _xlfn._xlws.FILTER(B:B, A:A="2021-04"), 0))), "Left", "Ativo")</f>
        <v>Ativo</v>
      </c>
    </row>
    <row r="3831" spans="1:6" x14ac:dyDescent="0.25">
      <c r="A3831" t="s">
        <v>1531</v>
      </c>
      <c r="B3831" t="s">
        <v>888</v>
      </c>
      <c r="C3831" s="10" t="str" cm="1">
        <f t="array" ref="C3831">IF(AND(A3831="2020-12", ISNA(MATCH(B3831, _xlfn._xlws.FILTER(B:B, A:A="2021-01"), 0))), "Left", "Ativo")</f>
        <v>Ativo</v>
      </c>
      <c r="D3831" s="10" t="str" cm="1">
        <f t="array" ref="D3831">IF(AND(A3831="2021-01", ISNA(MATCH(B3831, _xlfn._xlws.FILTER(B:B, A:A="2021-02"), 0))), "Left", "Ativo")</f>
        <v>Ativo</v>
      </c>
      <c r="E3831" s="10" t="str" cm="1">
        <f t="array" ref="E3831">IF(AND(A3831="2021-02", ISNA(MATCH(B3831, _xlfn._xlws.FILTER(B:B, A:A="2021-03"), 0))), "Left", "Ativo")</f>
        <v>Ativo</v>
      </c>
      <c r="F3831" s="12" t="str" cm="1">
        <f t="array" ref="F3831">IF(AND(A3831="2021-03", ISNA(MATCH(B3831, _xlfn._xlws.FILTER(B:B, A:A="2021-04"), 0))), "Left", "Ativo")</f>
        <v>Ativo</v>
      </c>
    </row>
    <row r="3832" spans="1:6" x14ac:dyDescent="0.25">
      <c r="A3832" t="s">
        <v>1531</v>
      </c>
      <c r="B3832" t="s">
        <v>889</v>
      </c>
      <c r="C3832" s="10" t="str" cm="1">
        <f t="array" ref="C3832">IF(AND(A3832="2020-12", ISNA(MATCH(B3832, _xlfn._xlws.FILTER(B:B, A:A="2021-01"), 0))), "Left", "Ativo")</f>
        <v>Ativo</v>
      </c>
      <c r="D3832" s="10" t="str" cm="1">
        <f t="array" ref="D3832">IF(AND(A3832="2021-01", ISNA(MATCH(B3832, _xlfn._xlws.FILTER(B:B, A:A="2021-02"), 0))), "Left", "Ativo")</f>
        <v>Ativo</v>
      </c>
      <c r="E3832" s="10" t="str" cm="1">
        <f t="array" ref="E3832">IF(AND(A3832="2021-02", ISNA(MATCH(B3832, _xlfn._xlws.FILTER(B:B, A:A="2021-03"), 0))), "Left", "Ativo")</f>
        <v>Ativo</v>
      </c>
      <c r="F3832" s="12" t="str" cm="1">
        <f t="array" ref="F3832">IF(AND(A3832="2021-03", ISNA(MATCH(B3832, _xlfn._xlws.FILTER(B:B, A:A="2021-04"), 0))), "Left", "Ativo")</f>
        <v>Ativo</v>
      </c>
    </row>
    <row r="3833" spans="1:6" x14ac:dyDescent="0.25">
      <c r="A3833" t="s">
        <v>1531</v>
      </c>
      <c r="B3833" t="s">
        <v>890</v>
      </c>
      <c r="C3833" s="10" t="str" cm="1">
        <f t="array" ref="C3833">IF(AND(A3833="2020-12", ISNA(MATCH(B3833, _xlfn._xlws.FILTER(B:B, A:A="2021-01"), 0))), "Left", "Ativo")</f>
        <v>Ativo</v>
      </c>
      <c r="D3833" s="10" t="str" cm="1">
        <f t="array" ref="D3833">IF(AND(A3833="2021-01", ISNA(MATCH(B3833, _xlfn._xlws.FILTER(B:B, A:A="2021-02"), 0))), "Left", "Ativo")</f>
        <v>Ativo</v>
      </c>
      <c r="E3833" s="10" t="str" cm="1">
        <f t="array" ref="E3833">IF(AND(A3833="2021-02", ISNA(MATCH(B3833, _xlfn._xlws.FILTER(B:B, A:A="2021-03"), 0))), "Left", "Ativo")</f>
        <v>Ativo</v>
      </c>
      <c r="F3833" s="12" t="str" cm="1">
        <f t="array" ref="F3833">IF(AND(A3833="2021-03", ISNA(MATCH(B3833, _xlfn._xlws.FILTER(B:B, A:A="2021-04"), 0))), "Left", "Ativo")</f>
        <v>Ativo</v>
      </c>
    </row>
    <row r="3834" spans="1:6" x14ac:dyDescent="0.25">
      <c r="A3834" t="s">
        <v>1531</v>
      </c>
      <c r="B3834" t="s">
        <v>891</v>
      </c>
      <c r="C3834" s="10" t="str" cm="1">
        <f t="array" ref="C3834">IF(AND(A3834="2020-12", ISNA(MATCH(B3834, _xlfn._xlws.FILTER(B:B, A:A="2021-01"), 0))), "Left", "Ativo")</f>
        <v>Ativo</v>
      </c>
      <c r="D3834" s="10" t="str" cm="1">
        <f t="array" ref="D3834">IF(AND(A3834="2021-01", ISNA(MATCH(B3834, _xlfn._xlws.FILTER(B:B, A:A="2021-02"), 0))), "Left", "Ativo")</f>
        <v>Ativo</v>
      </c>
      <c r="E3834" s="10" t="str" cm="1">
        <f t="array" ref="E3834">IF(AND(A3834="2021-02", ISNA(MATCH(B3834, _xlfn._xlws.FILTER(B:B, A:A="2021-03"), 0))), "Left", "Ativo")</f>
        <v>Ativo</v>
      </c>
      <c r="F3834" s="12" t="str" cm="1">
        <f t="array" ref="F3834">IF(AND(A3834="2021-03", ISNA(MATCH(B3834, _xlfn._xlws.FILTER(B:B, A:A="2021-04"), 0))), "Left", "Ativo")</f>
        <v>Ativo</v>
      </c>
    </row>
    <row r="3835" spans="1:6" x14ac:dyDescent="0.25">
      <c r="A3835" t="s">
        <v>1531</v>
      </c>
      <c r="B3835" t="s">
        <v>892</v>
      </c>
      <c r="C3835" s="10" t="str" cm="1">
        <f t="array" ref="C3835">IF(AND(A3835="2020-12", ISNA(MATCH(B3835, _xlfn._xlws.FILTER(B:B, A:A="2021-01"), 0))), "Left", "Ativo")</f>
        <v>Ativo</v>
      </c>
      <c r="D3835" s="10" t="str" cm="1">
        <f t="array" ref="D3835">IF(AND(A3835="2021-01", ISNA(MATCH(B3835, _xlfn._xlws.FILTER(B:B, A:A="2021-02"), 0))), "Left", "Ativo")</f>
        <v>Ativo</v>
      </c>
      <c r="E3835" s="10" t="str" cm="1">
        <f t="array" ref="E3835">IF(AND(A3835="2021-02", ISNA(MATCH(B3835, _xlfn._xlws.FILTER(B:B, A:A="2021-03"), 0))), "Left", "Ativo")</f>
        <v>Ativo</v>
      </c>
      <c r="F3835" s="12" t="str" cm="1">
        <f t="array" ref="F3835">IF(AND(A3835="2021-03", ISNA(MATCH(B3835, _xlfn._xlws.FILTER(B:B, A:A="2021-04"), 0))), "Left", "Ativo")</f>
        <v>Ativo</v>
      </c>
    </row>
    <row r="3836" spans="1:6" x14ac:dyDescent="0.25">
      <c r="A3836" t="s">
        <v>1531</v>
      </c>
      <c r="B3836" t="s">
        <v>893</v>
      </c>
      <c r="C3836" s="10" t="str" cm="1">
        <f t="array" ref="C3836">IF(AND(A3836="2020-12", ISNA(MATCH(B3836, _xlfn._xlws.FILTER(B:B, A:A="2021-01"), 0))), "Left", "Ativo")</f>
        <v>Ativo</v>
      </c>
      <c r="D3836" s="10" t="str" cm="1">
        <f t="array" ref="D3836">IF(AND(A3836="2021-01", ISNA(MATCH(B3836, _xlfn._xlws.FILTER(B:B, A:A="2021-02"), 0))), "Left", "Ativo")</f>
        <v>Ativo</v>
      </c>
      <c r="E3836" s="10" t="str" cm="1">
        <f t="array" ref="E3836">IF(AND(A3836="2021-02", ISNA(MATCH(B3836, _xlfn._xlws.FILTER(B:B, A:A="2021-03"), 0))), "Left", "Ativo")</f>
        <v>Ativo</v>
      </c>
      <c r="F3836" s="12" t="str" cm="1">
        <f t="array" ref="F3836">IF(AND(A3836="2021-03", ISNA(MATCH(B3836, _xlfn._xlws.FILTER(B:B, A:A="2021-04"), 0))), "Left", "Ativo")</f>
        <v>Ativo</v>
      </c>
    </row>
    <row r="3837" spans="1:6" x14ac:dyDescent="0.25">
      <c r="A3837" t="s">
        <v>1531</v>
      </c>
      <c r="B3837" t="s">
        <v>894</v>
      </c>
      <c r="C3837" s="10" t="str" cm="1">
        <f t="array" ref="C3837">IF(AND(A3837="2020-12", ISNA(MATCH(B3837, _xlfn._xlws.FILTER(B:B, A:A="2021-01"), 0))), "Left", "Ativo")</f>
        <v>Ativo</v>
      </c>
      <c r="D3837" s="10" t="str" cm="1">
        <f t="array" ref="D3837">IF(AND(A3837="2021-01", ISNA(MATCH(B3837, _xlfn._xlws.FILTER(B:B, A:A="2021-02"), 0))), "Left", "Ativo")</f>
        <v>Ativo</v>
      </c>
      <c r="E3837" s="10" t="str" cm="1">
        <f t="array" ref="E3837">IF(AND(A3837="2021-02", ISNA(MATCH(B3837, _xlfn._xlws.FILTER(B:B, A:A="2021-03"), 0))), "Left", "Ativo")</f>
        <v>Ativo</v>
      </c>
      <c r="F3837" s="12" t="str" cm="1">
        <f t="array" ref="F3837">IF(AND(A3837="2021-03", ISNA(MATCH(B3837, _xlfn._xlws.FILTER(B:B, A:A="2021-04"), 0))), "Left", "Ativo")</f>
        <v>Ativo</v>
      </c>
    </row>
    <row r="3838" spans="1:6" x14ac:dyDescent="0.25">
      <c r="A3838" t="s">
        <v>1531</v>
      </c>
      <c r="B3838" t="s">
        <v>895</v>
      </c>
      <c r="C3838" s="10" t="str" cm="1">
        <f t="array" ref="C3838">IF(AND(A3838="2020-12", ISNA(MATCH(B3838, _xlfn._xlws.FILTER(B:B, A:A="2021-01"), 0))), "Left", "Ativo")</f>
        <v>Ativo</v>
      </c>
      <c r="D3838" s="10" t="str" cm="1">
        <f t="array" ref="D3838">IF(AND(A3838="2021-01", ISNA(MATCH(B3838, _xlfn._xlws.FILTER(B:B, A:A="2021-02"), 0))), "Left", "Ativo")</f>
        <v>Ativo</v>
      </c>
      <c r="E3838" s="10" t="str" cm="1">
        <f t="array" ref="E3838">IF(AND(A3838="2021-02", ISNA(MATCH(B3838, _xlfn._xlws.FILTER(B:B, A:A="2021-03"), 0))), "Left", "Ativo")</f>
        <v>Ativo</v>
      </c>
      <c r="F3838" s="12" t="str" cm="1">
        <f t="array" ref="F3838">IF(AND(A3838="2021-03", ISNA(MATCH(B3838, _xlfn._xlws.FILTER(B:B, A:A="2021-04"), 0))), "Left", "Ativo")</f>
        <v>Ativo</v>
      </c>
    </row>
    <row r="3839" spans="1:6" x14ac:dyDescent="0.25">
      <c r="A3839" t="s">
        <v>1531</v>
      </c>
      <c r="B3839" t="s">
        <v>896</v>
      </c>
      <c r="C3839" s="10" t="str" cm="1">
        <f t="array" ref="C3839">IF(AND(A3839="2020-12", ISNA(MATCH(B3839, _xlfn._xlws.FILTER(B:B, A:A="2021-01"), 0))), "Left", "Ativo")</f>
        <v>Ativo</v>
      </c>
      <c r="D3839" s="10" t="str" cm="1">
        <f t="array" ref="D3839">IF(AND(A3839="2021-01", ISNA(MATCH(B3839, _xlfn._xlws.FILTER(B:B, A:A="2021-02"), 0))), "Left", "Ativo")</f>
        <v>Ativo</v>
      </c>
      <c r="E3839" s="10" t="str" cm="1">
        <f t="array" ref="E3839">IF(AND(A3839="2021-02", ISNA(MATCH(B3839, _xlfn._xlws.FILTER(B:B, A:A="2021-03"), 0))), "Left", "Ativo")</f>
        <v>Ativo</v>
      </c>
      <c r="F3839" s="12" t="str" cm="1">
        <f t="array" ref="F3839">IF(AND(A3839="2021-03", ISNA(MATCH(B3839, _xlfn._xlws.FILTER(B:B, A:A="2021-04"), 0))), "Left", "Ativo")</f>
        <v>Ativo</v>
      </c>
    </row>
    <row r="3840" spans="1:6" x14ac:dyDescent="0.25">
      <c r="A3840" t="s">
        <v>1531</v>
      </c>
      <c r="B3840" t="s">
        <v>897</v>
      </c>
      <c r="C3840" s="10" t="str" cm="1">
        <f t="array" ref="C3840">IF(AND(A3840="2020-12", ISNA(MATCH(B3840, _xlfn._xlws.FILTER(B:B, A:A="2021-01"), 0))), "Left", "Ativo")</f>
        <v>Ativo</v>
      </c>
      <c r="D3840" s="10" t="str" cm="1">
        <f t="array" ref="D3840">IF(AND(A3840="2021-01", ISNA(MATCH(B3840, _xlfn._xlws.FILTER(B:B, A:A="2021-02"), 0))), "Left", "Ativo")</f>
        <v>Ativo</v>
      </c>
      <c r="E3840" s="10" t="str" cm="1">
        <f t="array" ref="E3840">IF(AND(A3840="2021-02", ISNA(MATCH(B3840, _xlfn._xlws.FILTER(B:B, A:A="2021-03"), 0))), "Left", "Ativo")</f>
        <v>Ativo</v>
      </c>
      <c r="F3840" s="12" t="str" cm="1">
        <f t="array" ref="F3840">IF(AND(A3840="2021-03", ISNA(MATCH(B3840, _xlfn._xlws.FILTER(B:B, A:A="2021-04"), 0))), "Left", "Ativo")</f>
        <v>Ativo</v>
      </c>
    </row>
    <row r="3841" spans="1:6" x14ac:dyDescent="0.25">
      <c r="A3841" t="s">
        <v>1531</v>
      </c>
      <c r="B3841" t="s">
        <v>898</v>
      </c>
      <c r="C3841" s="10" t="str" cm="1">
        <f t="array" ref="C3841">IF(AND(A3841="2020-12", ISNA(MATCH(B3841, _xlfn._xlws.FILTER(B:B, A:A="2021-01"), 0))), "Left", "Ativo")</f>
        <v>Ativo</v>
      </c>
      <c r="D3841" s="10" t="str" cm="1">
        <f t="array" ref="D3841">IF(AND(A3841="2021-01", ISNA(MATCH(B3841, _xlfn._xlws.FILTER(B:B, A:A="2021-02"), 0))), "Left", "Ativo")</f>
        <v>Ativo</v>
      </c>
      <c r="E3841" s="10" t="str" cm="1">
        <f t="array" ref="E3841">IF(AND(A3841="2021-02", ISNA(MATCH(B3841, _xlfn._xlws.FILTER(B:B, A:A="2021-03"), 0))), "Left", "Ativo")</f>
        <v>Ativo</v>
      </c>
      <c r="F3841" s="12" t="str" cm="1">
        <f t="array" ref="F3841">IF(AND(A3841="2021-03", ISNA(MATCH(B3841, _xlfn._xlws.FILTER(B:B, A:A="2021-04"), 0))), "Left", "Ativo")</f>
        <v>Ativo</v>
      </c>
    </row>
    <row r="3842" spans="1:6" x14ac:dyDescent="0.25">
      <c r="A3842" t="s">
        <v>1531</v>
      </c>
      <c r="B3842" t="s">
        <v>899</v>
      </c>
      <c r="C3842" s="10" t="str" cm="1">
        <f t="array" ref="C3842">IF(AND(A3842="2020-12", ISNA(MATCH(B3842, _xlfn._xlws.FILTER(B:B, A:A="2021-01"), 0))), "Left", "Ativo")</f>
        <v>Ativo</v>
      </c>
      <c r="D3842" s="10" t="str" cm="1">
        <f t="array" ref="D3842">IF(AND(A3842="2021-01", ISNA(MATCH(B3842, _xlfn._xlws.FILTER(B:B, A:A="2021-02"), 0))), "Left", "Ativo")</f>
        <v>Ativo</v>
      </c>
      <c r="E3842" s="10" t="str" cm="1">
        <f t="array" ref="E3842">IF(AND(A3842="2021-02", ISNA(MATCH(B3842, _xlfn._xlws.FILTER(B:B, A:A="2021-03"), 0))), "Left", "Ativo")</f>
        <v>Ativo</v>
      </c>
      <c r="F3842" s="12" t="str" cm="1">
        <f t="array" ref="F3842">IF(AND(A3842="2021-03", ISNA(MATCH(B3842, _xlfn._xlws.FILTER(B:B, A:A="2021-04"), 0))), "Left", "Ativo")</f>
        <v>Ativo</v>
      </c>
    </row>
    <row r="3843" spans="1:6" x14ac:dyDescent="0.25">
      <c r="A3843" t="s">
        <v>1531</v>
      </c>
      <c r="B3843" t="s">
        <v>900</v>
      </c>
      <c r="C3843" s="10" t="str" cm="1">
        <f t="array" ref="C3843">IF(AND(A3843="2020-12", ISNA(MATCH(B3843, _xlfn._xlws.FILTER(B:B, A:A="2021-01"), 0))), "Left", "Ativo")</f>
        <v>Ativo</v>
      </c>
      <c r="D3843" s="10" t="str" cm="1">
        <f t="array" ref="D3843">IF(AND(A3843="2021-01", ISNA(MATCH(B3843, _xlfn._xlws.FILTER(B:B, A:A="2021-02"), 0))), "Left", "Ativo")</f>
        <v>Ativo</v>
      </c>
      <c r="E3843" s="10" t="str" cm="1">
        <f t="array" ref="E3843">IF(AND(A3843="2021-02", ISNA(MATCH(B3843, _xlfn._xlws.FILTER(B:B, A:A="2021-03"), 0))), "Left", "Ativo")</f>
        <v>Ativo</v>
      </c>
      <c r="F3843" s="12" t="str" cm="1">
        <f t="array" ref="F3843">IF(AND(A3843="2021-03", ISNA(MATCH(B3843, _xlfn._xlws.FILTER(B:B, A:A="2021-04"), 0))), "Left", "Ativo")</f>
        <v>Ativo</v>
      </c>
    </row>
    <row r="3844" spans="1:6" x14ac:dyDescent="0.25">
      <c r="A3844" t="s">
        <v>1531</v>
      </c>
      <c r="B3844" t="s">
        <v>901</v>
      </c>
      <c r="C3844" s="10" t="str" cm="1">
        <f t="array" ref="C3844">IF(AND(A3844="2020-12", ISNA(MATCH(B3844, _xlfn._xlws.FILTER(B:B, A:A="2021-01"), 0))), "Left", "Ativo")</f>
        <v>Ativo</v>
      </c>
      <c r="D3844" s="10" t="str" cm="1">
        <f t="array" ref="D3844">IF(AND(A3844="2021-01", ISNA(MATCH(B3844, _xlfn._xlws.FILTER(B:B, A:A="2021-02"), 0))), "Left", "Ativo")</f>
        <v>Ativo</v>
      </c>
      <c r="E3844" s="10" t="str" cm="1">
        <f t="array" ref="E3844">IF(AND(A3844="2021-02", ISNA(MATCH(B3844, _xlfn._xlws.FILTER(B:B, A:A="2021-03"), 0))), "Left", "Ativo")</f>
        <v>Ativo</v>
      </c>
      <c r="F3844" s="12" t="str" cm="1">
        <f t="array" ref="F3844">IF(AND(A3844="2021-03", ISNA(MATCH(B3844, _xlfn._xlws.FILTER(B:B, A:A="2021-04"), 0))), "Left", "Ativo")</f>
        <v>Ativo</v>
      </c>
    </row>
    <row r="3845" spans="1:6" x14ac:dyDescent="0.25">
      <c r="A3845" t="s">
        <v>1531</v>
      </c>
      <c r="B3845" t="s">
        <v>902</v>
      </c>
      <c r="C3845" s="10" t="str" cm="1">
        <f t="array" ref="C3845">IF(AND(A3845="2020-12", ISNA(MATCH(B3845, _xlfn._xlws.FILTER(B:B, A:A="2021-01"), 0))), "Left", "Ativo")</f>
        <v>Ativo</v>
      </c>
      <c r="D3845" s="10" t="str" cm="1">
        <f t="array" ref="D3845">IF(AND(A3845="2021-01", ISNA(MATCH(B3845, _xlfn._xlws.FILTER(B:B, A:A="2021-02"), 0))), "Left", "Ativo")</f>
        <v>Ativo</v>
      </c>
      <c r="E3845" s="10" t="str" cm="1">
        <f t="array" ref="E3845">IF(AND(A3845="2021-02", ISNA(MATCH(B3845, _xlfn._xlws.FILTER(B:B, A:A="2021-03"), 0))), "Left", "Ativo")</f>
        <v>Ativo</v>
      </c>
      <c r="F3845" s="12" t="str" cm="1">
        <f t="array" ref="F3845">IF(AND(A3845="2021-03", ISNA(MATCH(B3845, _xlfn._xlws.FILTER(B:B, A:A="2021-04"), 0))), "Left", "Ativo")</f>
        <v>Ativo</v>
      </c>
    </row>
    <row r="3846" spans="1:6" x14ac:dyDescent="0.25">
      <c r="A3846" t="s">
        <v>1531</v>
      </c>
      <c r="B3846" t="s">
        <v>903</v>
      </c>
      <c r="C3846" s="10" t="str" cm="1">
        <f t="array" ref="C3846">IF(AND(A3846="2020-12", ISNA(MATCH(B3846, _xlfn._xlws.FILTER(B:B, A:A="2021-01"), 0))), "Left", "Ativo")</f>
        <v>Ativo</v>
      </c>
      <c r="D3846" s="10" t="str" cm="1">
        <f t="array" ref="D3846">IF(AND(A3846="2021-01", ISNA(MATCH(B3846, _xlfn._xlws.FILTER(B:B, A:A="2021-02"), 0))), "Left", "Ativo")</f>
        <v>Ativo</v>
      </c>
      <c r="E3846" s="10" t="str" cm="1">
        <f t="array" ref="E3846">IF(AND(A3846="2021-02", ISNA(MATCH(B3846, _xlfn._xlws.FILTER(B:B, A:A="2021-03"), 0))), "Left", "Ativo")</f>
        <v>Ativo</v>
      </c>
      <c r="F3846" s="12" t="str" cm="1">
        <f t="array" ref="F3846">IF(AND(A3846="2021-03", ISNA(MATCH(B3846, _xlfn._xlws.FILTER(B:B, A:A="2021-04"), 0))), "Left", "Ativo")</f>
        <v>Ativo</v>
      </c>
    </row>
    <row r="3847" spans="1:6" x14ac:dyDescent="0.25">
      <c r="A3847" t="s">
        <v>1531</v>
      </c>
      <c r="B3847" t="s">
        <v>904</v>
      </c>
      <c r="C3847" s="10" t="str" cm="1">
        <f t="array" ref="C3847">IF(AND(A3847="2020-12", ISNA(MATCH(B3847, _xlfn._xlws.FILTER(B:B, A:A="2021-01"), 0))), "Left", "Ativo")</f>
        <v>Ativo</v>
      </c>
      <c r="D3847" s="10" t="str" cm="1">
        <f t="array" ref="D3847">IF(AND(A3847="2021-01", ISNA(MATCH(B3847, _xlfn._xlws.FILTER(B:B, A:A="2021-02"), 0))), "Left", "Ativo")</f>
        <v>Ativo</v>
      </c>
      <c r="E3847" s="10" t="str" cm="1">
        <f t="array" ref="E3847">IF(AND(A3847="2021-02", ISNA(MATCH(B3847, _xlfn._xlws.FILTER(B:B, A:A="2021-03"), 0))), "Left", "Ativo")</f>
        <v>Ativo</v>
      </c>
      <c r="F3847" s="12" t="str" cm="1">
        <f t="array" ref="F3847">IF(AND(A3847="2021-03", ISNA(MATCH(B3847, _xlfn._xlws.FILTER(B:B, A:A="2021-04"), 0))), "Left", "Ativo")</f>
        <v>Ativo</v>
      </c>
    </row>
    <row r="3848" spans="1:6" x14ac:dyDescent="0.25">
      <c r="A3848" t="s">
        <v>1531</v>
      </c>
      <c r="B3848" t="s">
        <v>905</v>
      </c>
      <c r="C3848" s="10" t="str" cm="1">
        <f t="array" ref="C3848">IF(AND(A3848="2020-12", ISNA(MATCH(B3848, _xlfn._xlws.FILTER(B:B, A:A="2021-01"), 0))), "Left", "Ativo")</f>
        <v>Ativo</v>
      </c>
      <c r="D3848" s="10" t="str" cm="1">
        <f t="array" ref="D3848">IF(AND(A3848="2021-01", ISNA(MATCH(B3848, _xlfn._xlws.FILTER(B:B, A:A="2021-02"), 0))), "Left", "Ativo")</f>
        <v>Ativo</v>
      </c>
      <c r="E3848" s="10" t="str" cm="1">
        <f t="array" ref="E3848">IF(AND(A3848="2021-02", ISNA(MATCH(B3848, _xlfn._xlws.FILTER(B:B, A:A="2021-03"), 0))), "Left", "Ativo")</f>
        <v>Ativo</v>
      </c>
      <c r="F3848" s="12" t="str" cm="1">
        <f t="array" ref="F3848">IF(AND(A3848="2021-03", ISNA(MATCH(B3848, _xlfn._xlws.FILTER(B:B, A:A="2021-04"), 0))), "Left", "Ativo")</f>
        <v>Ativo</v>
      </c>
    </row>
    <row r="3849" spans="1:6" x14ac:dyDescent="0.25">
      <c r="A3849" t="s">
        <v>1531</v>
      </c>
      <c r="B3849" t="s">
        <v>906</v>
      </c>
      <c r="C3849" s="10" t="str" cm="1">
        <f t="array" ref="C3849">IF(AND(A3849="2020-12", ISNA(MATCH(B3849, _xlfn._xlws.FILTER(B:B, A:A="2021-01"), 0))), "Left", "Ativo")</f>
        <v>Ativo</v>
      </c>
      <c r="D3849" s="10" t="str" cm="1">
        <f t="array" ref="D3849">IF(AND(A3849="2021-01", ISNA(MATCH(B3849, _xlfn._xlws.FILTER(B:B, A:A="2021-02"), 0))), "Left", "Ativo")</f>
        <v>Ativo</v>
      </c>
      <c r="E3849" s="10" t="str" cm="1">
        <f t="array" ref="E3849">IF(AND(A3849="2021-02", ISNA(MATCH(B3849, _xlfn._xlws.FILTER(B:B, A:A="2021-03"), 0))), "Left", "Ativo")</f>
        <v>Ativo</v>
      </c>
      <c r="F3849" s="12" t="str" cm="1">
        <f t="array" ref="F3849">IF(AND(A3849="2021-03", ISNA(MATCH(B3849, _xlfn._xlws.FILTER(B:B, A:A="2021-04"), 0))), "Left", "Ativo")</f>
        <v>Ativo</v>
      </c>
    </row>
    <row r="3850" spans="1:6" x14ac:dyDescent="0.25">
      <c r="A3850" t="s">
        <v>1531</v>
      </c>
      <c r="B3850" t="s">
        <v>907</v>
      </c>
      <c r="C3850" s="10" t="str" cm="1">
        <f t="array" ref="C3850">IF(AND(A3850="2020-12", ISNA(MATCH(B3850, _xlfn._xlws.FILTER(B:B, A:A="2021-01"), 0))), "Left", "Ativo")</f>
        <v>Ativo</v>
      </c>
      <c r="D3850" s="10" t="str" cm="1">
        <f t="array" ref="D3850">IF(AND(A3850="2021-01", ISNA(MATCH(B3850, _xlfn._xlws.FILTER(B:B, A:A="2021-02"), 0))), "Left", "Ativo")</f>
        <v>Ativo</v>
      </c>
      <c r="E3850" s="10" t="str" cm="1">
        <f t="array" ref="E3850">IF(AND(A3850="2021-02", ISNA(MATCH(B3850, _xlfn._xlws.FILTER(B:B, A:A="2021-03"), 0))), "Left", "Ativo")</f>
        <v>Ativo</v>
      </c>
      <c r="F3850" s="12" t="str" cm="1">
        <f t="array" ref="F3850">IF(AND(A3850="2021-03", ISNA(MATCH(B3850, _xlfn._xlws.FILTER(B:B, A:A="2021-04"), 0))), "Left", "Ativo")</f>
        <v>Ativo</v>
      </c>
    </row>
    <row r="3851" spans="1:6" x14ac:dyDescent="0.25">
      <c r="A3851" t="s">
        <v>1531</v>
      </c>
      <c r="B3851" t="s">
        <v>908</v>
      </c>
      <c r="C3851" s="10" t="str" cm="1">
        <f t="array" ref="C3851">IF(AND(A3851="2020-12", ISNA(MATCH(B3851, _xlfn._xlws.FILTER(B:B, A:A="2021-01"), 0))), "Left", "Ativo")</f>
        <v>Ativo</v>
      </c>
      <c r="D3851" s="10" t="str" cm="1">
        <f t="array" ref="D3851">IF(AND(A3851="2021-01", ISNA(MATCH(B3851, _xlfn._xlws.FILTER(B:B, A:A="2021-02"), 0))), "Left", "Ativo")</f>
        <v>Ativo</v>
      </c>
      <c r="E3851" s="10" t="str" cm="1">
        <f t="array" ref="E3851">IF(AND(A3851="2021-02", ISNA(MATCH(B3851, _xlfn._xlws.FILTER(B:B, A:A="2021-03"), 0))), "Left", "Ativo")</f>
        <v>Ativo</v>
      </c>
      <c r="F3851" s="12" t="str" cm="1">
        <f t="array" ref="F3851">IF(AND(A3851="2021-03", ISNA(MATCH(B3851, _xlfn._xlws.FILTER(B:B, A:A="2021-04"), 0))), "Left", "Ativo")</f>
        <v>Ativo</v>
      </c>
    </row>
    <row r="3852" spans="1:6" x14ac:dyDescent="0.25">
      <c r="A3852" t="s">
        <v>1531</v>
      </c>
      <c r="B3852" t="s">
        <v>909</v>
      </c>
      <c r="C3852" s="10" t="str" cm="1">
        <f t="array" ref="C3852">IF(AND(A3852="2020-12", ISNA(MATCH(B3852, _xlfn._xlws.FILTER(B:B, A:A="2021-01"), 0))), "Left", "Ativo")</f>
        <v>Ativo</v>
      </c>
      <c r="D3852" s="10" t="str" cm="1">
        <f t="array" ref="D3852">IF(AND(A3852="2021-01", ISNA(MATCH(B3852, _xlfn._xlws.FILTER(B:B, A:A="2021-02"), 0))), "Left", "Ativo")</f>
        <v>Ativo</v>
      </c>
      <c r="E3852" s="10" t="str" cm="1">
        <f t="array" ref="E3852">IF(AND(A3852="2021-02", ISNA(MATCH(B3852, _xlfn._xlws.FILTER(B:B, A:A="2021-03"), 0))), "Left", "Ativo")</f>
        <v>Ativo</v>
      </c>
      <c r="F3852" s="12" t="str" cm="1">
        <f t="array" ref="F3852">IF(AND(A3852="2021-03", ISNA(MATCH(B3852, _xlfn._xlws.FILTER(B:B, A:A="2021-04"), 0))), "Left", "Ativo")</f>
        <v>Ativo</v>
      </c>
    </row>
    <row r="3853" spans="1:6" x14ac:dyDescent="0.25">
      <c r="A3853" t="s">
        <v>1531</v>
      </c>
      <c r="B3853" t="s">
        <v>910</v>
      </c>
      <c r="C3853" s="10" t="str" cm="1">
        <f t="array" ref="C3853">IF(AND(A3853="2020-12", ISNA(MATCH(B3853, _xlfn._xlws.FILTER(B:B, A:A="2021-01"), 0))), "Left", "Ativo")</f>
        <v>Ativo</v>
      </c>
      <c r="D3853" s="10" t="str" cm="1">
        <f t="array" ref="D3853">IF(AND(A3853="2021-01", ISNA(MATCH(B3853, _xlfn._xlws.FILTER(B:B, A:A="2021-02"), 0))), "Left", "Ativo")</f>
        <v>Ativo</v>
      </c>
      <c r="E3853" s="10" t="str" cm="1">
        <f t="array" ref="E3853">IF(AND(A3853="2021-02", ISNA(MATCH(B3853, _xlfn._xlws.FILTER(B:B, A:A="2021-03"), 0))), "Left", "Ativo")</f>
        <v>Ativo</v>
      </c>
      <c r="F3853" s="12" t="str" cm="1">
        <f t="array" ref="F3853">IF(AND(A3853="2021-03", ISNA(MATCH(B3853, _xlfn._xlws.FILTER(B:B, A:A="2021-04"), 0))), "Left", "Ativo")</f>
        <v>Ativo</v>
      </c>
    </row>
    <row r="3854" spans="1:6" x14ac:dyDescent="0.25">
      <c r="A3854" t="s">
        <v>1531</v>
      </c>
      <c r="B3854" t="s">
        <v>911</v>
      </c>
      <c r="C3854" s="10" t="str" cm="1">
        <f t="array" ref="C3854">IF(AND(A3854="2020-12", ISNA(MATCH(B3854, _xlfn._xlws.FILTER(B:B, A:A="2021-01"), 0))), "Left", "Ativo")</f>
        <v>Ativo</v>
      </c>
      <c r="D3854" s="10" t="str" cm="1">
        <f t="array" ref="D3854">IF(AND(A3854="2021-01", ISNA(MATCH(B3854, _xlfn._xlws.FILTER(B:B, A:A="2021-02"), 0))), "Left", "Ativo")</f>
        <v>Ativo</v>
      </c>
      <c r="E3854" s="10" t="str" cm="1">
        <f t="array" ref="E3854">IF(AND(A3854="2021-02", ISNA(MATCH(B3854, _xlfn._xlws.FILTER(B:B, A:A="2021-03"), 0))), "Left", "Ativo")</f>
        <v>Ativo</v>
      </c>
      <c r="F3854" s="12" t="str" cm="1">
        <f t="array" ref="F3854">IF(AND(A3854="2021-03", ISNA(MATCH(B3854, _xlfn._xlws.FILTER(B:B, A:A="2021-04"), 0))), "Left", "Ativo")</f>
        <v>Ativo</v>
      </c>
    </row>
    <row r="3855" spans="1:6" x14ac:dyDescent="0.25">
      <c r="A3855" t="s">
        <v>1531</v>
      </c>
      <c r="B3855" t="s">
        <v>912</v>
      </c>
      <c r="C3855" s="10" t="str" cm="1">
        <f t="array" ref="C3855">IF(AND(A3855="2020-12", ISNA(MATCH(B3855, _xlfn._xlws.FILTER(B:B, A:A="2021-01"), 0))), "Left", "Ativo")</f>
        <v>Ativo</v>
      </c>
      <c r="D3855" s="10" t="str" cm="1">
        <f t="array" ref="D3855">IF(AND(A3855="2021-01", ISNA(MATCH(B3855, _xlfn._xlws.FILTER(B:B, A:A="2021-02"), 0))), "Left", "Ativo")</f>
        <v>Ativo</v>
      </c>
      <c r="E3855" s="10" t="str" cm="1">
        <f t="array" ref="E3855">IF(AND(A3855="2021-02", ISNA(MATCH(B3855, _xlfn._xlws.FILTER(B:B, A:A="2021-03"), 0))), "Left", "Ativo")</f>
        <v>Ativo</v>
      </c>
      <c r="F3855" s="12" t="str" cm="1">
        <f t="array" ref="F3855">IF(AND(A3855="2021-03", ISNA(MATCH(B3855, _xlfn._xlws.FILTER(B:B, A:A="2021-04"), 0))), "Left", "Ativo")</f>
        <v>Ativo</v>
      </c>
    </row>
    <row r="3856" spans="1:6" x14ac:dyDescent="0.25">
      <c r="A3856" t="s">
        <v>1531</v>
      </c>
      <c r="B3856" t="s">
        <v>913</v>
      </c>
      <c r="C3856" s="10" t="str" cm="1">
        <f t="array" ref="C3856">IF(AND(A3856="2020-12", ISNA(MATCH(B3856, _xlfn._xlws.FILTER(B:B, A:A="2021-01"), 0))), "Left", "Ativo")</f>
        <v>Ativo</v>
      </c>
      <c r="D3856" s="10" t="str" cm="1">
        <f t="array" ref="D3856">IF(AND(A3856="2021-01", ISNA(MATCH(B3856, _xlfn._xlws.FILTER(B:B, A:A="2021-02"), 0))), "Left", "Ativo")</f>
        <v>Ativo</v>
      </c>
      <c r="E3856" s="10" t="str" cm="1">
        <f t="array" ref="E3856">IF(AND(A3856="2021-02", ISNA(MATCH(B3856, _xlfn._xlws.FILTER(B:B, A:A="2021-03"), 0))), "Left", "Ativo")</f>
        <v>Ativo</v>
      </c>
      <c r="F3856" s="12" t="str" cm="1">
        <f t="array" ref="F3856">IF(AND(A3856="2021-03", ISNA(MATCH(B3856, _xlfn._xlws.FILTER(B:B, A:A="2021-04"), 0))), "Left", "Ativo")</f>
        <v>Ativo</v>
      </c>
    </row>
    <row r="3857" spans="1:6" x14ac:dyDescent="0.25">
      <c r="A3857" t="s">
        <v>1531</v>
      </c>
      <c r="B3857" t="s">
        <v>914</v>
      </c>
      <c r="C3857" s="10" t="str" cm="1">
        <f t="array" ref="C3857">IF(AND(A3857="2020-12", ISNA(MATCH(B3857, _xlfn._xlws.FILTER(B:B, A:A="2021-01"), 0))), "Left", "Ativo")</f>
        <v>Ativo</v>
      </c>
      <c r="D3857" s="10" t="str" cm="1">
        <f t="array" ref="D3857">IF(AND(A3857="2021-01", ISNA(MATCH(B3857, _xlfn._xlws.FILTER(B:B, A:A="2021-02"), 0))), "Left", "Ativo")</f>
        <v>Ativo</v>
      </c>
      <c r="E3857" s="10" t="str" cm="1">
        <f t="array" ref="E3857">IF(AND(A3857="2021-02", ISNA(MATCH(B3857, _xlfn._xlws.FILTER(B:B, A:A="2021-03"), 0))), "Left", "Ativo")</f>
        <v>Ativo</v>
      </c>
      <c r="F3857" s="12" t="str" cm="1">
        <f t="array" ref="F3857">IF(AND(A3857="2021-03", ISNA(MATCH(B3857, _xlfn._xlws.FILTER(B:B, A:A="2021-04"), 0))), "Left", "Ativo")</f>
        <v>Ativo</v>
      </c>
    </row>
    <row r="3858" spans="1:6" x14ac:dyDescent="0.25">
      <c r="A3858" t="s">
        <v>1531</v>
      </c>
      <c r="B3858" t="s">
        <v>915</v>
      </c>
      <c r="C3858" s="10" t="str" cm="1">
        <f t="array" ref="C3858">IF(AND(A3858="2020-12", ISNA(MATCH(B3858, _xlfn._xlws.FILTER(B:B, A:A="2021-01"), 0))), "Left", "Ativo")</f>
        <v>Ativo</v>
      </c>
      <c r="D3858" s="10" t="str" cm="1">
        <f t="array" ref="D3858">IF(AND(A3858="2021-01", ISNA(MATCH(B3858, _xlfn._xlws.FILTER(B:B, A:A="2021-02"), 0))), "Left", "Ativo")</f>
        <v>Ativo</v>
      </c>
      <c r="E3858" s="10" t="str" cm="1">
        <f t="array" ref="E3858">IF(AND(A3858="2021-02", ISNA(MATCH(B3858, _xlfn._xlws.FILTER(B:B, A:A="2021-03"), 0))), "Left", "Ativo")</f>
        <v>Ativo</v>
      </c>
      <c r="F3858" s="12" t="str" cm="1">
        <f t="array" ref="F3858">IF(AND(A3858="2021-03", ISNA(MATCH(B3858, _xlfn._xlws.FILTER(B:B, A:A="2021-04"), 0))), "Left", "Ativo")</f>
        <v>Ativo</v>
      </c>
    </row>
    <row r="3859" spans="1:6" x14ac:dyDescent="0.25">
      <c r="A3859" t="s">
        <v>1531</v>
      </c>
      <c r="B3859" t="s">
        <v>916</v>
      </c>
      <c r="C3859" s="10" t="str" cm="1">
        <f t="array" ref="C3859">IF(AND(A3859="2020-12", ISNA(MATCH(B3859, _xlfn._xlws.FILTER(B:B, A:A="2021-01"), 0))), "Left", "Ativo")</f>
        <v>Ativo</v>
      </c>
      <c r="D3859" s="10" t="str" cm="1">
        <f t="array" ref="D3859">IF(AND(A3859="2021-01", ISNA(MATCH(B3859, _xlfn._xlws.FILTER(B:B, A:A="2021-02"), 0))), "Left", "Ativo")</f>
        <v>Ativo</v>
      </c>
      <c r="E3859" s="10" t="str" cm="1">
        <f t="array" ref="E3859">IF(AND(A3859="2021-02", ISNA(MATCH(B3859, _xlfn._xlws.FILTER(B:B, A:A="2021-03"), 0))), "Left", "Ativo")</f>
        <v>Ativo</v>
      </c>
      <c r="F3859" s="12" t="str" cm="1">
        <f t="array" ref="F3859">IF(AND(A3859="2021-03", ISNA(MATCH(B3859, _xlfn._xlws.FILTER(B:B, A:A="2021-04"), 0))), "Left", "Ativo")</f>
        <v>Ativo</v>
      </c>
    </row>
    <row r="3860" spans="1:6" x14ac:dyDescent="0.25">
      <c r="A3860" t="s">
        <v>1531</v>
      </c>
      <c r="B3860" t="s">
        <v>917</v>
      </c>
      <c r="C3860" s="10" t="str" cm="1">
        <f t="array" ref="C3860">IF(AND(A3860="2020-12", ISNA(MATCH(B3860, _xlfn._xlws.FILTER(B:B, A:A="2021-01"), 0))), "Left", "Ativo")</f>
        <v>Ativo</v>
      </c>
      <c r="D3860" s="10" t="str" cm="1">
        <f t="array" ref="D3860">IF(AND(A3860="2021-01", ISNA(MATCH(B3860, _xlfn._xlws.FILTER(B:B, A:A="2021-02"), 0))), "Left", "Ativo")</f>
        <v>Ativo</v>
      </c>
      <c r="E3860" s="10" t="str" cm="1">
        <f t="array" ref="E3860">IF(AND(A3860="2021-02", ISNA(MATCH(B3860, _xlfn._xlws.FILTER(B:B, A:A="2021-03"), 0))), "Left", "Ativo")</f>
        <v>Ativo</v>
      </c>
      <c r="F3860" s="12" t="str" cm="1">
        <f t="array" ref="F3860">IF(AND(A3860="2021-03", ISNA(MATCH(B3860, _xlfn._xlws.FILTER(B:B, A:A="2021-04"), 0))), "Left", "Ativo")</f>
        <v>Ativo</v>
      </c>
    </row>
    <row r="3861" spans="1:6" x14ac:dyDescent="0.25">
      <c r="A3861" t="s">
        <v>1531</v>
      </c>
      <c r="B3861" t="s">
        <v>918</v>
      </c>
      <c r="C3861" s="10" t="str" cm="1">
        <f t="array" ref="C3861">IF(AND(A3861="2020-12", ISNA(MATCH(B3861, _xlfn._xlws.FILTER(B:B, A:A="2021-01"), 0))), "Left", "Ativo")</f>
        <v>Ativo</v>
      </c>
      <c r="D3861" s="10" t="str" cm="1">
        <f t="array" ref="D3861">IF(AND(A3861="2021-01", ISNA(MATCH(B3861, _xlfn._xlws.FILTER(B:B, A:A="2021-02"), 0))), "Left", "Ativo")</f>
        <v>Ativo</v>
      </c>
      <c r="E3861" s="10" t="str" cm="1">
        <f t="array" ref="E3861">IF(AND(A3861="2021-02", ISNA(MATCH(B3861, _xlfn._xlws.FILTER(B:B, A:A="2021-03"), 0))), "Left", "Ativo")</f>
        <v>Ativo</v>
      </c>
      <c r="F3861" s="12" t="str" cm="1">
        <f t="array" ref="F3861">IF(AND(A3861="2021-03", ISNA(MATCH(B3861, _xlfn._xlws.FILTER(B:B, A:A="2021-04"), 0))), "Left", "Ativo")</f>
        <v>Ativo</v>
      </c>
    </row>
    <row r="3862" spans="1:6" x14ac:dyDescent="0.25">
      <c r="A3862" t="s">
        <v>1531</v>
      </c>
      <c r="B3862" t="s">
        <v>919</v>
      </c>
      <c r="C3862" s="10" t="str" cm="1">
        <f t="array" ref="C3862">IF(AND(A3862="2020-12", ISNA(MATCH(B3862, _xlfn._xlws.FILTER(B:B, A:A="2021-01"), 0))), "Left", "Ativo")</f>
        <v>Ativo</v>
      </c>
      <c r="D3862" s="10" t="str" cm="1">
        <f t="array" ref="D3862">IF(AND(A3862="2021-01", ISNA(MATCH(B3862, _xlfn._xlws.FILTER(B:B, A:A="2021-02"), 0))), "Left", "Ativo")</f>
        <v>Ativo</v>
      </c>
      <c r="E3862" s="10" t="str" cm="1">
        <f t="array" ref="E3862">IF(AND(A3862="2021-02", ISNA(MATCH(B3862, _xlfn._xlws.FILTER(B:B, A:A="2021-03"), 0))), "Left", "Ativo")</f>
        <v>Ativo</v>
      </c>
      <c r="F3862" s="12" t="str" cm="1">
        <f t="array" ref="F3862">IF(AND(A3862="2021-03", ISNA(MATCH(B3862, _xlfn._xlws.FILTER(B:B, A:A="2021-04"), 0))), "Left", "Ativo")</f>
        <v>Ativo</v>
      </c>
    </row>
    <row r="3863" spans="1:6" x14ac:dyDescent="0.25">
      <c r="A3863" t="s">
        <v>1531</v>
      </c>
      <c r="B3863" t="s">
        <v>920</v>
      </c>
      <c r="C3863" s="10" t="str" cm="1">
        <f t="array" ref="C3863">IF(AND(A3863="2020-12", ISNA(MATCH(B3863, _xlfn._xlws.FILTER(B:B, A:A="2021-01"), 0))), "Left", "Ativo")</f>
        <v>Ativo</v>
      </c>
      <c r="D3863" s="10" t="str" cm="1">
        <f t="array" ref="D3863">IF(AND(A3863="2021-01", ISNA(MATCH(B3863, _xlfn._xlws.FILTER(B:B, A:A="2021-02"), 0))), "Left", "Ativo")</f>
        <v>Ativo</v>
      </c>
      <c r="E3863" s="10" t="str" cm="1">
        <f t="array" ref="E3863">IF(AND(A3863="2021-02", ISNA(MATCH(B3863, _xlfn._xlws.FILTER(B:B, A:A="2021-03"), 0))), "Left", "Ativo")</f>
        <v>Ativo</v>
      </c>
      <c r="F3863" s="12" t="str" cm="1">
        <f t="array" ref="F3863">IF(AND(A3863="2021-03", ISNA(MATCH(B3863, _xlfn._xlws.FILTER(B:B, A:A="2021-04"), 0))), "Left", "Ativo")</f>
        <v>Ativo</v>
      </c>
    </row>
    <row r="3864" spans="1:6" x14ac:dyDescent="0.25">
      <c r="A3864" t="s">
        <v>1531</v>
      </c>
      <c r="B3864" t="s">
        <v>921</v>
      </c>
      <c r="C3864" s="10" t="str" cm="1">
        <f t="array" ref="C3864">IF(AND(A3864="2020-12", ISNA(MATCH(B3864, _xlfn._xlws.FILTER(B:B, A:A="2021-01"), 0))), "Left", "Ativo")</f>
        <v>Ativo</v>
      </c>
      <c r="D3864" s="10" t="str" cm="1">
        <f t="array" ref="D3864">IF(AND(A3864="2021-01", ISNA(MATCH(B3864, _xlfn._xlws.FILTER(B:B, A:A="2021-02"), 0))), "Left", "Ativo")</f>
        <v>Ativo</v>
      </c>
      <c r="E3864" s="10" t="str" cm="1">
        <f t="array" ref="E3864">IF(AND(A3864="2021-02", ISNA(MATCH(B3864, _xlfn._xlws.FILTER(B:B, A:A="2021-03"), 0))), "Left", "Ativo")</f>
        <v>Ativo</v>
      </c>
      <c r="F3864" s="12" t="str" cm="1">
        <f t="array" ref="F3864">IF(AND(A3864="2021-03", ISNA(MATCH(B3864, _xlfn._xlws.FILTER(B:B, A:A="2021-04"), 0))), "Left", "Ativo")</f>
        <v>Ativo</v>
      </c>
    </row>
    <row r="3865" spans="1:6" x14ac:dyDescent="0.25">
      <c r="A3865" t="s">
        <v>1531</v>
      </c>
      <c r="B3865" t="s">
        <v>922</v>
      </c>
      <c r="C3865" s="10" t="str" cm="1">
        <f t="array" ref="C3865">IF(AND(A3865="2020-12", ISNA(MATCH(B3865, _xlfn._xlws.FILTER(B:B, A:A="2021-01"), 0))), "Left", "Ativo")</f>
        <v>Ativo</v>
      </c>
      <c r="D3865" s="10" t="str" cm="1">
        <f t="array" ref="D3865">IF(AND(A3865="2021-01", ISNA(MATCH(B3865, _xlfn._xlws.FILTER(B:B, A:A="2021-02"), 0))), "Left", "Ativo")</f>
        <v>Ativo</v>
      </c>
      <c r="E3865" s="10" t="str" cm="1">
        <f t="array" ref="E3865">IF(AND(A3865="2021-02", ISNA(MATCH(B3865, _xlfn._xlws.FILTER(B:B, A:A="2021-03"), 0))), "Left", "Ativo")</f>
        <v>Ativo</v>
      </c>
      <c r="F3865" s="12" t="str" cm="1">
        <f t="array" ref="F3865">IF(AND(A3865="2021-03", ISNA(MATCH(B3865, _xlfn._xlws.FILTER(B:B, A:A="2021-04"), 0))), "Left", "Ativo")</f>
        <v>Ativo</v>
      </c>
    </row>
    <row r="3866" spans="1:6" x14ac:dyDescent="0.25">
      <c r="A3866" t="s">
        <v>1531</v>
      </c>
      <c r="B3866" t="s">
        <v>923</v>
      </c>
      <c r="C3866" s="10" t="str" cm="1">
        <f t="array" ref="C3866">IF(AND(A3866="2020-12", ISNA(MATCH(B3866, _xlfn._xlws.FILTER(B:B, A:A="2021-01"), 0))), "Left", "Ativo")</f>
        <v>Ativo</v>
      </c>
      <c r="D3866" s="10" t="str" cm="1">
        <f t="array" ref="D3866">IF(AND(A3866="2021-01", ISNA(MATCH(B3866, _xlfn._xlws.FILTER(B:B, A:A="2021-02"), 0))), "Left", "Ativo")</f>
        <v>Ativo</v>
      </c>
      <c r="E3866" s="10" t="str" cm="1">
        <f t="array" ref="E3866">IF(AND(A3866="2021-02", ISNA(MATCH(B3866, _xlfn._xlws.FILTER(B:B, A:A="2021-03"), 0))), "Left", "Ativo")</f>
        <v>Ativo</v>
      </c>
      <c r="F3866" s="12" t="str" cm="1">
        <f t="array" ref="F3866">IF(AND(A3866="2021-03", ISNA(MATCH(B3866, _xlfn._xlws.FILTER(B:B, A:A="2021-04"), 0))), "Left", "Ativo")</f>
        <v>Ativo</v>
      </c>
    </row>
    <row r="3867" spans="1:6" x14ac:dyDescent="0.25">
      <c r="A3867" t="s">
        <v>1531</v>
      </c>
      <c r="B3867" t="s">
        <v>924</v>
      </c>
      <c r="C3867" s="10" t="str" cm="1">
        <f t="array" ref="C3867">IF(AND(A3867="2020-12", ISNA(MATCH(B3867, _xlfn._xlws.FILTER(B:B, A:A="2021-01"), 0))), "Left", "Ativo")</f>
        <v>Ativo</v>
      </c>
      <c r="D3867" s="10" t="str" cm="1">
        <f t="array" ref="D3867">IF(AND(A3867="2021-01", ISNA(MATCH(B3867, _xlfn._xlws.FILTER(B:B, A:A="2021-02"), 0))), "Left", "Ativo")</f>
        <v>Ativo</v>
      </c>
      <c r="E3867" s="10" t="str" cm="1">
        <f t="array" ref="E3867">IF(AND(A3867="2021-02", ISNA(MATCH(B3867, _xlfn._xlws.FILTER(B:B, A:A="2021-03"), 0))), "Left", "Ativo")</f>
        <v>Ativo</v>
      </c>
      <c r="F3867" s="12" t="str" cm="1">
        <f t="array" ref="F3867">IF(AND(A3867="2021-03", ISNA(MATCH(B3867, _xlfn._xlws.FILTER(B:B, A:A="2021-04"), 0))), "Left", "Ativo")</f>
        <v>Ativo</v>
      </c>
    </row>
    <row r="3868" spans="1:6" x14ac:dyDescent="0.25">
      <c r="A3868" t="s">
        <v>1531</v>
      </c>
      <c r="B3868" t="s">
        <v>925</v>
      </c>
      <c r="C3868" s="10" t="str" cm="1">
        <f t="array" ref="C3868">IF(AND(A3868="2020-12", ISNA(MATCH(B3868, _xlfn._xlws.FILTER(B:B, A:A="2021-01"), 0))), "Left", "Ativo")</f>
        <v>Ativo</v>
      </c>
      <c r="D3868" s="10" t="str" cm="1">
        <f t="array" ref="D3868">IF(AND(A3868="2021-01", ISNA(MATCH(B3868, _xlfn._xlws.FILTER(B:B, A:A="2021-02"), 0))), "Left", "Ativo")</f>
        <v>Ativo</v>
      </c>
      <c r="E3868" s="10" t="str" cm="1">
        <f t="array" ref="E3868">IF(AND(A3868="2021-02", ISNA(MATCH(B3868, _xlfn._xlws.FILTER(B:B, A:A="2021-03"), 0))), "Left", "Ativo")</f>
        <v>Ativo</v>
      </c>
      <c r="F3868" s="12" t="str" cm="1">
        <f t="array" ref="F3868">IF(AND(A3868="2021-03", ISNA(MATCH(B3868, _xlfn._xlws.FILTER(B:B, A:A="2021-04"), 0))), "Left", "Ativo")</f>
        <v>Ativo</v>
      </c>
    </row>
    <row r="3869" spans="1:6" x14ac:dyDescent="0.25">
      <c r="A3869" t="s">
        <v>1531</v>
      </c>
      <c r="B3869" t="s">
        <v>926</v>
      </c>
      <c r="C3869" s="10" t="str" cm="1">
        <f t="array" ref="C3869">IF(AND(A3869="2020-12", ISNA(MATCH(B3869, _xlfn._xlws.FILTER(B:B, A:A="2021-01"), 0))), "Left", "Ativo")</f>
        <v>Ativo</v>
      </c>
      <c r="D3869" s="10" t="str" cm="1">
        <f t="array" ref="D3869">IF(AND(A3869="2021-01", ISNA(MATCH(B3869, _xlfn._xlws.FILTER(B:B, A:A="2021-02"), 0))), "Left", "Ativo")</f>
        <v>Ativo</v>
      </c>
      <c r="E3869" s="10" t="str" cm="1">
        <f t="array" ref="E3869">IF(AND(A3869="2021-02", ISNA(MATCH(B3869, _xlfn._xlws.FILTER(B:B, A:A="2021-03"), 0))), "Left", "Ativo")</f>
        <v>Ativo</v>
      </c>
      <c r="F3869" s="12" t="str" cm="1">
        <f t="array" ref="F3869">IF(AND(A3869="2021-03", ISNA(MATCH(B3869, _xlfn._xlws.FILTER(B:B, A:A="2021-04"), 0))), "Left", "Ativo")</f>
        <v>Ativo</v>
      </c>
    </row>
    <row r="3870" spans="1:6" x14ac:dyDescent="0.25">
      <c r="A3870" t="s">
        <v>1531</v>
      </c>
      <c r="B3870" t="s">
        <v>927</v>
      </c>
      <c r="C3870" s="10" t="str" cm="1">
        <f t="array" ref="C3870">IF(AND(A3870="2020-12", ISNA(MATCH(B3870, _xlfn._xlws.FILTER(B:B, A:A="2021-01"), 0))), "Left", "Ativo")</f>
        <v>Ativo</v>
      </c>
      <c r="D3870" s="10" t="str" cm="1">
        <f t="array" ref="D3870">IF(AND(A3870="2021-01", ISNA(MATCH(B3870, _xlfn._xlws.FILTER(B:B, A:A="2021-02"), 0))), "Left", "Ativo")</f>
        <v>Ativo</v>
      </c>
      <c r="E3870" s="10" t="str" cm="1">
        <f t="array" ref="E3870">IF(AND(A3870="2021-02", ISNA(MATCH(B3870, _xlfn._xlws.FILTER(B:B, A:A="2021-03"), 0))), "Left", "Ativo")</f>
        <v>Ativo</v>
      </c>
      <c r="F3870" s="12" t="str" cm="1">
        <f t="array" ref="F3870">IF(AND(A3870="2021-03", ISNA(MATCH(B3870, _xlfn._xlws.FILTER(B:B, A:A="2021-04"), 0))), "Left", "Ativo")</f>
        <v>Ativo</v>
      </c>
    </row>
    <row r="3871" spans="1:6" x14ac:dyDescent="0.25">
      <c r="A3871" t="s">
        <v>1531</v>
      </c>
      <c r="B3871" t="s">
        <v>928</v>
      </c>
      <c r="C3871" s="10" t="str" cm="1">
        <f t="array" ref="C3871">IF(AND(A3871="2020-12", ISNA(MATCH(B3871, _xlfn._xlws.FILTER(B:B, A:A="2021-01"), 0))), "Left", "Ativo")</f>
        <v>Ativo</v>
      </c>
      <c r="D3871" s="10" t="str" cm="1">
        <f t="array" ref="D3871">IF(AND(A3871="2021-01", ISNA(MATCH(B3871, _xlfn._xlws.FILTER(B:B, A:A="2021-02"), 0))), "Left", "Ativo")</f>
        <v>Ativo</v>
      </c>
      <c r="E3871" s="10" t="str" cm="1">
        <f t="array" ref="E3871">IF(AND(A3871="2021-02", ISNA(MATCH(B3871, _xlfn._xlws.FILTER(B:B, A:A="2021-03"), 0))), "Left", "Ativo")</f>
        <v>Ativo</v>
      </c>
      <c r="F3871" s="12" t="str" cm="1">
        <f t="array" ref="F3871">IF(AND(A3871="2021-03", ISNA(MATCH(B3871, _xlfn._xlws.FILTER(B:B, A:A="2021-04"), 0))), "Left", "Ativo")</f>
        <v>Ativo</v>
      </c>
    </row>
    <row r="3872" spans="1:6" x14ac:dyDescent="0.25">
      <c r="A3872" t="s">
        <v>1531</v>
      </c>
      <c r="B3872" t="s">
        <v>929</v>
      </c>
      <c r="C3872" s="10" t="str" cm="1">
        <f t="array" ref="C3872">IF(AND(A3872="2020-12", ISNA(MATCH(B3872, _xlfn._xlws.FILTER(B:B, A:A="2021-01"), 0))), "Left", "Ativo")</f>
        <v>Ativo</v>
      </c>
      <c r="D3872" s="10" t="str" cm="1">
        <f t="array" ref="D3872">IF(AND(A3872="2021-01", ISNA(MATCH(B3872, _xlfn._xlws.FILTER(B:B, A:A="2021-02"), 0))), "Left", "Ativo")</f>
        <v>Ativo</v>
      </c>
      <c r="E3872" s="10" t="str" cm="1">
        <f t="array" ref="E3872">IF(AND(A3872="2021-02", ISNA(MATCH(B3872, _xlfn._xlws.FILTER(B:B, A:A="2021-03"), 0))), "Left", "Ativo")</f>
        <v>Ativo</v>
      </c>
      <c r="F3872" s="12" t="str" cm="1">
        <f t="array" ref="F3872">IF(AND(A3872="2021-03", ISNA(MATCH(B3872, _xlfn._xlws.FILTER(B:B, A:A="2021-04"), 0))), "Left", "Ativo")</f>
        <v>Ativo</v>
      </c>
    </row>
    <row r="3873" spans="1:6" x14ac:dyDescent="0.25">
      <c r="A3873" t="s">
        <v>1531</v>
      </c>
      <c r="B3873" t="s">
        <v>930</v>
      </c>
      <c r="C3873" s="10" t="str" cm="1">
        <f t="array" ref="C3873">IF(AND(A3873="2020-12", ISNA(MATCH(B3873, _xlfn._xlws.FILTER(B:B, A:A="2021-01"), 0))), "Left", "Ativo")</f>
        <v>Ativo</v>
      </c>
      <c r="D3873" s="10" t="str" cm="1">
        <f t="array" ref="D3873">IF(AND(A3873="2021-01", ISNA(MATCH(B3873, _xlfn._xlws.FILTER(B:B, A:A="2021-02"), 0))), "Left", "Ativo")</f>
        <v>Ativo</v>
      </c>
      <c r="E3873" s="10" t="str" cm="1">
        <f t="array" ref="E3873">IF(AND(A3873="2021-02", ISNA(MATCH(B3873, _xlfn._xlws.FILTER(B:B, A:A="2021-03"), 0))), "Left", "Ativo")</f>
        <v>Ativo</v>
      </c>
      <c r="F3873" s="12" t="str" cm="1">
        <f t="array" ref="F3873">IF(AND(A3873="2021-03", ISNA(MATCH(B3873, _xlfn._xlws.FILTER(B:B, A:A="2021-04"), 0))), "Left", "Ativo")</f>
        <v>Ativo</v>
      </c>
    </row>
    <row r="3874" spans="1:6" x14ac:dyDescent="0.25">
      <c r="A3874" t="s">
        <v>1531</v>
      </c>
      <c r="B3874" t="s">
        <v>931</v>
      </c>
      <c r="C3874" s="10" t="str" cm="1">
        <f t="array" ref="C3874">IF(AND(A3874="2020-12", ISNA(MATCH(B3874, _xlfn._xlws.FILTER(B:B, A:A="2021-01"), 0))), "Left", "Ativo")</f>
        <v>Ativo</v>
      </c>
      <c r="D3874" s="10" t="str" cm="1">
        <f t="array" ref="D3874">IF(AND(A3874="2021-01", ISNA(MATCH(B3874, _xlfn._xlws.FILTER(B:B, A:A="2021-02"), 0))), "Left", "Ativo")</f>
        <v>Ativo</v>
      </c>
      <c r="E3874" s="10" t="str" cm="1">
        <f t="array" ref="E3874">IF(AND(A3874="2021-02", ISNA(MATCH(B3874, _xlfn._xlws.FILTER(B:B, A:A="2021-03"), 0))), "Left", "Ativo")</f>
        <v>Ativo</v>
      </c>
      <c r="F3874" s="12" t="str" cm="1">
        <f t="array" ref="F3874">IF(AND(A3874="2021-03", ISNA(MATCH(B3874, _xlfn._xlws.FILTER(B:B, A:A="2021-04"), 0))), "Left", "Ativo")</f>
        <v>Ativo</v>
      </c>
    </row>
    <row r="3875" spans="1:6" x14ac:dyDescent="0.25">
      <c r="A3875" t="s">
        <v>1531</v>
      </c>
      <c r="B3875" t="s">
        <v>932</v>
      </c>
      <c r="C3875" s="10" t="str" cm="1">
        <f t="array" ref="C3875">IF(AND(A3875="2020-12", ISNA(MATCH(B3875, _xlfn._xlws.FILTER(B:B, A:A="2021-01"), 0))), "Left", "Ativo")</f>
        <v>Ativo</v>
      </c>
      <c r="D3875" s="10" t="str" cm="1">
        <f t="array" ref="D3875">IF(AND(A3875="2021-01", ISNA(MATCH(B3875, _xlfn._xlws.FILTER(B:B, A:A="2021-02"), 0))), "Left", "Ativo")</f>
        <v>Ativo</v>
      </c>
      <c r="E3875" s="10" t="str" cm="1">
        <f t="array" ref="E3875">IF(AND(A3875="2021-02", ISNA(MATCH(B3875, _xlfn._xlws.FILTER(B:B, A:A="2021-03"), 0))), "Left", "Ativo")</f>
        <v>Ativo</v>
      </c>
      <c r="F3875" s="12" t="str" cm="1">
        <f t="array" ref="F3875">IF(AND(A3875="2021-03", ISNA(MATCH(B3875, _xlfn._xlws.FILTER(B:B, A:A="2021-04"), 0))), "Left", "Ativo")</f>
        <v>Ativo</v>
      </c>
    </row>
    <row r="3876" spans="1:6" x14ac:dyDescent="0.25">
      <c r="A3876" t="s">
        <v>1531</v>
      </c>
      <c r="B3876" t="s">
        <v>933</v>
      </c>
      <c r="C3876" s="10" t="str" cm="1">
        <f t="array" ref="C3876">IF(AND(A3876="2020-12", ISNA(MATCH(B3876, _xlfn._xlws.FILTER(B:B, A:A="2021-01"), 0))), "Left", "Ativo")</f>
        <v>Ativo</v>
      </c>
      <c r="D3876" s="10" t="str" cm="1">
        <f t="array" ref="D3876">IF(AND(A3876="2021-01", ISNA(MATCH(B3876, _xlfn._xlws.FILTER(B:B, A:A="2021-02"), 0))), "Left", "Ativo")</f>
        <v>Ativo</v>
      </c>
      <c r="E3876" s="10" t="str" cm="1">
        <f t="array" ref="E3876">IF(AND(A3876="2021-02", ISNA(MATCH(B3876, _xlfn._xlws.FILTER(B:B, A:A="2021-03"), 0))), "Left", "Ativo")</f>
        <v>Ativo</v>
      </c>
      <c r="F3876" s="12" t="str" cm="1">
        <f t="array" ref="F3876">IF(AND(A3876="2021-03", ISNA(MATCH(B3876, _xlfn._xlws.FILTER(B:B, A:A="2021-04"), 0))), "Left", "Ativo")</f>
        <v>Ativo</v>
      </c>
    </row>
    <row r="3877" spans="1:6" x14ac:dyDescent="0.25">
      <c r="A3877" t="s">
        <v>1531</v>
      </c>
      <c r="B3877" t="s">
        <v>934</v>
      </c>
      <c r="C3877" s="10" t="str" cm="1">
        <f t="array" ref="C3877">IF(AND(A3877="2020-12", ISNA(MATCH(B3877, _xlfn._xlws.FILTER(B:B, A:A="2021-01"), 0))), "Left", "Ativo")</f>
        <v>Ativo</v>
      </c>
      <c r="D3877" s="10" t="str" cm="1">
        <f t="array" ref="D3877">IF(AND(A3877="2021-01", ISNA(MATCH(B3877, _xlfn._xlws.FILTER(B:B, A:A="2021-02"), 0))), "Left", "Ativo")</f>
        <v>Ativo</v>
      </c>
      <c r="E3877" s="10" t="str" cm="1">
        <f t="array" ref="E3877">IF(AND(A3877="2021-02", ISNA(MATCH(B3877, _xlfn._xlws.FILTER(B:B, A:A="2021-03"), 0))), "Left", "Ativo")</f>
        <v>Ativo</v>
      </c>
      <c r="F3877" s="12" t="str" cm="1">
        <f t="array" ref="F3877">IF(AND(A3877="2021-03", ISNA(MATCH(B3877, _xlfn._xlws.FILTER(B:B, A:A="2021-04"), 0))), "Left", "Ativo")</f>
        <v>Ativo</v>
      </c>
    </row>
    <row r="3878" spans="1:6" x14ac:dyDescent="0.25">
      <c r="A3878" t="s">
        <v>1531</v>
      </c>
      <c r="B3878" t="s">
        <v>935</v>
      </c>
      <c r="C3878" s="10" t="str" cm="1">
        <f t="array" ref="C3878">IF(AND(A3878="2020-12", ISNA(MATCH(B3878, _xlfn._xlws.FILTER(B:B, A:A="2021-01"), 0))), "Left", "Ativo")</f>
        <v>Ativo</v>
      </c>
      <c r="D3878" s="10" t="str" cm="1">
        <f t="array" ref="D3878">IF(AND(A3878="2021-01", ISNA(MATCH(B3878, _xlfn._xlws.FILTER(B:B, A:A="2021-02"), 0))), "Left", "Ativo")</f>
        <v>Ativo</v>
      </c>
      <c r="E3878" s="10" t="str" cm="1">
        <f t="array" ref="E3878">IF(AND(A3878="2021-02", ISNA(MATCH(B3878, _xlfn._xlws.FILTER(B:B, A:A="2021-03"), 0))), "Left", "Ativo")</f>
        <v>Ativo</v>
      </c>
      <c r="F3878" s="12" t="str" cm="1">
        <f t="array" ref="F3878">IF(AND(A3878="2021-03", ISNA(MATCH(B3878, _xlfn._xlws.FILTER(B:B, A:A="2021-04"), 0))), "Left", "Ativo")</f>
        <v>Ativo</v>
      </c>
    </row>
    <row r="3879" spans="1:6" x14ac:dyDescent="0.25">
      <c r="A3879" t="s">
        <v>1531</v>
      </c>
      <c r="B3879" t="s">
        <v>936</v>
      </c>
      <c r="C3879" s="10" t="str" cm="1">
        <f t="array" ref="C3879">IF(AND(A3879="2020-12", ISNA(MATCH(B3879, _xlfn._xlws.FILTER(B:B, A:A="2021-01"), 0))), "Left", "Ativo")</f>
        <v>Ativo</v>
      </c>
      <c r="D3879" s="10" t="str" cm="1">
        <f t="array" ref="D3879">IF(AND(A3879="2021-01", ISNA(MATCH(B3879, _xlfn._xlws.FILTER(B:B, A:A="2021-02"), 0))), "Left", "Ativo")</f>
        <v>Ativo</v>
      </c>
      <c r="E3879" s="10" t="str" cm="1">
        <f t="array" ref="E3879">IF(AND(A3879="2021-02", ISNA(MATCH(B3879, _xlfn._xlws.FILTER(B:B, A:A="2021-03"), 0))), "Left", "Ativo")</f>
        <v>Ativo</v>
      </c>
      <c r="F3879" s="12" t="str" cm="1">
        <f t="array" ref="F3879">IF(AND(A3879="2021-03", ISNA(MATCH(B3879, _xlfn._xlws.FILTER(B:B, A:A="2021-04"), 0))), "Left", "Ativo")</f>
        <v>Ativo</v>
      </c>
    </row>
    <row r="3880" spans="1:6" x14ac:dyDescent="0.25">
      <c r="A3880" t="s">
        <v>1531</v>
      </c>
      <c r="B3880" t="s">
        <v>937</v>
      </c>
      <c r="C3880" s="10" t="str" cm="1">
        <f t="array" ref="C3880">IF(AND(A3880="2020-12", ISNA(MATCH(B3880, _xlfn._xlws.FILTER(B:B, A:A="2021-01"), 0))), "Left", "Ativo")</f>
        <v>Ativo</v>
      </c>
      <c r="D3880" s="10" t="str" cm="1">
        <f t="array" ref="D3880">IF(AND(A3880="2021-01", ISNA(MATCH(B3880, _xlfn._xlws.FILTER(B:B, A:A="2021-02"), 0))), "Left", "Ativo")</f>
        <v>Ativo</v>
      </c>
      <c r="E3880" s="10" t="str" cm="1">
        <f t="array" ref="E3880">IF(AND(A3880="2021-02", ISNA(MATCH(B3880, _xlfn._xlws.FILTER(B:B, A:A="2021-03"), 0))), "Left", "Ativo")</f>
        <v>Ativo</v>
      </c>
      <c r="F3880" s="12" t="str" cm="1">
        <f t="array" ref="F3880">IF(AND(A3880="2021-03", ISNA(MATCH(B3880, _xlfn._xlws.FILTER(B:B, A:A="2021-04"), 0))), "Left", "Ativo")</f>
        <v>Ativo</v>
      </c>
    </row>
    <row r="3881" spans="1:6" x14ac:dyDescent="0.25">
      <c r="A3881" t="s">
        <v>1531</v>
      </c>
      <c r="B3881" t="s">
        <v>938</v>
      </c>
      <c r="C3881" s="10" t="str" cm="1">
        <f t="array" ref="C3881">IF(AND(A3881="2020-12", ISNA(MATCH(B3881, _xlfn._xlws.FILTER(B:B, A:A="2021-01"), 0))), "Left", "Ativo")</f>
        <v>Ativo</v>
      </c>
      <c r="D3881" s="10" t="str" cm="1">
        <f t="array" ref="D3881">IF(AND(A3881="2021-01", ISNA(MATCH(B3881, _xlfn._xlws.FILTER(B:B, A:A="2021-02"), 0))), "Left", "Ativo")</f>
        <v>Ativo</v>
      </c>
      <c r="E3881" s="10" t="str" cm="1">
        <f t="array" ref="E3881">IF(AND(A3881="2021-02", ISNA(MATCH(B3881, _xlfn._xlws.FILTER(B:B, A:A="2021-03"), 0))), "Left", "Ativo")</f>
        <v>Ativo</v>
      </c>
      <c r="F3881" s="12" t="str" cm="1">
        <f t="array" ref="F3881">IF(AND(A3881="2021-03", ISNA(MATCH(B3881, _xlfn._xlws.FILTER(B:B, A:A="2021-04"), 0))), "Left", "Ativo")</f>
        <v>Ativo</v>
      </c>
    </row>
    <row r="3882" spans="1:6" x14ac:dyDescent="0.25">
      <c r="A3882" t="s">
        <v>1531</v>
      </c>
      <c r="B3882" t="s">
        <v>939</v>
      </c>
      <c r="C3882" s="10" t="str" cm="1">
        <f t="array" ref="C3882">IF(AND(A3882="2020-12", ISNA(MATCH(B3882, _xlfn._xlws.FILTER(B:B, A:A="2021-01"), 0))), "Left", "Ativo")</f>
        <v>Ativo</v>
      </c>
      <c r="D3882" s="10" t="str" cm="1">
        <f t="array" ref="D3882">IF(AND(A3882="2021-01", ISNA(MATCH(B3882, _xlfn._xlws.FILTER(B:B, A:A="2021-02"), 0))), "Left", "Ativo")</f>
        <v>Ativo</v>
      </c>
      <c r="E3882" s="10" t="str" cm="1">
        <f t="array" ref="E3882">IF(AND(A3882="2021-02", ISNA(MATCH(B3882, _xlfn._xlws.FILTER(B:B, A:A="2021-03"), 0))), "Left", "Ativo")</f>
        <v>Ativo</v>
      </c>
      <c r="F3882" s="12" t="str" cm="1">
        <f t="array" ref="F3882">IF(AND(A3882="2021-03", ISNA(MATCH(B3882, _xlfn._xlws.FILTER(B:B, A:A="2021-04"), 0))), "Left", "Ativo")</f>
        <v>Ativo</v>
      </c>
    </row>
    <row r="3883" spans="1:6" x14ac:dyDescent="0.25">
      <c r="A3883" t="s">
        <v>1531</v>
      </c>
      <c r="B3883" t="s">
        <v>940</v>
      </c>
      <c r="C3883" s="10" t="str" cm="1">
        <f t="array" ref="C3883">IF(AND(A3883="2020-12", ISNA(MATCH(B3883, _xlfn._xlws.FILTER(B:B, A:A="2021-01"), 0))), "Left", "Ativo")</f>
        <v>Ativo</v>
      </c>
      <c r="D3883" s="10" t="str" cm="1">
        <f t="array" ref="D3883">IF(AND(A3883="2021-01", ISNA(MATCH(B3883, _xlfn._xlws.FILTER(B:B, A:A="2021-02"), 0))), "Left", "Ativo")</f>
        <v>Ativo</v>
      </c>
      <c r="E3883" s="10" t="str" cm="1">
        <f t="array" ref="E3883">IF(AND(A3883="2021-02", ISNA(MATCH(B3883, _xlfn._xlws.FILTER(B:B, A:A="2021-03"), 0))), "Left", "Ativo")</f>
        <v>Ativo</v>
      </c>
      <c r="F3883" s="12" t="str" cm="1">
        <f t="array" ref="F3883">IF(AND(A3883="2021-03", ISNA(MATCH(B3883, _xlfn._xlws.FILTER(B:B, A:A="2021-04"), 0))), "Left", "Ativo")</f>
        <v>Ativo</v>
      </c>
    </row>
    <row r="3884" spans="1:6" x14ac:dyDescent="0.25">
      <c r="A3884" t="s">
        <v>1531</v>
      </c>
      <c r="B3884" t="s">
        <v>1070</v>
      </c>
      <c r="C3884" s="10" t="str" cm="1">
        <f t="array" ref="C3884">IF(AND(A3884="2020-12", ISNA(MATCH(B3884, _xlfn._xlws.FILTER(B:B, A:A="2021-01"), 0))), "Left", "Ativo")</f>
        <v>Ativo</v>
      </c>
      <c r="D3884" s="10" t="str" cm="1">
        <f t="array" ref="D3884">IF(AND(A3884="2021-01", ISNA(MATCH(B3884, _xlfn._xlws.FILTER(B:B, A:A="2021-02"), 0))), "Left", "Ativo")</f>
        <v>Ativo</v>
      </c>
      <c r="E3884" s="10" t="str" cm="1">
        <f t="array" ref="E3884">IF(AND(A3884="2021-02", ISNA(MATCH(B3884, _xlfn._xlws.FILTER(B:B, A:A="2021-03"), 0))), "Left", "Ativo")</f>
        <v>Ativo</v>
      </c>
      <c r="F3884" s="12" t="str" cm="1">
        <f t="array" ref="F3884">IF(AND(A3884="2021-03", ISNA(MATCH(B3884, _xlfn._xlws.FILTER(B:B, A:A="2021-04"), 0))), "Left", "Ativo")</f>
        <v>Ativo</v>
      </c>
    </row>
    <row r="3885" spans="1:6" x14ac:dyDescent="0.25">
      <c r="A3885" t="s">
        <v>1531</v>
      </c>
      <c r="B3885" t="s">
        <v>1071</v>
      </c>
      <c r="C3885" s="10" t="str" cm="1">
        <f t="array" ref="C3885">IF(AND(A3885="2020-12", ISNA(MATCH(B3885, _xlfn._xlws.FILTER(B:B, A:A="2021-01"), 0))), "Left", "Ativo")</f>
        <v>Ativo</v>
      </c>
      <c r="D3885" s="10" t="str" cm="1">
        <f t="array" ref="D3885">IF(AND(A3885="2021-01", ISNA(MATCH(B3885, _xlfn._xlws.FILTER(B:B, A:A="2021-02"), 0))), "Left", "Ativo")</f>
        <v>Ativo</v>
      </c>
      <c r="E3885" s="10" t="str" cm="1">
        <f t="array" ref="E3885">IF(AND(A3885="2021-02", ISNA(MATCH(B3885, _xlfn._xlws.FILTER(B:B, A:A="2021-03"), 0))), "Left", "Ativo")</f>
        <v>Ativo</v>
      </c>
      <c r="F3885" s="12" t="str" cm="1">
        <f t="array" ref="F3885">IF(AND(A3885="2021-03", ISNA(MATCH(B3885, _xlfn._xlws.FILTER(B:B, A:A="2021-04"), 0))), "Left", "Ativo")</f>
        <v>Ativo</v>
      </c>
    </row>
    <row r="3886" spans="1:6" x14ac:dyDescent="0.25">
      <c r="A3886" t="s">
        <v>1531</v>
      </c>
      <c r="B3886" t="s">
        <v>1072</v>
      </c>
      <c r="C3886" s="10" t="str" cm="1">
        <f t="array" ref="C3886">IF(AND(A3886="2020-12", ISNA(MATCH(B3886, _xlfn._xlws.FILTER(B:B, A:A="2021-01"), 0))), "Left", "Ativo")</f>
        <v>Ativo</v>
      </c>
      <c r="D3886" s="10" t="str" cm="1">
        <f t="array" ref="D3886">IF(AND(A3886="2021-01", ISNA(MATCH(B3886, _xlfn._xlws.FILTER(B:B, A:A="2021-02"), 0))), "Left", "Ativo")</f>
        <v>Ativo</v>
      </c>
      <c r="E3886" s="10" t="str" cm="1">
        <f t="array" ref="E3886">IF(AND(A3886="2021-02", ISNA(MATCH(B3886, _xlfn._xlws.FILTER(B:B, A:A="2021-03"), 0))), "Left", "Ativo")</f>
        <v>Ativo</v>
      </c>
      <c r="F3886" s="12" t="str" cm="1">
        <f t="array" ref="F3886">IF(AND(A3886="2021-03", ISNA(MATCH(B3886, _xlfn._xlws.FILTER(B:B, A:A="2021-04"), 0))), "Left", "Ativo")</f>
        <v>Ativo</v>
      </c>
    </row>
    <row r="3887" spans="1:6" x14ac:dyDescent="0.25">
      <c r="A3887" t="s">
        <v>1531</v>
      </c>
      <c r="B3887" t="s">
        <v>1073</v>
      </c>
      <c r="C3887" s="10" t="str" cm="1">
        <f t="array" ref="C3887">IF(AND(A3887="2020-12", ISNA(MATCH(B3887, _xlfn._xlws.FILTER(B:B, A:A="2021-01"), 0))), "Left", "Ativo")</f>
        <v>Ativo</v>
      </c>
      <c r="D3887" s="10" t="str" cm="1">
        <f t="array" ref="D3887">IF(AND(A3887="2021-01", ISNA(MATCH(B3887, _xlfn._xlws.FILTER(B:B, A:A="2021-02"), 0))), "Left", "Ativo")</f>
        <v>Ativo</v>
      </c>
      <c r="E3887" s="10" t="str" cm="1">
        <f t="array" ref="E3887">IF(AND(A3887="2021-02", ISNA(MATCH(B3887, _xlfn._xlws.FILTER(B:B, A:A="2021-03"), 0))), "Left", "Ativo")</f>
        <v>Ativo</v>
      </c>
      <c r="F3887" s="12" t="str" cm="1">
        <f t="array" ref="F3887">IF(AND(A3887="2021-03", ISNA(MATCH(B3887, _xlfn._xlws.FILTER(B:B, A:A="2021-04"), 0))), "Left", "Ativo")</f>
        <v>Ativo</v>
      </c>
    </row>
    <row r="3888" spans="1:6" x14ac:dyDescent="0.25">
      <c r="A3888" t="s">
        <v>1531</v>
      </c>
      <c r="B3888" t="s">
        <v>1074</v>
      </c>
      <c r="C3888" s="10" t="str" cm="1">
        <f t="array" ref="C3888">IF(AND(A3888="2020-12", ISNA(MATCH(B3888, _xlfn._xlws.FILTER(B:B, A:A="2021-01"), 0))), "Left", "Ativo")</f>
        <v>Ativo</v>
      </c>
      <c r="D3888" s="10" t="str" cm="1">
        <f t="array" ref="D3888">IF(AND(A3888="2021-01", ISNA(MATCH(B3888, _xlfn._xlws.FILTER(B:B, A:A="2021-02"), 0))), "Left", "Ativo")</f>
        <v>Ativo</v>
      </c>
      <c r="E3888" s="10" t="str" cm="1">
        <f t="array" ref="E3888">IF(AND(A3888="2021-02", ISNA(MATCH(B3888, _xlfn._xlws.FILTER(B:B, A:A="2021-03"), 0))), "Left", "Ativo")</f>
        <v>Ativo</v>
      </c>
      <c r="F3888" s="12" t="str" cm="1">
        <f t="array" ref="F3888">IF(AND(A3888="2021-03", ISNA(MATCH(B3888, _xlfn._xlws.FILTER(B:B, A:A="2021-04"), 0))), "Left", "Ativo")</f>
        <v>Ativo</v>
      </c>
    </row>
    <row r="3889" spans="1:6" x14ac:dyDescent="0.25">
      <c r="A3889" t="s">
        <v>1531</v>
      </c>
      <c r="B3889" t="s">
        <v>1075</v>
      </c>
      <c r="C3889" s="10" t="str" cm="1">
        <f t="array" ref="C3889">IF(AND(A3889="2020-12", ISNA(MATCH(B3889, _xlfn._xlws.FILTER(B:B, A:A="2021-01"), 0))), "Left", "Ativo")</f>
        <v>Ativo</v>
      </c>
      <c r="D3889" s="10" t="str" cm="1">
        <f t="array" ref="D3889">IF(AND(A3889="2021-01", ISNA(MATCH(B3889, _xlfn._xlws.FILTER(B:B, A:A="2021-02"), 0))), "Left", "Ativo")</f>
        <v>Ativo</v>
      </c>
      <c r="E3889" s="10" t="str" cm="1">
        <f t="array" ref="E3889">IF(AND(A3889="2021-02", ISNA(MATCH(B3889, _xlfn._xlws.FILTER(B:B, A:A="2021-03"), 0))), "Left", "Ativo")</f>
        <v>Ativo</v>
      </c>
      <c r="F3889" s="12" t="str" cm="1">
        <f t="array" ref="F3889">IF(AND(A3889="2021-03", ISNA(MATCH(B3889, _xlfn._xlws.FILTER(B:B, A:A="2021-04"), 0))), "Left", "Ativo")</f>
        <v>Ativo</v>
      </c>
    </row>
    <row r="3890" spans="1:6" x14ac:dyDescent="0.25">
      <c r="A3890" t="s">
        <v>1531</v>
      </c>
      <c r="B3890" t="s">
        <v>1076</v>
      </c>
      <c r="C3890" s="10" t="str" cm="1">
        <f t="array" ref="C3890">IF(AND(A3890="2020-12", ISNA(MATCH(B3890, _xlfn._xlws.FILTER(B:B, A:A="2021-01"), 0))), "Left", "Ativo")</f>
        <v>Ativo</v>
      </c>
      <c r="D3890" s="10" t="str" cm="1">
        <f t="array" ref="D3890">IF(AND(A3890="2021-01", ISNA(MATCH(B3890, _xlfn._xlws.FILTER(B:B, A:A="2021-02"), 0))), "Left", "Ativo")</f>
        <v>Ativo</v>
      </c>
      <c r="E3890" s="10" t="str" cm="1">
        <f t="array" ref="E3890">IF(AND(A3890="2021-02", ISNA(MATCH(B3890, _xlfn._xlws.FILTER(B:B, A:A="2021-03"), 0))), "Left", "Ativo")</f>
        <v>Ativo</v>
      </c>
      <c r="F3890" s="12" t="str" cm="1">
        <f t="array" ref="F3890">IF(AND(A3890="2021-03", ISNA(MATCH(B3890, _xlfn._xlws.FILTER(B:B, A:A="2021-04"), 0))), "Left", "Ativo")</f>
        <v>Ativo</v>
      </c>
    </row>
    <row r="3891" spans="1:6" x14ac:dyDescent="0.25">
      <c r="A3891" t="s">
        <v>1531</v>
      </c>
      <c r="B3891" t="s">
        <v>1077</v>
      </c>
      <c r="C3891" s="10" t="str" cm="1">
        <f t="array" ref="C3891">IF(AND(A3891="2020-12", ISNA(MATCH(B3891, _xlfn._xlws.FILTER(B:B, A:A="2021-01"), 0))), "Left", "Ativo")</f>
        <v>Ativo</v>
      </c>
      <c r="D3891" s="10" t="str" cm="1">
        <f t="array" ref="D3891">IF(AND(A3891="2021-01", ISNA(MATCH(B3891, _xlfn._xlws.FILTER(B:B, A:A="2021-02"), 0))), "Left", "Ativo")</f>
        <v>Ativo</v>
      </c>
      <c r="E3891" s="10" t="str" cm="1">
        <f t="array" ref="E3891">IF(AND(A3891="2021-02", ISNA(MATCH(B3891, _xlfn._xlws.FILTER(B:B, A:A="2021-03"), 0))), "Left", "Ativo")</f>
        <v>Ativo</v>
      </c>
      <c r="F3891" s="12" t="str" cm="1">
        <f t="array" ref="F3891">IF(AND(A3891="2021-03", ISNA(MATCH(B3891, _xlfn._xlws.FILTER(B:B, A:A="2021-04"), 0))), "Left", "Ativo")</f>
        <v>Ativo</v>
      </c>
    </row>
    <row r="3892" spans="1:6" x14ac:dyDescent="0.25">
      <c r="A3892" t="s">
        <v>1531</v>
      </c>
      <c r="B3892" t="s">
        <v>1078</v>
      </c>
      <c r="C3892" s="10" t="str" cm="1">
        <f t="array" ref="C3892">IF(AND(A3892="2020-12", ISNA(MATCH(B3892, _xlfn._xlws.FILTER(B:B, A:A="2021-01"), 0))), "Left", "Ativo")</f>
        <v>Ativo</v>
      </c>
      <c r="D3892" s="10" t="str" cm="1">
        <f t="array" ref="D3892">IF(AND(A3892="2021-01", ISNA(MATCH(B3892, _xlfn._xlws.FILTER(B:B, A:A="2021-02"), 0))), "Left", "Ativo")</f>
        <v>Ativo</v>
      </c>
      <c r="E3892" s="10" t="str" cm="1">
        <f t="array" ref="E3892">IF(AND(A3892="2021-02", ISNA(MATCH(B3892, _xlfn._xlws.FILTER(B:B, A:A="2021-03"), 0))), "Left", "Ativo")</f>
        <v>Ativo</v>
      </c>
      <c r="F3892" s="12" t="str" cm="1">
        <f t="array" ref="F3892">IF(AND(A3892="2021-03", ISNA(MATCH(B3892, _xlfn._xlws.FILTER(B:B, A:A="2021-04"), 0))), "Left", "Ativo")</f>
        <v>Ativo</v>
      </c>
    </row>
    <row r="3893" spans="1:6" x14ac:dyDescent="0.25">
      <c r="A3893" t="s">
        <v>1531</v>
      </c>
      <c r="B3893" t="s">
        <v>1079</v>
      </c>
      <c r="C3893" s="10" t="str" cm="1">
        <f t="array" ref="C3893">IF(AND(A3893="2020-12", ISNA(MATCH(B3893, _xlfn._xlws.FILTER(B:B, A:A="2021-01"), 0))), "Left", "Ativo")</f>
        <v>Ativo</v>
      </c>
      <c r="D3893" s="10" t="str" cm="1">
        <f t="array" ref="D3893">IF(AND(A3893="2021-01", ISNA(MATCH(B3893, _xlfn._xlws.FILTER(B:B, A:A="2021-02"), 0))), "Left", "Ativo")</f>
        <v>Ativo</v>
      </c>
      <c r="E3893" s="10" t="str" cm="1">
        <f t="array" ref="E3893">IF(AND(A3893="2021-02", ISNA(MATCH(B3893, _xlfn._xlws.FILTER(B:B, A:A="2021-03"), 0))), "Left", "Ativo")</f>
        <v>Ativo</v>
      </c>
      <c r="F3893" s="12" t="str" cm="1">
        <f t="array" ref="F3893">IF(AND(A3893="2021-03", ISNA(MATCH(B3893, _xlfn._xlws.FILTER(B:B, A:A="2021-04"), 0))), "Left", "Ativo")</f>
        <v>Ativo</v>
      </c>
    </row>
    <row r="3894" spans="1:6" x14ac:dyDescent="0.25">
      <c r="A3894" t="s">
        <v>1531</v>
      </c>
      <c r="B3894" t="s">
        <v>1080</v>
      </c>
      <c r="C3894" s="10" t="str" cm="1">
        <f t="array" ref="C3894">IF(AND(A3894="2020-12", ISNA(MATCH(B3894, _xlfn._xlws.FILTER(B:B, A:A="2021-01"), 0))), "Left", "Ativo")</f>
        <v>Ativo</v>
      </c>
      <c r="D3894" s="10" t="str" cm="1">
        <f t="array" ref="D3894">IF(AND(A3894="2021-01", ISNA(MATCH(B3894, _xlfn._xlws.FILTER(B:B, A:A="2021-02"), 0))), "Left", "Ativo")</f>
        <v>Ativo</v>
      </c>
      <c r="E3894" s="10" t="str" cm="1">
        <f t="array" ref="E3894">IF(AND(A3894="2021-02", ISNA(MATCH(B3894, _xlfn._xlws.FILTER(B:B, A:A="2021-03"), 0))), "Left", "Ativo")</f>
        <v>Ativo</v>
      </c>
      <c r="F3894" s="12" t="str" cm="1">
        <f t="array" ref="F3894">IF(AND(A3894="2021-03", ISNA(MATCH(B3894, _xlfn._xlws.FILTER(B:B, A:A="2021-04"), 0))), "Left", "Ativo")</f>
        <v>Ativo</v>
      </c>
    </row>
    <row r="3895" spans="1:6" x14ac:dyDescent="0.25">
      <c r="A3895" t="s">
        <v>1531</v>
      </c>
      <c r="B3895" t="s">
        <v>1081</v>
      </c>
      <c r="C3895" s="10" t="str" cm="1">
        <f t="array" ref="C3895">IF(AND(A3895="2020-12", ISNA(MATCH(B3895, _xlfn._xlws.FILTER(B:B, A:A="2021-01"), 0))), "Left", "Ativo")</f>
        <v>Ativo</v>
      </c>
      <c r="D3895" s="10" t="str" cm="1">
        <f t="array" ref="D3895">IF(AND(A3895="2021-01", ISNA(MATCH(B3895, _xlfn._xlws.FILTER(B:B, A:A="2021-02"), 0))), "Left", "Ativo")</f>
        <v>Ativo</v>
      </c>
      <c r="E3895" s="10" t="str" cm="1">
        <f t="array" ref="E3895">IF(AND(A3895="2021-02", ISNA(MATCH(B3895, _xlfn._xlws.FILTER(B:B, A:A="2021-03"), 0))), "Left", "Ativo")</f>
        <v>Ativo</v>
      </c>
      <c r="F3895" s="12" t="str" cm="1">
        <f t="array" ref="F3895">IF(AND(A3895="2021-03", ISNA(MATCH(B3895, _xlfn._xlws.FILTER(B:B, A:A="2021-04"), 0))), "Left", "Ativo")</f>
        <v>Ativo</v>
      </c>
    </row>
    <row r="3896" spans="1:6" x14ac:dyDescent="0.25">
      <c r="A3896" t="s">
        <v>1531</v>
      </c>
      <c r="B3896" t="s">
        <v>1082</v>
      </c>
      <c r="C3896" s="10" t="str" cm="1">
        <f t="array" ref="C3896">IF(AND(A3896="2020-12", ISNA(MATCH(B3896, _xlfn._xlws.FILTER(B:B, A:A="2021-01"), 0))), "Left", "Ativo")</f>
        <v>Ativo</v>
      </c>
      <c r="D3896" s="10" t="str" cm="1">
        <f t="array" ref="D3896">IF(AND(A3896="2021-01", ISNA(MATCH(B3896, _xlfn._xlws.FILTER(B:B, A:A="2021-02"), 0))), "Left", "Ativo")</f>
        <v>Ativo</v>
      </c>
      <c r="E3896" s="10" t="str" cm="1">
        <f t="array" ref="E3896">IF(AND(A3896="2021-02", ISNA(MATCH(B3896, _xlfn._xlws.FILTER(B:B, A:A="2021-03"), 0))), "Left", "Ativo")</f>
        <v>Ativo</v>
      </c>
      <c r="F3896" s="12" t="str" cm="1">
        <f t="array" ref="F3896">IF(AND(A3896="2021-03", ISNA(MATCH(B3896, _xlfn._xlws.FILTER(B:B, A:A="2021-04"), 0))), "Left", "Ativo")</f>
        <v>Ativo</v>
      </c>
    </row>
    <row r="3897" spans="1:6" x14ac:dyDescent="0.25">
      <c r="A3897" t="s">
        <v>1531</v>
      </c>
      <c r="B3897" t="s">
        <v>1083</v>
      </c>
      <c r="C3897" s="10" t="str" cm="1">
        <f t="array" ref="C3897">IF(AND(A3897="2020-12", ISNA(MATCH(B3897, _xlfn._xlws.FILTER(B:B, A:A="2021-01"), 0))), "Left", "Ativo")</f>
        <v>Ativo</v>
      </c>
      <c r="D3897" s="10" t="str" cm="1">
        <f t="array" ref="D3897">IF(AND(A3897="2021-01", ISNA(MATCH(B3897, _xlfn._xlws.FILTER(B:B, A:A="2021-02"), 0))), "Left", "Ativo")</f>
        <v>Ativo</v>
      </c>
      <c r="E3897" s="10" t="str" cm="1">
        <f t="array" ref="E3897">IF(AND(A3897="2021-02", ISNA(MATCH(B3897, _xlfn._xlws.FILTER(B:B, A:A="2021-03"), 0))), "Left", "Ativo")</f>
        <v>Ativo</v>
      </c>
      <c r="F3897" s="12" t="str" cm="1">
        <f t="array" ref="F3897">IF(AND(A3897="2021-03", ISNA(MATCH(B3897, _xlfn._xlws.FILTER(B:B, A:A="2021-04"), 0))), "Left", "Ativo")</f>
        <v>Ativo</v>
      </c>
    </row>
    <row r="3898" spans="1:6" x14ac:dyDescent="0.25">
      <c r="A3898" t="s">
        <v>1531</v>
      </c>
      <c r="B3898" t="s">
        <v>1084</v>
      </c>
      <c r="C3898" s="10" t="str" cm="1">
        <f t="array" ref="C3898">IF(AND(A3898="2020-12", ISNA(MATCH(B3898, _xlfn._xlws.FILTER(B:B, A:A="2021-01"), 0))), "Left", "Ativo")</f>
        <v>Ativo</v>
      </c>
      <c r="D3898" s="10" t="str" cm="1">
        <f t="array" ref="D3898">IF(AND(A3898="2021-01", ISNA(MATCH(B3898, _xlfn._xlws.FILTER(B:B, A:A="2021-02"), 0))), "Left", "Ativo")</f>
        <v>Ativo</v>
      </c>
      <c r="E3898" s="10" t="str" cm="1">
        <f t="array" ref="E3898">IF(AND(A3898="2021-02", ISNA(MATCH(B3898, _xlfn._xlws.FILTER(B:B, A:A="2021-03"), 0))), "Left", "Ativo")</f>
        <v>Ativo</v>
      </c>
      <c r="F3898" s="12" t="str" cm="1">
        <f t="array" ref="F3898">IF(AND(A3898="2021-03", ISNA(MATCH(B3898, _xlfn._xlws.FILTER(B:B, A:A="2021-04"), 0))), "Left", "Ativo")</f>
        <v>Ativo</v>
      </c>
    </row>
    <row r="3899" spans="1:6" x14ac:dyDescent="0.25">
      <c r="A3899" t="s">
        <v>1531</v>
      </c>
      <c r="B3899" t="s">
        <v>1085</v>
      </c>
      <c r="C3899" s="10" t="str" cm="1">
        <f t="array" ref="C3899">IF(AND(A3899="2020-12", ISNA(MATCH(B3899, _xlfn._xlws.FILTER(B:B, A:A="2021-01"), 0))), "Left", "Ativo")</f>
        <v>Ativo</v>
      </c>
      <c r="D3899" s="10" t="str" cm="1">
        <f t="array" ref="D3899">IF(AND(A3899="2021-01", ISNA(MATCH(B3899, _xlfn._xlws.FILTER(B:B, A:A="2021-02"), 0))), "Left", "Ativo")</f>
        <v>Ativo</v>
      </c>
      <c r="E3899" s="10" t="str" cm="1">
        <f t="array" ref="E3899">IF(AND(A3899="2021-02", ISNA(MATCH(B3899, _xlfn._xlws.FILTER(B:B, A:A="2021-03"), 0))), "Left", "Ativo")</f>
        <v>Ativo</v>
      </c>
      <c r="F3899" s="12" t="str" cm="1">
        <f t="array" ref="F3899">IF(AND(A3899="2021-03", ISNA(MATCH(B3899, _xlfn._xlws.FILTER(B:B, A:A="2021-04"), 0))), "Left", "Ativo")</f>
        <v>Ativo</v>
      </c>
    </row>
    <row r="3900" spans="1:6" x14ac:dyDescent="0.25">
      <c r="A3900" t="s">
        <v>1531</v>
      </c>
      <c r="B3900" t="s">
        <v>1086</v>
      </c>
      <c r="C3900" s="10" t="str" cm="1">
        <f t="array" ref="C3900">IF(AND(A3900="2020-12", ISNA(MATCH(B3900, _xlfn._xlws.FILTER(B:B, A:A="2021-01"), 0))), "Left", "Ativo")</f>
        <v>Ativo</v>
      </c>
      <c r="D3900" s="10" t="str" cm="1">
        <f t="array" ref="D3900">IF(AND(A3900="2021-01", ISNA(MATCH(B3900, _xlfn._xlws.FILTER(B:B, A:A="2021-02"), 0))), "Left", "Ativo")</f>
        <v>Ativo</v>
      </c>
      <c r="E3900" s="10" t="str" cm="1">
        <f t="array" ref="E3900">IF(AND(A3900="2021-02", ISNA(MATCH(B3900, _xlfn._xlws.FILTER(B:B, A:A="2021-03"), 0))), "Left", "Ativo")</f>
        <v>Ativo</v>
      </c>
      <c r="F3900" s="12" t="str" cm="1">
        <f t="array" ref="F3900">IF(AND(A3900="2021-03", ISNA(MATCH(B3900, _xlfn._xlws.FILTER(B:B, A:A="2021-04"), 0))), "Left", "Ativo")</f>
        <v>Ativo</v>
      </c>
    </row>
    <row r="3901" spans="1:6" x14ac:dyDescent="0.25">
      <c r="A3901" t="s">
        <v>1531</v>
      </c>
      <c r="B3901" t="s">
        <v>1087</v>
      </c>
      <c r="C3901" s="10" t="str" cm="1">
        <f t="array" ref="C3901">IF(AND(A3901="2020-12", ISNA(MATCH(B3901, _xlfn._xlws.FILTER(B:B, A:A="2021-01"), 0))), "Left", "Ativo")</f>
        <v>Ativo</v>
      </c>
      <c r="D3901" s="10" t="str" cm="1">
        <f t="array" ref="D3901">IF(AND(A3901="2021-01", ISNA(MATCH(B3901, _xlfn._xlws.FILTER(B:B, A:A="2021-02"), 0))), "Left", "Ativo")</f>
        <v>Ativo</v>
      </c>
      <c r="E3901" s="10" t="str" cm="1">
        <f t="array" ref="E3901">IF(AND(A3901="2021-02", ISNA(MATCH(B3901, _xlfn._xlws.FILTER(B:B, A:A="2021-03"), 0))), "Left", "Ativo")</f>
        <v>Ativo</v>
      </c>
      <c r="F3901" s="12" t="str" cm="1">
        <f t="array" ref="F3901">IF(AND(A3901="2021-03", ISNA(MATCH(B3901, _xlfn._xlws.FILTER(B:B, A:A="2021-04"), 0))), "Left", "Ativo")</f>
        <v>Ativo</v>
      </c>
    </row>
    <row r="3902" spans="1:6" x14ac:dyDescent="0.25">
      <c r="A3902" t="s">
        <v>1531</v>
      </c>
      <c r="B3902" t="s">
        <v>1088</v>
      </c>
      <c r="C3902" s="10" t="str" cm="1">
        <f t="array" ref="C3902">IF(AND(A3902="2020-12", ISNA(MATCH(B3902, _xlfn._xlws.FILTER(B:B, A:A="2021-01"), 0))), "Left", "Ativo")</f>
        <v>Ativo</v>
      </c>
      <c r="D3902" s="10" t="str" cm="1">
        <f t="array" ref="D3902">IF(AND(A3902="2021-01", ISNA(MATCH(B3902, _xlfn._xlws.FILTER(B:B, A:A="2021-02"), 0))), "Left", "Ativo")</f>
        <v>Ativo</v>
      </c>
      <c r="E3902" s="10" t="str" cm="1">
        <f t="array" ref="E3902">IF(AND(A3902="2021-02", ISNA(MATCH(B3902, _xlfn._xlws.FILTER(B:B, A:A="2021-03"), 0))), "Left", "Ativo")</f>
        <v>Ativo</v>
      </c>
      <c r="F3902" s="12" t="str" cm="1">
        <f t="array" ref="F3902">IF(AND(A3902="2021-03", ISNA(MATCH(B3902, _xlfn._xlws.FILTER(B:B, A:A="2021-04"), 0))), "Left", "Ativo")</f>
        <v>Ativo</v>
      </c>
    </row>
    <row r="3903" spans="1:6" x14ac:dyDescent="0.25">
      <c r="A3903" t="s">
        <v>1531</v>
      </c>
      <c r="B3903" t="s">
        <v>1089</v>
      </c>
      <c r="C3903" s="10" t="str" cm="1">
        <f t="array" ref="C3903">IF(AND(A3903="2020-12", ISNA(MATCH(B3903, _xlfn._xlws.FILTER(B:B, A:A="2021-01"), 0))), "Left", "Ativo")</f>
        <v>Ativo</v>
      </c>
      <c r="D3903" s="10" t="str" cm="1">
        <f t="array" ref="D3903">IF(AND(A3903="2021-01", ISNA(MATCH(B3903, _xlfn._xlws.FILTER(B:B, A:A="2021-02"), 0))), "Left", "Ativo")</f>
        <v>Ativo</v>
      </c>
      <c r="E3903" s="10" t="str" cm="1">
        <f t="array" ref="E3903">IF(AND(A3903="2021-02", ISNA(MATCH(B3903, _xlfn._xlws.FILTER(B:B, A:A="2021-03"), 0))), "Left", "Ativo")</f>
        <v>Ativo</v>
      </c>
      <c r="F3903" s="12" t="str" cm="1">
        <f t="array" ref="F3903">IF(AND(A3903="2021-03", ISNA(MATCH(B3903, _xlfn._xlws.FILTER(B:B, A:A="2021-04"), 0))), "Left", "Ativo")</f>
        <v>Ativo</v>
      </c>
    </row>
    <row r="3904" spans="1:6" x14ac:dyDescent="0.25">
      <c r="A3904" t="s">
        <v>1531</v>
      </c>
      <c r="B3904" t="s">
        <v>1090</v>
      </c>
      <c r="C3904" s="10" t="str" cm="1">
        <f t="array" ref="C3904">IF(AND(A3904="2020-12", ISNA(MATCH(B3904, _xlfn._xlws.FILTER(B:B, A:A="2021-01"), 0))), "Left", "Ativo")</f>
        <v>Ativo</v>
      </c>
      <c r="D3904" s="10" t="str" cm="1">
        <f t="array" ref="D3904">IF(AND(A3904="2021-01", ISNA(MATCH(B3904, _xlfn._xlws.FILTER(B:B, A:A="2021-02"), 0))), "Left", "Ativo")</f>
        <v>Ativo</v>
      </c>
      <c r="E3904" s="10" t="str" cm="1">
        <f t="array" ref="E3904">IF(AND(A3904="2021-02", ISNA(MATCH(B3904, _xlfn._xlws.FILTER(B:B, A:A="2021-03"), 0))), "Left", "Ativo")</f>
        <v>Ativo</v>
      </c>
      <c r="F3904" s="12" t="str" cm="1">
        <f t="array" ref="F3904">IF(AND(A3904="2021-03", ISNA(MATCH(B3904, _xlfn._xlws.FILTER(B:B, A:A="2021-04"), 0))), "Left", "Ativo")</f>
        <v>Ativo</v>
      </c>
    </row>
    <row r="3905" spans="1:6" x14ac:dyDescent="0.25">
      <c r="A3905" t="s">
        <v>1531</v>
      </c>
      <c r="B3905" t="s">
        <v>1149</v>
      </c>
      <c r="C3905" s="10" t="str" cm="1">
        <f t="array" ref="C3905">IF(AND(A3905="2020-12", ISNA(MATCH(B3905, _xlfn._xlws.FILTER(B:B, A:A="2021-01"), 0))), "Left", "Ativo")</f>
        <v>Ativo</v>
      </c>
      <c r="D3905" s="10" t="str" cm="1">
        <f t="array" ref="D3905">IF(AND(A3905="2021-01", ISNA(MATCH(B3905, _xlfn._xlws.FILTER(B:B, A:A="2021-02"), 0))), "Left", "Ativo")</f>
        <v>Ativo</v>
      </c>
      <c r="E3905" s="10" t="str" cm="1">
        <f t="array" ref="E3905">IF(AND(A3905="2021-02", ISNA(MATCH(B3905, _xlfn._xlws.FILTER(B:B, A:A="2021-03"), 0))), "Left", "Ativo")</f>
        <v>Ativo</v>
      </c>
      <c r="F3905" s="12" t="str" cm="1">
        <f t="array" ref="F3905">IF(AND(A3905="2021-03", ISNA(MATCH(B3905, _xlfn._xlws.FILTER(B:B, A:A="2021-04"), 0))), "Left", "Ativo")</f>
        <v>Ativo</v>
      </c>
    </row>
    <row r="3906" spans="1:6" x14ac:dyDescent="0.25">
      <c r="A3906" t="s">
        <v>1531</v>
      </c>
      <c r="B3906" t="s">
        <v>1150</v>
      </c>
      <c r="C3906" s="10" t="str" cm="1">
        <f t="array" ref="C3906">IF(AND(A3906="2020-12", ISNA(MATCH(B3906, _xlfn._xlws.FILTER(B:B, A:A="2021-01"), 0))), "Left", "Ativo")</f>
        <v>Ativo</v>
      </c>
      <c r="D3906" s="10" t="str" cm="1">
        <f t="array" ref="D3906">IF(AND(A3906="2021-01", ISNA(MATCH(B3906, _xlfn._xlws.FILTER(B:B, A:A="2021-02"), 0))), "Left", "Ativo")</f>
        <v>Ativo</v>
      </c>
      <c r="E3906" s="10" t="str" cm="1">
        <f t="array" ref="E3906">IF(AND(A3906="2021-02", ISNA(MATCH(B3906, _xlfn._xlws.FILTER(B:B, A:A="2021-03"), 0))), "Left", "Ativo")</f>
        <v>Ativo</v>
      </c>
      <c r="F3906" s="12" t="str" cm="1">
        <f t="array" ref="F3906">IF(AND(A3906="2021-03", ISNA(MATCH(B3906, _xlfn._xlws.FILTER(B:B, A:A="2021-04"), 0))), "Left", "Ativo")</f>
        <v>Ativo</v>
      </c>
    </row>
    <row r="3907" spans="1:6" x14ac:dyDescent="0.25">
      <c r="A3907" t="s">
        <v>1531</v>
      </c>
      <c r="B3907" t="s">
        <v>1151</v>
      </c>
      <c r="C3907" s="10" t="str" cm="1">
        <f t="array" ref="C3907">IF(AND(A3907="2020-12", ISNA(MATCH(B3907, _xlfn._xlws.FILTER(B:B, A:A="2021-01"), 0))), "Left", "Ativo")</f>
        <v>Ativo</v>
      </c>
      <c r="D3907" s="10" t="str" cm="1">
        <f t="array" ref="D3907">IF(AND(A3907="2021-01", ISNA(MATCH(B3907, _xlfn._xlws.FILTER(B:B, A:A="2021-02"), 0))), "Left", "Ativo")</f>
        <v>Ativo</v>
      </c>
      <c r="E3907" s="10" t="str" cm="1">
        <f t="array" ref="E3907">IF(AND(A3907="2021-02", ISNA(MATCH(B3907, _xlfn._xlws.FILTER(B:B, A:A="2021-03"), 0))), "Left", "Ativo")</f>
        <v>Ativo</v>
      </c>
      <c r="F3907" s="12" t="str" cm="1">
        <f t="array" ref="F3907">IF(AND(A3907="2021-03", ISNA(MATCH(B3907, _xlfn._xlws.FILTER(B:B, A:A="2021-04"), 0))), "Left", "Ativo")</f>
        <v>Ativo</v>
      </c>
    </row>
    <row r="3908" spans="1:6" x14ac:dyDescent="0.25">
      <c r="A3908" t="s">
        <v>1531</v>
      </c>
      <c r="B3908" t="s">
        <v>1152</v>
      </c>
      <c r="C3908" s="10" t="str" cm="1">
        <f t="array" ref="C3908">IF(AND(A3908="2020-12", ISNA(MATCH(B3908, _xlfn._xlws.FILTER(B:B, A:A="2021-01"), 0))), "Left", "Ativo")</f>
        <v>Ativo</v>
      </c>
      <c r="D3908" s="10" t="str" cm="1">
        <f t="array" ref="D3908">IF(AND(A3908="2021-01", ISNA(MATCH(B3908, _xlfn._xlws.FILTER(B:B, A:A="2021-02"), 0))), "Left", "Ativo")</f>
        <v>Ativo</v>
      </c>
      <c r="E3908" s="10" t="str" cm="1">
        <f t="array" ref="E3908">IF(AND(A3908="2021-02", ISNA(MATCH(B3908, _xlfn._xlws.FILTER(B:B, A:A="2021-03"), 0))), "Left", "Ativo")</f>
        <v>Ativo</v>
      </c>
      <c r="F3908" s="12" t="str" cm="1">
        <f t="array" ref="F3908">IF(AND(A3908="2021-03", ISNA(MATCH(B3908, _xlfn._xlws.FILTER(B:B, A:A="2021-04"), 0))), "Left", "Ativo")</f>
        <v>Ativo</v>
      </c>
    </row>
    <row r="3909" spans="1:6" x14ac:dyDescent="0.25">
      <c r="A3909" t="s">
        <v>1531</v>
      </c>
      <c r="B3909" t="s">
        <v>1153</v>
      </c>
      <c r="C3909" s="10" t="str" cm="1">
        <f t="array" ref="C3909">IF(AND(A3909="2020-12", ISNA(MATCH(B3909, _xlfn._xlws.FILTER(B:B, A:A="2021-01"), 0))), "Left", "Ativo")</f>
        <v>Ativo</v>
      </c>
      <c r="D3909" s="10" t="str" cm="1">
        <f t="array" ref="D3909">IF(AND(A3909="2021-01", ISNA(MATCH(B3909, _xlfn._xlws.FILTER(B:B, A:A="2021-02"), 0))), "Left", "Ativo")</f>
        <v>Ativo</v>
      </c>
      <c r="E3909" s="10" t="str" cm="1">
        <f t="array" ref="E3909">IF(AND(A3909="2021-02", ISNA(MATCH(B3909, _xlfn._xlws.FILTER(B:B, A:A="2021-03"), 0))), "Left", "Ativo")</f>
        <v>Ativo</v>
      </c>
      <c r="F3909" s="12" t="str" cm="1">
        <f t="array" ref="F3909">IF(AND(A3909="2021-03", ISNA(MATCH(B3909, _xlfn._xlws.FILTER(B:B, A:A="2021-04"), 0))), "Left", "Ativo")</f>
        <v>Ativo</v>
      </c>
    </row>
    <row r="3910" spans="1:6" x14ac:dyDescent="0.25">
      <c r="A3910" t="s">
        <v>1531</v>
      </c>
      <c r="B3910" t="s">
        <v>1154</v>
      </c>
      <c r="C3910" s="10" t="str" cm="1">
        <f t="array" ref="C3910">IF(AND(A3910="2020-12", ISNA(MATCH(B3910, _xlfn._xlws.FILTER(B:B, A:A="2021-01"), 0))), "Left", "Ativo")</f>
        <v>Ativo</v>
      </c>
      <c r="D3910" s="10" t="str" cm="1">
        <f t="array" ref="D3910">IF(AND(A3910="2021-01", ISNA(MATCH(B3910, _xlfn._xlws.FILTER(B:B, A:A="2021-02"), 0))), "Left", "Ativo")</f>
        <v>Ativo</v>
      </c>
      <c r="E3910" s="10" t="str" cm="1">
        <f t="array" ref="E3910">IF(AND(A3910="2021-02", ISNA(MATCH(B3910, _xlfn._xlws.FILTER(B:B, A:A="2021-03"), 0))), "Left", "Ativo")</f>
        <v>Ativo</v>
      </c>
      <c r="F3910" s="12" t="str" cm="1">
        <f t="array" ref="F3910">IF(AND(A3910="2021-03", ISNA(MATCH(B3910, _xlfn._xlws.FILTER(B:B, A:A="2021-04"), 0))), "Left", "Ativo")</f>
        <v>Ativo</v>
      </c>
    </row>
    <row r="3911" spans="1:6" x14ac:dyDescent="0.25">
      <c r="A3911" t="s">
        <v>1531</v>
      </c>
      <c r="B3911" t="s">
        <v>1155</v>
      </c>
      <c r="C3911" s="10" t="str" cm="1">
        <f t="array" ref="C3911">IF(AND(A3911="2020-12", ISNA(MATCH(B3911, _xlfn._xlws.FILTER(B:B, A:A="2021-01"), 0))), "Left", "Ativo")</f>
        <v>Ativo</v>
      </c>
      <c r="D3911" s="10" t="str" cm="1">
        <f t="array" ref="D3911">IF(AND(A3911="2021-01", ISNA(MATCH(B3911, _xlfn._xlws.FILTER(B:B, A:A="2021-02"), 0))), "Left", "Ativo")</f>
        <v>Ativo</v>
      </c>
      <c r="E3911" s="10" t="str" cm="1">
        <f t="array" ref="E3911">IF(AND(A3911="2021-02", ISNA(MATCH(B3911, _xlfn._xlws.FILTER(B:B, A:A="2021-03"), 0))), "Left", "Ativo")</f>
        <v>Ativo</v>
      </c>
      <c r="F3911" s="12" t="str" cm="1">
        <f t="array" ref="F3911">IF(AND(A3911="2021-03", ISNA(MATCH(B3911, _xlfn._xlws.FILTER(B:B, A:A="2021-04"), 0))), "Left", "Ativo")</f>
        <v>Ativo</v>
      </c>
    </row>
    <row r="3912" spans="1:6" x14ac:dyDescent="0.25">
      <c r="A3912" t="s">
        <v>1531</v>
      </c>
      <c r="B3912" t="s">
        <v>1156</v>
      </c>
      <c r="C3912" s="10" t="str" cm="1">
        <f t="array" ref="C3912">IF(AND(A3912="2020-12", ISNA(MATCH(B3912, _xlfn._xlws.FILTER(B:B, A:A="2021-01"), 0))), "Left", "Ativo")</f>
        <v>Ativo</v>
      </c>
      <c r="D3912" s="10" t="str" cm="1">
        <f t="array" ref="D3912">IF(AND(A3912="2021-01", ISNA(MATCH(B3912, _xlfn._xlws.FILTER(B:B, A:A="2021-02"), 0))), "Left", "Ativo")</f>
        <v>Ativo</v>
      </c>
      <c r="E3912" s="10" t="str" cm="1">
        <f t="array" ref="E3912">IF(AND(A3912="2021-02", ISNA(MATCH(B3912, _xlfn._xlws.FILTER(B:B, A:A="2021-03"), 0))), "Left", "Ativo")</f>
        <v>Ativo</v>
      </c>
      <c r="F3912" s="12" t="str" cm="1">
        <f t="array" ref="F3912">IF(AND(A3912="2021-03", ISNA(MATCH(B3912, _xlfn._xlws.FILTER(B:B, A:A="2021-04"), 0))), "Left", "Ativo")</f>
        <v>Left</v>
      </c>
    </row>
    <row r="3913" spans="1:6" x14ac:dyDescent="0.25">
      <c r="A3913" t="s">
        <v>1531</v>
      </c>
      <c r="B3913" t="s">
        <v>1157</v>
      </c>
      <c r="C3913" s="10" t="str" cm="1">
        <f t="array" ref="C3913">IF(AND(A3913="2020-12", ISNA(MATCH(B3913, _xlfn._xlws.FILTER(B:B, A:A="2021-01"), 0))), "Left", "Ativo")</f>
        <v>Ativo</v>
      </c>
      <c r="D3913" s="10" t="str" cm="1">
        <f t="array" ref="D3913">IF(AND(A3913="2021-01", ISNA(MATCH(B3913, _xlfn._xlws.FILTER(B:B, A:A="2021-02"), 0))), "Left", "Ativo")</f>
        <v>Ativo</v>
      </c>
      <c r="E3913" s="10" t="str" cm="1">
        <f t="array" ref="E3913">IF(AND(A3913="2021-02", ISNA(MATCH(B3913, _xlfn._xlws.FILTER(B:B, A:A="2021-03"), 0))), "Left", "Ativo")</f>
        <v>Ativo</v>
      </c>
      <c r="F3913" s="12" t="str" cm="1">
        <f t="array" ref="F3913">IF(AND(A3913="2021-03", ISNA(MATCH(B3913, _xlfn._xlws.FILTER(B:B, A:A="2021-04"), 0))), "Left", "Ativo")</f>
        <v>Left</v>
      </c>
    </row>
    <row r="3914" spans="1:6" x14ac:dyDescent="0.25">
      <c r="A3914" t="s">
        <v>1531</v>
      </c>
      <c r="B3914" t="s">
        <v>1158</v>
      </c>
      <c r="C3914" s="10" t="str" cm="1">
        <f t="array" ref="C3914">IF(AND(A3914="2020-12", ISNA(MATCH(B3914, _xlfn._xlws.FILTER(B:B, A:A="2021-01"), 0))), "Left", "Ativo")</f>
        <v>Ativo</v>
      </c>
      <c r="D3914" s="10" t="str" cm="1">
        <f t="array" ref="D3914">IF(AND(A3914="2021-01", ISNA(MATCH(B3914, _xlfn._xlws.FILTER(B:B, A:A="2021-02"), 0))), "Left", "Ativo")</f>
        <v>Ativo</v>
      </c>
      <c r="E3914" s="10" t="str" cm="1">
        <f t="array" ref="E3914">IF(AND(A3914="2021-02", ISNA(MATCH(B3914, _xlfn._xlws.FILTER(B:B, A:A="2021-03"), 0))), "Left", "Ativo")</f>
        <v>Ativo</v>
      </c>
      <c r="F3914" s="12" t="str" cm="1">
        <f t="array" ref="F3914">IF(AND(A3914="2021-03", ISNA(MATCH(B3914, _xlfn._xlws.FILTER(B:B, A:A="2021-04"), 0))), "Left", "Ativo")</f>
        <v>Ativo</v>
      </c>
    </row>
    <row r="3915" spans="1:6" x14ac:dyDescent="0.25">
      <c r="A3915" t="s">
        <v>1531</v>
      </c>
      <c r="B3915" t="s">
        <v>1159</v>
      </c>
      <c r="C3915" s="10" t="str" cm="1">
        <f t="array" ref="C3915">IF(AND(A3915="2020-12", ISNA(MATCH(B3915, _xlfn._xlws.FILTER(B:B, A:A="2021-01"), 0))), "Left", "Ativo")</f>
        <v>Ativo</v>
      </c>
      <c r="D3915" s="10" t="str" cm="1">
        <f t="array" ref="D3915">IF(AND(A3915="2021-01", ISNA(MATCH(B3915, _xlfn._xlws.FILTER(B:B, A:A="2021-02"), 0))), "Left", "Ativo")</f>
        <v>Ativo</v>
      </c>
      <c r="E3915" s="10" t="str" cm="1">
        <f t="array" ref="E3915">IF(AND(A3915="2021-02", ISNA(MATCH(B3915, _xlfn._xlws.FILTER(B:B, A:A="2021-03"), 0))), "Left", "Ativo")</f>
        <v>Ativo</v>
      </c>
      <c r="F3915" s="12" t="str" cm="1">
        <f t="array" ref="F3915">IF(AND(A3915="2021-03", ISNA(MATCH(B3915, _xlfn._xlws.FILTER(B:B, A:A="2021-04"), 0))), "Left", "Ativo")</f>
        <v>Ativo</v>
      </c>
    </row>
    <row r="3916" spans="1:6" x14ac:dyDescent="0.25">
      <c r="A3916" t="s">
        <v>1531</v>
      </c>
      <c r="B3916" t="s">
        <v>1160</v>
      </c>
      <c r="C3916" s="10" t="str" cm="1">
        <f t="array" ref="C3916">IF(AND(A3916="2020-12", ISNA(MATCH(B3916, _xlfn._xlws.FILTER(B:B, A:A="2021-01"), 0))), "Left", "Ativo")</f>
        <v>Ativo</v>
      </c>
      <c r="D3916" s="10" t="str" cm="1">
        <f t="array" ref="D3916">IF(AND(A3916="2021-01", ISNA(MATCH(B3916, _xlfn._xlws.FILTER(B:B, A:A="2021-02"), 0))), "Left", "Ativo")</f>
        <v>Ativo</v>
      </c>
      <c r="E3916" s="10" t="str" cm="1">
        <f t="array" ref="E3916">IF(AND(A3916="2021-02", ISNA(MATCH(B3916, _xlfn._xlws.FILTER(B:B, A:A="2021-03"), 0))), "Left", "Ativo")</f>
        <v>Ativo</v>
      </c>
      <c r="F3916" s="12" t="str" cm="1">
        <f t="array" ref="F3916">IF(AND(A3916="2021-03", ISNA(MATCH(B3916, _xlfn._xlws.FILTER(B:B, A:A="2021-04"), 0))), "Left", "Ativo")</f>
        <v>Ativo</v>
      </c>
    </row>
    <row r="3917" spans="1:6" x14ac:dyDescent="0.25">
      <c r="A3917" t="s">
        <v>1532</v>
      </c>
      <c r="B3917" t="s">
        <v>11</v>
      </c>
      <c r="C3917" s="10" t="str" cm="1">
        <f t="array" ref="C3917">IF(AND(A3917="2020-12", ISNA(MATCH(B3917, _xlfn._xlws.FILTER(B:B, A:A="2021-01"), 0))), "Left", "Ativo")</f>
        <v>Ativo</v>
      </c>
      <c r="D3917" s="10" t="str" cm="1">
        <f t="array" ref="D3917">IF(AND(A3917="2021-01", ISNA(MATCH(B3917, _xlfn._xlws.FILTER(B:B, A:A="2021-02"), 0))), "Left", "Ativo")</f>
        <v>Ativo</v>
      </c>
      <c r="E3917" s="10" t="str" cm="1">
        <f t="array" ref="E3917">IF(AND(A3917="2021-02", ISNA(MATCH(B3917, _xlfn._xlws.FILTER(B:B, A:A="2021-03"), 0))), "Left", "Ativo")</f>
        <v>Ativo</v>
      </c>
      <c r="F3917" s="12" t="str" cm="1">
        <f t="array" ref="F3917">IF(AND(A3917="2021-03", ISNA(MATCH(B3917, _xlfn._xlws.FILTER(B:B, A:A="2021-04"), 0))), "Left", "Ativo")</f>
        <v>Ativo</v>
      </c>
    </row>
    <row r="3918" spans="1:6" x14ac:dyDescent="0.25">
      <c r="A3918" t="s">
        <v>1532</v>
      </c>
      <c r="B3918" t="s">
        <v>12</v>
      </c>
      <c r="C3918" s="10" t="str" cm="1">
        <f t="array" ref="C3918">IF(AND(A3918="2020-12", ISNA(MATCH(B3918, _xlfn._xlws.FILTER(B:B, A:A="2021-01"), 0))), "Left", "Ativo")</f>
        <v>Ativo</v>
      </c>
      <c r="D3918" s="10" t="str" cm="1">
        <f t="array" ref="D3918">IF(AND(A3918="2021-01", ISNA(MATCH(B3918, _xlfn._xlws.FILTER(B:B, A:A="2021-02"), 0))), "Left", "Ativo")</f>
        <v>Ativo</v>
      </c>
      <c r="E3918" s="10" t="str" cm="1">
        <f t="array" ref="E3918">IF(AND(A3918="2021-02", ISNA(MATCH(B3918, _xlfn._xlws.FILTER(B:B, A:A="2021-03"), 0))), "Left", "Ativo")</f>
        <v>Ativo</v>
      </c>
      <c r="F3918" s="12" t="str" cm="1">
        <f t="array" ref="F3918">IF(AND(A3918="2021-03", ISNA(MATCH(B3918, _xlfn._xlws.FILTER(B:B, A:A="2021-04"), 0))), "Left", "Ativo")</f>
        <v>Ativo</v>
      </c>
    </row>
    <row r="3919" spans="1:6" x14ac:dyDescent="0.25">
      <c r="A3919" t="s">
        <v>1532</v>
      </c>
      <c r="B3919" t="s">
        <v>13</v>
      </c>
      <c r="C3919" s="10" t="str" cm="1">
        <f t="array" ref="C3919">IF(AND(A3919="2020-12", ISNA(MATCH(B3919, _xlfn._xlws.FILTER(B:B, A:A="2021-01"), 0))), "Left", "Ativo")</f>
        <v>Ativo</v>
      </c>
      <c r="D3919" s="10" t="str" cm="1">
        <f t="array" ref="D3919">IF(AND(A3919="2021-01", ISNA(MATCH(B3919, _xlfn._xlws.FILTER(B:B, A:A="2021-02"), 0))), "Left", "Ativo")</f>
        <v>Ativo</v>
      </c>
      <c r="E3919" s="10" t="str" cm="1">
        <f t="array" ref="E3919">IF(AND(A3919="2021-02", ISNA(MATCH(B3919, _xlfn._xlws.FILTER(B:B, A:A="2021-03"), 0))), "Left", "Ativo")</f>
        <v>Ativo</v>
      </c>
      <c r="F3919" s="12" t="str" cm="1">
        <f t="array" ref="F3919">IF(AND(A3919="2021-03", ISNA(MATCH(B3919, _xlfn._xlws.FILTER(B:B, A:A="2021-04"), 0))), "Left", "Ativo")</f>
        <v>Ativo</v>
      </c>
    </row>
    <row r="3920" spans="1:6" x14ac:dyDescent="0.25">
      <c r="A3920" t="s">
        <v>1532</v>
      </c>
      <c r="B3920" t="s">
        <v>18</v>
      </c>
      <c r="C3920" s="10" t="str" cm="1">
        <f t="array" ref="C3920">IF(AND(A3920="2020-12", ISNA(MATCH(B3920, _xlfn._xlws.FILTER(B:B, A:A="2021-01"), 0))), "Left", "Ativo")</f>
        <v>Ativo</v>
      </c>
      <c r="D3920" s="10" t="str" cm="1">
        <f t="array" ref="D3920">IF(AND(A3920="2021-01", ISNA(MATCH(B3920, _xlfn._xlws.FILTER(B:B, A:A="2021-02"), 0))), "Left", "Ativo")</f>
        <v>Ativo</v>
      </c>
      <c r="E3920" s="10" t="str" cm="1">
        <f t="array" ref="E3920">IF(AND(A3920="2021-02", ISNA(MATCH(B3920, _xlfn._xlws.FILTER(B:B, A:A="2021-03"), 0))), "Left", "Ativo")</f>
        <v>Ativo</v>
      </c>
      <c r="F3920" s="12" t="str" cm="1">
        <f t="array" ref="F3920">IF(AND(A3920="2021-03", ISNA(MATCH(B3920, _xlfn._xlws.FILTER(B:B, A:A="2021-04"), 0))), "Left", "Ativo")</f>
        <v>Ativo</v>
      </c>
    </row>
    <row r="3921" spans="1:6" x14ac:dyDescent="0.25">
      <c r="A3921" t="s">
        <v>1532</v>
      </c>
      <c r="B3921" t="s">
        <v>19</v>
      </c>
      <c r="C3921" s="10" t="str" cm="1">
        <f t="array" ref="C3921">IF(AND(A3921="2020-12", ISNA(MATCH(B3921, _xlfn._xlws.FILTER(B:B, A:A="2021-01"), 0))), "Left", "Ativo")</f>
        <v>Ativo</v>
      </c>
      <c r="D3921" s="10" t="str" cm="1">
        <f t="array" ref="D3921">IF(AND(A3921="2021-01", ISNA(MATCH(B3921, _xlfn._xlws.FILTER(B:B, A:A="2021-02"), 0))), "Left", "Ativo")</f>
        <v>Ativo</v>
      </c>
      <c r="E3921" s="10" t="str" cm="1">
        <f t="array" ref="E3921">IF(AND(A3921="2021-02", ISNA(MATCH(B3921, _xlfn._xlws.FILTER(B:B, A:A="2021-03"), 0))), "Left", "Ativo")</f>
        <v>Ativo</v>
      </c>
      <c r="F3921" s="12" t="str" cm="1">
        <f t="array" ref="F3921">IF(AND(A3921="2021-03", ISNA(MATCH(B3921, _xlfn._xlws.FILTER(B:B, A:A="2021-04"), 0))), "Left", "Ativo")</f>
        <v>Ativo</v>
      </c>
    </row>
    <row r="3922" spans="1:6" x14ac:dyDescent="0.25">
      <c r="A3922" t="s">
        <v>1532</v>
      </c>
      <c r="B3922" t="s">
        <v>20</v>
      </c>
      <c r="C3922" s="10" t="str" cm="1">
        <f t="array" ref="C3922">IF(AND(A3922="2020-12", ISNA(MATCH(B3922, _xlfn._xlws.FILTER(B:B, A:A="2021-01"), 0))), "Left", "Ativo")</f>
        <v>Ativo</v>
      </c>
      <c r="D3922" s="10" t="str" cm="1">
        <f t="array" ref="D3922">IF(AND(A3922="2021-01", ISNA(MATCH(B3922, _xlfn._xlws.FILTER(B:B, A:A="2021-02"), 0))), "Left", "Ativo")</f>
        <v>Ativo</v>
      </c>
      <c r="E3922" s="10" t="str" cm="1">
        <f t="array" ref="E3922">IF(AND(A3922="2021-02", ISNA(MATCH(B3922, _xlfn._xlws.FILTER(B:B, A:A="2021-03"), 0))), "Left", "Ativo")</f>
        <v>Ativo</v>
      </c>
      <c r="F3922" s="12" t="str" cm="1">
        <f t="array" ref="F3922">IF(AND(A3922="2021-03", ISNA(MATCH(B3922, _xlfn._xlws.FILTER(B:B, A:A="2021-04"), 0))), "Left", "Ativo")</f>
        <v>Ativo</v>
      </c>
    </row>
    <row r="3923" spans="1:6" x14ac:dyDescent="0.25">
      <c r="A3923" t="s">
        <v>1532</v>
      </c>
      <c r="B3923" t="s">
        <v>21</v>
      </c>
      <c r="C3923" s="10" t="str" cm="1">
        <f t="array" ref="C3923">IF(AND(A3923="2020-12", ISNA(MATCH(B3923, _xlfn._xlws.FILTER(B:B, A:A="2021-01"), 0))), "Left", "Ativo")</f>
        <v>Ativo</v>
      </c>
      <c r="D3923" s="10" t="str" cm="1">
        <f t="array" ref="D3923">IF(AND(A3923="2021-01", ISNA(MATCH(B3923, _xlfn._xlws.FILTER(B:B, A:A="2021-02"), 0))), "Left", "Ativo")</f>
        <v>Ativo</v>
      </c>
      <c r="E3923" s="10" t="str" cm="1">
        <f t="array" ref="E3923">IF(AND(A3923="2021-02", ISNA(MATCH(B3923, _xlfn._xlws.FILTER(B:B, A:A="2021-03"), 0))), "Left", "Ativo")</f>
        <v>Ativo</v>
      </c>
      <c r="F3923" s="12" t="str" cm="1">
        <f t="array" ref="F3923">IF(AND(A3923="2021-03", ISNA(MATCH(B3923, _xlfn._xlws.FILTER(B:B, A:A="2021-04"), 0))), "Left", "Ativo")</f>
        <v>Ativo</v>
      </c>
    </row>
    <row r="3924" spans="1:6" x14ac:dyDescent="0.25">
      <c r="A3924" t="s">
        <v>1532</v>
      </c>
      <c r="B3924" t="s">
        <v>22</v>
      </c>
      <c r="C3924" s="10" t="str" cm="1">
        <f t="array" ref="C3924">IF(AND(A3924="2020-12", ISNA(MATCH(B3924, _xlfn._xlws.FILTER(B:B, A:A="2021-01"), 0))), "Left", "Ativo")</f>
        <v>Ativo</v>
      </c>
      <c r="D3924" s="10" t="str" cm="1">
        <f t="array" ref="D3924">IF(AND(A3924="2021-01", ISNA(MATCH(B3924, _xlfn._xlws.FILTER(B:B, A:A="2021-02"), 0))), "Left", "Ativo")</f>
        <v>Ativo</v>
      </c>
      <c r="E3924" s="10" t="str" cm="1">
        <f t="array" ref="E3924">IF(AND(A3924="2021-02", ISNA(MATCH(B3924, _xlfn._xlws.FILTER(B:B, A:A="2021-03"), 0))), "Left", "Ativo")</f>
        <v>Ativo</v>
      </c>
      <c r="F3924" s="12" t="str" cm="1">
        <f t="array" ref="F3924">IF(AND(A3924="2021-03", ISNA(MATCH(B3924, _xlfn._xlws.FILTER(B:B, A:A="2021-04"), 0))), "Left", "Ativo")</f>
        <v>Ativo</v>
      </c>
    </row>
    <row r="3925" spans="1:6" x14ac:dyDescent="0.25">
      <c r="A3925" t="s">
        <v>1532</v>
      </c>
      <c r="B3925" t="s">
        <v>23</v>
      </c>
      <c r="C3925" s="10" t="str" cm="1">
        <f t="array" ref="C3925">IF(AND(A3925="2020-12", ISNA(MATCH(B3925, _xlfn._xlws.FILTER(B:B, A:A="2021-01"), 0))), "Left", "Ativo")</f>
        <v>Ativo</v>
      </c>
      <c r="D3925" s="10" t="str" cm="1">
        <f t="array" ref="D3925">IF(AND(A3925="2021-01", ISNA(MATCH(B3925, _xlfn._xlws.FILTER(B:B, A:A="2021-02"), 0))), "Left", "Ativo")</f>
        <v>Ativo</v>
      </c>
      <c r="E3925" s="10" t="str" cm="1">
        <f t="array" ref="E3925">IF(AND(A3925="2021-02", ISNA(MATCH(B3925, _xlfn._xlws.FILTER(B:B, A:A="2021-03"), 0))), "Left", "Ativo")</f>
        <v>Ativo</v>
      </c>
      <c r="F3925" s="12" t="str" cm="1">
        <f t="array" ref="F3925">IF(AND(A3925="2021-03", ISNA(MATCH(B3925, _xlfn._xlws.FILTER(B:B, A:A="2021-04"), 0))), "Left", "Ativo")</f>
        <v>Ativo</v>
      </c>
    </row>
    <row r="3926" spans="1:6" x14ac:dyDescent="0.25">
      <c r="A3926" t="s">
        <v>1532</v>
      </c>
      <c r="B3926" t="s">
        <v>24</v>
      </c>
      <c r="C3926" s="10" t="str" cm="1">
        <f t="array" ref="C3926">IF(AND(A3926="2020-12", ISNA(MATCH(B3926, _xlfn._xlws.FILTER(B:B, A:A="2021-01"), 0))), "Left", "Ativo")</f>
        <v>Ativo</v>
      </c>
      <c r="D3926" s="10" t="str" cm="1">
        <f t="array" ref="D3926">IF(AND(A3926="2021-01", ISNA(MATCH(B3926, _xlfn._xlws.FILTER(B:B, A:A="2021-02"), 0))), "Left", "Ativo")</f>
        <v>Ativo</v>
      </c>
      <c r="E3926" s="10" t="str" cm="1">
        <f t="array" ref="E3926">IF(AND(A3926="2021-02", ISNA(MATCH(B3926, _xlfn._xlws.FILTER(B:B, A:A="2021-03"), 0))), "Left", "Ativo")</f>
        <v>Ativo</v>
      </c>
      <c r="F3926" s="12" t="str" cm="1">
        <f t="array" ref="F3926">IF(AND(A3926="2021-03", ISNA(MATCH(B3926, _xlfn._xlws.FILTER(B:B, A:A="2021-04"), 0))), "Left", "Ativo")</f>
        <v>Ativo</v>
      </c>
    </row>
    <row r="3927" spans="1:6" x14ac:dyDescent="0.25">
      <c r="A3927" t="s">
        <v>1532</v>
      </c>
      <c r="B3927" t="s">
        <v>25</v>
      </c>
      <c r="C3927" s="10" t="str" cm="1">
        <f t="array" ref="C3927">IF(AND(A3927="2020-12", ISNA(MATCH(B3927, _xlfn._xlws.FILTER(B:B, A:A="2021-01"), 0))), "Left", "Ativo")</f>
        <v>Ativo</v>
      </c>
      <c r="D3927" s="10" t="str" cm="1">
        <f t="array" ref="D3927">IF(AND(A3927="2021-01", ISNA(MATCH(B3927, _xlfn._xlws.FILTER(B:B, A:A="2021-02"), 0))), "Left", "Ativo")</f>
        <v>Ativo</v>
      </c>
      <c r="E3927" s="10" t="str" cm="1">
        <f t="array" ref="E3927">IF(AND(A3927="2021-02", ISNA(MATCH(B3927, _xlfn._xlws.FILTER(B:B, A:A="2021-03"), 0))), "Left", "Ativo")</f>
        <v>Ativo</v>
      </c>
      <c r="F3927" s="12" t="str" cm="1">
        <f t="array" ref="F3927">IF(AND(A3927="2021-03", ISNA(MATCH(B3927, _xlfn._xlws.FILTER(B:B, A:A="2021-04"), 0))), "Left", "Ativo")</f>
        <v>Ativo</v>
      </c>
    </row>
    <row r="3928" spans="1:6" x14ac:dyDescent="0.25">
      <c r="A3928" t="s">
        <v>1532</v>
      </c>
      <c r="B3928" t="s">
        <v>26</v>
      </c>
      <c r="C3928" s="10" t="str" cm="1">
        <f t="array" ref="C3928">IF(AND(A3928="2020-12", ISNA(MATCH(B3928, _xlfn._xlws.FILTER(B:B, A:A="2021-01"), 0))), "Left", "Ativo")</f>
        <v>Ativo</v>
      </c>
      <c r="D3928" s="10" t="str" cm="1">
        <f t="array" ref="D3928">IF(AND(A3928="2021-01", ISNA(MATCH(B3928, _xlfn._xlws.FILTER(B:B, A:A="2021-02"), 0))), "Left", "Ativo")</f>
        <v>Ativo</v>
      </c>
      <c r="E3928" s="10" t="str" cm="1">
        <f t="array" ref="E3928">IF(AND(A3928="2021-02", ISNA(MATCH(B3928, _xlfn._xlws.FILTER(B:B, A:A="2021-03"), 0))), "Left", "Ativo")</f>
        <v>Ativo</v>
      </c>
      <c r="F3928" s="12" t="str" cm="1">
        <f t="array" ref="F3928">IF(AND(A3928="2021-03", ISNA(MATCH(B3928, _xlfn._xlws.FILTER(B:B, A:A="2021-04"), 0))), "Left", "Ativo")</f>
        <v>Ativo</v>
      </c>
    </row>
    <row r="3929" spans="1:6" x14ac:dyDescent="0.25">
      <c r="A3929" t="s">
        <v>1532</v>
      </c>
      <c r="B3929" t="s">
        <v>27</v>
      </c>
      <c r="C3929" s="10" t="str" cm="1">
        <f t="array" ref="C3929">IF(AND(A3929="2020-12", ISNA(MATCH(B3929, _xlfn._xlws.FILTER(B:B, A:A="2021-01"), 0))), "Left", "Ativo")</f>
        <v>Ativo</v>
      </c>
      <c r="D3929" s="10" t="str" cm="1">
        <f t="array" ref="D3929">IF(AND(A3929="2021-01", ISNA(MATCH(B3929, _xlfn._xlws.FILTER(B:B, A:A="2021-02"), 0))), "Left", "Ativo")</f>
        <v>Ativo</v>
      </c>
      <c r="E3929" s="10" t="str" cm="1">
        <f t="array" ref="E3929">IF(AND(A3929="2021-02", ISNA(MATCH(B3929, _xlfn._xlws.FILTER(B:B, A:A="2021-03"), 0))), "Left", "Ativo")</f>
        <v>Ativo</v>
      </c>
      <c r="F3929" s="12" t="str" cm="1">
        <f t="array" ref="F3929">IF(AND(A3929="2021-03", ISNA(MATCH(B3929, _xlfn._xlws.FILTER(B:B, A:A="2021-04"), 0))), "Left", "Ativo")</f>
        <v>Ativo</v>
      </c>
    </row>
    <row r="3930" spans="1:6" x14ac:dyDescent="0.25">
      <c r="A3930" t="s">
        <v>1532</v>
      </c>
      <c r="B3930" t="s">
        <v>28</v>
      </c>
      <c r="C3930" s="10" t="str" cm="1">
        <f t="array" ref="C3930">IF(AND(A3930="2020-12", ISNA(MATCH(B3930, _xlfn._xlws.FILTER(B:B, A:A="2021-01"), 0))), "Left", "Ativo")</f>
        <v>Ativo</v>
      </c>
      <c r="D3930" s="10" t="str" cm="1">
        <f t="array" ref="D3930">IF(AND(A3930="2021-01", ISNA(MATCH(B3930, _xlfn._xlws.FILTER(B:B, A:A="2021-02"), 0))), "Left", "Ativo")</f>
        <v>Ativo</v>
      </c>
      <c r="E3930" s="10" t="str" cm="1">
        <f t="array" ref="E3930">IF(AND(A3930="2021-02", ISNA(MATCH(B3930, _xlfn._xlws.FILTER(B:B, A:A="2021-03"), 0))), "Left", "Ativo")</f>
        <v>Ativo</v>
      </c>
      <c r="F3930" s="12" t="str" cm="1">
        <f t="array" ref="F3930">IF(AND(A3930="2021-03", ISNA(MATCH(B3930, _xlfn._xlws.FILTER(B:B, A:A="2021-04"), 0))), "Left", "Ativo")</f>
        <v>Ativo</v>
      </c>
    </row>
    <row r="3931" spans="1:6" x14ac:dyDescent="0.25">
      <c r="A3931" t="s">
        <v>1532</v>
      </c>
      <c r="B3931" t="s">
        <v>29</v>
      </c>
      <c r="C3931" s="10" t="str" cm="1">
        <f t="array" ref="C3931">IF(AND(A3931="2020-12", ISNA(MATCH(B3931, _xlfn._xlws.FILTER(B:B, A:A="2021-01"), 0))), "Left", "Ativo")</f>
        <v>Ativo</v>
      </c>
      <c r="D3931" s="10" t="str" cm="1">
        <f t="array" ref="D3931">IF(AND(A3931="2021-01", ISNA(MATCH(B3931, _xlfn._xlws.FILTER(B:B, A:A="2021-02"), 0))), "Left", "Ativo")</f>
        <v>Ativo</v>
      </c>
      <c r="E3931" s="10" t="str" cm="1">
        <f t="array" ref="E3931">IF(AND(A3931="2021-02", ISNA(MATCH(B3931, _xlfn._xlws.FILTER(B:B, A:A="2021-03"), 0))), "Left", "Ativo")</f>
        <v>Ativo</v>
      </c>
      <c r="F3931" s="12" t="str" cm="1">
        <f t="array" ref="F3931">IF(AND(A3931="2021-03", ISNA(MATCH(B3931, _xlfn._xlws.FILTER(B:B, A:A="2021-04"), 0))), "Left", "Ativo")</f>
        <v>Ativo</v>
      </c>
    </row>
    <row r="3932" spans="1:6" x14ac:dyDescent="0.25">
      <c r="A3932" t="s">
        <v>1532</v>
      </c>
      <c r="B3932" t="s">
        <v>30</v>
      </c>
      <c r="C3932" s="10" t="str" cm="1">
        <f t="array" ref="C3932">IF(AND(A3932="2020-12", ISNA(MATCH(B3932, _xlfn._xlws.FILTER(B:B, A:A="2021-01"), 0))), "Left", "Ativo")</f>
        <v>Ativo</v>
      </c>
      <c r="D3932" s="10" t="str" cm="1">
        <f t="array" ref="D3932">IF(AND(A3932="2021-01", ISNA(MATCH(B3932, _xlfn._xlws.FILTER(B:B, A:A="2021-02"), 0))), "Left", "Ativo")</f>
        <v>Ativo</v>
      </c>
      <c r="E3932" s="10" t="str" cm="1">
        <f t="array" ref="E3932">IF(AND(A3932="2021-02", ISNA(MATCH(B3932, _xlfn._xlws.FILTER(B:B, A:A="2021-03"), 0))), "Left", "Ativo")</f>
        <v>Ativo</v>
      </c>
      <c r="F3932" s="12" t="str" cm="1">
        <f t="array" ref="F3932">IF(AND(A3932="2021-03", ISNA(MATCH(B3932, _xlfn._xlws.FILTER(B:B, A:A="2021-04"), 0))), "Left", "Ativo")</f>
        <v>Ativo</v>
      </c>
    </row>
    <row r="3933" spans="1:6" x14ac:dyDescent="0.25">
      <c r="A3933" t="s">
        <v>1532</v>
      </c>
      <c r="B3933" t="s">
        <v>31</v>
      </c>
      <c r="C3933" s="10" t="str" cm="1">
        <f t="array" ref="C3933">IF(AND(A3933="2020-12", ISNA(MATCH(B3933, _xlfn._xlws.FILTER(B:B, A:A="2021-01"), 0))), "Left", "Ativo")</f>
        <v>Ativo</v>
      </c>
      <c r="D3933" s="10" t="str" cm="1">
        <f t="array" ref="D3933">IF(AND(A3933="2021-01", ISNA(MATCH(B3933, _xlfn._xlws.FILTER(B:B, A:A="2021-02"), 0))), "Left", "Ativo")</f>
        <v>Ativo</v>
      </c>
      <c r="E3933" s="10" t="str" cm="1">
        <f t="array" ref="E3933">IF(AND(A3933="2021-02", ISNA(MATCH(B3933, _xlfn._xlws.FILTER(B:B, A:A="2021-03"), 0))), "Left", "Ativo")</f>
        <v>Ativo</v>
      </c>
      <c r="F3933" s="12" t="str" cm="1">
        <f t="array" ref="F3933">IF(AND(A3933="2021-03", ISNA(MATCH(B3933, _xlfn._xlws.FILTER(B:B, A:A="2021-04"), 0))), "Left", "Ativo")</f>
        <v>Ativo</v>
      </c>
    </row>
    <row r="3934" spans="1:6" x14ac:dyDescent="0.25">
      <c r="A3934" t="s">
        <v>1532</v>
      </c>
      <c r="B3934" t="s">
        <v>32</v>
      </c>
      <c r="C3934" s="10" t="str" cm="1">
        <f t="array" ref="C3934">IF(AND(A3934="2020-12", ISNA(MATCH(B3934, _xlfn._xlws.FILTER(B:B, A:A="2021-01"), 0))), "Left", "Ativo")</f>
        <v>Ativo</v>
      </c>
      <c r="D3934" s="10" t="str" cm="1">
        <f t="array" ref="D3934">IF(AND(A3934="2021-01", ISNA(MATCH(B3934, _xlfn._xlws.FILTER(B:B, A:A="2021-02"), 0))), "Left", "Ativo")</f>
        <v>Ativo</v>
      </c>
      <c r="E3934" s="10" t="str" cm="1">
        <f t="array" ref="E3934">IF(AND(A3934="2021-02", ISNA(MATCH(B3934, _xlfn._xlws.FILTER(B:B, A:A="2021-03"), 0))), "Left", "Ativo")</f>
        <v>Ativo</v>
      </c>
      <c r="F3934" s="12" t="str" cm="1">
        <f t="array" ref="F3934">IF(AND(A3934="2021-03", ISNA(MATCH(B3934, _xlfn._xlws.FILTER(B:B, A:A="2021-04"), 0))), "Left", "Ativo")</f>
        <v>Ativo</v>
      </c>
    </row>
    <row r="3935" spans="1:6" x14ac:dyDescent="0.25">
      <c r="A3935" t="s">
        <v>1532</v>
      </c>
      <c r="B3935" t="s">
        <v>33</v>
      </c>
      <c r="C3935" s="10" t="str" cm="1">
        <f t="array" ref="C3935">IF(AND(A3935="2020-12", ISNA(MATCH(B3935, _xlfn._xlws.FILTER(B:B, A:A="2021-01"), 0))), "Left", "Ativo")</f>
        <v>Ativo</v>
      </c>
      <c r="D3935" s="10" t="str" cm="1">
        <f t="array" ref="D3935">IF(AND(A3935="2021-01", ISNA(MATCH(B3935, _xlfn._xlws.FILTER(B:B, A:A="2021-02"), 0))), "Left", "Ativo")</f>
        <v>Ativo</v>
      </c>
      <c r="E3935" s="10" t="str" cm="1">
        <f t="array" ref="E3935">IF(AND(A3935="2021-02", ISNA(MATCH(B3935, _xlfn._xlws.FILTER(B:B, A:A="2021-03"), 0))), "Left", "Ativo")</f>
        <v>Ativo</v>
      </c>
      <c r="F3935" s="12" t="str" cm="1">
        <f t="array" ref="F3935">IF(AND(A3935="2021-03", ISNA(MATCH(B3935, _xlfn._xlws.FILTER(B:B, A:A="2021-04"), 0))), "Left", "Ativo")</f>
        <v>Ativo</v>
      </c>
    </row>
    <row r="3936" spans="1:6" x14ac:dyDescent="0.25">
      <c r="A3936" t="s">
        <v>1532</v>
      </c>
      <c r="B3936" t="s">
        <v>34</v>
      </c>
      <c r="C3936" s="10" t="str" cm="1">
        <f t="array" ref="C3936">IF(AND(A3936="2020-12", ISNA(MATCH(B3936, _xlfn._xlws.FILTER(B:B, A:A="2021-01"), 0))), "Left", "Ativo")</f>
        <v>Ativo</v>
      </c>
      <c r="D3936" s="10" t="str" cm="1">
        <f t="array" ref="D3936">IF(AND(A3936="2021-01", ISNA(MATCH(B3936, _xlfn._xlws.FILTER(B:B, A:A="2021-02"), 0))), "Left", "Ativo")</f>
        <v>Ativo</v>
      </c>
      <c r="E3936" s="10" t="str" cm="1">
        <f t="array" ref="E3936">IF(AND(A3936="2021-02", ISNA(MATCH(B3936, _xlfn._xlws.FILTER(B:B, A:A="2021-03"), 0))), "Left", "Ativo")</f>
        <v>Ativo</v>
      </c>
      <c r="F3936" s="12" t="str" cm="1">
        <f t="array" ref="F3936">IF(AND(A3936="2021-03", ISNA(MATCH(B3936, _xlfn._xlws.FILTER(B:B, A:A="2021-04"), 0))), "Left", "Ativo")</f>
        <v>Ativo</v>
      </c>
    </row>
    <row r="3937" spans="1:6" x14ac:dyDescent="0.25">
      <c r="A3937" t="s">
        <v>1532</v>
      </c>
      <c r="B3937" t="s">
        <v>35</v>
      </c>
      <c r="C3937" s="10" t="str" cm="1">
        <f t="array" ref="C3937">IF(AND(A3937="2020-12", ISNA(MATCH(B3937, _xlfn._xlws.FILTER(B:B, A:A="2021-01"), 0))), "Left", "Ativo")</f>
        <v>Ativo</v>
      </c>
      <c r="D3937" s="10" t="str" cm="1">
        <f t="array" ref="D3937">IF(AND(A3937="2021-01", ISNA(MATCH(B3937, _xlfn._xlws.FILTER(B:B, A:A="2021-02"), 0))), "Left", "Ativo")</f>
        <v>Ativo</v>
      </c>
      <c r="E3937" s="10" t="str" cm="1">
        <f t="array" ref="E3937">IF(AND(A3937="2021-02", ISNA(MATCH(B3937, _xlfn._xlws.FILTER(B:B, A:A="2021-03"), 0))), "Left", "Ativo")</f>
        <v>Ativo</v>
      </c>
      <c r="F3937" s="12" t="str" cm="1">
        <f t="array" ref="F3937">IF(AND(A3937="2021-03", ISNA(MATCH(B3937, _xlfn._xlws.FILTER(B:B, A:A="2021-04"), 0))), "Left", "Ativo")</f>
        <v>Ativo</v>
      </c>
    </row>
    <row r="3938" spans="1:6" x14ac:dyDescent="0.25">
      <c r="A3938" t="s">
        <v>1532</v>
      </c>
      <c r="B3938" t="s">
        <v>36</v>
      </c>
      <c r="C3938" s="10" t="str" cm="1">
        <f t="array" ref="C3938">IF(AND(A3938="2020-12", ISNA(MATCH(B3938, _xlfn._xlws.FILTER(B:B, A:A="2021-01"), 0))), "Left", "Ativo")</f>
        <v>Ativo</v>
      </c>
      <c r="D3938" s="10" t="str" cm="1">
        <f t="array" ref="D3938">IF(AND(A3938="2021-01", ISNA(MATCH(B3938, _xlfn._xlws.FILTER(B:B, A:A="2021-02"), 0))), "Left", "Ativo")</f>
        <v>Ativo</v>
      </c>
      <c r="E3938" s="10" t="str" cm="1">
        <f t="array" ref="E3938">IF(AND(A3938="2021-02", ISNA(MATCH(B3938, _xlfn._xlws.FILTER(B:B, A:A="2021-03"), 0))), "Left", "Ativo")</f>
        <v>Ativo</v>
      </c>
      <c r="F3938" s="12" t="str" cm="1">
        <f t="array" ref="F3938">IF(AND(A3938="2021-03", ISNA(MATCH(B3938, _xlfn._xlws.FILTER(B:B, A:A="2021-04"), 0))), "Left", "Ativo")</f>
        <v>Ativo</v>
      </c>
    </row>
    <row r="3939" spans="1:6" x14ac:dyDescent="0.25">
      <c r="A3939" t="s">
        <v>1532</v>
      </c>
      <c r="B3939" t="s">
        <v>42</v>
      </c>
      <c r="C3939" s="10" t="str" cm="1">
        <f t="array" ref="C3939">IF(AND(A3939="2020-12", ISNA(MATCH(B3939, _xlfn._xlws.FILTER(B:B, A:A="2021-01"), 0))), "Left", "Ativo")</f>
        <v>Ativo</v>
      </c>
      <c r="D3939" s="10" t="str" cm="1">
        <f t="array" ref="D3939">IF(AND(A3939="2021-01", ISNA(MATCH(B3939, _xlfn._xlws.FILTER(B:B, A:A="2021-02"), 0))), "Left", "Ativo")</f>
        <v>Ativo</v>
      </c>
      <c r="E3939" s="10" t="str" cm="1">
        <f t="array" ref="E3939">IF(AND(A3939="2021-02", ISNA(MATCH(B3939, _xlfn._xlws.FILTER(B:B, A:A="2021-03"), 0))), "Left", "Ativo")</f>
        <v>Ativo</v>
      </c>
      <c r="F3939" s="12" t="str" cm="1">
        <f t="array" ref="F3939">IF(AND(A3939="2021-03", ISNA(MATCH(B3939, _xlfn._xlws.FILTER(B:B, A:A="2021-04"), 0))), "Left", "Ativo")</f>
        <v>Ativo</v>
      </c>
    </row>
    <row r="3940" spans="1:6" x14ac:dyDescent="0.25">
      <c r="A3940" t="s">
        <v>1532</v>
      </c>
      <c r="B3940" t="s">
        <v>43</v>
      </c>
      <c r="C3940" s="10" t="str" cm="1">
        <f t="array" ref="C3940">IF(AND(A3940="2020-12", ISNA(MATCH(B3940, _xlfn._xlws.FILTER(B:B, A:A="2021-01"), 0))), "Left", "Ativo")</f>
        <v>Ativo</v>
      </c>
      <c r="D3940" s="10" t="str" cm="1">
        <f t="array" ref="D3940">IF(AND(A3940="2021-01", ISNA(MATCH(B3940, _xlfn._xlws.FILTER(B:B, A:A="2021-02"), 0))), "Left", "Ativo")</f>
        <v>Ativo</v>
      </c>
      <c r="E3940" s="10" t="str" cm="1">
        <f t="array" ref="E3940">IF(AND(A3940="2021-02", ISNA(MATCH(B3940, _xlfn._xlws.FILTER(B:B, A:A="2021-03"), 0))), "Left", "Ativo")</f>
        <v>Ativo</v>
      </c>
      <c r="F3940" s="12" t="str" cm="1">
        <f t="array" ref="F3940">IF(AND(A3940="2021-03", ISNA(MATCH(B3940, _xlfn._xlws.FILTER(B:B, A:A="2021-04"), 0))), "Left", "Ativo")</f>
        <v>Ativo</v>
      </c>
    </row>
    <row r="3941" spans="1:6" x14ac:dyDescent="0.25">
      <c r="A3941" t="s">
        <v>1532</v>
      </c>
      <c r="B3941" t="s">
        <v>44</v>
      </c>
      <c r="C3941" s="10" t="str" cm="1">
        <f t="array" ref="C3941">IF(AND(A3941="2020-12", ISNA(MATCH(B3941, _xlfn._xlws.FILTER(B:B, A:A="2021-01"), 0))), "Left", "Ativo")</f>
        <v>Ativo</v>
      </c>
      <c r="D3941" s="10" t="str" cm="1">
        <f t="array" ref="D3941">IF(AND(A3941="2021-01", ISNA(MATCH(B3941, _xlfn._xlws.FILTER(B:B, A:A="2021-02"), 0))), "Left", "Ativo")</f>
        <v>Ativo</v>
      </c>
      <c r="E3941" s="10" t="str" cm="1">
        <f t="array" ref="E3941">IF(AND(A3941="2021-02", ISNA(MATCH(B3941, _xlfn._xlws.FILTER(B:B, A:A="2021-03"), 0))), "Left", "Ativo")</f>
        <v>Ativo</v>
      </c>
      <c r="F3941" s="12" t="str" cm="1">
        <f t="array" ref="F3941">IF(AND(A3941="2021-03", ISNA(MATCH(B3941, _xlfn._xlws.FILTER(B:B, A:A="2021-04"), 0))), "Left", "Ativo")</f>
        <v>Ativo</v>
      </c>
    </row>
    <row r="3942" spans="1:6" x14ac:dyDescent="0.25">
      <c r="A3942" t="s">
        <v>1532</v>
      </c>
      <c r="B3942" t="s">
        <v>45</v>
      </c>
      <c r="C3942" s="10" t="str" cm="1">
        <f t="array" ref="C3942">IF(AND(A3942="2020-12", ISNA(MATCH(B3942, _xlfn._xlws.FILTER(B:B, A:A="2021-01"), 0))), "Left", "Ativo")</f>
        <v>Ativo</v>
      </c>
      <c r="D3942" s="10" t="str" cm="1">
        <f t="array" ref="D3942">IF(AND(A3942="2021-01", ISNA(MATCH(B3942, _xlfn._xlws.FILTER(B:B, A:A="2021-02"), 0))), "Left", "Ativo")</f>
        <v>Ativo</v>
      </c>
      <c r="E3942" s="10" t="str" cm="1">
        <f t="array" ref="E3942">IF(AND(A3942="2021-02", ISNA(MATCH(B3942, _xlfn._xlws.FILTER(B:B, A:A="2021-03"), 0))), "Left", "Ativo")</f>
        <v>Ativo</v>
      </c>
      <c r="F3942" s="12" t="str" cm="1">
        <f t="array" ref="F3942">IF(AND(A3942="2021-03", ISNA(MATCH(B3942, _xlfn._xlws.FILTER(B:B, A:A="2021-04"), 0))), "Left", "Ativo")</f>
        <v>Ativo</v>
      </c>
    </row>
    <row r="3943" spans="1:6" x14ac:dyDescent="0.25">
      <c r="A3943" t="s">
        <v>1532</v>
      </c>
      <c r="B3943" t="s">
        <v>46</v>
      </c>
      <c r="C3943" s="10" t="str" cm="1">
        <f t="array" ref="C3943">IF(AND(A3943="2020-12", ISNA(MATCH(B3943, _xlfn._xlws.FILTER(B:B, A:A="2021-01"), 0))), "Left", "Ativo")</f>
        <v>Ativo</v>
      </c>
      <c r="D3943" s="10" t="str" cm="1">
        <f t="array" ref="D3943">IF(AND(A3943="2021-01", ISNA(MATCH(B3943, _xlfn._xlws.FILTER(B:B, A:A="2021-02"), 0))), "Left", "Ativo")</f>
        <v>Ativo</v>
      </c>
      <c r="E3943" s="10" t="str" cm="1">
        <f t="array" ref="E3943">IF(AND(A3943="2021-02", ISNA(MATCH(B3943, _xlfn._xlws.FILTER(B:B, A:A="2021-03"), 0))), "Left", "Ativo")</f>
        <v>Ativo</v>
      </c>
      <c r="F3943" s="12" t="str" cm="1">
        <f t="array" ref="F3943">IF(AND(A3943="2021-03", ISNA(MATCH(B3943, _xlfn._xlws.FILTER(B:B, A:A="2021-04"), 0))), "Left", "Ativo")</f>
        <v>Ativo</v>
      </c>
    </row>
    <row r="3944" spans="1:6" x14ac:dyDescent="0.25">
      <c r="A3944" t="s">
        <v>1532</v>
      </c>
      <c r="B3944" t="s">
        <v>47</v>
      </c>
      <c r="C3944" s="10" t="str" cm="1">
        <f t="array" ref="C3944">IF(AND(A3944="2020-12", ISNA(MATCH(B3944, _xlfn._xlws.FILTER(B:B, A:A="2021-01"), 0))), "Left", "Ativo")</f>
        <v>Ativo</v>
      </c>
      <c r="D3944" s="10" t="str" cm="1">
        <f t="array" ref="D3944">IF(AND(A3944="2021-01", ISNA(MATCH(B3944, _xlfn._xlws.FILTER(B:B, A:A="2021-02"), 0))), "Left", "Ativo")</f>
        <v>Ativo</v>
      </c>
      <c r="E3944" s="10" t="str" cm="1">
        <f t="array" ref="E3944">IF(AND(A3944="2021-02", ISNA(MATCH(B3944, _xlfn._xlws.FILTER(B:B, A:A="2021-03"), 0))), "Left", "Ativo")</f>
        <v>Ativo</v>
      </c>
      <c r="F3944" s="12" t="str" cm="1">
        <f t="array" ref="F3944">IF(AND(A3944="2021-03", ISNA(MATCH(B3944, _xlfn._xlws.FILTER(B:B, A:A="2021-04"), 0))), "Left", "Ativo")</f>
        <v>Ativo</v>
      </c>
    </row>
    <row r="3945" spans="1:6" x14ac:dyDescent="0.25">
      <c r="A3945" t="s">
        <v>1532</v>
      </c>
      <c r="B3945" t="s">
        <v>48</v>
      </c>
      <c r="C3945" s="10" t="str" cm="1">
        <f t="array" ref="C3945">IF(AND(A3945="2020-12", ISNA(MATCH(B3945, _xlfn._xlws.FILTER(B:B, A:A="2021-01"), 0))), "Left", "Ativo")</f>
        <v>Ativo</v>
      </c>
      <c r="D3945" s="10" t="str" cm="1">
        <f t="array" ref="D3945">IF(AND(A3945="2021-01", ISNA(MATCH(B3945, _xlfn._xlws.FILTER(B:B, A:A="2021-02"), 0))), "Left", "Ativo")</f>
        <v>Ativo</v>
      </c>
      <c r="E3945" s="10" t="str" cm="1">
        <f t="array" ref="E3945">IF(AND(A3945="2021-02", ISNA(MATCH(B3945, _xlfn._xlws.FILTER(B:B, A:A="2021-03"), 0))), "Left", "Ativo")</f>
        <v>Ativo</v>
      </c>
      <c r="F3945" s="12" t="str" cm="1">
        <f t="array" ref="F3945">IF(AND(A3945="2021-03", ISNA(MATCH(B3945, _xlfn._xlws.FILTER(B:B, A:A="2021-04"), 0))), "Left", "Ativo")</f>
        <v>Ativo</v>
      </c>
    </row>
    <row r="3946" spans="1:6" x14ac:dyDescent="0.25">
      <c r="A3946" t="s">
        <v>1532</v>
      </c>
      <c r="B3946" t="s">
        <v>51</v>
      </c>
      <c r="C3946" s="10" t="str" cm="1">
        <f t="array" ref="C3946">IF(AND(A3946="2020-12", ISNA(MATCH(B3946, _xlfn._xlws.FILTER(B:B, A:A="2021-01"), 0))), "Left", "Ativo")</f>
        <v>Ativo</v>
      </c>
      <c r="D3946" s="10" t="str" cm="1">
        <f t="array" ref="D3946">IF(AND(A3946="2021-01", ISNA(MATCH(B3946, _xlfn._xlws.FILTER(B:B, A:A="2021-02"), 0))), "Left", "Ativo")</f>
        <v>Ativo</v>
      </c>
      <c r="E3946" s="10" t="str" cm="1">
        <f t="array" ref="E3946">IF(AND(A3946="2021-02", ISNA(MATCH(B3946, _xlfn._xlws.FILTER(B:B, A:A="2021-03"), 0))), "Left", "Ativo")</f>
        <v>Ativo</v>
      </c>
      <c r="F3946" s="12" t="str" cm="1">
        <f t="array" ref="F3946">IF(AND(A3946="2021-03", ISNA(MATCH(B3946, _xlfn._xlws.FILTER(B:B, A:A="2021-04"), 0))), "Left", "Ativo")</f>
        <v>Ativo</v>
      </c>
    </row>
    <row r="3947" spans="1:6" x14ac:dyDescent="0.25">
      <c r="A3947" t="s">
        <v>1532</v>
      </c>
      <c r="B3947" t="s">
        <v>52</v>
      </c>
      <c r="C3947" s="10" t="str" cm="1">
        <f t="array" ref="C3947">IF(AND(A3947="2020-12", ISNA(MATCH(B3947, _xlfn._xlws.FILTER(B:B, A:A="2021-01"), 0))), "Left", "Ativo")</f>
        <v>Ativo</v>
      </c>
      <c r="D3947" s="10" t="str" cm="1">
        <f t="array" ref="D3947">IF(AND(A3947="2021-01", ISNA(MATCH(B3947, _xlfn._xlws.FILTER(B:B, A:A="2021-02"), 0))), "Left", "Ativo")</f>
        <v>Ativo</v>
      </c>
      <c r="E3947" s="10" t="str" cm="1">
        <f t="array" ref="E3947">IF(AND(A3947="2021-02", ISNA(MATCH(B3947, _xlfn._xlws.FILTER(B:B, A:A="2021-03"), 0))), "Left", "Ativo")</f>
        <v>Ativo</v>
      </c>
      <c r="F3947" s="12" t="str" cm="1">
        <f t="array" ref="F3947">IF(AND(A3947="2021-03", ISNA(MATCH(B3947, _xlfn._xlws.FILTER(B:B, A:A="2021-04"), 0))), "Left", "Ativo")</f>
        <v>Ativo</v>
      </c>
    </row>
    <row r="3948" spans="1:6" x14ac:dyDescent="0.25">
      <c r="A3948" t="s">
        <v>1532</v>
      </c>
      <c r="B3948" t="s">
        <v>53</v>
      </c>
      <c r="C3948" s="10" t="str" cm="1">
        <f t="array" ref="C3948">IF(AND(A3948="2020-12", ISNA(MATCH(B3948, _xlfn._xlws.FILTER(B:B, A:A="2021-01"), 0))), "Left", "Ativo")</f>
        <v>Ativo</v>
      </c>
      <c r="D3948" s="10" t="str" cm="1">
        <f t="array" ref="D3948">IF(AND(A3948="2021-01", ISNA(MATCH(B3948, _xlfn._xlws.FILTER(B:B, A:A="2021-02"), 0))), "Left", "Ativo")</f>
        <v>Ativo</v>
      </c>
      <c r="E3948" s="10" t="str" cm="1">
        <f t="array" ref="E3948">IF(AND(A3948="2021-02", ISNA(MATCH(B3948, _xlfn._xlws.FILTER(B:B, A:A="2021-03"), 0))), "Left", "Ativo")</f>
        <v>Ativo</v>
      </c>
      <c r="F3948" s="12" t="str" cm="1">
        <f t="array" ref="F3948">IF(AND(A3948="2021-03", ISNA(MATCH(B3948, _xlfn._xlws.FILTER(B:B, A:A="2021-04"), 0))), "Left", "Ativo")</f>
        <v>Ativo</v>
      </c>
    </row>
    <row r="3949" spans="1:6" x14ac:dyDescent="0.25">
      <c r="A3949" t="s">
        <v>1532</v>
      </c>
      <c r="B3949" t="s">
        <v>54</v>
      </c>
      <c r="C3949" s="10" t="str" cm="1">
        <f t="array" ref="C3949">IF(AND(A3949="2020-12", ISNA(MATCH(B3949, _xlfn._xlws.FILTER(B:B, A:A="2021-01"), 0))), "Left", "Ativo")</f>
        <v>Ativo</v>
      </c>
      <c r="D3949" s="10" t="str" cm="1">
        <f t="array" ref="D3949">IF(AND(A3949="2021-01", ISNA(MATCH(B3949, _xlfn._xlws.FILTER(B:B, A:A="2021-02"), 0))), "Left", "Ativo")</f>
        <v>Ativo</v>
      </c>
      <c r="E3949" s="10" t="str" cm="1">
        <f t="array" ref="E3949">IF(AND(A3949="2021-02", ISNA(MATCH(B3949, _xlfn._xlws.FILTER(B:B, A:A="2021-03"), 0))), "Left", "Ativo")</f>
        <v>Ativo</v>
      </c>
      <c r="F3949" s="12" t="str" cm="1">
        <f t="array" ref="F3949">IF(AND(A3949="2021-03", ISNA(MATCH(B3949, _xlfn._xlws.FILTER(B:B, A:A="2021-04"), 0))), "Left", "Ativo")</f>
        <v>Ativo</v>
      </c>
    </row>
    <row r="3950" spans="1:6" x14ac:dyDescent="0.25">
      <c r="A3950" t="s">
        <v>1532</v>
      </c>
      <c r="B3950" t="s">
        <v>55</v>
      </c>
      <c r="C3950" s="10" t="str" cm="1">
        <f t="array" ref="C3950">IF(AND(A3950="2020-12", ISNA(MATCH(B3950, _xlfn._xlws.FILTER(B:B, A:A="2021-01"), 0))), "Left", "Ativo")</f>
        <v>Ativo</v>
      </c>
      <c r="D3950" s="10" t="str" cm="1">
        <f t="array" ref="D3950">IF(AND(A3950="2021-01", ISNA(MATCH(B3950, _xlfn._xlws.FILTER(B:B, A:A="2021-02"), 0))), "Left", "Ativo")</f>
        <v>Ativo</v>
      </c>
      <c r="E3950" s="10" t="str" cm="1">
        <f t="array" ref="E3950">IF(AND(A3950="2021-02", ISNA(MATCH(B3950, _xlfn._xlws.FILTER(B:B, A:A="2021-03"), 0))), "Left", "Ativo")</f>
        <v>Ativo</v>
      </c>
      <c r="F3950" s="12" t="str" cm="1">
        <f t="array" ref="F3950">IF(AND(A3950="2021-03", ISNA(MATCH(B3950, _xlfn._xlws.FILTER(B:B, A:A="2021-04"), 0))), "Left", "Ativo")</f>
        <v>Ativo</v>
      </c>
    </row>
    <row r="3951" spans="1:6" x14ac:dyDescent="0.25">
      <c r="A3951" t="s">
        <v>1532</v>
      </c>
      <c r="B3951" t="s">
        <v>56</v>
      </c>
      <c r="C3951" s="10" t="str" cm="1">
        <f t="array" ref="C3951">IF(AND(A3951="2020-12", ISNA(MATCH(B3951, _xlfn._xlws.FILTER(B:B, A:A="2021-01"), 0))), "Left", "Ativo")</f>
        <v>Ativo</v>
      </c>
      <c r="D3951" s="10" t="str" cm="1">
        <f t="array" ref="D3951">IF(AND(A3951="2021-01", ISNA(MATCH(B3951, _xlfn._xlws.FILTER(B:B, A:A="2021-02"), 0))), "Left", "Ativo")</f>
        <v>Ativo</v>
      </c>
      <c r="E3951" s="10" t="str" cm="1">
        <f t="array" ref="E3951">IF(AND(A3951="2021-02", ISNA(MATCH(B3951, _xlfn._xlws.FILTER(B:B, A:A="2021-03"), 0))), "Left", "Ativo")</f>
        <v>Ativo</v>
      </c>
      <c r="F3951" s="12" t="str" cm="1">
        <f t="array" ref="F3951">IF(AND(A3951="2021-03", ISNA(MATCH(B3951, _xlfn._xlws.FILTER(B:B, A:A="2021-04"), 0))), "Left", "Ativo")</f>
        <v>Ativo</v>
      </c>
    </row>
    <row r="3952" spans="1:6" x14ac:dyDescent="0.25">
      <c r="A3952" t="s">
        <v>1532</v>
      </c>
      <c r="B3952" t="s">
        <v>57</v>
      </c>
      <c r="C3952" s="10" t="str" cm="1">
        <f t="array" ref="C3952">IF(AND(A3952="2020-12", ISNA(MATCH(B3952, _xlfn._xlws.FILTER(B:B, A:A="2021-01"), 0))), "Left", "Ativo")</f>
        <v>Ativo</v>
      </c>
      <c r="D3952" s="10" t="str" cm="1">
        <f t="array" ref="D3952">IF(AND(A3952="2021-01", ISNA(MATCH(B3952, _xlfn._xlws.FILTER(B:B, A:A="2021-02"), 0))), "Left", "Ativo")</f>
        <v>Ativo</v>
      </c>
      <c r="E3952" s="10" t="str" cm="1">
        <f t="array" ref="E3952">IF(AND(A3952="2021-02", ISNA(MATCH(B3952, _xlfn._xlws.FILTER(B:B, A:A="2021-03"), 0))), "Left", "Ativo")</f>
        <v>Ativo</v>
      </c>
      <c r="F3952" s="12" t="str" cm="1">
        <f t="array" ref="F3952">IF(AND(A3952="2021-03", ISNA(MATCH(B3952, _xlfn._xlws.FILTER(B:B, A:A="2021-04"), 0))), "Left", "Ativo")</f>
        <v>Ativo</v>
      </c>
    </row>
    <row r="3953" spans="1:6" x14ac:dyDescent="0.25">
      <c r="A3953" t="s">
        <v>1532</v>
      </c>
      <c r="B3953" t="s">
        <v>58</v>
      </c>
      <c r="C3953" s="10" t="str" cm="1">
        <f t="array" ref="C3953">IF(AND(A3953="2020-12", ISNA(MATCH(B3953, _xlfn._xlws.FILTER(B:B, A:A="2021-01"), 0))), "Left", "Ativo")</f>
        <v>Ativo</v>
      </c>
      <c r="D3953" s="10" t="str" cm="1">
        <f t="array" ref="D3953">IF(AND(A3953="2021-01", ISNA(MATCH(B3953, _xlfn._xlws.FILTER(B:B, A:A="2021-02"), 0))), "Left", "Ativo")</f>
        <v>Ativo</v>
      </c>
      <c r="E3953" s="10" t="str" cm="1">
        <f t="array" ref="E3953">IF(AND(A3953="2021-02", ISNA(MATCH(B3953, _xlfn._xlws.FILTER(B:B, A:A="2021-03"), 0))), "Left", "Ativo")</f>
        <v>Ativo</v>
      </c>
      <c r="F3953" s="12" t="str" cm="1">
        <f t="array" ref="F3953">IF(AND(A3953="2021-03", ISNA(MATCH(B3953, _xlfn._xlws.FILTER(B:B, A:A="2021-04"), 0))), "Left", "Ativo")</f>
        <v>Ativo</v>
      </c>
    </row>
    <row r="3954" spans="1:6" x14ac:dyDescent="0.25">
      <c r="A3954" t="s">
        <v>1532</v>
      </c>
      <c r="B3954" t="s">
        <v>59</v>
      </c>
      <c r="C3954" s="10" t="str" cm="1">
        <f t="array" ref="C3954">IF(AND(A3954="2020-12", ISNA(MATCH(B3954, _xlfn._xlws.FILTER(B:B, A:A="2021-01"), 0))), "Left", "Ativo")</f>
        <v>Ativo</v>
      </c>
      <c r="D3954" s="10" t="str" cm="1">
        <f t="array" ref="D3954">IF(AND(A3954="2021-01", ISNA(MATCH(B3954, _xlfn._xlws.FILTER(B:B, A:A="2021-02"), 0))), "Left", "Ativo")</f>
        <v>Ativo</v>
      </c>
      <c r="E3954" s="10" t="str" cm="1">
        <f t="array" ref="E3954">IF(AND(A3954="2021-02", ISNA(MATCH(B3954, _xlfn._xlws.FILTER(B:B, A:A="2021-03"), 0))), "Left", "Ativo")</f>
        <v>Ativo</v>
      </c>
      <c r="F3954" s="12" t="str" cm="1">
        <f t="array" ref="F3954">IF(AND(A3954="2021-03", ISNA(MATCH(B3954, _xlfn._xlws.FILTER(B:B, A:A="2021-04"), 0))), "Left", "Ativo")</f>
        <v>Ativo</v>
      </c>
    </row>
    <row r="3955" spans="1:6" x14ac:dyDescent="0.25">
      <c r="A3955" t="s">
        <v>1532</v>
      </c>
      <c r="B3955" t="s">
        <v>60</v>
      </c>
      <c r="C3955" s="10" t="str" cm="1">
        <f t="array" ref="C3955">IF(AND(A3955="2020-12", ISNA(MATCH(B3955, _xlfn._xlws.FILTER(B:B, A:A="2021-01"), 0))), "Left", "Ativo")</f>
        <v>Ativo</v>
      </c>
      <c r="D3955" s="10" t="str" cm="1">
        <f t="array" ref="D3955">IF(AND(A3955="2021-01", ISNA(MATCH(B3955, _xlfn._xlws.FILTER(B:B, A:A="2021-02"), 0))), "Left", "Ativo")</f>
        <v>Ativo</v>
      </c>
      <c r="E3955" s="10" t="str" cm="1">
        <f t="array" ref="E3955">IF(AND(A3955="2021-02", ISNA(MATCH(B3955, _xlfn._xlws.FILTER(B:B, A:A="2021-03"), 0))), "Left", "Ativo")</f>
        <v>Ativo</v>
      </c>
      <c r="F3955" s="12" t="str" cm="1">
        <f t="array" ref="F3955">IF(AND(A3955="2021-03", ISNA(MATCH(B3955, _xlfn._xlws.FILTER(B:B, A:A="2021-04"), 0))), "Left", "Ativo")</f>
        <v>Ativo</v>
      </c>
    </row>
    <row r="3956" spans="1:6" x14ac:dyDescent="0.25">
      <c r="A3956" t="s">
        <v>1532</v>
      </c>
      <c r="B3956" t="s">
        <v>61</v>
      </c>
      <c r="C3956" s="10" t="str" cm="1">
        <f t="array" ref="C3956">IF(AND(A3956="2020-12", ISNA(MATCH(B3956, _xlfn._xlws.FILTER(B:B, A:A="2021-01"), 0))), "Left", "Ativo")</f>
        <v>Ativo</v>
      </c>
      <c r="D3956" s="10" t="str" cm="1">
        <f t="array" ref="D3956">IF(AND(A3956="2021-01", ISNA(MATCH(B3956, _xlfn._xlws.FILTER(B:B, A:A="2021-02"), 0))), "Left", "Ativo")</f>
        <v>Ativo</v>
      </c>
      <c r="E3956" s="10" t="str" cm="1">
        <f t="array" ref="E3956">IF(AND(A3956="2021-02", ISNA(MATCH(B3956, _xlfn._xlws.FILTER(B:B, A:A="2021-03"), 0))), "Left", "Ativo")</f>
        <v>Ativo</v>
      </c>
      <c r="F3956" s="12" t="str" cm="1">
        <f t="array" ref="F3956">IF(AND(A3956="2021-03", ISNA(MATCH(B3956, _xlfn._xlws.FILTER(B:B, A:A="2021-04"), 0))), "Left", "Ativo")</f>
        <v>Ativo</v>
      </c>
    </row>
    <row r="3957" spans="1:6" x14ac:dyDescent="0.25">
      <c r="A3957" t="s">
        <v>1532</v>
      </c>
      <c r="B3957" t="s">
        <v>62</v>
      </c>
      <c r="C3957" s="10" t="str" cm="1">
        <f t="array" ref="C3957">IF(AND(A3957="2020-12", ISNA(MATCH(B3957, _xlfn._xlws.FILTER(B:B, A:A="2021-01"), 0))), "Left", "Ativo")</f>
        <v>Ativo</v>
      </c>
      <c r="D3957" s="10" t="str" cm="1">
        <f t="array" ref="D3957">IF(AND(A3957="2021-01", ISNA(MATCH(B3957, _xlfn._xlws.FILTER(B:B, A:A="2021-02"), 0))), "Left", "Ativo")</f>
        <v>Ativo</v>
      </c>
      <c r="E3957" s="10" t="str" cm="1">
        <f t="array" ref="E3957">IF(AND(A3957="2021-02", ISNA(MATCH(B3957, _xlfn._xlws.FILTER(B:B, A:A="2021-03"), 0))), "Left", "Ativo")</f>
        <v>Ativo</v>
      </c>
      <c r="F3957" s="12" t="str" cm="1">
        <f t="array" ref="F3957">IF(AND(A3957="2021-03", ISNA(MATCH(B3957, _xlfn._xlws.FILTER(B:B, A:A="2021-04"), 0))), "Left", "Ativo")</f>
        <v>Ativo</v>
      </c>
    </row>
    <row r="3958" spans="1:6" x14ac:dyDescent="0.25">
      <c r="A3958" t="s">
        <v>1532</v>
      </c>
      <c r="B3958" t="s">
        <v>63</v>
      </c>
      <c r="C3958" s="10" t="str" cm="1">
        <f t="array" ref="C3958">IF(AND(A3958="2020-12", ISNA(MATCH(B3958, _xlfn._xlws.FILTER(B:B, A:A="2021-01"), 0))), "Left", "Ativo")</f>
        <v>Ativo</v>
      </c>
      <c r="D3958" s="10" t="str" cm="1">
        <f t="array" ref="D3958">IF(AND(A3958="2021-01", ISNA(MATCH(B3958, _xlfn._xlws.FILTER(B:B, A:A="2021-02"), 0))), "Left", "Ativo")</f>
        <v>Ativo</v>
      </c>
      <c r="E3958" s="10" t="str" cm="1">
        <f t="array" ref="E3958">IF(AND(A3958="2021-02", ISNA(MATCH(B3958, _xlfn._xlws.FILTER(B:B, A:A="2021-03"), 0))), "Left", "Ativo")</f>
        <v>Ativo</v>
      </c>
      <c r="F3958" s="12" t="str" cm="1">
        <f t="array" ref="F3958">IF(AND(A3958="2021-03", ISNA(MATCH(B3958, _xlfn._xlws.FILTER(B:B, A:A="2021-04"), 0))), "Left", "Ativo")</f>
        <v>Ativo</v>
      </c>
    </row>
    <row r="3959" spans="1:6" x14ac:dyDescent="0.25">
      <c r="A3959" t="s">
        <v>1532</v>
      </c>
      <c r="B3959" t="s">
        <v>64</v>
      </c>
      <c r="C3959" s="10" t="str" cm="1">
        <f t="array" ref="C3959">IF(AND(A3959="2020-12", ISNA(MATCH(B3959, _xlfn._xlws.FILTER(B:B, A:A="2021-01"), 0))), "Left", "Ativo")</f>
        <v>Ativo</v>
      </c>
      <c r="D3959" s="10" t="str" cm="1">
        <f t="array" ref="D3959">IF(AND(A3959="2021-01", ISNA(MATCH(B3959, _xlfn._xlws.FILTER(B:B, A:A="2021-02"), 0))), "Left", "Ativo")</f>
        <v>Ativo</v>
      </c>
      <c r="E3959" s="10" t="str" cm="1">
        <f t="array" ref="E3959">IF(AND(A3959="2021-02", ISNA(MATCH(B3959, _xlfn._xlws.FILTER(B:B, A:A="2021-03"), 0))), "Left", "Ativo")</f>
        <v>Ativo</v>
      </c>
      <c r="F3959" s="12" t="str" cm="1">
        <f t="array" ref="F3959">IF(AND(A3959="2021-03", ISNA(MATCH(B3959, _xlfn._xlws.FILTER(B:B, A:A="2021-04"), 0))), "Left", "Ativo")</f>
        <v>Ativo</v>
      </c>
    </row>
    <row r="3960" spans="1:6" x14ac:dyDescent="0.25">
      <c r="A3960" t="s">
        <v>1532</v>
      </c>
      <c r="B3960" t="s">
        <v>65</v>
      </c>
      <c r="C3960" s="10" t="str" cm="1">
        <f t="array" ref="C3960">IF(AND(A3960="2020-12", ISNA(MATCH(B3960, _xlfn._xlws.FILTER(B:B, A:A="2021-01"), 0))), "Left", "Ativo")</f>
        <v>Ativo</v>
      </c>
      <c r="D3960" s="10" t="str" cm="1">
        <f t="array" ref="D3960">IF(AND(A3960="2021-01", ISNA(MATCH(B3960, _xlfn._xlws.FILTER(B:B, A:A="2021-02"), 0))), "Left", "Ativo")</f>
        <v>Ativo</v>
      </c>
      <c r="E3960" s="10" t="str" cm="1">
        <f t="array" ref="E3960">IF(AND(A3960="2021-02", ISNA(MATCH(B3960, _xlfn._xlws.FILTER(B:B, A:A="2021-03"), 0))), "Left", "Ativo")</f>
        <v>Ativo</v>
      </c>
      <c r="F3960" s="12" t="str" cm="1">
        <f t="array" ref="F3960">IF(AND(A3960="2021-03", ISNA(MATCH(B3960, _xlfn._xlws.FILTER(B:B, A:A="2021-04"), 0))), "Left", "Ativo")</f>
        <v>Ativo</v>
      </c>
    </row>
    <row r="3961" spans="1:6" x14ac:dyDescent="0.25">
      <c r="A3961" t="s">
        <v>1532</v>
      </c>
      <c r="B3961" t="s">
        <v>66</v>
      </c>
      <c r="C3961" s="10" t="str" cm="1">
        <f t="array" ref="C3961">IF(AND(A3961="2020-12", ISNA(MATCH(B3961, _xlfn._xlws.FILTER(B:B, A:A="2021-01"), 0))), "Left", "Ativo")</f>
        <v>Ativo</v>
      </c>
      <c r="D3961" s="10" t="str" cm="1">
        <f t="array" ref="D3961">IF(AND(A3961="2021-01", ISNA(MATCH(B3961, _xlfn._xlws.FILTER(B:B, A:A="2021-02"), 0))), "Left", "Ativo")</f>
        <v>Ativo</v>
      </c>
      <c r="E3961" s="10" t="str" cm="1">
        <f t="array" ref="E3961">IF(AND(A3961="2021-02", ISNA(MATCH(B3961, _xlfn._xlws.FILTER(B:B, A:A="2021-03"), 0))), "Left", "Ativo")</f>
        <v>Ativo</v>
      </c>
      <c r="F3961" s="12" t="str" cm="1">
        <f t="array" ref="F3961">IF(AND(A3961="2021-03", ISNA(MATCH(B3961, _xlfn._xlws.FILTER(B:B, A:A="2021-04"), 0))), "Left", "Ativo")</f>
        <v>Ativo</v>
      </c>
    </row>
    <row r="3962" spans="1:6" x14ac:dyDescent="0.25">
      <c r="A3962" t="s">
        <v>1532</v>
      </c>
      <c r="B3962" t="s">
        <v>67</v>
      </c>
      <c r="C3962" s="10" t="str" cm="1">
        <f t="array" ref="C3962">IF(AND(A3962="2020-12", ISNA(MATCH(B3962, _xlfn._xlws.FILTER(B:B, A:A="2021-01"), 0))), "Left", "Ativo")</f>
        <v>Ativo</v>
      </c>
      <c r="D3962" s="10" t="str" cm="1">
        <f t="array" ref="D3962">IF(AND(A3962="2021-01", ISNA(MATCH(B3962, _xlfn._xlws.FILTER(B:B, A:A="2021-02"), 0))), "Left", "Ativo")</f>
        <v>Ativo</v>
      </c>
      <c r="E3962" s="10" t="str" cm="1">
        <f t="array" ref="E3962">IF(AND(A3962="2021-02", ISNA(MATCH(B3962, _xlfn._xlws.FILTER(B:B, A:A="2021-03"), 0))), "Left", "Ativo")</f>
        <v>Ativo</v>
      </c>
      <c r="F3962" s="12" t="str" cm="1">
        <f t="array" ref="F3962">IF(AND(A3962="2021-03", ISNA(MATCH(B3962, _xlfn._xlws.FILTER(B:B, A:A="2021-04"), 0))), "Left", "Ativo")</f>
        <v>Ativo</v>
      </c>
    </row>
    <row r="3963" spans="1:6" x14ac:dyDescent="0.25">
      <c r="A3963" t="s">
        <v>1532</v>
      </c>
      <c r="B3963" t="s">
        <v>68</v>
      </c>
      <c r="C3963" s="10" t="str" cm="1">
        <f t="array" ref="C3963">IF(AND(A3963="2020-12", ISNA(MATCH(B3963, _xlfn._xlws.FILTER(B:B, A:A="2021-01"), 0))), "Left", "Ativo")</f>
        <v>Ativo</v>
      </c>
      <c r="D3963" s="10" t="str" cm="1">
        <f t="array" ref="D3963">IF(AND(A3963="2021-01", ISNA(MATCH(B3963, _xlfn._xlws.FILTER(B:B, A:A="2021-02"), 0))), "Left", "Ativo")</f>
        <v>Ativo</v>
      </c>
      <c r="E3963" s="10" t="str" cm="1">
        <f t="array" ref="E3963">IF(AND(A3963="2021-02", ISNA(MATCH(B3963, _xlfn._xlws.FILTER(B:B, A:A="2021-03"), 0))), "Left", "Ativo")</f>
        <v>Ativo</v>
      </c>
      <c r="F3963" s="12" t="str" cm="1">
        <f t="array" ref="F3963">IF(AND(A3963="2021-03", ISNA(MATCH(B3963, _xlfn._xlws.FILTER(B:B, A:A="2021-04"), 0))), "Left", "Ativo")</f>
        <v>Ativo</v>
      </c>
    </row>
    <row r="3964" spans="1:6" x14ac:dyDescent="0.25">
      <c r="A3964" t="s">
        <v>1532</v>
      </c>
      <c r="B3964" t="s">
        <v>69</v>
      </c>
      <c r="C3964" s="10" t="str" cm="1">
        <f t="array" ref="C3964">IF(AND(A3964="2020-12", ISNA(MATCH(B3964, _xlfn._xlws.FILTER(B:B, A:A="2021-01"), 0))), "Left", "Ativo")</f>
        <v>Ativo</v>
      </c>
      <c r="D3964" s="10" t="str" cm="1">
        <f t="array" ref="D3964">IF(AND(A3964="2021-01", ISNA(MATCH(B3964, _xlfn._xlws.FILTER(B:B, A:A="2021-02"), 0))), "Left", "Ativo")</f>
        <v>Ativo</v>
      </c>
      <c r="E3964" s="10" t="str" cm="1">
        <f t="array" ref="E3964">IF(AND(A3964="2021-02", ISNA(MATCH(B3964, _xlfn._xlws.FILTER(B:B, A:A="2021-03"), 0))), "Left", "Ativo")</f>
        <v>Ativo</v>
      </c>
      <c r="F3964" s="12" t="str" cm="1">
        <f t="array" ref="F3964">IF(AND(A3964="2021-03", ISNA(MATCH(B3964, _xlfn._xlws.FILTER(B:B, A:A="2021-04"), 0))), "Left", "Ativo")</f>
        <v>Ativo</v>
      </c>
    </row>
    <row r="3965" spans="1:6" x14ac:dyDescent="0.25">
      <c r="A3965" t="s">
        <v>1532</v>
      </c>
      <c r="B3965" t="s">
        <v>70</v>
      </c>
      <c r="C3965" s="10" t="str" cm="1">
        <f t="array" ref="C3965">IF(AND(A3965="2020-12", ISNA(MATCH(B3965, _xlfn._xlws.FILTER(B:B, A:A="2021-01"), 0))), "Left", "Ativo")</f>
        <v>Ativo</v>
      </c>
      <c r="D3965" s="10" t="str" cm="1">
        <f t="array" ref="D3965">IF(AND(A3965="2021-01", ISNA(MATCH(B3965, _xlfn._xlws.FILTER(B:B, A:A="2021-02"), 0))), "Left", "Ativo")</f>
        <v>Ativo</v>
      </c>
      <c r="E3965" s="10" t="str" cm="1">
        <f t="array" ref="E3965">IF(AND(A3965="2021-02", ISNA(MATCH(B3965, _xlfn._xlws.FILTER(B:B, A:A="2021-03"), 0))), "Left", "Ativo")</f>
        <v>Ativo</v>
      </c>
      <c r="F3965" s="12" t="str" cm="1">
        <f t="array" ref="F3965">IF(AND(A3965="2021-03", ISNA(MATCH(B3965, _xlfn._xlws.FILTER(B:B, A:A="2021-04"), 0))), "Left", "Ativo")</f>
        <v>Ativo</v>
      </c>
    </row>
    <row r="3966" spans="1:6" x14ac:dyDescent="0.25">
      <c r="A3966" t="s">
        <v>1532</v>
      </c>
      <c r="B3966" t="s">
        <v>71</v>
      </c>
      <c r="C3966" s="10" t="str" cm="1">
        <f t="array" ref="C3966">IF(AND(A3966="2020-12", ISNA(MATCH(B3966, _xlfn._xlws.FILTER(B:B, A:A="2021-01"), 0))), "Left", "Ativo")</f>
        <v>Ativo</v>
      </c>
      <c r="D3966" s="10" t="str" cm="1">
        <f t="array" ref="D3966">IF(AND(A3966="2021-01", ISNA(MATCH(B3966, _xlfn._xlws.FILTER(B:B, A:A="2021-02"), 0))), "Left", "Ativo")</f>
        <v>Ativo</v>
      </c>
      <c r="E3966" s="10" t="str" cm="1">
        <f t="array" ref="E3966">IF(AND(A3966="2021-02", ISNA(MATCH(B3966, _xlfn._xlws.FILTER(B:B, A:A="2021-03"), 0))), "Left", "Ativo")</f>
        <v>Ativo</v>
      </c>
      <c r="F3966" s="12" t="str" cm="1">
        <f t="array" ref="F3966">IF(AND(A3966="2021-03", ISNA(MATCH(B3966, _xlfn._xlws.FILTER(B:B, A:A="2021-04"), 0))), "Left", "Ativo")</f>
        <v>Ativo</v>
      </c>
    </row>
    <row r="3967" spans="1:6" x14ac:dyDescent="0.25">
      <c r="A3967" t="s">
        <v>1532</v>
      </c>
      <c r="B3967" t="s">
        <v>72</v>
      </c>
      <c r="C3967" s="10" t="str" cm="1">
        <f t="array" ref="C3967">IF(AND(A3967="2020-12", ISNA(MATCH(B3967, _xlfn._xlws.FILTER(B:B, A:A="2021-01"), 0))), "Left", "Ativo")</f>
        <v>Ativo</v>
      </c>
      <c r="D3967" s="10" t="str" cm="1">
        <f t="array" ref="D3967">IF(AND(A3967="2021-01", ISNA(MATCH(B3967, _xlfn._xlws.FILTER(B:B, A:A="2021-02"), 0))), "Left", "Ativo")</f>
        <v>Ativo</v>
      </c>
      <c r="E3967" s="10" t="str" cm="1">
        <f t="array" ref="E3967">IF(AND(A3967="2021-02", ISNA(MATCH(B3967, _xlfn._xlws.FILTER(B:B, A:A="2021-03"), 0))), "Left", "Ativo")</f>
        <v>Ativo</v>
      </c>
      <c r="F3967" s="12" t="str" cm="1">
        <f t="array" ref="F3967">IF(AND(A3967="2021-03", ISNA(MATCH(B3967, _xlfn._xlws.FILTER(B:B, A:A="2021-04"), 0))), "Left", "Ativo")</f>
        <v>Ativo</v>
      </c>
    </row>
    <row r="3968" spans="1:6" x14ac:dyDescent="0.25">
      <c r="A3968" t="s">
        <v>1532</v>
      </c>
      <c r="B3968" t="s">
        <v>73</v>
      </c>
      <c r="C3968" s="10" t="str" cm="1">
        <f t="array" ref="C3968">IF(AND(A3968="2020-12", ISNA(MATCH(B3968, _xlfn._xlws.FILTER(B:B, A:A="2021-01"), 0))), "Left", "Ativo")</f>
        <v>Ativo</v>
      </c>
      <c r="D3968" s="10" t="str" cm="1">
        <f t="array" ref="D3968">IF(AND(A3968="2021-01", ISNA(MATCH(B3968, _xlfn._xlws.FILTER(B:B, A:A="2021-02"), 0))), "Left", "Ativo")</f>
        <v>Ativo</v>
      </c>
      <c r="E3968" s="10" t="str" cm="1">
        <f t="array" ref="E3968">IF(AND(A3968="2021-02", ISNA(MATCH(B3968, _xlfn._xlws.FILTER(B:B, A:A="2021-03"), 0))), "Left", "Ativo")</f>
        <v>Ativo</v>
      </c>
      <c r="F3968" s="12" t="str" cm="1">
        <f t="array" ref="F3968">IF(AND(A3968="2021-03", ISNA(MATCH(B3968, _xlfn._xlws.FILTER(B:B, A:A="2021-04"), 0))), "Left", "Ativo")</f>
        <v>Ativo</v>
      </c>
    </row>
    <row r="3969" spans="1:6" x14ac:dyDescent="0.25">
      <c r="A3969" t="s">
        <v>1532</v>
      </c>
      <c r="B3969" t="s">
        <v>74</v>
      </c>
      <c r="C3969" s="10" t="str" cm="1">
        <f t="array" ref="C3969">IF(AND(A3969="2020-12", ISNA(MATCH(B3969, _xlfn._xlws.FILTER(B:B, A:A="2021-01"), 0))), "Left", "Ativo")</f>
        <v>Ativo</v>
      </c>
      <c r="D3969" s="10" t="str" cm="1">
        <f t="array" ref="D3969">IF(AND(A3969="2021-01", ISNA(MATCH(B3969, _xlfn._xlws.FILTER(B:B, A:A="2021-02"), 0))), "Left", "Ativo")</f>
        <v>Ativo</v>
      </c>
      <c r="E3969" s="10" t="str" cm="1">
        <f t="array" ref="E3969">IF(AND(A3969="2021-02", ISNA(MATCH(B3969, _xlfn._xlws.FILTER(B:B, A:A="2021-03"), 0))), "Left", "Ativo")</f>
        <v>Ativo</v>
      </c>
      <c r="F3969" s="12" t="str" cm="1">
        <f t="array" ref="F3969">IF(AND(A3969="2021-03", ISNA(MATCH(B3969, _xlfn._xlws.FILTER(B:B, A:A="2021-04"), 0))), "Left", "Ativo")</f>
        <v>Ativo</v>
      </c>
    </row>
    <row r="3970" spans="1:6" x14ac:dyDescent="0.25">
      <c r="A3970" t="s">
        <v>1532</v>
      </c>
      <c r="B3970" t="s">
        <v>75</v>
      </c>
      <c r="C3970" s="10" t="str" cm="1">
        <f t="array" ref="C3970">IF(AND(A3970="2020-12", ISNA(MATCH(B3970, _xlfn._xlws.FILTER(B:B, A:A="2021-01"), 0))), "Left", "Ativo")</f>
        <v>Ativo</v>
      </c>
      <c r="D3970" s="10" t="str" cm="1">
        <f t="array" ref="D3970">IF(AND(A3970="2021-01", ISNA(MATCH(B3970, _xlfn._xlws.FILTER(B:B, A:A="2021-02"), 0))), "Left", "Ativo")</f>
        <v>Ativo</v>
      </c>
      <c r="E3970" s="10" t="str" cm="1">
        <f t="array" ref="E3970">IF(AND(A3970="2021-02", ISNA(MATCH(B3970, _xlfn._xlws.FILTER(B:B, A:A="2021-03"), 0))), "Left", "Ativo")</f>
        <v>Ativo</v>
      </c>
      <c r="F3970" s="12" t="str" cm="1">
        <f t="array" ref="F3970">IF(AND(A3970="2021-03", ISNA(MATCH(B3970, _xlfn._xlws.FILTER(B:B, A:A="2021-04"), 0))), "Left", "Ativo")</f>
        <v>Ativo</v>
      </c>
    </row>
    <row r="3971" spans="1:6" x14ac:dyDescent="0.25">
      <c r="A3971" t="s">
        <v>1532</v>
      </c>
      <c r="B3971" t="s">
        <v>76</v>
      </c>
      <c r="C3971" s="10" t="str" cm="1">
        <f t="array" ref="C3971">IF(AND(A3971="2020-12", ISNA(MATCH(B3971, _xlfn._xlws.FILTER(B:B, A:A="2021-01"), 0))), "Left", "Ativo")</f>
        <v>Ativo</v>
      </c>
      <c r="D3971" s="10" t="str" cm="1">
        <f t="array" ref="D3971">IF(AND(A3971="2021-01", ISNA(MATCH(B3971, _xlfn._xlws.FILTER(B:B, A:A="2021-02"), 0))), "Left", "Ativo")</f>
        <v>Ativo</v>
      </c>
      <c r="E3971" s="10" t="str" cm="1">
        <f t="array" ref="E3971">IF(AND(A3971="2021-02", ISNA(MATCH(B3971, _xlfn._xlws.FILTER(B:B, A:A="2021-03"), 0))), "Left", "Ativo")</f>
        <v>Ativo</v>
      </c>
      <c r="F3971" s="12" t="str" cm="1">
        <f t="array" ref="F3971">IF(AND(A3971="2021-03", ISNA(MATCH(B3971, _xlfn._xlws.FILTER(B:B, A:A="2021-04"), 0))), "Left", "Ativo")</f>
        <v>Ativo</v>
      </c>
    </row>
    <row r="3972" spans="1:6" x14ac:dyDescent="0.25">
      <c r="A3972" t="s">
        <v>1532</v>
      </c>
      <c r="B3972" t="s">
        <v>77</v>
      </c>
      <c r="C3972" s="10" t="str" cm="1">
        <f t="array" ref="C3972">IF(AND(A3972="2020-12", ISNA(MATCH(B3972, _xlfn._xlws.FILTER(B:B, A:A="2021-01"), 0))), "Left", "Ativo")</f>
        <v>Ativo</v>
      </c>
      <c r="D3972" s="10" t="str" cm="1">
        <f t="array" ref="D3972">IF(AND(A3972="2021-01", ISNA(MATCH(B3972, _xlfn._xlws.FILTER(B:B, A:A="2021-02"), 0))), "Left", "Ativo")</f>
        <v>Ativo</v>
      </c>
      <c r="E3972" s="10" t="str" cm="1">
        <f t="array" ref="E3972">IF(AND(A3972="2021-02", ISNA(MATCH(B3972, _xlfn._xlws.FILTER(B:B, A:A="2021-03"), 0))), "Left", "Ativo")</f>
        <v>Ativo</v>
      </c>
      <c r="F3972" s="12" t="str" cm="1">
        <f t="array" ref="F3972">IF(AND(A3972="2021-03", ISNA(MATCH(B3972, _xlfn._xlws.FILTER(B:B, A:A="2021-04"), 0))), "Left", "Ativo")</f>
        <v>Ativo</v>
      </c>
    </row>
    <row r="3973" spans="1:6" x14ac:dyDescent="0.25">
      <c r="A3973" t="s">
        <v>1532</v>
      </c>
      <c r="B3973" t="s">
        <v>78</v>
      </c>
      <c r="C3973" s="10" t="str" cm="1">
        <f t="array" ref="C3973">IF(AND(A3973="2020-12", ISNA(MATCH(B3973, _xlfn._xlws.FILTER(B:B, A:A="2021-01"), 0))), "Left", "Ativo")</f>
        <v>Ativo</v>
      </c>
      <c r="D3973" s="10" t="str" cm="1">
        <f t="array" ref="D3973">IF(AND(A3973="2021-01", ISNA(MATCH(B3973, _xlfn._xlws.FILTER(B:B, A:A="2021-02"), 0))), "Left", "Ativo")</f>
        <v>Ativo</v>
      </c>
      <c r="E3973" s="10" t="str" cm="1">
        <f t="array" ref="E3973">IF(AND(A3973="2021-02", ISNA(MATCH(B3973, _xlfn._xlws.FILTER(B:B, A:A="2021-03"), 0))), "Left", "Ativo")</f>
        <v>Ativo</v>
      </c>
      <c r="F3973" s="12" t="str" cm="1">
        <f t="array" ref="F3973">IF(AND(A3973="2021-03", ISNA(MATCH(B3973, _xlfn._xlws.FILTER(B:B, A:A="2021-04"), 0))), "Left", "Ativo")</f>
        <v>Ativo</v>
      </c>
    </row>
    <row r="3974" spans="1:6" x14ac:dyDescent="0.25">
      <c r="A3974" t="s">
        <v>1532</v>
      </c>
      <c r="B3974" t="s">
        <v>79</v>
      </c>
      <c r="C3974" s="10" t="str" cm="1">
        <f t="array" ref="C3974">IF(AND(A3974="2020-12", ISNA(MATCH(B3974, _xlfn._xlws.FILTER(B:B, A:A="2021-01"), 0))), "Left", "Ativo")</f>
        <v>Ativo</v>
      </c>
      <c r="D3974" s="10" t="str" cm="1">
        <f t="array" ref="D3974">IF(AND(A3974="2021-01", ISNA(MATCH(B3974, _xlfn._xlws.FILTER(B:B, A:A="2021-02"), 0))), "Left", "Ativo")</f>
        <v>Ativo</v>
      </c>
      <c r="E3974" s="10" t="str" cm="1">
        <f t="array" ref="E3974">IF(AND(A3974="2021-02", ISNA(MATCH(B3974, _xlfn._xlws.FILTER(B:B, A:A="2021-03"), 0))), "Left", "Ativo")</f>
        <v>Ativo</v>
      </c>
      <c r="F3974" s="12" t="str" cm="1">
        <f t="array" ref="F3974">IF(AND(A3974="2021-03", ISNA(MATCH(B3974, _xlfn._xlws.FILTER(B:B, A:A="2021-04"), 0))), "Left", "Ativo")</f>
        <v>Ativo</v>
      </c>
    </row>
    <row r="3975" spans="1:6" x14ac:dyDescent="0.25">
      <c r="A3975" t="s">
        <v>1532</v>
      </c>
      <c r="B3975" t="s">
        <v>82</v>
      </c>
      <c r="C3975" s="10" t="str" cm="1">
        <f t="array" ref="C3975">IF(AND(A3975="2020-12", ISNA(MATCH(B3975, _xlfn._xlws.FILTER(B:B, A:A="2021-01"), 0))), "Left", "Ativo")</f>
        <v>Ativo</v>
      </c>
      <c r="D3975" s="10" t="str" cm="1">
        <f t="array" ref="D3975">IF(AND(A3975="2021-01", ISNA(MATCH(B3975, _xlfn._xlws.FILTER(B:B, A:A="2021-02"), 0))), "Left", "Ativo")</f>
        <v>Ativo</v>
      </c>
      <c r="E3975" s="10" t="str" cm="1">
        <f t="array" ref="E3975">IF(AND(A3975="2021-02", ISNA(MATCH(B3975, _xlfn._xlws.FILTER(B:B, A:A="2021-03"), 0))), "Left", "Ativo")</f>
        <v>Ativo</v>
      </c>
      <c r="F3975" s="12" t="str" cm="1">
        <f t="array" ref="F3975">IF(AND(A3975="2021-03", ISNA(MATCH(B3975, _xlfn._xlws.FILTER(B:B, A:A="2021-04"), 0))), "Left", "Ativo")</f>
        <v>Ativo</v>
      </c>
    </row>
    <row r="3976" spans="1:6" x14ac:dyDescent="0.25">
      <c r="A3976" t="s">
        <v>1532</v>
      </c>
      <c r="B3976" t="s">
        <v>83</v>
      </c>
      <c r="C3976" s="10" t="str" cm="1">
        <f t="array" ref="C3976">IF(AND(A3976="2020-12", ISNA(MATCH(B3976, _xlfn._xlws.FILTER(B:B, A:A="2021-01"), 0))), "Left", "Ativo")</f>
        <v>Ativo</v>
      </c>
      <c r="D3976" s="10" t="str" cm="1">
        <f t="array" ref="D3976">IF(AND(A3976="2021-01", ISNA(MATCH(B3976, _xlfn._xlws.FILTER(B:B, A:A="2021-02"), 0))), "Left", "Ativo")</f>
        <v>Ativo</v>
      </c>
      <c r="E3976" s="10" t="str" cm="1">
        <f t="array" ref="E3976">IF(AND(A3976="2021-02", ISNA(MATCH(B3976, _xlfn._xlws.FILTER(B:B, A:A="2021-03"), 0))), "Left", "Ativo")</f>
        <v>Ativo</v>
      </c>
      <c r="F3976" s="12" t="str" cm="1">
        <f t="array" ref="F3976">IF(AND(A3976="2021-03", ISNA(MATCH(B3976, _xlfn._xlws.FILTER(B:B, A:A="2021-04"), 0))), "Left", "Ativo")</f>
        <v>Ativo</v>
      </c>
    </row>
    <row r="3977" spans="1:6" x14ac:dyDescent="0.25">
      <c r="A3977" t="s">
        <v>1532</v>
      </c>
      <c r="B3977" t="s">
        <v>85</v>
      </c>
      <c r="C3977" s="10" t="str" cm="1">
        <f t="array" ref="C3977">IF(AND(A3977="2020-12", ISNA(MATCH(B3977, _xlfn._xlws.FILTER(B:B, A:A="2021-01"), 0))), "Left", "Ativo")</f>
        <v>Ativo</v>
      </c>
      <c r="D3977" s="10" t="str" cm="1">
        <f t="array" ref="D3977">IF(AND(A3977="2021-01", ISNA(MATCH(B3977, _xlfn._xlws.FILTER(B:B, A:A="2021-02"), 0))), "Left", "Ativo")</f>
        <v>Ativo</v>
      </c>
      <c r="E3977" s="10" t="str" cm="1">
        <f t="array" ref="E3977">IF(AND(A3977="2021-02", ISNA(MATCH(B3977, _xlfn._xlws.FILTER(B:B, A:A="2021-03"), 0))), "Left", "Ativo")</f>
        <v>Ativo</v>
      </c>
      <c r="F3977" s="12" t="str" cm="1">
        <f t="array" ref="F3977">IF(AND(A3977="2021-03", ISNA(MATCH(B3977, _xlfn._xlws.FILTER(B:B, A:A="2021-04"), 0))), "Left", "Ativo")</f>
        <v>Ativo</v>
      </c>
    </row>
    <row r="3978" spans="1:6" x14ac:dyDescent="0.25">
      <c r="A3978" t="s">
        <v>1532</v>
      </c>
      <c r="B3978" t="s">
        <v>86</v>
      </c>
      <c r="C3978" s="10" t="str" cm="1">
        <f t="array" ref="C3978">IF(AND(A3978="2020-12", ISNA(MATCH(B3978, _xlfn._xlws.FILTER(B:B, A:A="2021-01"), 0))), "Left", "Ativo")</f>
        <v>Ativo</v>
      </c>
      <c r="D3978" s="10" t="str" cm="1">
        <f t="array" ref="D3978">IF(AND(A3978="2021-01", ISNA(MATCH(B3978, _xlfn._xlws.FILTER(B:B, A:A="2021-02"), 0))), "Left", "Ativo")</f>
        <v>Ativo</v>
      </c>
      <c r="E3978" s="10" t="str" cm="1">
        <f t="array" ref="E3978">IF(AND(A3978="2021-02", ISNA(MATCH(B3978, _xlfn._xlws.FILTER(B:B, A:A="2021-03"), 0))), "Left", "Ativo")</f>
        <v>Ativo</v>
      </c>
      <c r="F3978" s="12" t="str" cm="1">
        <f t="array" ref="F3978">IF(AND(A3978="2021-03", ISNA(MATCH(B3978, _xlfn._xlws.FILTER(B:B, A:A="2021-04"), 0))), "Left", "Ativo")</f>
        <v>Ativo</v>
      </c>
    </row>
    <row r="3979" spans="1:6" x14ac:dyDescent="0.25">
      <c r="A3979" t="s">
        <v>1532</v>
      </c>
      <c r="B3979" t="s">
        <v>87</v>
      </c>
      <c r="C3979" s="10" t="str" cm="1">
        <f t="array" ref="C3979">IF(AND(A3979="2020-12", ISNA(MATCH(B3979, _xlfn._xlws.FILTER(B:B, A:A="2021-01"), 0))), "Left", "Ativo")</f>
        <v>Ativo</v>
      </c>
      <c r="D3979" s="10" t="str" cm="1">
        <f t="array" ref="D3979">IF(AND(A3979="2021-01", ISNA(MATCH(B3979, _xlfn._xlws.FILTER(B:B, A:A="2021-02"), 0))), "Left", "Ativo")</f>
        <v>Ativo</v>
      </c>
      <c r="E3979" s="10" t="str" cm="1">
        <f t="array" ref="E3979">IF(AND(A3979="2021-02", ISNA(MATCH(B3979, _xlfn._xlws.FILTER(B:B, A:A="2021-03"), 0))), "Left", "Ativo")</f>
        <v>Ativo</v>
      </c>
      <c r="F3979" s="12" t="str" cm="1">
        <f t="array" ref="F3979">IF(AND(A3979="2021-03", ISNA(MATCH(B3979, _xlfn._xlws.FILTER(B:B, A:A="2021-04"), 0))), "Left", "Ativo")</f>
        <v>Ativo</v>
      </c>
    </row>
    <row r="3980" spans="1:6" x14ac:dyDescent="0.25">
      <c r="A3980" t="s">
        <v>1532</v>
      </c>
      <c r="B3980" t="s">
        <v>88</v>
      </c>
      <c r="C3980" s="10" t="str" cm="1">
        <f t="array" ref="C3980">IF(AND(A3980="2020-12", ISNA(MATCH(B3980, _xlfn._xlws.FILTER(B:B, A:A="2021-01"), 0))), "Left", "Ativo")</f>
        <v>Ativo</v>
      </c>
      <c r="D3980" s="10" t="str" cm="1">
        <f t="array" ref="D3980">IF(AND(A3980="2021-01", ISNA(MATCH(B3980, _xlfn._xlws.FILTER(B:B, A:A="2021-02"), 0))), "Left", "Ativo")</f>
        <v>Ativo</v>
      </c>
      <c r="E3980" s="10" t="str" cm="1">
        <f t="array" ref="E3980">IF(AND(A3980="2021-02", ISNA(MATCH(B3980, _xlfn._xlws.FILTER(B:B, A:A="2021-03"), 0))), "Left", "Ativo")</f>
        <v>Ativo</v>
      </c>
      <c r="F3980" s="12" t="str" cm="1">
        <f t="array" ref="F3980">IF(AND(A3980="2021-03", ISNA(MATCH(B3980, _xlfn._xlws.FILTER(B:B, A:A="2021-04"), 0))), "Left", "Ativo")</f>
        <v>Ativo</v>
      </c>
    </row>
    <row r="3981" spans="1:6" x14ac:dyDescent="0.25">
      <c r="A3981" t="s">
        <v>1532</v>
      </c>
      <c r="B3981" t="s">
        <v>89</v>
      </c>
      <c r="C3981" s="10" t="str" cm="1">
        <f t="array" ref="C3981">IF(AND(A3981="2020-12", ISNA(MATCH(B3981, _xlfn._xlws.FILTER(B:B, A:A="2021-01"), 0))), "Left", "Ativo")</f>
        <v>Ativo</v>
      </c>
      <c r="D3981" s="10" t="str" cm="1">
        <f t="array" ref="D3981">IF(AND(A3981="2021-01", ISNA(MATCH(B3981, _xlfn._xlws.FILTER(B:B, A:A="2021-02"), 0))), "Left", "Ativo")</f>
        <v>Ativo</v>
      </c>
      <c r="E3981" s="10" t="str" cm="1">
        <f t="array" ref="E3981">IF(AND(A3981="2021-02", ISNA(MATCH(B3981, _xlfn._xlws.FILTER(B:B, A:A="2021-03"), 0))), "Left", "Ativo")</f>
        <v>Ativo</v>
      </c>
      <c r="F3981" s="12" t="str" cm="1">
        <f t="array" ref="F3981">IF(AND(A3981="2021-03", ISNA(MATCH(B3981, _xlfn._xlws.FILTER(B:B, A:A="2021-04"), 0))), "Left", "Ativo")</f>
        <v>Ativo</v>
      </c>
    </row>
    <row r="3982" spans="1:6" x14ac:dyDescent="0.25">
      <c r="A3982" t="s">
        <v>1532</v>
      </c>
      <c r="B3982" t="s">
        <v>90</v>
      </c>
      <c r="C3982" s="10" t="str" cm="1">
        <f t="array" ref="C3982">IF(AND(A3982="2020-12", ISNA(MATCH(B3982, _xlfn._xlws.FILTER(B:B, A:A="2021-01"), 0))), "Left", "Ativo")</f>
        <v>Ativo</v>
      </c>
      <c r="D3982" s="10" t="str" cm="1">
        <f t="array" ref="D3982">IF(AND(A3982="2021-01", ISNA(MATCH(B3982, _xlfn._xlws.FILTER(B:B, A:A="2021-02"), 0))), "Left", "Ativo")</f>
        <v>Ativo</v>
      </c>
      <c r="E3982" s="10" t="str" cm="1">
        <f t="array" ref="E3982">IF(AND(A3982="2021-02", ISNA(MATCH(B3982, _xlfn._xlws.FILTER(B:B, A:A="2021-03"), 0))), "Left", "Ativo")</f>
        <v>Ativo</v>
      </c>
      <c r="F3982" s="12" t="str" cm="1">
        <f t="array" ref="F3982">IF(AND(A3982="2021-03", ISNA(MATCH(B3982, _xlfn._xlws.FILTER(B:B, A:A="2021-04"), 0))), "Left", "Ativo")</f>
        <v>Ativo</v>
      </c>
    </row>
    <row r="3983" spans="1:6" x14ac:dyDescent="0.25">
      <c r="A3983" t="s">
        <v>1532</v>
      </c>
      <c r="B3983" t="s">
        <v>91</v>
      </c>
      <c r="C3983" s="10" t="str" cm="1">
        <f t="array" ref="C3983">IF(AND(A3983="2020-12", ISNA(MATCH(B3983, _xlfn._xlws.FILTER(B:B, A:A="2021-01"), 0))), "Left", "Ativo")</f>
        <v>Ativo</v>
      </c>
      <c r="D3983" s="10" t="str" cm="1">
        <f t="array" ref="D3983">IF(AND(A3983="2021-01", ISNA(MATCH(B3983, _xlfn._xlws.FILTER(B:B, A:A="2021-02"), 0))), "Left", "Ativo")</f>
        <v>Ativo</v>
      </c>
      <c r="E3983" s="10" t="str" cm="1">
        <f t="array" ref="E3983">IF(AND(A3983="2021-02", ISNA(MATCH(B3983, _xlfn._xlws.FILTER(B:B, A:A="2021-03"), 0))), "Left", "Ativo")</f>
        <v>Ativo</v>
      </c>
      <c r="F3983" s="12" t="str" cm="1">
        <f t="array" ref="F3983">IF(AND(A3983="2021-03", ISNA(MATCH(B3983, _xlfn._xlws.FILTER(B:B, A:A="2021-04"), 0))), "Left", "Ativo")</f>
        <v>Ativo</v>
      </c>
    </row>
    <row r="3984" spans="1:6" x14ac:dyDescent="0.25">
      <c r="A3984" t="s">
        <v>1532</v>
      </c>
      <c r="B3984" t="s">
        <v>92</v>
      </c>
      <c r="C3984" s="10" t="str" cm="1">
        <f t="array" ref="C3984">IF(AND(A3984="2020-12", ISNA(MATCH(B3984, _xlfn._xlws.FILTER(B:B, A:A="2021-01"), 0))), "Left", "Ativo")</f>
        <v>Ativo</v>
      </c>
      <c r="D3984" s="10" t="str" cm="1">
        <f t="array" ref="D3984">IF(AND(A3984="2021-01", ISNA(MATCH(B3984, _xlfn._xlws.FILTER(B:B, A:A="2021-02"), 0))), "Left", "Ativo")</f>
        <v>Ativo</v>
      </c>
      <c r="E3984" s="10" t="str" cm="1">
        <f t="array" ref="E3984">IF(AND(A3984="2021-02", ISNA(MATCH(B3984, _xlfn._xlws.FILTER(B:B, A:A="2021-03"), 0))), "Left", "Ativo")</f>
        <v>Ativo</v>
      </c>
      <c r="F3984" s="12" t="str" cm="1">
        <f t="array" ref="F3984">IF(AND(A3984="2021-03", ISNA(MATCH(B3984, _xlfn._xlws.FILTER(B:B, A:A="2021-04"), 0))), "Left", "Ativo")</f>
        <v>Ativo</v>
      </c>
    </row>
    <row r="3985" spans="1:6" x14ac:dyDescent="0.25">
      <c r="A3985" t="s">
        <v>1532</v>
      </c>
      <c r="B3985" t="s">
        <v>93</v>
      </c>
      <c r="C3985" s="10" t="str" cm="1">
        <f t="array" ref="C3985">IF(AND(A3985="2020-12", ISNA(MATCH(B3985, _xlfn._xlws.FILTER(B:B, A:A="2021-01"), 0))), "Left", "Ativo")</f>
        <v>Ativo</v>
      </c>
      <c r="D3985" s="10" t="str" cm="1">
        <f t="array" ref="D3985">IF(AND(A3985="2021-01", ISNA(MATCH(B3985, _xlfn._xlws.FILTER(B:B, A:A="2021-02"), 0))), "Left", "Ativo")</f>
        <v>Ativo</v>
      </c>
      <c r="E3985" s="10" t="str" cm="1">
        <f t="array" ref="E3985">IF(AND(A3985="2021-02", ISNA(MATCH(B3985, _xlfn._xlws.FILTER(B:B, A:A="2021-03"), 0))), "Left", "Ativo")</f>
        <v>Ativo</v>
      </c>
      <c r="F3985" s="12" t="str" cm="1">
        <f t="array" ref="F3985">IF(AND(A3985="2021-03", ISNA(MATCH(B3985, _xlfn._xlws.FILTER(B:B, A:A="2021-04"), 0))), "Left", "Ativo")</f>
        <v>Ativo</v>
      </c>
    </row>
    <row r="3986" spans="1:6" x14ac:dyDescent="0.25">
      <c r="A3986" t="s">
        <v>1532</v>
      </c>
      <c r="B3986" t="s">
        <v>94</v>
      </c>
      <c r="C3986" s="10" t="str" cm="1">
        <f t="array" ref="C3986">IF(AND(A3986="2020-12", ISNA(MATCH(B3986, _xlfn._xlws.FILTER(B:B, A:A="2021-01"), 0))), "Left", "Ativo")</f>
        <v>Ativo</v>
      </c>
      <c r="D3986" s="10" t="str" cm="1">
        <f t="array" ref="D3986">IF(AND(A3986="2021-01", ISNA(MATCH(B3986, _xlfn._xlws.FILTER(B:B, A:A="2021-02"), 0))), "Left", "Ativo")</f>
        <v>Ativo</v>
      </c>
      <c r="E3986" s="10" t="str" cm="1">
        <f t="array" ref="E3986">IF(AND(A3986="2021-02", ISNA(MATCH(B3986, _xlfn._xlws.FILTER(B:B, A:A="2021-03"), 0))), "Left", "Ativo")</f>
        <v>Ativo</v>
      </c>
      <c r="F3986" s="12" t="str" cm="1">
        <f t="array" ref="F3986">IF(AND(A3986="2021-03", ISNA(MATCH(B3986, _xlfn._xlws.FILTER(B:B, A:A="2021-04"), 0))), "Left", "Ativo")</f>
        <v>Ativo</v>
      </c>
    </row>
    <row r="3987" spans="1:6" x14ac:dyDescent="0.25">
      <c r="A3987" t="s">
        <v>1532</v>
      </c>
      <c r="B3987" t="s">
        <v>95</v>
      </c>
      <c r="C3987" s="10" t="str" cm="1">
        <f t="array" ref="C3987">IF(AND(A3987="2020-12", ISNA(MATCH(B3987, _xlfn._xlws.FILTER(B:B, A:A="2021-01"), 0))), "Left", "Ativo")</f>
        <v>Ativo</v>
      </c>
      <c r="D3987" s="10" t="str" cm="1">
        <f t="array" ref="D3987">IF(AND(A3987="2021-01", ISNA(MATCH(B3987, _xlfn._xlws.FILTER(B:B, A:A="2021-02"), 0))), "Left", "Ativo")</f>
        <v>Ativo</v>
      </c>
      <c r="E3987" s="10" t="str" cm="1">
        <f t="array" ref="E3987">IF(AND(A3987="2021-02", ISNA(MATCH(B3987, _xlfn._xlws.FILTER(B:B, A:A="2021-03"), 0))), "Left", "Ativo")</f>
        <v>Ativo</v>
      </c>
      <c r="F3987" s="12" t="str" cm="1">
        <f t="array" ref="F3987">IF(AND(A3987="2021-03", ISNA(MATCH(B3987, _xlfn._xlws.FILTER(B:B, A:A="2021-04"), 0))), "Left", "Ativo")</f>
        <v>Ativo</v>
      </c>
    </row>
    <row r="3988" spans="1:6" x14ac:dyDescent="0.25">
      <c r="A3988" t="s">
        <v>1532</v>
      </c>
      <c r="B3988" t="s">
        <v>96</v>
      </c>
      <c r="C3988" s="10" t="str" cm="1">
        <f t="array" ref="C3988">IF(AND(A3988="2020-12", ISNA(MATCH(B3988, _xlfn._xlws.FILTER(B:B, A:A="2021-01"), 0))), "Left", "Ativo")</f>
        <v>Ativo</v>
      </c>
      <c r="D3988" s="10" t="str" cm="1">
        <f t="array" ref="D3988">IF(AND(A3988="2021-01", ISNA(MATCH(B3988, _xlfn._xlws.FILTER(B:B, A:A="2021-02"), 0))), "Left", "Ativo")</f>
        <v>Ativo</v>
      </c>
      <c r="E3988" s="10" t="str" cm="1">
        <f t="array" ref="E3988">IF(AND(A3988="2021-02", ISNA(MATCH(B3988, _xlfn._xlws.FILTER(B:B, A:A="2021-03"), 0))), "Left", "Ativo")</f>
        <v>Ativo</v>
      </c>
      <c r="F3988" s="12" t="str" cm="1">
        <f t="array" ref="F3988">IF(AND(A3988="2021-03", ISNA(MATCH(B3988, _xlfn._xlws.FILTER(B:B, A:A="2021-04"), 0))), "Left", "Ativo")</f>
        <v>Ativo</v>
      </c>
    </row>
    <row r="3989" spans="1:6" x14ac:dyDescent="0.25">
      <c r="A3989" t="s">
        <v>1532</v>
      </c>
      <c r="B3989" t="s">
        <v>97</v>
      </c>
      <c r="C3989" s="10" t="str" cm="1">
        <f t="array" ref="C3989">IF(AND(A3989="2020-12", ISNA(MATCH(B3989, _xlfn._xlws.FILTER(B:B, A:A="2021-01"), 0))), "Left", "Ativo")</f>
        <v>Ativo</v>
      </c>
      <c r="D3989" s="10" t="str" cm="1">
        <f t="array" ref="D3989">IF(AND(A3989="2021-01", ISNA(MATCH(B3989, _xlfn._xlws.FILTER(B:B, A:A="2021-02"), 0))), "Left", "Ativo")</f>
        <v>Ativo</v>
      </c>
      <c r="E3989" s="10" t="str" cm="1">
        <f t="array" ref="E3989">IF(AND(A3989="2021-02", ISNA(MATCH(B3989, _xlfn._xlws.FILTER(B:B, A:A="2021-03"), 0))), "Left", "Ativo")</f>
        <v>Ativo</v>
      </c>
      <c r="F3989" s="12" t="str" cm="1">
        <f t="array" ref="F3989">IF(AND(A3989="2021-03", ISNA(MATCH(B3989, _xlfn._xlws.FILTER(B:B, A:A="2021-04"), 0))), "Left", "Ativo")</f>
        <v>Ativo</v>
      </c>
    </row>
    <row r="3990" spans="1:6" x14ac:dyDescent="0.25">
      <c r="A3990" t="s">
        <v>1532</v>
      </c>
      <c r="B3990" t="s">
        <v>98</v>
      </c>
      <c r="C3990" s="10" t="str" cm="1">
        <f t="array" ref="C3990">IF(AND(A3990="2020-12", ISNA(MATCH(B3990, _xlfn._xlws.FILTER(B:B, A:A="2021-01"), 0))), "Left", "Ativo")</f>
        <v>Ativo</v>
      </c>
      <c r="D3990" s="10" t="str" cm="1">
        <f t="array" ref="D3990">IF(AND(A3990="2021-01", ISNA(MATCH(B3990, _xlfn._xlws.FILTER(B:B, A:A="2021-02"), 0))), "Left", "Ativo")</f>
        <v>Ativo</v>
      </c>
      <c r="E3990" s="10" t="str" cm="1">
        <f t="array" ref="E3990">IF(AND(A3990="2021-02", ISNA(MATCH(B3990, _xlfn._xlws.FILTER(B:B, A:A="2021-03"), 0))), "Left", "Ativo")</f>
        <v>Ativo</v>
      </c>
      <c r="F3990" s="12" t="str" cm="1">
        <f t="array" ref="F3990">IF(AND(A3990="2021-03", ISNA(MATCH(B3990, _xlfn._xlws.FILTER(B:B, A:A="2021-04"), 0))), "Left", "Ativo")</f>
        <v>Ativo</v>
      </c>
    </row>
    <row r="3991" spans="1:6" x14ac:dyDescent="0.25">
      <c r="A3991" t="s">
        <v>1532</v>
      </c>
      <c r="B3991" t="s">
        <v>99</v>
      </c>
      <c r="C3991" s="10" t="str" cm="1">
        <f t="array" ref="C3991">IF(AND(A3991="2020-12", ISNA(MATCH(B3991, _xlfn._xlws.FILTER(B:B, A:A="2021-01"), 0))), "Left", "Ativo")</f>
        <v>Ativo</v>
      </c>
      <c r="D3991" s="10" t="str" cm="1">
        <f t="array" ref="D3991">IF(AND(A3991="2021-01", ISNA(MATCH(B3991, _xlfn._xlws.FILTER(B:B, A:A="2021-02"), 0))), "Left", "Ativo")</f>
        <v>Ativo</v>
      </c>
      <c r="E3991" s="10" t="str" cm="1">
        <f t="array" ref="E3991">IF(AND(A3991="2021-02", ISNA(MATCH(B3991, _xlfn._xlws.FILTER(B:B, A:A="2021-03"), 0))), "Left", "Ativo")</f>
        <v>Ativo</v>
      </c>
      <c r="F3991" s="12" t="str" cm="1">
        <f t="array" ref="F3991">IF(AND(A3991="2021-03", ISNA(MATCH(B3991, _xlfn._xlws.FILTER(B:B, A:A="2021-04"), 0))), "Left", "Ativo")</f>
        <v>Ativo</v>
      </c>
    </row>
    <row r="3992" spans="1:6" x14ac:dyDescent="0.25">
      <c r="A3992" t="s">
        <v>1532</v>
      </c>
      <c r="B3992" t="s">
        <v>100</v>
      </c>
      <c r="C3992" s="10" t="str" cm="1">
        <f t="array" ref="C3992">IF(AND(A3992="2020-12", ISNA(MATCH(B3992, _xlfn._xlws.FILTER(B:B, A:A="2021-01"), 0))), "Left", "Ativo")</f>
        <v>Ativo</v>
      </c>
      <c r="D3992" s="10" t="str" cm="1">
        <f t="array" ref="D3992">IF(AND(A3992="2021-01", ISNA(MATCH(B3992, _xlfn._xlws.FILTER(B:B, A:A="2021-02"), 0))), "Left", "Ativo")</f>
        <v>Ativo</v>
      </c>
      <c r="E3992" s="10" t="str" cm="1">
        <f t="array" ref="E3992">IF(AND(A3992="2021-02", ISNA(MATCH(B3992, _xlfn._xlws.FILTER(B:B, A:A="2021-03"), 0))), "Left", "Ativo")</f>
        <v>Ativo</v>
      </c>
      <c r="F3992" s="12" t="str" cm="1">
        <f t="array" ref="F3992">IF(AND(A3992="2021-03", ISNA(MATCH(B3992, _xlfn._xlws.FILTER(B:B, A:A="2021-04"), 0))), "Left", "Ativo")</f>
        <v>Ativo</v>
      </c>
    </row>
    <row r="3993" spans="1:6" x14ac:dyDescent="0.25">
      <c r="A3993" t="s">
        <v>1532</v>
      </c>
      <c r="B3993" t="s">
        <v>101</v>
      </c>
      <c r="C3993" s="10" t="str" cm="1">
        <f t="array" ref="C3993">IF(AND(A3993="2020-12", ISNA(MATCH(B3993, _xlfn._xlws.FILTER(B:B, A:A="2021-01"), 0))), "Left", "Ativo")</f>
        <v>Ativo</v>
      </c>
      <c r="D3993" s="10" t="str" cm="1">
        <f t="array" ref="D3993">IF(AND(A3993="2021-01", ISNA(MATCH(B3993, _xlfn._xlws.FILTER(B:B, A:A="2021-02"), 0))), "Left", "Ativo")</f>
        <v>Ativo</v>
      </c>
      <c r="E3993" s="10" t="str" cm="1">
        <f t="array" ref="E3993">IF(AND(A3993="2021-02", ISNA(MATCH(B3993, _xlfn._xlws.FILTER(B:B, A:A="2021-03"), 0))), "Left", "Ativo")</f>
        <v>Ativo</v>
      </c>
      <c r="F3993" s="12" t="str" cm="1">
        <f t="array" ref="F3993">IF(AND(A3993="2021-03", ISNA(MATCH(B3993, _xlfn._xlws.FILTER(B:B, A:A="2021-04"), 0))), "Left", "Ativo")</f>
        <v>Ativo</v>
      </c>
    </row>
    <row r="3994" spans="1:6" x14ac:dyDescent="0.25">
      <c r="A3994" t="s">
        <v>1532</v>
      </c>
      <c r="B3994" t="s">
        <v>102</v>
      </c>
      <c r="C3994" s="10" t="str" cm="1">
        <f t="array" ref="C3994">IF(AND(A3994="2020-12", ISNA(MATCH(B3994, _xlfn._xlws.FILTER(B:B, A:A="2021-01"), 0))), "Left", "Ativo")</f>
        <v>Ativo</v>
      </c>
      <c r="D3994" s="10" t="str" cm="1">
        <f t="array" ref="D3994">IF(AND(A3994="2021-01", ISNA(MATCH(B3994, _xlfn._xlws.FILTER(B:B, A:A="2021-02"), 0))), "Left", "Ativo")</f>
        <v>Ativo</v>
      </c>
      <c r="E3994" s="10" t="str" cm="1">
        <f t="array" ref="E3994">IF(AND(A3994="2021-02", ISNA(MATCH(B3994, _xlfn._xlws.FILTER(B:B, A:A="2021-03"), 0))), "Left", "Ativo")</f>
        <v>Ativo</v>
      </c>
      <c r="F3994" s="12" t="str" cm="1">
        <f t="array" ref="F3994">IF(AND(A3994="2021-03", ISNA(MATCH(B3994, _xlfn._xlws.FILTER(B:B, A:A="2021-04"), 0))), "Left", "Ativo")</f>
        <v>Ativo</v>
      </c>
    </row>
    <row r="3995" spans="1:6" x14ac:dyDescent="0.25">
      <c r="A3995" t="s">
        <v>1532</v>
      </c>
      <c r="B3995" t="s">
        <v>103</v>
      </c>
      <c r="C3995" s="10" t="str" cm="1">
        <f t="array" ref="C3995">IF(AND(A3995="2020-12", ISNA(MATCH(B3995, _xlfn._xlws.FILTER(B:B, A:A="2021-01"), 0))), "Left", "Ativo")</f>
        <v>Ativo</v>
      </c>
      <c r="D3995" s="10" t="str" cm="1">
        <f t="array" ref="D3995">IF(AND(A3995="2021-01", ISNA(MATCH(B3995, _xlfn._xlws.FILTER(B:B, A:A="2021-02"), 0))), "Left", "Ativo")</f>
        <v>Ativo</v>
      </c>
      <c r="E3995" s="10" t="str" cm="1">
        <f t="array" ref="E3995">IF(AND(A3995="2021-02", ISNA(MATCH(B3995, _xlfn._xlws.FILTER(B:B, A:A="2021-03"), 0))), "Left", "Ativo")</f>
        <v>Ativo</v>
      </c>
      <c r="F3995" s="12" t="str" cm="1">
        <f t="array" ref="F3995">IF(AND(A3995="2021-03", ISNA(MATCH(B3995, _xlfn._xlws.FILTER(B:B, A:A="2021-04"), 0))), "Left", "Ativo")</f>
        <v>Ativo</v>
      </c>
    </row>
    <row r="3996" spans="1:6" x14ac:dyDescent="0.25">
      <c r="A3996" t="s">
        <v>1532</v>
      </c>
      <c r="B3996" t="s">
        <v>104</v>
      </c>
      <c r="C3996" s="10" t="str" cm="1">
        <f t="array" ref="C3996">IF(AND(A3996="2020-12", ISNA(MATCH(B3996, _xlfn._xlws.FILTER(B:B, A:A="2021-01"), 0))), "Left", "Ativo")</f>
        <v>Ativo</v>
      </c>
      <c r="D3996" s="10" t="str" cm="1">
        <f t="array" ref="D3996">IF(AND(A3996="2021-01", ISNA(MATCH(B3996, _xlfn._xlws.FILTER(B:B, A:A="2021-02"), 0))), "Left", "Ativo")</f>
        <v>Ativo</v>
      </c>
      <c r="E3996" s="10" t="str" cm="1">
        <f t="array" ref="E3996">IF(AND(A3996="2021-02", ISNA(MATCH(B3996, _xlfn._xlws.FILTER(B:B, A:A="2021-03"), 0))), "Left", "Ativo")</f>
        <v>Ativo</v>
      </c>
      <c r="F3996" s="12" t="str" cm="1">
        <f t="array" ref="F3996">IF(AND(A3996="2021-03", ISNA(MATCH(B3996, _xlfn._xlws.FILTER(B:B, A:A="2021-04"), 0))), "Left", "Ativo")</f>
        <v>Ativo</v>
      </c>
    </row>
    <row r="3997" spans="1:6" x14ac:dyDescent="0.25">
      <c r="A3997" t="s">
        <v>1532</v>
      </c>
      <c r="B3997" t="s">
        <v>105</v>
      </c>
      <c r="C3997" s="10" t="str" cm="1">
        <f t="array" ref="C3997">IF(AND(A3997="2020-12", ISNA(MATCH(B3997, _xlfn._xlws.FILTER(B:B, A:A="2021-01"), 0))), "Left", "Ativo")</f>
        <v>Ativo</v>
      </c>
      <c r="D3997" s="10" t="str" cm="1">
        <f t="array" ref="D3997">IF(AND(A3997="2021-01", ISNA(MATCH(B3997, _xlfn._xlws.FILTER(B:B, A:A="2021-02"), 0))), "Left", "Ativo")</f>
        <v>Ativo</v>
      </c>
      <c r="E3997" s="10" t="str" cm="1">
        <f t="array" ref="E3997">IF(AND(A3997="2021-02", ISNA(MATCH(B3997, _xlfn._xlws.FILTER(B:B, A:A="2021-03"), 0))), "Left", "Ativo")</f>
        <v>Ativo</v>
      </c>
      <c r="F3997" s="12" t="str" cm="1">
        <f t="array" ref="F3997">IF(AND(A3997="2021-03", ISNA(MATCH(B3997, _xlfn._xlws.FILTER(B:B, A:A="2021-04"), 0))), "Left", "Ativo")</f>
        <v>Ativo</v>
      </c>
    </row>
    <row r="3998" spans="1:6" x14ac:dyDescent="0.25">
      <c r="A3998" t="s">
        <v>1532</v>
      </c>
      <c r="B3998" t="s">
        <v>106</v>
      </c>
      <c r="C3998" s="10" t="str" cm="1">
        <f t="array" ref="C3998">IF(AND(A3998="2020-12", ISNA(MATCH(B3998, _xlfn._xlws.FILTER(B:B, A:A="2021-01"), 0))), "Left", "Ativo")</f>
        <v>Ativo</v>
      </c>
      <c r="D3998" s="10" t="str" cm="1">
        <f t="array" ref="D3998">IF(AND(A3998="2021-01", ISNA(MATCH(B3998, _xlfn._xlws.FILTER(B:B, A:A="2021-02"), 0))), "Left", "Ativo")</f>
        <v>Ativo</v>
      </c>
      <c r="E3998" s="10" t="str" cm="1">
        <f t="array" ref="E3998">IF(AND(A3998="2021-02", ISNA(MATCH(B3998, _xlfn._xlws.FILTER(B:B, A:A="2021-03"), 0))), "Left", "Ativo")</f>
        <v>Ativo</v>
      </c>
      <c r="F3998" s="12" t="str" cm="1">
        <f t="array" ref="F3998">IF(AND(A3998="2021-03", ISNA(MATCH(B3998, _xlfn._xlws.FILTER(B:B, A:A="2021-04"), 0))), "Left", "Ativo")</f>
        <v>Ativo</v>
      </c>
    </row>
    <row r="3999" spans="1:6" x14ac:dyDescent="0.25">
      <c r="A3999" t="s">
        <v>1532</v>
      </c>
      <c r="B3999" t="s">
        <v>107</v>
      </c>
      <c r="C3999" s="10" t="str" cm="1">
        <f t="array" ref="C3999">IF(AND(A3999="2020-12", ISNA(MATCH(B3999, _xlfn._xlws.FILTER(B:B, A:A="2021-01"), 0))), "Left", "Ativo")</f>
        <v>Ativo</v>
      </c>
      <c r="D3999" s="10" t="str" cm="1">
        <f t="array" ref="D3999">IF(AND(A3999="2021-01", ISNA(MATCH(B3999, _xlfn._xlws.FILTER(B:B, A:A="2021-02"), 0))), "Left", "Ativo")</f>
        <v>Ativo</v>
      </c>
      <c r="E3999" s="10" t="str" cm="1">
        <f t="array" ref="E3999">IF(AND(A3999="2021-02", ISNA(MATCH(B3999, _xlfn._xlws.FILTER(B:B, A:A="2021-03"), 0))), "Left", "Ativo")</f>
        <v>Ativo</v>
      </c>
      <c r="F3999" s="12" t="str" cm="1">
        <f t="array" ref="F3999">IF(AND(A3999="2021-03", ISNA(MATCH(B3999, _xlfn._xlws.FILTER(B:B, A:A="2021-04"), 0))), "Left", "Ativo")</f>
        <v>Ativo</v>
      </c>
    </row>
    <row r="4000" spans="1:6" x14ac:dyDescent="0.25">
      <c r="A4000" t="s">
        <v>1532</v>
      </c>
      <c r="B4000" t="s">
        <v>108</v>
      </c>
      <c r="C4000" s="10" t="str" cm="1">
        <f t="array" ref="C4000">IF(AND(A4000="2020-12", ISNA(MATCH(B4000, _xlfn._xlws.FILTER(B:B, A:A="2021-01"), 0))), "Left", "Ativo")</f>
        <v>Ativo</v>
      </c>
      <c r="D4000" s="10" t="str" cm="1">
        <f t="array" ref="D4000">IF(AND(A4000="2021-01", ISNA(MATCH(B4000, _xlfn._xlws.FILTER(B:B, A:A="2021-02"), 0))), "Left", "Ativo")</f>
        <v>Ativo</v>
      </c>
      <c r="E4000" s="10" t="str" cm="1">
        <f t="array" ref="E4000">IF(AND(A4000="2021-02", ISNA(MATCH(B4000, _xlfn._xlws.FILTER(B:B, A:A="2021-03"), 0))), "Left", "Ativo")</f>
        <v>Ativo</v>
      </c>
      <c r="F4000" s="12" t="str" cm="1">
        <f t="array" ref="F4000">IF(AND(A4000="2021-03", ISNA(MATCH(B4000, _xlfn._xlws.FILTER(B:B, A:A="2021-04"), 0))), "Left", "Ativo")</f>
        <v>Ativo</v>
      </c>
    </row>
    <row r="4001" spans="1:6" x14ac:dyDescent="0.25">
      <c r="A4001" t="s">
        <v>1532</v>
      </c>
      <c r="B4001" t="s">
        <v>109</v>
      </c>
      <c r="C4001" s="10" t="str" cm="1">
        <f t="array" ref="C4001">IF(AND(A4001="2020-12", ISNA(MATCH(B4001, _xlfn._xlws.FILTER(B:B, A:A="2021-01"), 0))), "Left", "Ativo")</f>
        <v>Ativo</v>
      </c>
      <c r="D4001" s="10" t="str" cm="1">
        <f t="array" ref="D4001">IF(AND(A4001="2021-01", ISNA(MATCH(B4001, _xlfn._xlws.FILTER(B:B, A:A="2021-02"), 0))), "Left", "Ativo")</f>
        <v>Ativo</v>
      </c>
      <c r="E4001" s="10" t="str" cm="1">
        <f t="array" ref="E4001">IF(AND(A4001="2021-02", ISNA(MATCH(B4001, _xlfn._xlws.FILTER(B:B, A:A="2021-03"), 0))), "Left", "Ativo")</f>
        <v>Ativo</v>
      </c>
      <c r="F4001" s="12" t="str" cm="1">
        <f t="array" ref="F4001">IF(AND(A4001="2021-03", ISNA(MATCH(B4001, _xlfn._xlws.FILTER(B:B, A:A="2021-04"), 0))), "Left", "Ativo")</f>
        <v>Ativo</v>
      </c>
    </row>
    <row r="4002" spans="1:6" x14ac:dyDescent="0.25">
      <c r="A4002" t="s">
        <v>1532</v>
      </c>
      <c r="B4002" t="s">
        <v>110</v>
      </c>
      <c r="C4002" s="10" t="str" cm="1">
        <f t="array" ref="C4002">IF(AND(A4002="2020-12", ISNA(MATCH(B4002, _xlfn._xlws.FILTER(B:B, A:A="2021-01"), 0))), "Left", "Ativo")</f>
        <v>Ativo</v>
      </c>
      <c r="D4002" s="10" t="str" cm="1">
        <f t="array" ref="D4002">IF(AND(A4002="2021-01", ISNA(MATCH(B4002, _xlfn._xlws.FILTER(B:B, A:A="2021-02"), 0))), "Left", "Ativo")</f>
        <v>Ativo</v>
      </c>
      <c r="E4002" s="10" t="str" cm="1">
        <f t="array" ref="E4002">IF(AND(A4002="2021-02", ISNA(MATCH(B4002, _xlfn._xlws.FILTER(B:B, A:A="2021-03"), 0))), "Left", "Ativo")</f>
        <v>Ativo</v>
      </c>
      <c r="F4002" s="12" t="str" cm="1">
        <f t="array" ref="F4002">IF(AND(A4002="2021-03", ISNA(MATCH(B4002, _xlfn._xlws.FILTER(B:B, A:A="2021-04"), 0))), "Left", "Ativo")</f>
        <v>Ativo</v>
      </c>
    </row>
    <row r="4003" spans="1:6" x14ac:dyDescent="0.25">
      <c r="A4003" t="s">
        <v>1532</v>
      </c>
      <c r="B4003" t="s">
        <v>111</v>
      </c>
      <c r="C4003" s="10" t="str" cm="1">
        <f t="array" ref="C4003">IF(AND(A4003="2020-12", ISNA(MATCH(B4003, _xlfn._xlws.FILTER(B:B, A:A="2021-01"), 0))), "Left", "Ativo")</f>
        <v>Ativo</v>
      </c>
      <c r="D4003" s="10" t="str" cm="1">
        <f t="array" ref="D4003">IF(AND(A4003="2021-01", ISNA(MATCH(B4003, _xlfn._xlws.FILTER(B:B, A:A="2021-02"), 0))), "Left", "Ativo")</f>
        <v>Ativo</v>
      </c>
      <c r="E4003" s="10" t="str" cm="1">
        <f t="array" ref="E4003">IF(AND(A4003="2021-02", ISNA(MATCH(B4003, _xlfn._xlws.FILTER(B:B, A:A="2021-03"), 0))), "Left", "Ativo")</f>
        <v>Ativo</v>
      </c>
      <c r="F4003" s="12" t="str" cm="1">
        <f t="array" ref="F4003">IF(AND(A4003="2021-03", ISNA(MATCH(B4003, _xlfn._xlws.FILTER(B:B, A:A="2021-04"), 0))), "Left", "Ativo")</f>
        <v>Ativo</v>
      </c>
    </row>
    <row r="4004" spans="1:6" x14ac:dyDescent="0.25">
      <c r="A4004" t="s">
        <v>1532</v>
      </c>
      <c r="B4004" t="s">
        <v>112</v>
      </c>
      <c r="C4004" s="10" t="str" cm="1">
        <f t="array" ref="C4004">IF(AND(A4004="2020-12", ISNA(MATCH(B4004, _xlfn._xlws.FILTER(B:B, A:A="2021-01"), 0))), "Left", "Ativo")</f>
        <v>Ativo</v>
      </c>
      <c r="D4004" s="10" t="str" cm="1">
        <f t="array" ref="D4004">IF(AND(A4004="2021-01", ISNA(MATCH(B4004, _xlfn._xlws.FILTER(B:B, A:A="2021-02"), 0))), "Left", "Ativo")</f>
        <v>Ativo</v>
      </c>
      <c r="E4004" s="10" t="str" cm="1">
        <f t="array" ref="E4004">IF(AND(A4004="2021-02", ISNA(MATCH(B4004, _xlfn._xlws.FILTER(B:B, A:A="2021-03"), 0))), "Left", "Ativo")</f>
        <v>Ativo</v>
      </c>
      <c r="F4004" s="12" t="str" cm="1">
        <f t="array" ref="F4004">IF(AND(A4004="2021-03", ISNA(MATCH(B4004, _xlfn._xlws.FILTER(B:B, A:A="2021-04"), 0))), "Left", "Ativo")</f>
        <v>Ativo</v>
      </c>
    </row>
    <row r="4005" spans="1:6" x14ac:dyDescent="0.25">
      <c r="A4005" t="s">
        <v>1532</v>
      </c>
      <c r="B4005" t="s">
        <v>114</v>
      </c>
      <c r="C4005" s="10" t="str" cm="1">
        <f t="array" ref="C4005">IF(AND(A4005="2020-12", ISNA(MATCH(B4005, _xlfn._xlws.FILTER(B:B, A:A="2021-01"), 0))), "Left", "Ativo")</f>
        <v>Ativo</v>
      </c>
      <c r="D4005" s="10" t="str" cm="1">
        <f t="array" ref="D4005">IF(AND(A4005="2021-01", ISNA(MATCH(B4005, _xlfn._xlws.FILTER(B:B, A:A="2021-02"), 0))), "Left", "Ativo")</f>
        <v>Ativo</v>
      </c>
      <c r="E4005" s="10" t="str" cm="1">
        <f t="array" ref="E4005">IF(AND(A4005="2021-02", ISNA(MATCH(B4005, _xlfn._xlws.FILTER(B:B, A:A="2021-03"), 0))), "Left", "Ativo")</f>
        <v>Ativo</v>
      </c>
      <c r="F4005" s="12" t="str" cm="1">
        <f t="array" ref="F4005">IF(AND(A4005="2021-03", ISNA(MATCH(B4005, _xlfn._xlws.FILTER(B:B, A:A="2021-04"), 0))), "Left", "Ativo")</f>
        <v>Ativo</v>
      </c>
    </row>
    <row r="4006" spans="1:6" x14ac:dyDescent="0.25">
      <c r="A4006" t="s">
        <v>1532</v>
      </c>
      <c r="B4006" t="s">
        <v>115</v>
      </c>
      <c r="C4006" s="10" t="str" cm="1">
        <f t="array" ref="C4006">IF(AND(A4006="2020-12", ISNA(MATCH(B4006, _xlfn._xlws.FILTER(B:B, A:A="2021-01"), 0))), "Left", "Ativo")</f>
        <v>Ativo</v>
      </c>
      <c r="D4006" s="10" t="str" cm="1">
        <f t="array" ref="D4006">IF(AND(A4006="2021-01", ISNA(MATCH(B4006, _xlfn._xlws.FILTER(B:B, A:A="2021-02"), 0))), "Left", "Ativo")</f>
        <v>Ativo</v>
      </c>
      <c r="E4006" s="10" t="str" cm="1">
        <f t="array" ref="E4006">IF(AND(A4006="2021-02", ISNA(MATCH(B4006, _xlfn._xlws.FILTER(B:B, A:A="2021-03"), 0))), "Left", "Ativo")</f>
        <v>Ativo</v>
      </c>
      <c r="F4006" s="12" t="str" cm="1">
        <f t="array" ref="F4006">IF(AND(A4006="2021-03", ISNA(MATCH(B4006, _xlfn._xlws.FILTER(B:B, A:A="2021-04"), 0))), "Left", "Ativo")</f>
        <v>Ativo</v>
      </c>
    </row>
    <row r="4007" spans="1:6" x14ac:dyDescent="0.25">
      <c r="A4007" t="s">
        <v>1532</v>
      </c>
      <c r="B4007" t="s">
        <v>117</v>
      </c>
      <c r="C4007" s="10" t="str" cm="1">
        <f t="array" ref="C4007">IF(AND(A4007="2020-12", ISNA(MATCH(B4007, _xlfn._xlws.FILTER(B:B, A:A="2021-01"), 0))), "Left", "Ativo")</f>
        <v>Ativo</v>
      </c>
      <c r="D4007" s="10" t="str" cm="1">
        <f t="array" ref="D4007">IF(AND(A4007="2021-01", ISNA(MATCH(B4007, _xlfn._xlws.FILTER(B:B, A:A="2021-02"), 0))), "Left", "Ativo")</f>
        <v>Ativo</v>
      </c>
      <c r="E4007" s="10" t="str" cm="1">
        <f t="array" ref="E4007">IF(AND(A4007="2021-02", ISNA(MATCH(B4007, _xlfn._xlws.FILTER(B:B, A:A="2021-03"), 0))), "Left", "Ativo")</f>
        <v>Ativo</v>
      </c>
      <c r="F4007" s="12" t="str" cm="1">
        <f t="array" ref="F4007">IF(AND(A4007="2021-03", ISNA(MATCH(B4007, _xlfn._xlws.FILTER(B:B, A:A="2021-04"), 0))), "Left", "Ativo")</f>
        <v>Ativo</v>
      </c>
    </row>
    <row r="4008" spans="1:6" x14ac:dyDescent="0.25">
      <c r="A4008" t="s">
        <v>1532</v>
      </c>
      <c r="B4008" t="s">
        <v>118</v>
      </c>
      <c r="C4008" s="10" t="str" cm="1">
        <f t="array" ref="C4008">IF(AND(A4008="2020-12", ISNA(MATCH(B4008, _xlfn._xlws.FILTER(B:B, A:A="2021-01"), 0))), "Left", "Ativo")</f>
        <v>Ativo</v>
      </c>
      <c r="D4008" s="10" t="str" cm="1">
        <f t="array" ref="D4008">IF(AND(A4008="2021-01", ISNA(MATCH(B4008, _xlfn._xlws.FILTER(B:B, A:A="2021-02"), 0))), "Left", "Ativo")</f>
        <v>Ativo</v>
      </c>
      <c r="E4008" s="10" t="str" cm="1">
        <f t="array" ref="E4008">IF(AND(A4008="2021-02", ISNA(MATCH(B4008, _xlfn._xlws.FILTER(B:B, A:A="2021-03"), 0))), "Left", "Ativo")</f>
        <v>Ativo</v>
      </c>
      <c r="F4008" s="12" t="str" cm="1">
        <f t="array" ref="F4008">IF(AND(A4008="2021-03", ISNA(MATCH(B4008, _xlfn._xlws.FILTER(B:B, A:A="2021-04"), 0))), "Left", "Ativo")</f>
        <v>Ativo</v>
      </c>
    </row>
    <row r="4009" spans="1:6" x14ac:dyDescent="0.25">
      <c r="A4009" t="s">
        <v>1532</v>
      </c>
      <c r="B4009" t="s">
        <v>119</v>
      </c>
      <c r="C4009" s="10" t="str" cm="1">
        <f t="array" ref="C4009">IF(AND(A4009="2020-12", ISNA(MATCH(B4009, _xlfn._xlws.FILTER(B:B, A:A="2021-01"), 0))), "Left", "Ativo")</f>
        <v>Ativo</v>
      </c>
      <c r="D4009" s="10" t="str" cm="1">
        <f t="array" ref="D4009">IF(AND(A4009="2021-01", ISNA(MATCH(B4009, _xlfn._xlws.FILTER(B:B, A:A="2021-02"), 0))), "Left", "Ativo")</f>
        <v>Ativo</v>
      </c>
      <c r="E4009" s="10" t="str" cm="1">
        <f t="array" ref="E4009">IF(AND(A4009="2021-02", ISNA(MATCH(B4009, _xlfn._xlws.FILTER(B:B, A:A="2021-03"), 0))), "Left", "Ativo")</f>
        <v>Ativo</v>
      </c>
      <c r="F4009" s="12" t="str" cm="1">
        <f t="array" ref="F4009">IF(AND(A4009="2021-03", ISNA(MATCH(B4009, _xlfn._xlws.FILTER(B:B, A:A="2021-04"), 0))), "Left", "Ativo")</f>
        <v>Ativo</v>
      </c>
    </row>
    <row r="4010" spans="1:6" x14ac:dyDescent="0.25">
      <c r="A4010" t="s">
        <v>1532</v>
      </c>
      <c r="B4010" t="s">
        <v>120</v>
      </c>
      <c r="C4010" s="10" t="str" cm="1">
        <f t="array" ref="C4010">IF(AND(A4010="2020-12", ISNA(MATCH(B4010, _xlfn._xlws.FILTER(B:B, A:A="2021-01"), 0))), "Left", "Ativo")</f>
        <v>Ativo</v>
      </c>
      <c r="D4010" s="10" t="str" cm="1">
        <f t="array" ref="D4010">IF(AND(A4010="2021-01", ISNA(MATCH(B4010, _xlfn._xlws.FILTER(B:B, A:A="2021-02"), 0))), "Left", "Ativo")</f>
        <v>Ativo</v>
      </c>
      <c r="E4010" s="10" t="str" cm="1">
        <f t="array" ref="E4010">IF(AND(A4010="2021-02", ISNA(MATCH(B4010, _xlfn._xlws.FILTER(B:B, A:A="2021-03"), 0))), "Left", "Ativo")</f>
        <v>Ativo</v>
      </c>
      <c r="F4010" s="12" t="str" cm="1">
        <f t="array" ref="F4010">IF(AND(A4010="2021-03", ISNA(MATCH(B4010, _xlfn._xlws.FILTER(B:B, A:A="2021-04"), 0))), "Left", "Ativo")</f>
        <v>Ativo</v>
      </c>
    </row>
    <row r="4011" spans="1:6" x14ac:dyDescent="0.25">
      <c r="A4011" t="s">
        <v>1532</v>
      </c>
      <c r="B4011" t="s">
        <v>121</v>
      </c>
      <c r="C4011" s="10" t="str" cm="1">
        <f t="array" ref="C4011">IF(AND(A4011="2020-12", ISNA(MATCH(B4011, _xlfn._xlws.FILTER(B:B, A:A="2021-01"), 0))), "Left", "Ativo")</f>
        <v>Ativo</v>
      </c>
      <c r="D4011" s="10" t="str" cm="1">
        <f t="array" ref="D4011">IF(AND(A4011="2021-01", ISNA(MATCH(B4011, _xlfn._xlws.FILTER(B:B, A:A="2021-02"), 0))), "Left", "Ativo")</f>
        <v>Ativo</v>
      </c>
      <c r="E4011" s="10" t="str" cm="1">
        <f t="array" ref="E4011">IF(AND(A4011="2021-02", ISNA(MATCH(B4011, _xlfn._xlws.FILTER(B:B, A:A="2021-03"), 0))), "Left", "Ativo")</f>
        <v>Ativo</v>
      </c>
      <c r="F4011" s="12" t="str" cm="1">
        <f t="array" ref="F4011">IF(AND(A4011="2021-03", ISNA(MATCH(B4011, _xlfn._xlws.FILTER(B:B, A:A="2021-04"), 0))), "Left", "Ativo")</f>
        <v>Ativo</v>
      </c>
    </row>
    <row r="4012" spans="1:6" x14ac:dyDescent="0.25">
      <c r="A4012" t="s">
        <v>1532</v>
      </c>
      <c r="B4012" t="s">
        <v>122</v>
      </c>
      <c r="C4012" s="10" t="str" cm="1">
        <f t="array" ref="C4012">IF(AND(A4012="2020-12", ISNA(MATCH(B4012, _xlfn._xlws.FILTER(B:B, A:A="2021-01"), 0))), "Left", "Ativo")</f>
        <v>Ativo</v>
      </c>
      <c r="D4012" s="10" t="str" cm="1">
        <f t="array" ref="D4012">IF(AND(A4012="2021-01", ISNA(MATCH(B4012, _xlfn._xlws.FILTER(B:B, A:A="2021-02"), 0))), "Left", "Ativo")</f>
        <v>Ativo</v>
      </c>
      <c r="E4012" s="10" t="str" cm="1">
        <f t="array" ref="E4012">IF(AND(A4012="2021-02", ISNA(MATCH(B4012, _xlfn._xlws.FILTER(B:B, A:A="2021-03"), 0))), "Left", "Ativo")</f>
        <v>Ativo</v>
      </c>
      <c r="F4012" s="12" t="str" cm="1">
        <f t="array" ref="F4012">IF(AND(A4012="2021-03", ISNA(MATCH(B4012, _xlfn._xlws.FILTER(B:B, A:A="2021-04"), 0))), "Left", "Ativo")</f>
        <v>Ativo</v>
      </c>
    </row>
    <row r="4013" spans="1:6" x14ac:dyDescent="0.25">
      <c r="A4013" t="s">
        <v>1532</v>
      </c>
      <c r="B4013" t="s">
        <v>123</v>
      </c>
      <c r="C4013" s="10" t="str" cm="1">
        <f t="array" ref="C4013">IF(AND(A4013="2020-12", ISNA(MATCH(B4013, _xlfn._xlws.FILTER(B:B, A:A="2021-01"), 0))), "Left", "Ativo")</f>
        <v>Ativo</v>
      </c>
      <c r="D4013" s="10" t="str" cm="1">
        <f t="array" ref="D4013">IF(AND(A4013="2021-01", ISNA(MATCH(B4013, _xlfn._xlws.FILTER(B:B, A:A="2021-02"), 0))), "Left", "Ativo")</f>
        <v>Ativo</v>
      </c>
      <c r="E4013" s="10" t="str" cm="1">
        <f t="array" ref="E4013">IF(AND(A4013="2021-02", ISNA(MATCH(B4013, _xlfn._xlws.FILTER(B:B, A:A="2021-03"), 0))), "Left", "Ativo")</f>
        <v>Ativo</v>
      </c>
      <c r="F4013" s="12" t="str" cm="1">
        <f t="array" ref="F4013">IF(AND(A4013="2021-03", ISNA(MATCH(B4013, _xlfn._xlws.FILTER(B:B, A:A="2021-04"), 0))), "Left", "Ativo")</f>
        <v>Ativo</v>
      </c>
    </row>
    <row r="4014" spans="1:6" x14ac:dyDescent="0.25">
      <c r="A4014" t="s">
        <v>1532</v>
      </c>
      <c r="B4014" t="s">
        <v>124</v>
      </c>
      <c r="C4014" s="10" t="str" cm="1">
        <f t="array" ref="C4014">IF(AND(A4014="2020-12", ISNA(MATCH(B4014, _xlfn._xlws.FILTER(B:B, A:A="2021-01"), 0))), "Left", "Ativo")</f>
        <v>Ativo</v>
      </c>
      <c r="D4014" s="10" t="str" cm="1">
        <f t="array" ref="D4014">IF(AND(A4014="2021-01", ISNA(MATCH(B4014, _xlfn._xlws.FILTER(B:B, A:A="2021-02"), 0))), "Left", "Ativo")</f>
        <v>Ativo</v>
      </c>
      <c r="E4014" s="10" t="str" cm="1">
        <f t="array" ref="E4014">IF(AND(A4014="2021-02", ISNA(MATCH(B4014, _xlfn._xlws.FILTER(B:B, A:A="2021-03"), 0))), "Left", "Ativo")</f>
        <v>Ativo</v>
      </c>
      <c r="F4014" s="12" t="str" cm="1">
        <f t="array" ref="F4014">IF(AND(A4014="2021-03", ISNA(MATCH(B4014, _xlfn._xlws.FILTER(B:B, A:A="2021-04"), 0))), "Left", "Ativo")</f>
        <v>Ativo</v>
      </c>
    </row>
    <row r="4015" spans="1:6" x14ac:dyDescent="0.25">
      <c r="A4015" t="s">
        <v>1532</v>
      </c>
      <c r="B4015" t="s">
        <v>125</v>
      </c>
      <c r="C4015" s="10" t="str" cm="1">
        <f t="array" ref="C4015">IF(AND(A4015="2020-12", ISNA(MATCH(B4015, _xlfn._xlws.FILTER(B:B, A:A="2021-01"), 0))), "Left", "Ativo")</f>
        <v>Ativo</v>
      </c>
      <c r="D4015" s="10" t="str" cm="1">
        <f t="array" ref="D4015">IF(AND(A4015="2021-01", ISNA(MATCH(B4015, _xlfn._xlws.FILTER(B:B, A:A="2021-02"), 0))), "Left", "Ativo")</f>
        <v>Ativo</v>
      </c>
      <c r="E4015" s="10" t="str" cm="1">
        <f t="array" ref="E4015">IF(AND(A4015="2021-02", ISNA(MATCH(B4015, _xlfn._xlws.FILTER(B:B, A:A="2021-03"), 0))), "Left", "Ativo")</f>
        <v>Ativo</v>
      </c>
      <c r="F4015" s="12" t="str" cm="1">
        <f t="array" ref="F4015">IF(AND(A4015="2021-03", ISNA(MATCH(B4015, _xlfn._xlws.FILTER(B:B, A:A="2021-04"), 0))), "Left", "Ativo")</f>
        <v>Ativo</v>
      </c>
    </row>
    <row r="4016" spans="1:6" x14ac:dyDescent="0.25">
      <c r="A4016" t="s">
        <v>1532</v>
      </c>
      <c r="B4016" t="s">
        <v>126</v>
      </c>
      <c r="C4016" s="10" t="str" cm="1">
        <f t="array" ref="C4016">IF(AND(A4016="2020-12", ISNA(MATCH(B4016, _xlfn._xlws.FILTER(B:B, A:A="2021-01"), 0))), "Left", "Ativo")</f>
        <v>Ativo</v>
      </c>
      <c r="D4016" s="10" t="str" cm="1">
        <f t="array" ref="D4016">IF(AND(A4016="2021-01", ISNA(MATCH(B4016, _xlfn._xlws.FILTER(B:B, A:A="2021-02"), 0))), "Left", "Ativo")</f>
        <v>Ativo</v>
      </c>
      <c r="E4016" s="10" t="str" cm="1">
        <f t="array" ref="E4016">IF(AND(A4016="2021-02", ISNA(MATCH(B4016, _xlfn._xlws.FILTER(B:B, A:A="2021-03"), 0))), "Left", "Ativo")</f>
        <v>Ativo</v>
      </c>
      <c r="F4016" s="12" t="str" cm="1">
        <f t="array" ref="F4016">IF(AND(A4016="2021-03", ISNA(MATCH(B4016, _xlfn._xlws.FILTER(B:B, A:A="2021-04"), 0))), "Left", "Ativo")</f>
        <v>Ativo</v>
      </c>
    </row>
    <row r="4017" spans="1:6" x14ac:dyDescent="0.25">
      <c r="A4017" t="s">
        <v>1532</v>
      </c>
      <c r="B4017" t="s">
        <v>127</v>
      </c>
      <c r="C4017" s="10" t="str" cm="1">
        <f t="array" ref="C4017">IF(AND(A4017="2020-12", ISNA(MATCH(B4017, _xlfn._xlws.FILTER(B:B, A:A="2021-01"), 0))), "Left", "Ativo")</f>
        <v>Ativo</v>
      </c>
      <c r="D4017" s="10" t="str" cm="1">
        <f t="array" ref="D4017">IF(AND(A4017="2021-01", ISNA(MATCH(B4017, _xlfn._xlws.FILTER(B:B, A:A="2021-02"), 0))), "Left", "Ativo")</f>
        <v>Ativo</v>
      </c>
      <c r="E4017" s="10" t="str" cm="1">
        <f t="array" ref="E4017">IF(AND(A4017="2021-02", ISNA(MATCH(B4017, _xlfn._xlws.FILTER(B:B, A:A="2021-03"), 0))), "Left", "Ativo")</f>
        <v>Ativo</v>
      </c>
      <c r="F4017" s="12" t="str" cm="1">
        <f t="array" ref="F4017">IF(AND(A4017="2021-03", ISNA(MATCH(B4017, _xlfn._xlws.FILTER(B:B, A:A="2021-04"), 0))), "Left", "Ativo")</f>
        <v>Ativo</v>
      </c>
    </row>
    <row r="4018" spans="1:6" x14ac:dyDescent="0.25">
      <c r="A4018" t="s">
        <v>1532</v>
      </c>
      <c r="B4018" t="s">
        <v>128</v>
      </c>
      <c r="C4018" s="10" t="str" cm="1">
        <f t="array" ref="C4018">IF(AND(A4018="2020-12", ISNA(MATCH(B4018, _xlfn._xlws.FILTER(B:B, A:A="2021-01"), 0))), "Left", "Ativo")</f>
        <v>Ativo</v>
      </c>
      <c r="D4018" s="10" t="str" cm="1">
        <f t="array" ref="D4018">IF(AND(A4018="2021-01", ISNA(MATCH(B4018, _xlfn._xlws.FILTER(B:B, A:A="2021-02"), 0))), "Left", "Ativo")</f>
        <v>Ativo</v>
      </c>
      <c r="E4018" s="10" t="str" cm="1">
        <f t="array" ref="E4018">IF(AND(A4018="2021-02", ISNA(MATCH(B4018, _xlfn._xlws.FILTER(B:B, A:A="2021-03"), 0))), "Left", "Ativo")</f>
        <v>Ativo</v>
      </c>
      <c r="F4018" s="12" t="str" cm="1">
        <f t="array" ref="F4018">IF(AND(A4018="2021-03", ISNA(MATCH(B4018, _xlfn._xlws.FILTER(B:B, A:A="2021-04"), 0))), "Left", "Ativo")</f>
        <v>Ativo</v>
      </c>
    </row>
    <row r="4019" spans="1:6" x14ac:dyDescent="0.25">
      <c r="A4019" t="s">
        <v>1532</v>
      </c>
      <c r="B4019" t="s">
        <v>129</v>
      </c>
      <c r="C4019" s="10" t="str" cm="1">
        <f t="array" ref="C4019">IF(AND(A4019="2020-12", ISNA(MATCH(B4019, _xlfn._xlws.FILTER(B:B, A:A="2021-01"), 0))), "Left", "Ativo")</f>
        <v>Ativo</v>
      </c>
      <c r="D4019" s="10" t="str" cm="1">
        <f t="array" ref="D4019">IF(AND(A4019="2021-01", ISNA(MATCH(B4019, _xlfn._xlws.FILTER(B:B, A:A="2021-02"), 0))), "Left", "Ativo")</f>
        <v>Ativo</v>
      </c>
      <c r="E4019" s="10" t="str" cm="1">
        <f t="array" ref="E4019">IF(AND(A4019="2021-02", ISNA(MATCH(B4019, _xlfn._xlws.FILTER(B:B, A:A="2021-03"), 0))), "Left", "Ativo")</f>
        <v>Ativo</v>
      </c>
      <c r="F4019" s="12" t="str" cm="1">
        <f t="array" ref="F4019">IF(AND(A4019="2021-03", ISNA(MATCH(B4019, _xlfn._xlws.FILTER(B:B, A:A="2021-04"), 0))), "Left", "Ativo")</f>
        <v>Ativo</v>
      </c>
    </row>
    <row r="4020" spans="1:6" x14ac:dyDescent="0.25">
      <c r="A4020" t="s">
        <v>1532</v>
      </c>
      <c r="B4020" t="s">
        <v>130</v>
      </c>
      <c r="C4020" s="10" t="str" cm="1">
        <f t="array" ref="C4020">IF(AND(A4020="2020-12", ISNA(MATCH(B4020, _xlfn._xlws.FILTER(B:B, A:A="2021-01"), 0))), "Left", "Ativo")</f>
        <v>Ativo</v>
      </c>
      <c r="D4020" s="10" t="str" cm="1">
        <f t="array" ref="D4020">IF(AND(A4020="2021-01", ISNA(MATCH(B4020, _xlfn._xlws.FILTER(B:B, A:A="2021-02"), 0))), "Left", "Ativo")</f>
        <v>Ativo</v>
      </c>
      <c r="E4020" s="10" t="str" cm="1">
        <f t="array" ref="E4020">IF(AND(A4020="2021-02", ISNA(MATCH(B4020, _xlfn._xlws.FILTER(B:B, A:A="2021-03"), 0))), "Left", "Ativo")</f>
        <v>Ativo</v>
      </c>
      <c r="F4020" s="12" t="str" cm="1">
        <f t="array" ref="F4020">IF(AND(A4020="2021-03", ISNA(MATCH(B4020, _xlfn._xlws.FILTER(B:B, A:A="2021-04"), 0))), "Left", "Ativo")</f>
        <v>Ativo</v>
      </c>
    </row>
    <row r="4021" spans="1:6" x14ac:dyDescent="0.25">
      <c r="A4021" t="s">
        <v>1532</v>
      </c>
      <c r="B4021" t="s">
        <v>131</v>
      </c>
      <c r="C4021" s="10" t="str" cm="1">
        <f t="array" ref="C4021">IF(AND(A4021="2020-12", ISNA(MATCH(B4021, _xlfn._xlws.FILTER(B:B, A:A="2021-01"), 0))), "Left", "Ativo")</f>
        <v>Ativo</v>
      </c>
      <c r="D4021" s="10" t="str" cm="1">
        <f t="array" ref="D4021">IF(AND(A4021="2021-01", ISNA(MATCH(B4021, _xlfn._xlws.FILTER(B:B, A:A="2021-02"), 0))), "Left", "Ativo")</f>
        <v>Ativo</v>
      </c>
      <c r="E4021" s="10" t="str" cm="1">
        <f t="array" ref="E4021">IF(AND(A4021="2021-02", ISNA(MATCH(B4021, _xlfn._xlws.FILTER(B:B, A:A="2021-03"), 0))), "Left", "Ativo")</f>
        <v>Ativo</v>
      </c>
      <c r="F4021" s="12" t="str" cm="1">
        <f t="array" ref="F4021">IF(AND(A4021="2021-03", ISNA(MATCH(B4021, _xlfn._xlws.FILTER(B:B, A:A="2021-04"), 0))), "Left", "Ativo")</f>
        <v>Ativo</v>
      </c>
    </row>
    <row r="4022" spans="1:6" x14ac:dyDescent="0.25">
      <c r="A4022" t="s">
        <v>1532</v>
      </c>
      <c r="B4022" t="s">
        <v>132</v>
      </c>
      <c r="C4022" s="10" t="str" cm="1">
        <f t="array" ref="C4022">IF(AND(A4022="2020-12", ISNA(MATCH(B4022, _xlfn._xlws.FILTER(B:B, A:A="2021-01"), 0))), "Left", "Ativo")</f>
        <v>Ativo</v>
      </c>
      <c r="D4022" s="10" t="str" cm="1">
        <f t="array" ref="D4022">IF(AND(A4022="2021-01", ISNA(MATCH(B4022, _xlfn._xlws.FILTER(B:B, A:A="2021-02"), 0))), "Left", "Ativo")</f>
        <v>Ativo</v>
      </c>
      <c r="E4022" s="10" t="str" cm="1">
        <f t="array" ref="E4022">IF(AND(A4022="2021-02", ISNA(MATCH(B4022, _xlfn._xlws.FILTER(B:B, A:A="2021-03"), 0))), "Left", "Ativo")</f>
        <v>Ativo</v>
      </c>
      <c r="F4022" s="12" t="str" cm="1">
        <f t="array" ref="F4022">IF(AND(A4022="2021-03", ISNA(MATCH(B4022, _xlfn._xlws.FILTER(B:B, A:A="2021-04"), 0))), "Left", "Ativo")</f>
        <v>Ativo</v>
      </c>
    </row>
    <row r="4023" spans="1:6" x14ac:dyDescent="0.25">
      <c r="A4023" t="s">
        <v>1532</v>
      </c>
      <c r="B4023" t="s">
        <v>133</v>
      </c>
      <c r="C4023" s="10" t="str" cm="1">
        <f t="array" ref="C4023">IF(AND(A4023="2020-12", ISNA(MATCH(B4023, _xlfn._xlws.FILTER(B:B, A:A="2021-01"), 0))), "Left", "Ativo")</f>
        <v>Ativo</v>
      </c>
      <c r="D4023" s="10" t="str" cm="1">
        <f t="array" ref="D4023">IF(AND(A4023="2021-01", ISNA(MATCH(B4023, _xlfn._xlws.FILTER(B:B, A:A="2021-02"), 0))), "Left", "Ativo")</f>
        <v>Ativo</v>
      </c>
      <c r="E4023" s="10" t="str" cm="1">
        <f t="array" ref="E4023">IF(AND(A4023="2021-02", ISNA(MATCH(B4023, _xlfn._xlws.FILTER(B:B, A:A="2021-03"), 0))), "Left", "Ativo")</f>
        <v>Ativo</v>
      </c>
      <c r="F4023" s="12" t="str" cm="1">
        <f t="array" ref="F4023">IF(AND(A4023="2021-03", ISNA(MATCH(B4023, _xlfn._xlws.FILTER(B:B, A:A="2021-04"), 0))), "Left", "Ativo")</f>
        <v>Ativo</v>
      </c>
    </row>
    <row r="4024" spans="1:6" x14ac:dyDescent="0.25">
      <c r="A4024" t="s">
        <v>1532</v>
      </c>
      <c r="B4024" t="s">
        <v>134</v>
      </c>
      <c r="C4024" s="10" t="str" cm="1">
        <f t="array" ref="C4024">IF(AND(A4024="2020-12", ISNA(MATCH(B4024, _xlfn._xlws.FILTER(B:B, A:A="2021-01"), 0))), "Left", "Ativo")</f>
        <v>Ativo</v>
      </c>
      <c r="D4024" s="10" t="str" cm="1">
        <f t="array" ref="D4024">IF(AND(A4024="2021-01", ISNA(MATCH(B4024, _xlfn._xlws.FILTER(B:B, A:A="2021-02"), 0))), "Left", "Ativo")</f>
        <v>Ativo</v>
      </c>
      <c r="E4024" s="10" t="str" cm="1">
        <f t="array" ref="E4024">IF(AND(A4024="2021-02", ISNA(MATCH(B4024, _xlfn._xlws.FILTER(B:B, A:A="2021-03"), 0))), "Left", "Ativo")</f>
        <v>Ativo</v>
      </c>
      <c r="F4024" s="12" t="str" cm="1">
        <f t="array" ref="F4024">IF(AND(A4024="2021-03", ISNA(MATCH(B4024, _xlfn._xlws.FILTER(B:B, A:A="2021-04"), 0))), "Left", "Ativo")</f>
        <v>Ativo</v>
      </c>
    </row>
    <row r="4025" spans="1:6" x14ac:dyDescent="0.25">
      <c r="A4025" t="s">
        <v>1532</v>
      </c>
      <c r="B4025" t="s">
        <v>135</v>
      </c>
      <c r="C4025" s="10" t="str" cm="1">
        <f t="array" ref="C4025">IF(AND(A4025="2020-12", ISNA(MATCH(B4025, _xlfn._xlws.FILTER(B:B, A:A="2021-01"), 0))), "Left", "Ativo")</f>
        <v>Ativo</v>
      </c>
      <c r="D4025" s="10" t="str" cm="1">
        <f t="array" ref="D4025">IF(AND(A4025="2021-01", ISNA(MATCH(B4025, _xlfn._xlws.FILTER(B:B, A:A="2021-02"), 0))), "Left", "Ativo")</f>
        <v>Ativo</v>
      </c>
      <c r="E4025" s="10" t="str" cm="1">
        <f t="array" ref="E4025">IF(AND(A4025="2021-02", ISNA(MATCH(B4025, _xlfn._xlws.FILTER(B:B, A:A="2021-03"), 0))), "Left", "Ativo")</f>
        <v>Ativo</v>
      </c>
      <c r="F4025" s="12" t="str" cm="1">
        <f t="array" ref="F4025">IF(AND(A4025="2021-03", ISNA(MATCH(B4025, _xlfn._xlws.FILTER(B:B, A:A="2021-04"), 0))), "Left", "Ativo")</f>
        <v>Ativo</v>
      </c>
    </row>
    <row r="4026" spans="1:6" x14ac:dyDescent="0.25">
      <c r="A4026" t="s">
        <v>1532</v>
      </c>
      <c r="B4026" t="s">
        <v>136</v>
      </c>
      <c r="C4026" s="10" t="str" cm="1">
        <f t="array" ref="C4026">IF(AND(A4026="2020-12", ISNA(MATCH(B4026, _xlfn._xlws.FILTER(B:B, A:A="2021-01"), 0))), "Left", "Ativo")</f>
        <v>Ativo</v>
      </c>
      <c r="D4026" s="10" t="str" cm="1">
        <f t="array" ref="D4026">IF(AND(A4026="2021-01", ISNA(MATCH(B4026, _xlfn._xlws.FILTER(B:B, A:A="2021-02"), 0))), "Left", "Ativo")</f>
        <v>Ativo</v>
      </c>
      <c r="E4026" s="10" t="str" cm="1">
        <f t="array" ref="E4026">IF(AND(A4026="2021-02", ISNA(MATCH(B4026, _xlfn._xlws.FILTER(B:B, A:A="2021-03"), 0))), "Left", "Ativo")</f>
        <v>Ativo</v>
      </c>
      <c r="F4026" s="12" t="str" cm="1">
        <f t="array" ref="F4026">IF(AND(A4026="2021-03", ISNA(MATCH(B4026, _xlfn._xlws.FILTER(B:B, A:A="2021-04"), 0))), "Left", "Ativo")</f>
        <v>Ativo</v>
      </c>
    </row>
    <row r="4027" spans="1:6" x14ac:dyDescent="0.25">
      <c r="A4027" t="s">
        <v>1532</v>
      </c>
      <c r="B4027" t="s">
        <v>137</v>
      </c>
      <c r="C4027" s="10" t="str" cm="1">
        <f t="array" ref="C4027">IF(AND(A4027="2020-12", ISNA(MATCH(B4027, _xlfn._xlws.FILTER(B:B, A:A="2021-01"), 0))), "Left", "Ativo")</f>
        <v>Ativo</v>
      </c>
      <c r="D4027" s="10" t="str" cm="1">
        <f t="array" ref="D4027">IF(AND(A4027="2021-01", ISNA(MATCH(B4027, _xlfn._xlws.FILTER(B:B, A:A="2021-02"), 0))), "Left", "Ativo")</f>
        <v>Ativo</v>
      </c>
      <c r="E4027" s="10" t="str" cm="1">
        <f t="array" ref="E4027">IF(AND(A4027="2021-02", ISNA(MATCH(B4027, _xlfn._xlws.FILTER(B:B, A:A="2021-03"), 0))), "Left", "Ativo")</f>
        <v>Ativo</v>
      </c>
      <c r="F4027" s="12" t="str" cm="1">
        <f t="array" ref="F4027">IF(AND(A4027="2021-03", ISNA(MATCH(B4027, _xlfn._xlws.FILTER(B:B, A:A="2021-04"), 0))), "Left", "Ativo")</f>
        <v>Ativo</v>
      </c>
    </row>
    <row r="4028" spans="1:6" x14ac:dyDescent="0.25">
      <c r="A4028" t="s">
        <v>1532</v>
      </c>
      <c r="B4028" t="s">
        <v>138</v>
      </c>
      <c r="C4028" s="10" t="str" cm="1">
        <f t="array" ref="C4028">IF(AND(A4028="2020-12", ISNA(MATCH(B4028, _xlfn._xlws.FILTER(B:B, A:A="2021-01"), 0))), "Left", "Ativo")</f>
        <v>Ativo</v>
      </c>
      <c r="D4028" s="10" t="str" cm="1">
        <f t="array" ref="D4028">IF(AND(A4028="2021-01", ISNA(MATCH(B4028, _xlfn._xlws.FILTER(B:B, A:A="2021-02"), 0))), "Left", "Ativo")</f>
        <v>Ativo</v>
      </c>
      <c r="E4028" s="10" t="str" cm="1">
        <f t="array" ref="E4028">IF(AND(A4028="2021-02", ISNA(MATCH(B4028, _xlfn._xlws.FILTER(B:B, A:A="2021-03"), 0))), "Left", "Ativo")</f>
        <v>Ativo</v>
      </c>
      <c r="F4028" s="12" t="str" cm="1">
        <f t="array" ref="F4028">IF(AND(A4028="2021-03", ISNA(MATCH(B4028, _xlfn._xlws.FILTER(B:B, A:A="2021-04"), 0))), "Left", "Ativo")</f>
        <v>Ativo</v>
      </c>
    </row>
    <row r="4029" spans="1:6" x14ac:dyDescent="0.25">
      <c r="A4029" t="s">
        <v>1532</v>
      </c>
      <c r="B4029" t="s">
        <v>139</v>
      </c>
      <c r="C4029" s="10" t="str" cm="1">
        <f t="array" ref="C4029">IF(AND(A4029="2020-12", ISNA(MATCH(B4029, _xlfn._xlws.FILTER(B:B, A:A="2021-01"), 0))), "Left", "Ativo")</f>
        <v>Ativo</v>
      </c>
      <c r="D4029" s="10" t="str" cm="1">
        <f t="array" ref="D4029">IF(AND(A4029="2021-01", ISNA(MATCH(B4029, _xlfn._xlws.FILTER(B:B, A:A="2021-02"), 0))), "Left", "Ativo")</f>
        <v>Ativo</v>
      </c>
      <c r="E4029" s="10" t="str" cm="1">
        <f t="array" ref="E4029">IF(AND(A4029="2021-02", ISNA(MATCH(B4029, _xlfn._xlws.FILTER(B:B, A:A="2021-03"), 0))), "Left", "Ativo")</f>
        <v>Ativo</v>
      </c>
      <c r="F4029" s="12" t="str" cm="1">
        <f t="array" ref="F4029">IF(AND(A4029="2021-03", ISNA(MATCH(B4029, _xlfn._xlws.FILTER(B:B, A:A="2021-04"), 0))), "Left", "Ativo")</f>
        <v>Ativo</v>
      </c>
    </row>
    <row r="4030" spans="1:6" x14ac:dyDescent="0.25">
      <c r="A4030" t="s">
        <v>1532</v>
      </c>
      <c r="B4030" t="s">
        <v>140</v>
      </c>
      <c r="C4030" s="10" t="str" cm="1">
        <f t="array" ref="C4030">IF(AND(A4030="2020-12", ISNA(MATCH(B4030, _xlfn._xlws.FILTER(B:B, A:A="2021-01"), 0))), "Left", "Ativo")</f>
        <v>Ativo</v>
      </c>
      <c r="D4030" s="10" t="str" cm="1">
        <f t="array" ref="D4030">IF(AND(A4030="2021-01", ISNA(MATCH(B4030, _xlfn._xlws.FILTER(B:B, A:A="2021-02"), 0))), "Left", "Ativo")</f>
        <v>Ativo</v>
      </c>
      <c r="E4030" s="10" t="str" cm="1">
        <f t="array" ref="E4030">IF(AND(A4030="2021-02", ISNA(MATCH(B4030, _xlfn._xlws.FILTER(B:B, A:A="2021-03"), 0))), "Left", "Ativo")</f>
        <v>Ativo</v>
      </c>
      <c r="F4030" s="12" t="str" cm="1">
        <f t="array" ref="F4030">IF(AND(A4030="2021-03", ISNA(MATCH(B4030, _xlfn._xlws.FILTER(B:B, A:A="2021-04"), 0))), "Left", "Ativo")</f>
        <v>Ativo</v>
      </c>
    </row>
    <row r="4031" spans="1:6" x14ac:dyDescent="0.25">
      <c r="A4031" t="s">
        <v>1532</v>
      </c>
      <c r="B4031" t="s">
        <v>141</v>
      </c>
      <c r="C4031" s="10" t="str" cm="1">
        <f t="array" ref="C4031">IF(AND(A4031="2020-12", ISNA(MATCH(B4031, _xlfn._xlws.FILTER(B:B, A:A="2021-01"), 0))), "Left", "Ativo")</f>
        <v>Ativo</v>
      </c>
      <c r="D4031" s="10" t="str" cm="1">
        <f t="array" ref="D4031">IF(AND(A4031="2021-01", ISNA(MATCH(B4031, _xlfn._xlws.FILTER(B:B, A:A="2021-02"), 0))), "Left", "Ativo")</f>
        <v>Ativo</v>
      </c>
      <c r="E4031" s="10" t="str" cm="1">
        <f t="array" ref="E4031">IF(AND(A4031="2021-02", ISNA(MATCH(B4031, _xlfn._xlws.FILTER(B:B, A:A="2021-03"), 0))), "Left", "Ativo")</f>
        <v>Ativo</v>
      </c>
      <c r="F4031" s="12" t="str" cm="1">
        <f t="array" ref="F4031">IF(AND(A4031="2021-03", ISNA(MATCH(B4031, _xlfn._xlws.FILTER(B:B, A:A="2021-04"), 0))), "Left", "Ativo")</f>
        <v>Ativo</v>
      </c>
    </row>
    <row r="4032" spans="1:6" x14ac:dyDescent="0.25">
      <c r="A4032" t="s">
        <v>1532</v>
      </c>
      <c r="B4032" t="s">
        <v>142</v>
      </c>
      <c r="C4032" s="10" t="str" cm="1">
        <f t="array" ref="C4032">IF(AND(A4032="2020-12", ISNA(MATCH(B4032, _xlfn._xlws.FILTER(B:B, A:A="2021-01"), 0))), "Left", "Ativo")</f>
        <v>Ativo</v>
      </c>
      <c r="D4032" s="10" t="str" cm="1">
        <f t="array" ref="D4032">IF(AND(A4032="2021-01", ISNA(MATCH(B4032, _xlfn._xlws.FILTER(B:B, A:A="2021-02"), 0))), "Left", "Ativo")</f>
        <v>Ativo</v>
      </c>
      <c r="E4032" s="10" t="str" cm="1">
        <f t="array" ref="E4032">IF(AND(A4032="2021-02", ISNA(MATCH(B4032, _xlfn._xlws.FILTER(B:B, A:A="2021-03"), 0))), "Left", "Ativo")</f>
        <v>Ativo</v>
      </c>
      <c r="F4032" s="12" t="str" cm="1">
        <f t="array" ref="F4032">IF(AND(A4032="2021-03", ISNA(MATCH(B4032, _xlfn._xlws.FILTER(B:B, A:A="2021-04"), 0))), "Left", "Ativo")</f>
        <v>Ativo</v>
      </c>
    </row>
    <row r="4033" spans="1:6" x14ac:dyDescent="0.25">
      <c r="A4033" t="s">
        <v>1532</v>
      </c>
      <c r="B4033" t="s">
        <v>143</v>
      </c>
      <c r="C4033" s="10" t="str" cm="1">
        <f t="array" ref="C4033">IF(AND(A4033="2020-12", ISNA(MATCH(B4033, _xlfn._xlws.FILTER(B:B, A:A="2021-01"), 0))), "Left", "Ativo")</f>
        <v>Ativo</v>
      </c>
      <c r="D4033" s="10" t="str" cm="1">
        <f t="array" ref="D4033">IF(AND(A4033="2021-01", ISNA(MATCH(B4033, _xlfn._xlws.FILTER(B:B, A:A="2021-02"), 0))), "Left", "Ativo")</f>
        <v>Ativo</v>
      </c>
      <c r="E4033" s="10" t="str" cm="1">
        <f t="array" ref="E4033">IF(AND(A4033="2021-02", ISNA(MATCH(B4033, _xlfn._xlws.FILTER(B:B, A:A="2021-03"), 0))), "Left", "Ativo")</f>
        <v>Ativo</v>
      </c>
      <c r="F4033" s="12" t="str" cm="1">
        <f t="array" ref="F4033">IF(AND(A4033="2021-03", ISNA(MATCH(B4033, _xlfn._xlws.FILTER(B:B, A:A="2021-04"), 0))), "Left", "Ativo")</f>
        <v>Ativo</v>
      </c>
    </row>
    <row r="4034" spans="1:6" x14ac:dyDescent="0.25">
      <c r="A4034" t="s">
        <v>1532</v>
      </c>
      <c r="B4034" t="s">
        <v>144</v>
      </c>
      <c r="C4034" s="10" t="str" cm="1">
        <f t="array" ref="C4034">IF(AND(A4034="2020-12", ISNA(MATCH(B4034, _xlfn._xlws.FILTER(B:B, A:A="2021-01"), 0))), "Left", "Ativo")</f>
        <v>Ativo</v>
      </c>
      <c r="D4034" s="10" t="str" cm="1">
        <f t="array" ref="D4034">IF(AND(A4034="2021-01", ISNA(MATCH(B4034, _xlfn._xlws.FILTER(B:B, A:A="2021-02"), 0))), "Left", "Ativo")</f>
        <v>Ativo</v>
      </c>
      <c r="E4034" s="10" t="str" cm="1">
        <f t="array" ref="E4034">IF(AND(A4034="2021-02", ISNA(MATCH(B4034, _xlfn._xlws.FILTER(B:B, A:A="2021-03"), 0))), "Left", "Ativo")</f>
        <v>Ativo</v>
      </c>
      <c r="F4034" s="12" t="str" cm="1">
        <f t="array" ref="F4034">IF(AND(A4034="2021-03", ISNA(MATCH(B4034, _xlfn._xlws.FILTER(B:B, A:A="2021-04"), 0))), "Left", "Ativo")</f>
        <v>Ativo</v>
      </c>
    </row>
    <row r="4035" spans="1:6" x14ac:dyDescent="0.25">
      <c r="A4035" t="s">
        <v>1532</v>
      </c>
      <c r="B4035" t="s">
        <v>145</v>
      </c>
      <c r="C4035" s="10" t="str" cm="1">
        <f t="array" ref="C4035">IF(AND(A4035="2020-12", ISNA(MATCH(B4035, _xlfn._xlws.FILTER(B:B, A:A="2021-01"), 0))), "Left", "Ativo")</f>
        <v>Ativo</v>
      </c>
      <c r="D4035" s="10" t="str" cm="1">
        <f t="array" ref="D4035">IF(AND(A4035="2021-01", ISNA(MATCH(B4035, _xlfn._xlws.FILTER(B:B, A:A="2021-02"), 0))), "Left", "Ativo")</f>
        <v>Ativo</v>
      </c>
      <c r="E4035" s="10" t="str" cm="1">
        <f t="array" ref="E4035">IF(AND(A4035="2021-02", ISNA(MATCH(B4035, _xlfn._xlws.FILTER(B:B, A:A="2021-03"), 0))), "Left", "Ativo")</f>
        <v>Ativo</v>
      </c>
      <c r="F4035" s="12" t="str" cm="1">
        <f t="array" ref="F4035">IF(AND(A4035="2021-03", ISNA(MATCH(B4035, _xlfn._xlws.FILTER(B:B, A:A="2021-04"), 0))), "Left", "Ativo")</f>
        <v>Ativo</v>
      </c>
    </row>
    <row r="4036" spans="1:6" x14ac:dyDescent="0.25">
      <c r="A4036" t="s">
        <v>1532</v>
      </c>
      <c r="B4036" t="s">
        <v>146</v>
      </c>
      <c r="C4036" s="10" t="str" cm="1">
        <f t="array" ref="C4036">IF(AND(A4036="2020-12", ISNA(MATCH(B4036, _xlfn._xlws.FILTER(B:B, A:A="2021-01"), 0))), "Left", "Ativo")</f>
        <v>Ativo</v>
      </c>
      <c r="D4036" s="10" t="str" cm="1">
        <f t="array" ref="D4036">IF(AND(A4036="2021-01", ISNA(MATCH(B4036, _xlfn._xlws.FILTER(B:B, A:A="2021-02"), 0))), "Left", "Ativo")</f>
        <v>Ativo</v>
      </c>
      <c r="E4036" s="10" t="str" cm="1">
        <f t="array" ref="E4036">IF(AND(A4036="2021-02", ISNA(MATCH(B4036, _xlfn._xlws.FILTER(B:B, A:A="2021-03"), 0))), "Left", "Ativo")</f>
        <v>Ativo</v>
      </c>
      <c r="F4036" s="12" t="str" cm="1">
        <f t="array" ref="F4036">IF(AND(A4036="2021-03", ISNA(MATCH(B4036, _xlfn._xlws.FILTER(B:B, A:A="2021-04"), 0))), "Left", "Ativo")</f>
        <v>Ativo</v>
      </c>
    </row>
    <row r="4037" spans="1:6" x14ac:dyDescent="0.25">
      <c r="A4037" t="s">
        <v>1532</v>
      </c>
      <c r="B4037" t="s">
        <v>147</v>
      </c>
      <c r="C4037" s="10" t="str" cm="1">
        <f t="array" ref="C4037">IF(AND(A4037="2020-12", ISNA(MATCH(B4037, _xlfn._xlws.FILTER(B:B, A:A="2021-01"), 0))), "Left", "Ativo")</f>
        <v>Ativo</v>
      </c>
      <c r="D4037" s="10" t="str" cm="1">
        <f t="array" ref="D4037">IF(AND(A4037="2021-01", ISNA(MATCH(B4037, _xlfn._xlws.FILTER(B:B, A:A="2021-02"), 0))), "Left", "Ativo")</f>
        <v>Ativo</v>
      </c>
      <c r="E4037" s="10" t="str" cm="1">
        <f t="array" ref="E4037">IF(AND(A4037="2021-02", ISNA(MATCH(B4037, _xlfn._xlws.FILTER(B:B, A:A="2021-03"), 0))), "Left", "Ativo")</f>
        <v>Ativo</v>
      </c>
      <c r="F4037" s="12" t="str" cm="1">
        <f t="array" ref="F4037">IF(AND(A4037="2021-03", ISNA(MATCH(B4037, _xlfn._xlws.FILTER(B:B, A:A="2021-04"), 0))), "Left", "Ativo")</f>
        <v>Ativo</v>
      </c>
    </row>
    <row r="4038" spans="1:6" x14ac:dyDescent="0.25">
      <c r="A4038" t="s">
        <v>1532</v>
      </c>
      <c r="B4038" t="s">
        <v>148</v>
      </c>
      <c r="C4038" s="10" t="str" cm="1">
        <f t="array" ref="C4038">IF(AND(A4038="2020-12", ISNA(MATCH(B4038, _xlfn._xlws.FILTER(B:B, A:A="2021-01"), 0))), "Left", "Ativo")</f>
        <v>Ativo</v>
      </c>
      <c r="D4038" s="10" t="str" cm="1">
        <f t="array" ref="D4038">IF(AND(A4038="2021-01", ISNA(MATCH(B4038, _xlfn._xlws.FILTER(B:B, A:A="2021-02"), 0))), "Left", "Ativo")</f>
        <v>Ativo</v>
      </c>
      <c r="E4038" s="10" t="str" cm="1">
        <f t="array" ref="E4038">IF(AND(A4038="2021-02", ISNA(MATCH(B4038, _xlfn._xlws.FILTER(B:B, A:A="2021-03"), 0))), "Left", "Ativo")</f>
        <v>Ativo</v>
      </c>
      <c r="F4038" s="12" t="str" cm="1">
        <f t="array" ref="F4038">IF(AND(A4038="2021-03", ISNA(MATCH(B4038, _xlfn._xlws.FILTER(B:B, A:A="2021-04"), 0))), "Left", "Ativo")</f>
        <v>Ativo</v>
      </c>
    </row>
    <row r="4039" spans="1:6" x14ac:dyDescent="0.25">
      <c r="A4039" t="s">
        <v>1532</v>
      </c>
      <c r="B4039" t="s">
        <v>149</v>
      </c>
      <c r="C4039" s="10" t="str" cm="1">
        <f t="array" ref="C4039">IF(AND(A4039="2020-12", ISNA(MATCH(B4039, _xlfn._xlws.FILTER(B:B, A:A="2021-01"), 0))), "Left", "Ativo")</f>
        <v>Ativo</v>
      </c>
      <c r="D4039" s="10" t="str" cm="1">
        <f t="array" ref="D4039">IF(AND(A4039="2021-01", ISNA(MATCH(B4039, _xlfn._xlws.FILTER(B:B, A:A="2021-02"), 0))), "Left", "Ativo")</f>
        <v>Ativo</v>
      </c>
      <c r="E4039" s="10" t="str" cm="1">
        <f t="array" ref="E4039">IF(AND(A4039="2021-02", ISNA(MATCH(B4039, _xlfn._xlws.FILTER(B:B, A:A="2021-03"), 0))), "Left", "Ativo")</f>
        <v>Ativo</v>
      </c>
      <c r="F4039" s="12" t="str" cm="1">
        <f t="array" ref="F4039">IF(AND(A4039="2021-03", ISNA(MATCH(B4039, _xlfn._xlws.FILTER(B:B, A:A="2021-04"), 0))), "Left", "Ativo")</f>
        <v>Ativo</v>
      </c>
    </row>
    <row r="4040" spans="1:6" x14ac:dyDescent="0.25">
      <c r="A4040" t="s">
        <v>1532</v>
      </c>
      <c r="B4040" t="s">
        <v>150</v>
      </c>
      <c r="C4040" s="10" t="str" cm="1">
        <f t="array" ref="C4040">IF(AND(A4040="2020-12", ISNA(MATCH(B4040, _xlfn._xlws.FILTER(B:B, A:A="2021-01"), 0))), "Left", "Ativo")</f>
        <v>Ativo</v>
      </c>
      <c r="D4040" s="10" t="str" cm="1">
        <f t="array" ref="D4040">IF(AND(A4040="2021-01", ISNA(MATCH(B4040, _xlfn._xlws.FILTER(B:B, A:A="2021-02"), 0))), "Left", "Ativo")</f>
        <v>Ativo</v>
      </c>
      <c r="E4040" s="10" t="str" cm="1">
        <f t="array" ref="E4040">IF(AND(A4040="2021-02", ISNA(MATCH(B4040, _xlfn._xlws.FILTER(B:B, A:A="2021-03"), 0))), "Left", "Ativo")</f>
        <v>Ativo</v>
      </c>
      <c r="F4040" s="12" t="str" cm="1">
        <f t="array" ref="F4040">IF(AND(A4040="2021-03", ISNA(MATCH(B4040, _xlfn._xlws.FILTER(B:B, A:A="2021-04"), 0))), "Left", "Ativo")</f>
        <v>Ativo</v>
      </c>
    </row>
    <row r="4041" spans="1:6" x14ac:dyDescent="0.25">
      <c r="A4041" t="s">
        <v>1532</v>
      </c>
      <c r="B4041" t="s">
        <v>151</v>
      </c>
      <c r="C4041" s="10" t="str" cm="1">
        <f t="array" ref="C4041">IF(AND(A4041="2020-12", ISNA(MATCH(B4041, _xlfn._xlws.FILTER(B:B, A:A="2021-01"), 0))), "Left", "Ativo")</f>
        <v>Ativo</v>
      </c>
      <c r="D4041" s="10" t="str" cm="1">
        <f t="array" ref="D4041">IF(AND(A4041="2021-01", ISNA(MATCH(B4041, _xlfn._xlws.FILTER(B:B, A:A="2021-02"), 0))), "Left", "Ativo")</f>
        <v>Ativo</v>
      </c>
      <c r="E4041" s="10" t="str" cm="1">
        <f t="array" ref="E4041">IF(AND(A4041="2021-02", ISNA(MATCH(B4041, _xlfn._xlws.FILTER(B:B, A:A="2021-03"), 0))), "Left", "Ativo")</f>
        <v>Ativo</v>
      </c>
      <c r="F4041" s="12" t="str" cm="1">
        <f t="array" ref="F4041">IF(AND(A4041="2021-03", ISNA(MATCH(B4041, _xlfn._xlws.FILTER(B:B, A:A="2021-04"), 0))), "Left", "Ativo")</f>
        <v>Ativo</v>
      </c>
    </row>
    <row r="4042" spans="1:6" x14ac:dyDescent="0.25">
      <c r="A4042" t="s">
        <v>1532</v>
      </c>
      <c r="B4042" t="s">
        <v>152</v>
      </c>
      <c r="C4042" s="10" t="str" cm="1">
        <f t="array" ref="C4042">IF(AND(A4042="2020-12", ISNA(MATCH(B4042, _xlfn._xlws.FILTER(B:B, A:A="2021-01"), 0))), "Left", "Ativo")</f>
        <v>Ativo</v>
      </c>
      <c r="D4042" s="10" t="str" cm="1">
        <f t="array" ref="D4042">IF(AND(A4042="2021-01", ISNA(MATCH(B4042, _xlfn._xlws.FILTER(B:B, A:A="2021-02"), 0))), "Left", "Ativo")</f>
        <v>Ativo</v>
      </c>
      <c r="E4042" s="10" t="str" cm="1">
        <f t="array" ref="E4042">IF(AND(A4042="2021-02", ISNA(MATCH(B4042, _xlfn._xlws.FILTER(B:B, A:A="2021-03"), 0))), "Left", "Ativo")</f>
        <v>Ativo</v>
      </c>
      <c r="F4042" s="12" t="str" cm="1">
        <f t="array" ref="F4042">IF(AND(A4042="2021-03", ISNA(MATCH(B4042, _xlfn._xlws.FILTER(B:B, A:A="2021-04"), 0))), "Left", "Ativo")</f>
        <v>Ativo</v>
      </c>
    </row>
    <row r="4043" spans="1:6" x14ac:dyDescent="0.25">
      <c r="A4043" t="s">
        <v>1532</v>
      </c>
      <c r="B4043" t="s">
        <v>153</v>
      </c>
      <c r="C4043" s="10" t="str" cm="1">
        <f t="array" ref="C4043">IF(AND(A4043="2020-12", ISNA(MATCH(B4043, _xlfn._xlws.FILTER(B:B, A:A="2021-01"), 0))), "Left", "Ativo")</f>
        <v>Ativo</v>
      </c>
      <c r="D4043" s="10" t="str" cm="1">
        <f t="array" ref="D4043">IF(AND(A4043="2021-01", ISNA(MATCH(B4043, _xlfn._xlws.FILTER(B:B, A:A="2021-02"), 0))), "Left", "Ativo")</f>
        <v>Ativo</v>
      </c>
      <c r="E4043" s="10" t="str" cm="1">
        <f t="array" ref="E4043">IF(AND(A4043="2021-02", ISNA(MATCH(B4043, _xlfn._xlws.FILTER(B:B, A:A="2021-03"), 0))), "Left", "Ativo")</f>
        <v>Ativo</v>
      </c>
      <c r="F4043" s="12" t="str" cm="1">
        <f t="array" ref="F4043">IF(AND(A4043="2021-03", ISNA(MATCH(B4043, _xlfn._xlws.FILTER(B:B, A:A="2021-04"), 0))), "Left", "Ativo")</f>
        <v>Ativo</v>
      </c>
    </row>
    <row r="4044" spans="1:6" x14ac:dyDescent="0.25">
      <c r="A4044" t="s">
        <v>1532</v>
      </c>
      <c r="B4044" t="s">
        <v>154</v>
      </c>
      <c r="C4044" s="10" t="str" cm="1">
        <f t="array" ref="C4044">IF(AND(A4044="2020-12", ISNA(MATCH(B4044, _xlfn._xlws.FILTER(B:B, A:A="2021-01"), 0))), "Left", "Ativo")</f>
        <v>Ativo</v>
      </c>
      <c r="D4044" s="10" t="str" cm="1">
        <f t="array" ref="D4044">IF(AND(A4044="2021-01", ISNA(MATCH(B4044, _xlfn._xlws.FILTER(B:B, A:A="2021-02"), 0))), "Left", "Ativo")</f>
        <v>Ativo</v>
      </c>
      <c r="E4044" s="10" t="str" cm="1">
        <f t="array" ref="E4044">IF(AND(A4044="2021-02", ISNA(MATCH(B4044, _xlfn._xlws.FILTER(B:B, A:A="2021-03"), 0))), "Left", "Ativo")</f>
        <v>Ativo</v>
      </c>
      <c r="F4044" s="12" t="str" cm="1">
        <f t="array" ref="F4044">IF(AND(A4044="2021-03", ISNA(MATCH(B4044, _xlfn._xlws.FILTER(B:B, A:A="2021-04"), 0))), "Left", "Ativo")</f>
        <v>Ativo</v>
      </c>
    </row>
    <row r="4045" spans="1:6" x14ac:dyDescent="0.25">
      <c r="A4045" t="s">
        <v>1532</v>
      </c>
      <c r="B4045" t="s">
        <v>155</v>
      </c>
      <c r="C4045" s="10" t="str" cm="1">
        <f t="array" ref="C4045">IF(AND(A4045="2020-12", ISNA(MATCH(B4045, _xlfn._xlws.FILTER(B:B, A:A="2021-01"), 0))), "Left", "Ativo")</f>
        <v>Ativo</v>
      </c>
      <c r="D4045" s="10" t="str" cm="1">
        <f t="array" ref="D4045">IF(AND(A4045="2021-01", ISNA(MATCH(B4045, _xlfn._xlws.FILTER(B:B, A:A="2021-02"), 0))), "Left", "Ativo")</f>
        <v>Ativo</v>
      </c>
      <c r="E4045" s="10" t="str" cm="1">
        <f t="array" ref="E4045">IF(AND(A4045="2021-02", ISNA(MATCH(B4045, _xlfn._xlws.FILTER(B:B, A:A="2021-03"), 0))), "Left", "Ativo")</f>
        <v>Ativo</v>
      </c>
      <c r="F4045" s="12" t="str" cm="1">
        <f t="array" ref="F4045">IF(AND(A4045="2021-03", ISNA(MATCH(B4045, _xlfn._xlws.FILTER(B:B, A:A="2021-04"), 0))), "Left", "Ativo")</f>
        <v>Ativo</v>
      </c>
    </row>
    <row r="4046" spans="1:6" x14ac:dyDescent="0.25">
      <c r="A4046" t="s">
        <v>1532</v>
      </c>
      <c r="B4046" t="s">
        <v>156</v>
      </c>
      <c r="C4046" s="10" t="str" cm="1">
        <f t="array" ref="C4046">IF(AND(A4046="2020-12", ISNA(MATCH(B4046, _xlfn._xlws.FILTER(B:B, A:A="2021-01"), 0))), "Left", "Ativo")</f>
        <v>Ativo</v>
      </c>
      <c r="D4046" s="10" t="str" cm="1">
        <f t="array" ref="D4046">IF(AND(A4046="2021-01", ISNA(MATCH(B4046, _xlfn._xlws.FILTER(B:B, A:A="2021-02"), 0))), "Left", "Ativo")</f>
        <v>Ativo</v>
      </c>
      <c r="E4046" s="10" t="str" cm="1">
        <f t="array" ref="E4046">IF(AND(A4046="2021-02", ISNA(MATCH(B4046, _xlfn._xlws.FILTER(B:B, A:A="2021-03"), 0))), "Left", "Ativo")</f>
        <v>Ativo</v>
      </c>
      <c r="F4046" s="12" t="str" cm="1">
        <f t="array" ref="F4046">IF(AND(A4046="2021-03", ISNA(MATCH(B4046, _xlfn._xlws.FILTER(B:B, A:A="2021-04"), 0))), "Left", "Ativo")</f>
        <v>Ativo</v>
      </c>
    </row>
    <row r="4047" spans="1:6" x14ac:dyDescent="0.25">
      <c r="A4047" t="s">
        <v>1532</v>
      </c>
      <c r="B4047" t="s">
        <v>157</v>
      </c>
      <c r="C4047" s="10" t="str" cm="1">
        <f t="array" ref="C4047">IF(AND(A4047="2020-12", ISNA(MATCH(B4047, _xlfn._xlws.FILTER(B:B, A:A="2021-01"), 0))), "Left", "Ativo")</f>
        <v>Ativo</v>
      </c>
      <c r="D4047" s="10" t="str" cm="1">
        <f t="array" ref="D4047">IF(AND(A4047="2021-01", ISNA(MATCH(B4047, _xlfn._xlws.FILTER(B:B, A:A="2021-02"), 0))), "Left", "Ativo")</f>
        <v>Ativo</v>
      </c>
      <c r="E4047" s="10" t="str" cm="1">
        <f t="array" ref="E4047">IF(AND(A4047="2021-02", ISNA(MATCH(B4047, _xlfn._xlws.FILTER(B:B, A:A="2021-03"), 0))), "Left", "Ativo")</f>
        <v>Ativo</v>
      </c>
      <c r="F4047" s="12" t="str" cm="1">
        <f t="array" ref="F4047">IF(AND(A4047="2021-03", ISNA(MATCH(B4047, _xlfn._xlws.FILTER(B:B, A:A="2021-04"), 0))), "Left", "Ativo")</f>
        <v>Ativo</v>
      </c>
    </row>
    <row r="4048" spans="1:6" x14ac:dyDescent="0.25">
      <c r="A4048" t="s">
        <v>1532</v>
      </c>
      <c r="B4048" t="s">
        <v>158</v>
      </c>
      <c r="C4048" s="10" t="str" cm="1">
        <f t="array" ref="C4048">IF(AND(A4048="2020-12", ISNA(MATCH(B4048, _xlfn._xlws.FILTER(B:B, A:A="2021-01"), 0))), "Left", "Ativo")</f>
        <v>Ativo</v>
      </c>
      <c r="D4048" s="10" t="str" cm="1">
        <f t="array" ref="D4048">IF(AND(A4048="2021-01", ISNA(MATCH(B4048, _xlfn._xlws.FILTER(B:B, A:A="2021-02"), 0))), "Left", "Ativo")</f>
        <v>Ativo</v>
      </c>
      <c r="E4048" s="10" t="str" cm="1">
        <f t="array" ref="E4048">IF(AND(A4048="2021-02", ISNA(MATCH(B4048, _xlfn._xlws.FILTER(B:B, A:A="2021-03"), 0))), "Left", "Ativo")</f>
        <v>Ativo</v>
      </c>
      <c r="F4048" s="12" t="str" cm="1">
        <f t="array" ref="F4048">IF(AND(A4048="2021-03", ISNA(MATCH(B4048, _xlfn._xlws.FILTER(B:B, A:A="2021-04"), 0))), "Left", "Ativo")</f>
        <v>Ativo</v>
      </c>
    </row>
    <row r="4049" spans="1:6" x14ac:dyDescent="0.25">
      <c r="A4049" t="s">
        <v>1532</v>
      </c>
      <c r="B4049" t="s">
        <v>159</v>
      </c>
      <c r="C4049" s="10" t="str" cm="1">
        <f t="array" ref="C4049">IF(AND(A4049="2020-12", ISNA(MATCH(B4049, _xlfn._xlws.FILTER(B:B, A:A="2021-01"), 0))), "Left", "Ativo")</f>
        <v>Ativo</v>
      </c>
      <c r="D4049" s="10" t="str" cm="1">
        <f t="array" ref="D4049">IF(AND(A4049="2021-01", ISNA(MATCH(B4049, _xlfn._xlws.FILTER(B:B, A:A="2021-02"), 0))), "Left", "Ativo")</f>
        <v>Ativo</v>
      </c>
      <c r="E4049" s="10" t="str" cm="1">
        <f t="array" ref="E4049">IF(AND(A4049="2021-02", ISNA(MATCH(B4049, _xlfn._xlws.FILTER(B:B, A:A="2021-03"), 0))), "Left", "Ativo")</f>
        <v>Ativo</v>
      </c>
      <c r="F4049" s="12" t="str" cm="1">
        <f t="array" ref="F4049">IF(AND(A4049="2021-03", ISNA(MATCH(B4049, _xlfn._xlws.FILTER(B:B, A:A="2021-04"), 0))), "Left", "Ativo")</f>
        <v>Ativo</v>
      </c>
    </row>
    <row r="4050" spans="1:6" x14ac:dyDescent="0.25">
      <c r="A4050" t="s">
        <v>1532</v>
      </c>
      <c r="B4050" t="s">
        <v>160</v>
      </c>
      <c r="C4050" s="10" t="str" cm="1">
        <f t="array" ref="C4050">IF(AND(A4050="2020-12", ISNA(MATCH(B4050, _xlfn._xlws.FILTER(B:B, A:A="2021-01"), 0))), "Left", "Ativo")</f>
        <v>Ativo</v>
      </c>
      <c r="D4050" s="10" t="str" cm="1">
        <f t="array" ref="D4050">IF(AND(A4050="2021-01", ISNA(MATCH(B4050, _xlfn._xlws.FILTER(B:B, A:A="2021-02"), 0))), "Left", "Ativo")</f>
        <v>Ativo</v>
      </c>
      <c r="E4050" s="10" t="str" cm="1">
        <f t="array" ref="E4050">IF(AND(A4050="2021-02", ISNA(MATCH(B4050, _xlfn._xlws.FILTER(B:B, A:A="2021-03"), 0))), "Left", "Ativo")</f>
        <v>Ativo</v>
      </c>
      <c r="F4050" s="12" t="str" cm="1">
        <f t="array" ref="F4050">IF(AND(A4050="2021-03", ISNA(MATCH(B4050, _xlfn._xlws.FILTER(B:B, A:A="2021-04"), 0))), "Left", "Ativo")</f>
        <v>Ativo</v>
      </c>
    </row>
    <row r="4051" spans="1:6" x14ac:dyDescent="0.25">
      <c r="A4051" t="s">
        <v>1532</v>
      </c>
      <c r="B4051" t="s">
        <v>161</v>
      </c>
      <c r="C4051" s="10" t="str" cm="1">
        <f t="array" ref="C4051">IF(AND(A4051="2020-12", ISNA(MATCH(B4051, _xlfn._xlws.FILTER(B:B, A:A="2021-01"), 0))), "Left", "Ativo")</f>
        <v>Ativo</v>
      </c>
      <c r="D4051" s="10" t="str" cm="1">
        <f t="array" ref="D4051">IF(AND(A4051="2021-01", ISNA(MATCH(B4051, _xlfn._xlws.FILTER(B:B, A:A="2021-02"), 0))), "Left", "Ativo")</f>
        <v>Ativo</v>
      </c>
      <c r="E4051" s="10" t="str" cm="1">
        <f t="array" ref="E4051">IF(AND(A4051="2021-02", ISNA(MATCH(B4051, _xlfn._xlws.FILTER(B:B, A:A="2021-03"), 0))), "Left", "Ativo")</f>
        <v>Ativo</v>
      </c>
      <c r="F4051" s="12" t="str" cm="1">
        <f t="array" ref="F4051">IF(AND(A4051="2021-03", ISNA(MATCH(B4051, _xlfn._xlws.FILTER(B:B, A:A="2021-04"), 0))), "Left", "Ativo")</f>
        <v>Ativo</v>
      </c>
    </row>
    <row r="4052" spans="1:6" x14ac:dyDescent="0.25">
      <c r="A4052" t="s">
        <v>1532</v>
      </c>
      <c r="B4052" t="s">
        <v>162</v>
      </c>
      <c r="C4052" s="10" t="str" cm="1">
        <f t="array" ref="C4052">IF(AND(A4052="2020-12", ISNA(MATCH(B4052, _xlfn._xlws.FILTER(B:B, A:A="2021-01"), 0))), "Left", "Ativo")</f>
        <v>Ativo</v>
      </c>
      <c r="D4052" s="10" t="str" cm="1">
        <f t="array" ref="D4052">IF(AND(A4052="2021-01", ISNA(MATCH(B4052, _xlfn._xlws.FILTER(B:B, A:A="2021-02"), 0))), "Left", "Ativo")</f>
        <v>Ativo</v>
      </c>
      <c r="E4052" s="10" t="str" cm="1">
        <f t="array" ref="E4052">IF(AND(A4052="2021-02", ISNA(MATCH(B4052, _xlfn._xlws.FILTER(B:B, A:A="2021-03"), 0))), "Left", "Ativo")</f>
        <v>Ativo</v>
      </c>
      <c r="F4052" s="12" t="str" cm="1">
        <f t="array" ref="F4052">IF(AND(A4052="2021-03", ISNA(MATCH(B4052, _xlfn._xlws.FILTER(B:B, A:A="2021-04"), 0))), "Left", "Ativo")</f>
        <v>Ativo</v>
      </c>
    </row>
    <row r="4053" spans="1:6" x14ac:dyDescent="0.25">
      <c r="A4053" t="s">
        <v>1532</v>
      </c>
      <c r="B4053" t="s">
        <v>163</v>
      </c>
      <c r="C4053" s="10" t="str" cm="1">
        <f t="array" ref="C4053">IF(AND(A4053="2020-12", ISNA(MATCH(B4053, _xlfn._xlws.FILTER(B:B, A:A="2021-01"), 0))), "Left", "Ativo")</f>
        <v>Ativo</v>
      </c>
      <c r="D4053" s="10" t="str" cm="1">
        <f t="array" ref="D4053">IF(AND(A4053="2021-01", ISNA(MATCH(B4053, _xlfn._xlws.FILTER(B:B, A:A="2021-02"), 0))), "Left", "Ativo")</f>
        <v>Ativo</v>
      </c>
      <c r="E4053" s="10" t="str" cm="1">
        <f t="array" ref="E4053">IF(AND(A4053="2021-02", ISNA(MATCH(B4053, _xlfn._xlws.FILTER(B:B, A:A="2021-03"), 0))), "Left", "Ativo")</f>
        <v>Ativo</v>
      </c>
      <c r="F4053" s="12" t="str" cm="1">
        <f t="array" ref="F4053">IF(AND(A4053="2021-03", ISNA(MATCH(B4053, _xlfn._xlws.FILTER(B:B, A:A="2021-04"), 0))), "Left", "Ativo")</f>
        <v>Ativo</v>
      </c>
    </row>
    <row r="4054" spans="1:6" x14ac:dyDescent="0.25">
      <c r="A4054" t="s">
        <v>1532</v>
      </c>
      <c r="B4054" t="s">
        <v>164</v>
      </c>
      <c r="C4054" s="10" t="str" cm="1">
        <f t="array" ref="C4054">IF(AND(A4054="2020-12", ISNA(MATCH(B4054, _xlfn._xlws.FILTER(B:B, A:A="2021-01"), 0))), "Left", "Ativo")</f>
        <v>Ativo</v>
      </c>
      <c r="D4054" s="10" t="str" cm="1">
        <f t="array" ref="D4054">IF(AND(A4054="2021-01", ISNA(MATCH(B4054, _xlfn._xlws.FILTER(B:B, A:A="2021-02"), 0))), "Left", "Ativo")</f>
        <v>Ativo</v>
      </c>
      <c r="E4054" s="10" t="str" cm="1">
        <f t="array" ref="E4054">IF(AND(A4054="2021-02", ISNA(MATCH(B4054, _xlfn._xlws.FILTER(B:B, A:A="2021-03"), 0))), "Left", "Ativo")</f>
        <v>Ativo</v>
      </c>
      <c r="F4054" s="12" t="str" cm="1">
        <f t="array" ref="F4054">IF(AND(A4054="2021-03", ISNA(MATCH(B4054, _xlfn._xlws.FILTER(B:B, A:A="2021-04"), 0))), "Left", "Ativo")</f>
        <v>Ativo</v>
      </c>
    </row>
    <row r="4055" spans="1:6" x14ac:dyDescent="0.25">
      <c r="A4055" t="s">
        <v>1532</v>
      </c>
      <c r="B4055" t="s">
        <v>165</v>
      </c>
      <c r="C4055" s="10" t="str" cm="1">
        <f t="array" ref="C4055">IF(AND(A4055="2020-12", ISNA(MATCH(B4055, _xlfn._xlws.FILTER(B:B, A:A="2021-01"), 0))), "Left", "Ativo")</f>
        <v>Ativo</v>
      </c>
      <c r="D4055" s="10" t="str" cm="1">
        <f t="array" ref="D4055">IF(AND(A4055="2021-01", ISNA(MATCH(B4055, _xlfn._xlws.FILTER(B:B, A:A="2021-02"), 0))), "Left", "Ativo")</f>
        <v>Ativo</v>
      </c>
      <c r="E4055" s="10" t="str" cm="1">
        <f t="array" ref="E4055">IF(AND(A4055="2021-02", ISNA(MATCH(B4055, _xlfn._xlws.FILTER(B:B, A:A="2021-03"), 0))), "Left", "Ativo")</f>
        <v>Ativo</v>
      </c>
      <c r="F4055" s="12" t="str" cm="1">
        <f t="array" ref="F4055">IF(AND(A4055="2021-03", ISNA(MATCH(B4055, _xlfn._xlws.FILTER(B:B, A:A="2021-04"), 0))), "Left", "Ativo")</f>
        <v>Ativo</v>
      </c>
    </row>
    <row r="4056" spans="1:6" x14ac:dyDescent="0.25">
      <c r="A4056" t="s">
        <v>1532</v>
      </c>
      <c r="B4056" t="s">
        <v>166</v>
      </c>
      <c r="C4056" s="10" t="str" cm="1">
        <f t="array" ref="C4056">IF(AND(A4056="2020-12", ISNA(MATCH(B4056, _xlfn._xlws.FILTER(B:B, A:A="2021-01"), 0))), "Left", "Ativo")</f>
        <v>Ativo</v>
      </c>
      <c r="D4056" s="10" t="str" cm="1">
        <f t="array" ref="D4056">IF(AND(A4056="2021-01", ISNA(MATCH(B4056, _xlfn._xlws.FILTER(B:B, A:A="2021-02"), 0))), "Left", "Ativo")</f>
        <v>Ativo</v>
      </c>
      <c r="E4056" s="10" t="str" cm="1">
        <f t="array" ref="E4056">IF(AND(A4056="2021-02", ISNA(MATCH(B4056, _xlfn._xlws.FILTER(B:B, A:A="2021-03"), 0))), "Left", "Ativo")</f>
        <v>Ativo</v>
      </c>
      <c r="F4056" s="12" t="str" cm="1">
        <f t="array" ref="F4056">IF(AND(A4056="2021-03", ISNA(MATCH(B4056, _xlfn._xlws.FILTER(B:B, A:A="2021-04"), 0))), "Left", "Ativo")</f>
        <v>Ativo</v>
      </c>
    </row>
    <row r="4057" spans="1:6" x14ac:dyDescent="0.25">
      <c r="A4057" t="s">
        <v>1532</v>
      </c>
      <c r="B4057" t="s">
        <v>167</v>
      </c>
      <c r="C4057" s="10" t="str" cm="1">
        <f t="array" ref="C4057">IF(AND(A4057="2020-12", ISNA(MATCH(B4057, _xlfn._xlws.FILTER(B:B, A:A="2021-01"), 0))), "Left", "Ativo")</f>
        <v>Ativo</v>
      </c>
      <c r="D4057" s="10" t="str" cm="1">
        <f t="array" ref="D4057">IF(AND(A4057="2021-01", ISNA(MATCH(B4057, _xlfn._xlws.FILTER(B:B, A:A="2021-02"), 0))), "Left", "Ativo")</f>
        <v>Ativo</v>
      </c>
      <c r="E4057" s="10" t="str" cm="1">
        <f t="array" ref="E4057">IF(AND(A4057="2021-02", ISNA(MATCH(B4057, _xlfn._xlws.FILTER(B:B, A:A="2021-03"), 0))), "Left", "Ativo")</f>
        <v>Ativo</v>
      </c>
      <c r="F4057" s="12" t="str" cm="1">
        <f t="array" ref="F4057">IF(AND(A4057="2021-03", ISNA(MATCH(B4057, _xlfn._xlws.FILTER(B:B, A:A="2021-04"), 0))), "Left", "Ativo")</f>
        <v>Ativo</v>
      </c>
    </row>
    <row r="4058" spans="1:6" x14ac:dyDescent="0.25">
      <c r="A4058" t="s">
        <v>1532</v>
      </c>
      <c r="B4058" t="s">
        <v>168</v>
      </c>
      <c r="C4058" s="10" t="str" cm="1">
        <f t="array" ref="C4058">IF(AND(A4058="2020-12", ISNA(MATCH(B4058, _xlfn._xlws.FILTER(B:B, A:A="2021-01"), 0))), "Left", "Ativo")</f>
        <v>Ativo</v>
      </c>
      <c r="D4058" s="10" t="str" cm="1">
        <f t="array" ref="D4058">IF(AND(A4058="2021-01", ISNA(MATCH(B4058, _xlfn._xlws.FILTER(B:B, A:A="2021-02"), 0))), "Left", "Ativo")</f>
        <v>Ativo</v>
      </c>
      <c r="E4058" s="10" t="str" cm="1">
        <f t="array" ref="E4058">IF(AND(A4058="2021-02", ISNA(MATCH(B4058, _xlfn._xlws.FILTER(B:B, A:A="2021-03"), 0))), "Left", "Ativo")</f>
        <v>Ativo</v>
      </c>
      <c r="F4058" s="12" t="str" cm="1">
        <f t="array" ref="F4058">IF(AND(A4058="2021-03", ISNA(MATCH(B4058, _xlfn._xlws.FILTER(B:B, A:A="2021-04"), 0))), "Left", "Ativo")</f>
        <v>Ativo</v>
      </c>
    </row>
    <row r="4059" spans="1:6" x14ac:dyDescent="0.25">
      <c r="A4059" t="s">
        <v>1532</v>
      </c>
      <c r="B4059" t="s">
        <v>169</v>
      </c>
      <c r="C4059" s="10" t="str" cm="1">
        <f t="array" ref="C4059">IF(AND(A4059="2020-12", ISNA(MATCH(B4059, _xlfn._xlws.FILTER(B:B, A:A="2021-01"), 0))), "Left", "Ativo")</f>
        <v>Ativo</v>
      </c>
      <c r="D4059" s="10" t="str" cm="1">
        <f t="array" ref="D4059">IF(AND(A4059="2021-01", ISNA(MATCH(B4059, _xlfn._xlws.FILTER(B:B, A:A="2021-02"), 0))), "Left", "Ativo")</f>
        <v>Ativo</v>
      </c>
      <c r="E4059" s="10" t="str" cm="1">
        <f t="array" ref="E4059">IF(AND(A4059="2021-02", ISNA(MATCH(B4059, _xlfn._xlws.FILTER(B:B, A:A="2021-03"), 0))), "Left", "Ativo")</f>
        <v>Ativo</v>
      </c>
      <c r="F4059" s="12" t="str" cm="1">
        <f t="array" ref="F4059">IF(AND(A4059="2021-03", ISNA(MATCH(B4059, _xlfn._xlws.FILTER(B:B, A:A="2021-04"), 0))), "Left", "Ativo")</f>
        <v>Ativo</v>
      </c>
    </row>
    <row r="4060" spans="1:6" x14ac:dyDescent="0.25">
      <c r="A4060" t="s">
        <v>1532</v>
      </c>
      <c r="B4060" t="s">
        <v>170</v>
      </c>
      <c r="C4060" s="10" t="str" cm="1">
        <f t="array" ref="C4060">IF(AND(A4060="2020-12", ISNA(MATCH(B4060, _xlfn._xlws.FILTER(B:B, A:A="2021-01"), 0))), "Left", "Ativo")</f>
        <v>Ativo</v>
      </c>
      <c r="D4060" s="10" t="str" cm="1">
        <f t="array" ref="D4060">IF(AND(A4060="2021-01", ISNA(MATCH(B4060, _xlfn._xlws.FILTER(B:B, A:A="2021-02"), 0))), "Left", "Ativo")</f>
        <v>Ativo</v>
      </c>
      <c r="E4060" s="10" t="str" cm="1">
        <f t="array" ref="E4060">IF(AND(A4060="2021-02", ISNA(MATCH(B4060, _xlfn._xlws.FILTER(B:B, A:A="2021-03"), 0))), "Left", "Ativo")</f>
        <v>Ativo</v>
      </c>
      <c r="F4060" s="12" t="str" cm="1">
        <f t="array" ref="F4060">IF(AND(A4060="2021-03", ISNA(MATCH(B4060, _xlfn._xlws.FILTER(B:B, A:A="2021-04"), 0))), "Left", "Ativo")</f>
        <v>Ativo</v>
      </c>
    </row>
    <row r="4061" spans="1:6" x14ac:dyDescent="0.25">
      <c r="A4061" t="s">
        <v>1532</v>
      </c>
      <c r="B4061" t="s">
        <v>171</v>
      </c>
      <c r="C4061" s="10" t="str" cm="1">
        <f t="array" ref="C4061">IF(AND(A4061="2020-12", ISNA(MATCH(B4061, _xlfn._xlws.FILTER(B:B, A:A="2021-01"), 0))), "Left", "Ativo")</f>
        <v>Ativo</v>
      </c>
      <c r="D4061" s="10" t="str" cm="1">
        <f t="array" ref="D4061">IF(AND(A4061="2021-01", ISNA(MATCH(B4061, _xlfn._xlws.FILTER(B:B, A:A="2021-02"), 0))), "Left", "Ativo")</f>
        <v>Ativo</v>
      </c>
      <c r="E4061" s="10" t="str" cm="1">
        <f t="array" ref="E4061">IF(AND(A4061="2021-02", ISNA(MATCH(B4061, _xlfn._xlws.FILTER(B:B, A:A="2021-03"), 0))), "Left", "Ativo")</f>
        <v>Ativo</v>
      </c>
      <c r="F4061" s="12" t="str" cm="1">
        <f t="array" ref="F4061">IF(AND(A4061="2021-03", ISNA(MATCH(B4061, _xlfn._xlws.FILTER(B:B, A:A="2021-04"), 0))), "Left", "Ativo")</f>
        <v>Ativo</v>
      </c>
    </row>
    <row r="4062" spans="1:6" x14ac:dyDescent="0.25">
      <c r="A4062" t="s">
        <v>1532</v>
      </c>
      <c r="B4062" t="s">
        <v>172</v>
      </c>
      <c r="C4062" s="10" t="str" cm="1">
        <f t="array" ref="C4062">IF(AND(A4062="2020-12", ISNA(MATCH(B4062, _xlfn._xlws.FILTER(B:B, A:A="2021-01"), 0))), "Left", "Ativo")</f>
        <v>Ativo</v>
      </c>
      <c r="D4062" s="10" t="str" cm="1">
        <f t="array" ref="D4062">IF(AND(A4062="2021-01", ISNA(MATCH(B4062, _xlfn._xlws.FILTER(B:B, A:A="2021-02"), 0))), "Left", "Ativo")</f>
        <v>Ativo</v>
      </c>
      <c r="E4062" s="10" t="str" cm="1">
        <f t="array" ref="E4062">IF(AND(A4062="2021-02", ISNA(MATCH(B4062, _xlfn._xlws.FILTER(B:B, A:A="2021-03"), 0))), "Left", "Ativo")</f>
        <v>Ativo</v>
      </c>
      <c r="F4062" s="12" t="str" cm="1">
        <f t="array" ref="F4062">IF(AND(A4062="2021-03", ISNA(MATCH(B4062, _xlfn._xlws.FILTER(B:B, A:A="2021-04"), 0))), "Left", "Ativo")</f>
        <v>Ativo</v>
      </c>
    </row>
    <row r="4063" spans="1:6" x14ac:dyDescent="0.25">
      <c r="A4063" t="s">
        <v>1532</v>
      </c>
      <c r="B4063" t="s">
        <v>173</v>
      </c>
      <c r="C4063" s="10" t="str" cm="1">
        <f t="array" ref="C4063">IF(AND(A4063="2020-12", ISNA(MATCH(B4063, _xlfn._xlws.FILTER(B:B, A:A="2021-01"), 0))), "Left", "Ativo")</f>
        <v>Ativo</v>
      </c>
      <c r="D4063" s="10" t="str" cm="1">
        <f t="array" ref="D4063">IF(AND(A4063="2021-01", ISNA(MATCH(B4063, _xlfn._xlws.FILTER(B:B, A:A="2021-02"), 0))), "Left", "Ativo")</f>
        <v>Ativo</v>
      </c>
      <c r="E4063" s="10" t="str" cm="1">
        <f t="array" ref="E4063">IF(AND(A4063="2021-02", ISNA(MATCH(B4063, _xlfn._xlws.FILTER(B:B, A:A="2021-03"), 0))), "Left", "Ativo")</f>
        <v>Ativo</v>
      </c>
      <c r="F4063" s="12" t="str" cm="1">
        <f t="array" ref="F4063">IF(AND(A4063="2021-03", ISNA(MATCH(B4063, _xlfn._xlws.FILTER(B:B, A:A="2021-04"), 0))), "Left", "Ativo")</f>
        <v>Ativo</v>
      </c>
    </row>
    <row r="4064" spans="1:6" x14ac:dyDescent="0.25">
      <c r="A4064" t="s">
        <v>1532</v>
      </c>
      <c r="B4064" t="s">
        <v>174</v>
      </c>
      <c r="C4064" s="10" t="str" cm="1">
        <f t="array" ref="C4064">IF(AND(A4064="2020-12", ISNA(MATCH(B4064, _xlfn._xlws.FILTER(B:B, A:A="2021-01"), 0))), "Left", "Ativo")</f>
        <v>Ativo</v>
      </c>
      <c r="D4064" s="10" t="str" cm="1">
        <f t="array" ref="D4064">IF(AND(A4064="2021-01", ISNA(MATCH(B4064, _xlfn._xlws.FILTER(B:B, A:A="2021-02"), 0))), "Left", "Ativo")</f>
        <v>Ativo</v>
      </c>
      <c r="E4064" s="10" t="str" cm="1">
        <f t="array" ref="E4064">IF(AND(A4064="2021-02", ISNA(MATCH(B4064, _xlfn._xlws.FILTER(B:B, A:A="2021-03"), 0))), "Left", "Ativo")</f>
        <v>Ativo</v>
      </c>
      <c r="F4064" s="12" t="str" cm="1">
        <f t="array" ref="F4064">IF(AND(A4064="2021-03", ISNA(MATCH(B4064, _xlfn._xlws.FILTER(B:B, A:A="2021-04"), 0))), "Left", "Ativo")</f>
        <v>Ativo</v>
      </c>
    </row>
    <row r="4065" spans="1:6" x14ac:dyDescent="0.25">
      <c r="A4065" t="s">
        <v>1532</v>
      </c>
      <c r="B4065" t="s">
        <v>175</v>
      </c>
      <c r="C4065" s="10" t="str" cm="1">
        <f t="array" ref="C4065">IF(AND(A4065="2020-12", ISNA(MATCH(B4065, _xlfn._xlws.FILTER(B:B, A:A="2021-01"), 0))), "Left", "Ativo")</f>
        <v>Ativo</v>
      </c>
      <c r="D4065" s="10" t="str" cm="1">
        <f t="array" ref="D4065">IF(AND(A4065="2021-01", ISNA(MATCH(B4065, _xlfn._xlws.FILTER(B:B, A:A="2021-02"), 0))), "Left", "Ativo")</f>
        <v>Ativo</v>
      </c>
      <c r="E4065" s="10" t="str" cm="1">
        <f t="array" ref="E4065">IF(AND(A4065="2021-02", ISNA(MATCH(B4065, _xlfn._xlws.FILTER(B:B, A:A="2021-03"), 0))), "Left", "Ativo")</f>
        <v>Ativo</v>
      </c>
      <c r="F4065" s="12" t="str" cm="1">
        <f t="array" ref="F4065">IF(AND(A4065="2021-03", ISNA(MATCH(B4065, _xlfn._xlws.FILTER(B:B, A:A="2021-04"), 0))), "Left", "Ativo")</f>
        <v>Ativo</v>
      </c>
    </row>
    <row r="4066" spans="1:6" x14ac:dyDescent="0.25">
      <c r="A4066" t="s">
        <v>1532</v>
      </c>
      <c r="B4066" t="s">
        <v>176</v>
      </c>
      <c r="C4066" s="10" t="str" cm="1">
        <f t="array" ref="C4066">IF(AND(A4066="2020-12", ISNA(MATCH(B4066, _xlfn._xlws.FILTER(B:B, A:A="2021-01"), 0))), "Left", "Ativo")</f>
        <v>Ativo</v>
      </c>
      <c r="D4066" s="10" t="str" cm="1">
        <f t="array" ref="D4066">IF(AND(A4066="2021-01", ISNA(MATCH(B4066, _xlfn._xlws.FILTER(B:B, A:A="2021-02"), 0))), "Left", "Ativo")</f>
        <v>Ativo</v>
      </c>
      <c r="E4066" s="10" t="str" cm="1">
        <f t="array" ref="E4066">IF(AND(A4066="2021-02", ISNA(MATCH(B4066, _xlfn._xlws.FILTER(B:B, A:A="2021-03"), 0))), "Left", "Ativo")</f>
        <v>Ativo</v>
      </c>
      <c r="F4066" s="12" t="str" cm="1">
        <f t="array" ref="F4066">IF(AND(A4066="2021-03", ISNA(MATCH(B4066, _xlfn._xlws.FILTER(B:B, A:A="2021-04"), 0))), "Left", "Ativo")</f>
        <v>Ativo</v>
      </c>
    </row>
    <row r="4067" spans="1:6" x14ac:dyDescent="0.25">
      <c r="A4067" t="s">
        <v>1532</v>
      </c>
      <c r="B4067" t="s">
        <v>177</v>
      </c>
      <c r="C4067" s="10" t="str" cm="1">
        <f t="array" ref="C4067">IF(AND(A4067="2020-12", ISNA(MATCH(B4067, _xlfn._xlws.FILTER(B:B, A:A="2021-01"), 0))), "Left", "Ativo")</f>
        <v>Ativo</v>
      </c>
      <c r="D4067" s="10" t="str" cm="1">
        <f t="array" ref="D4067">IF(AND(A4067="2021-01", ISNA(MATCH(B4067, _xlfn._xlws.FILTER(B:B, A:A="2021-02"), 0))), "Left", "Ativo")</f>
        <v>Ativo</v>
      </c>
      <c r="E4067" s="10" t="str" cm="1">
        <f t="array" ref="E4067">IF(AND(A4067="2021-02", ISNA(MATCH(B4067, _xlfn._xlws.FILTER(B:B, A:A="2021-03"), 0))), "Left", "Ativo")</f>
        <v>Ativo</v>
      </c>
      <c r="F4067" s="12" t="str" cm="1">
        <f t="array" ref="F4067">IF(AND(A4067="2021-03", ISNA(MATCH(B4067, _xlfn._xlws.FILTER(B:B, A:A="2021-04"), 0))), "Left", "Ativo")</f>
        <v>Ativo</v>
      </c>
    </row>
    <row r="4068" spans="1:6" x14ac:dyDescent="0.25">
      <c r="A4068" t="s">
        <v>1532</v>
      </c>
      <c r="B4068" t="s">
        <v>178</v>
      </c>
      <c r="C4068" s="10" t="str" cm="1">
        <f t="array" ref="C4068">IF(AND(A4068="2020-12", ISNA(MATCH(B4068, _xlfn._xlws.FILTER(B:B, A:A="2021-01"), 0))), "Left", "Ativo")</f>
        <v>Ativo</v>
      </c>
      <c r="D4068" s="10" t="str" cm="1">
        <f t="array" ref="D4068">IF(AND(A4068="2021-01", ISNA(MATCH(B4068, _xlfn._xlws.FILTER(B:B, A:A="2021-02"), 0))), "Left", "Ativo")</f>
        <v>Ativo</v>
      </c>
      <c r="E4068" s="10" t="str" cm="1">
        <f t="array" ref="E4068">IF(AND(A4068="2021-02", ISNA(MATCH(B4068, _xlfn._xlws.FILTER(B:B, A:A="2021-03"), 0))), "Left", "Ativo")</f>
        <v>Ativo</v>
      </c>
      <c r="F4068" s="12" t="str" cm="1">
        <f t="array" ref="F4068">IF(AND(A4068="2021-03", ISNA(MATCH(B4068, _xlfn._xlws.FILTER(B:B, A:A="2021-04"), 0))), "Left", "Ativo")</f>
        <v>Ativo</v>
      </c>
    </row>
    <row r="4069" spans="1:6" x14ac:dyDescent="0.25">
      <c r="A4069" t="s">
        <v>1532</v>
      </c>
      <c r="B4069" t="s">
        <v>179</v>
      </c>
      <c r="C4069" s="10" t="str" cm="1">
        <f t="array" ref="C4069">IF(AND(A4069="2020-12", ISNA(MATCH(B4069, _xlfn._xlws.FILTER(B:B, A:A="2021-01"), 0))), "Left", "Ativo")</f>
        <v>Ativo</v>
      </c>
      <c r="D4069" s="10" t="str" cm="1">
        <f t="array" ref="D4069">IF(AND(A4069="2021-01", ISNA(MATCH(B4069, _xlfn._xlws.FILTER(B:B, A:A="2021-02"), 0))), "Left", "Ativo")</f>
        <v>Ativo</v>
      </c>
      <c r="E4069" s="10" t="str" cm="1">
        <f t="array" ref="E4069">IF(AND(A4069="2021-02", ISNA(MATCH(B4069, _xlfn._xlws.FILTER(B:B, A:A="2021-03"), 0))), "Left", "Ativo")</f>
        <v>Ativo</v>
      </c>
      <c r="F4069" s="12" t="str" cm="1">
        <f t="array" ref="F4069">IF(AND(A4069="2021-03", ISNA(MATCH(B4069, _xlfn._xlws.FILTER(B:B, A:A="2021-04"), 0))), "Left", "Ativo")</f>
        <v>Ativo</v>
      </c>
    </row>
    <row r="4070" spans="1:6" x14ac:dyDescent="0.25">
      <c r="A4070" t="s">
        <v>1532</v>
      </c>
      <c r="B4070" t="s">
        <v>180</v>
      </c>
      <c r="C4070" s="10" t="str" cm="1">
        <f t="array" ref="C4070">IF(AND(A4070="2020-12", ISNA(MATCH(B4070, _xlfn._xlws.FILTER(B:B, A:A="2021-01"), 0))), "Left", "Ativo")</f>
        <v>Ativo</v>
      </c>
      <c r="D4070" s="10" t="str" cm="1">
        <f t="array" ref="D4070">IF(AND(A4070="2021-01", ISNA(MATCH(B4070, _xlfn._xlws.FILTER(B:B, A:A="2021-02"), 0))), "Left", "Ativo")</f>
        <v>Ativo</v>
      </c>
      <c r="E4070" s="10" t="str" cm="1">
        <f t="array" ref="E4070">IF(AND(A4070="2021-02", ISNA(MATCH(B4070, _xlfn._xlws.FILTER(B:B, A:A="2021-03"), 0))), "Left", "Ativo")</f>
        <v>Ativo</v>
      </c>
      <c r="F4070" s="12" t="str" cm="1">
        <f t="array" ref="F4070">IF(AND(A4070="2021-03", ISNA(MATCH(B4070, _xlfn._xlws.FILTER(B:B, A:A="2021-04"), 0))), "Left", "Ativo")</f>
        <v>Ativo</v>
      </c>
    </row>
    <row r="4071" spans="1:6" x14ac:dyDescent="0.25">
      <c r="A4071" t="s">
        <v>1532</v>
      </c>
      <c r="B4071" t="s">
        <v>181</v>
      </c>
      <c r="C4071" s="10" t="str" cm="1">
        <f t="array" ref="C4071">IF(AND(A4071="2020-12", ISNA(MATCH(B4071, _xlfn._xlws.FILTER(B:B, A:A="2021-01"), 0))), "Left", "Ativo")</f>
        <v>Ativo</v>
      </c>
      <c r="D4071" s="10" t="str" cm="1">
        <f t="array" ref="D4071">IF(AND(A4071="2021-01", ISNA(MATCH(B4071, _xlfn._xlws.FILTER(B:B, A:A="2021-02"), 0))), "Left", "Ativo")</f>
        <v>Ativo</v>
      </c>
      <c r="E4071" s="10" t="str" cm="1">
        <f t="array" ref="E4071">IF(AND(A4071="2021-02", ISNA(MATCH(B4071, _xlfn._xlws.FILTER(B:B, A:A="2021-03"), 0))), "Left", "Ativo")</f>
        <v>Ativo</v>
      </c>
      <c r="F4071" s="12" t="str" cm="1">
        <f t="array" ref="F4071">IF(AND(A4071="2021-03", ISNA(MATCH(B4071, _xlfn._xlws.FILTER(B:B, A:A="2021-04"), 0))), "Left", "Ativo")</f>
        <v>Ativo</v>
      </c>
    </row>
    <row r="4072" spans="1:6" x14ac:dyDescent="0.25">
      <c r="A4072" t="s">
        <v>1532</v>
      </c>
      <c r="B4072" t="s">
        <v>182</v>
      </c>
      <c r="C4072" s="10" t="str" cm="1">
        <f t="array" ref="C4072">IF(AND(A4072="2020-12", ISNA(MATCH(B4072, _xlfn._xlws.FILTER(B:B, A:A="2021-01"), 0))), "Left", "Ativo")</f>
        <v>Ativo</v>
      </c>
      <c r="D4072" s="10" t="str" cm="1">
        <f t="array" ref="D4072">IF(AND(A4072="2021-01", ISNA(MATCH(B4072, _xlfn._xlws.FILTER(B:B, A:A="2021-02"), 0))), "Left", "Ativo")</f>
        <v>Ativo</v>
      </c>
      <c r="E4072" s="10" t="str" cm="1">
        <f t="array" ref="E4072">IF(AND(A4072="2021-02", ISNA(MATCH(B4072, _xlfn._xlws.FILTER(B:B, A:A="2021-03"), 0))), "Left", "Ativo")</f>
        <v>Ativo</v>
      </c>
      <c r="F4072" s="12" t="str" cm="1">
        <f t="array" ref="F4072">IF(AND(A4072="2021-03", ISNA(MATCH(B4072, _xlfn._xlws.FILTER(B:B, A:A="2021-04"), 0))), "Left", "Ativo")</f>
        <v>Ativo</v>
      </c>
    </row>
    <row r="4073" spans="1:6" x14ac:dyDescent="0.25">
      <c r="A4073" t="s">
        <v>1532</v>
      </c>
      <c r="B4073" t="s">
        <v>183</v>
      </c>
      <c r="C4073" s="10" t="str" cm="1">
        <f t="array" ref="C4073">IF(AND(A4073="2020-12", ISNA(MATCH(B4073, _xlfn._xlws.FILTER(B:B, A:A="2021-01"), 0))), "Left", "Ativo")</f>
        <v>Ativo</v>
      </c>
      <c r="D4073" s="10" t="str" cm="1">
        <f t="array" ref="D4073">IF(AND(A4073="2021-01", ISNA(MATCH(B4073, _xlfn._xlws.FILTER(B:B, A:A="2021-02"), 0))), "Left", "Ativo")</f>
        <v>Ativo</v>
      </c>
      <c r="E4073" s="10" t="str" cm="1">
        <f t="array" ref="E4073">IF(AND(A4073="2021-02", ISNA(MATCH(B4073, _xlfn._xlws.FILTER(B:B, A:A="2021-03"), 0))), "Left", "Ativo")</f>
        <v>Ativo</v>
      </c>
      <c r="F4073" s="12" t="str" cm="1">
        <f t="array" ref="F4073">IF(AND(A4073="2021-03", ISNA(MATCH(B4073, _xlfn._xlws.FILTER(B:B, A:A="2021-04"), 0))), "Left", "Ativo")</f>
        <v>Ativo</v>
      </c>
    </row>
    <row r="4074" spans="1:6" x14ac:dyDescent="0.25">
      <c r="A4074" t="s">
        <v>1532</v>
      </c>
      <c r="B4074" t="s">
        <v>184</v>
      </c>
      <c r="C4074" s="10" t="str" cm="1">
        <f t="array" ref="C4074">IF(AND(A4074="2020-12", ISNA(MATCH(B4074, _xlfn._xlws.FILTER(B:B, A:A="2021-01"), 0))), "Left", "Ativo")</f>
        <v>Ativo</v>
      </c>
      <c r="D4074" s="10" t="str" cm="1">
        <f t="array" ref="D4074">IF(AND(A4074="2021-01", ISNA(MATCH(B4074, _xlfn._xlws.FILTER(B:B, A:A="2021-02"), 0))), "Left", "Ativo")</f>
        <v>Ativo</v>
      </c>
      <c r="E4074" s="10" t="str" cm="1">
        <f t="array" ref="E4074">IF(AND(A4074="2021-02", ISNA(MATCH(B4074, _xlfn._xlws.FILTER(B:B, A:A="2021-03"), 0))), "Left", "Ativo")</f>
        <v>Ativo</v>
      </c>
      <c r="F4074" s="12" t="str" cm="1">
        <f t="array" ref="F4074">IF(AND(A4074="2021-03", ISNA(MATCH(B4074, _xlfn._xlws.FILTER(B:B, A:A="2021-04"), 0))), "Left", "Ativo")</f>
        <v>Ativo</v>
      </c>
    </row>
    <row r="4075" spans="1:6" x14ac:dyDescent="0.25">
      <c r="A4075" t="s">
        <v>1532</v>
      </c>
      <c r="B4075" t="s">
        <v>185</v>
      </c>
      <c r="C4075" s="10" t="str" cm="1">
        <f t="array" ref="C4075">IF(AND(A4075="2020-12", ISNA(MATCH(B4075, _xlfn._xlws.FILTER(B:B, A:A="2021-01"), 0))), "Left", "Ativo")</f>
        <v>Ativo</v>
      </c>
      <c r="D4075" s="10" t="str" cm="1">
        <f t="array" ref="D4075">IF(AND(A4075="2021-01", ISNA(MATCH(B4075, _xlfn._xlws.FILTER(B:B, A:A="2021-02"), 0))), "Left", "Ativo")</f>
        <v>Ativo</v>
      </c>
      <c r="E4075" s="10" t="str" cm="1">
        <f t="array" ref="E4075">IF(AND(A4075="2021-02", ISNA(MATCH(B4075, _xlfn._xlws.FILTER(B:B, A:A="2021-03"), 0))), "Left", "Ativo")</f>
        <v>Ativo</v>
      </c>
      <c r="F4075" s="12" t="str" cm="1">
        <f t="array" ref="F4075">IF(AND(A4075="2021-03", ISNA(MATCH(B4075, _xlfn._xlws.FILTER(B:B, A:A="2021-04"), 0))), "Left", "Ativo")</f>
        <v>Ativo</v>
      </c>
    </row>
    <row r="4076" spans="1:6" x14ac:dyDescent="0.25">
      <c r="A4076" t="s">
        <v>1532</v>
      </c>
      <c r="B4076" t="s">
        <v>186</v>
      </c>
      <c r="C4076" s="10" t="str" cm="1">
        <f t="array" ref="C4076">IF(AND(A4076="2020-12", ISNA(MATCH(B4076, _xlfn._xlws.FILTER(B:B, A:A="2021-01"), 0))), "Left", "Ativo")</f>
        <v>Ativo</v>
      </c>
      <c r="D4076" s="10" t="str" cm="1">
        <f t="array" ref="D4076">IF(AND(A4076="2021-01", ISNA(MATCH(B4076, _xlfn._xlws.FILTER(B:B, A:A="2021-02"), 0))), "Left", "Ativo")</f>
        <v>Ativo</v>
      </c>
      <c r="E4076" s="10" t="str" cm="1">
        <f t="array" ref="E4076">IF(AND(A4076="2021-02", ISNA(MATCH(B4076, _xlfn._xlws.FILTER(B:B, A:A="2021-03"), 0))), "Left", "Ativo")</f>
        <v>Ativo</v>
      </c>
      <c r="F4076" s="12" t="str" cm="1">
        <f t="array" ref="F4076">IF(AND(A4076="2021-03", ISNA(MATCH(B4076, _xlfn._xlws.FILTER(B:B, A:A="2021-04"), 0))), "Left", "Ativo")</f>
        <v>Ativo</v>
      </c>
    </row>
    <row r="4077" spans="1:6" x14ac:dyDescent="0.25">
      <c r="A4077" t="s">
        <v>1532</v>
      </c>
      <c r="B4077" t="s">
        <v>187</v>
      </c>
      <c r="C4077" s="10" t="str" cm="1">
        <f t="array" ref="C4077">IF(AND(A4077="2020-12", ISNA(MATCH(B4077, _xlfn._xlws.FILTER(B:B, A:A="2021-01"), 0))), "Left", "Ativo")</f>
        <v>Ativo</v>
      </c>
      <c r="D4077" s="10" t="str" cm="1">
        <f t="array" ref="D4077">IF(AND(A4077="2021-01", ISNA(MATCH(B4077, _xlfn._xlws.FILTER(B:B, A:A="2021-02"), 0))), "Left", "Ativo")</f>
        <v>Ativo</v>
      </c>
      <c r="E4077" s="10" t="str" cm="1">
        <f t="array" ref="E4077">IF(AND(A4077="2021-02", ISNA(MATCH(B4077, _xlfn._xlws.FILTER(B:B, A:A="2021-03"), 0))), "Left", "Ativo")</f>
        <v>Ativo</v>
      </c>
      <c r="F4077" s="12" t="str" cm="1">
        <f t="array" ref="F4077">IF(AND(A4077="2021-03", ISNA(MATCH(B4077, _xlfn._xlws.FILTER(B:B, A:A="2021-04"), 0))), "Left", "Ativo")</f>
        <v>Ativo</v>
      </c>
    </row>
    <row r="4078" spans="1:6" x14ac:dyDescent="0.25">
      <c r="A4078" t="s">
        <v>1532</v>
      </c>
      <c r="B4078" t="s">
        <v>188</v>
      </c>
      <c r="C4078" s="10" t="str" cm="1">
        <f t="array" ref="C4078">IF(AND(A4078="2020-12", ISNA(MATCH(B4078, _xlfn._xlws.FILTER(B:B, A:A="2021-01"), 0))), "Left", "Ativo")</f>
        <v>Ativo</v>
      </c>
      <c r="D4078" s="10" t="str" cm="1">
        <f t="array" ref="D4078">IF(AND(A4078="2021-01", ISNA(MATCH(B4078, _xlfn._xlws.FILTER(B:B, A:A="2021-02"), 0))), "Left", "Ativo")</f>
        <v>Ativo</v>
      </c>
      <c r="E4078" s="10" t="str" cm="1">
        <f t="array" ref="E4078">IF(AND(A4078="2021-02", ISNA(MATCH(B4078, _xlfn._xlws.FILTER(B:B, A:A="2021-03"), 0))), "Left", "Ativo")</f>
        <v>Ativo</v>
      </c>
      <c r="F4078" s="12" t="str" cm="1">
        <f t="array" ref="F4078">IF(AND(A4078="2021-03", ISNA(MATCH(B4078, _xlfn._xlws.FILTER(B:B, A:A="2021-04"), 0))), "Left", "Ativo")</f>
        <v>Ativo</v>
      </c>
    </row>
    <row r="4079" spans="1:6" x14ac:dyDescent="0.25">
      <c r="A4079" t="s">
        <v>1532</v>
      </c>
      <c r="B4079" t="s">
        <v>986</v>
      </c>
      <c r="C4079" s="10" t="str" cm="1">
        <f t="array" ref="C4079">IF(AND(A4079="2020-12", ISNA(MATCH(B4079, _xlfn._xlws.FILTER(B:B, A:A="2021-01"), 0))), "Left", "Ativo")</f>
        <v>Ativo</v>
      </c>
      <c r="D4079" s="10" t="str" cm="1">
        <f t="array" ref="D4079">IF(AND(A4079="2021-01", ISNA(MATCH(B4079, _xlfn._xlws.FILTER(B:B, A:A="2021-02"), 0))), "Left", "Ativo")</f>
        <v>Ativo</v>
      </c>
      <c r="E4079" s="10" t="str" cm="1">
        <f t="array" ref="E4079">IF(AND(A4079="2021-02", ISNA(MATCH(B4079, _xlfn._xlws.FILTER(B:B, A:A="2021-03"), 0))), "Left", "Ativo")</f>
        <v>Ativo</v>
      </c>
      <c r="F4079" s="12" t="str" cm="1">
        <f t="array" ref="F4079">IF(AND(A4079="2021-03", ISNA(MATCH(B4079, _xlfn._xlws.FILTER(B:B, A:A="2021-04"), 0))), "Left", "Ativo")</f>
        <v>Ativo</v>
      </c>
    </row>
    <row r="4080" spans="1:6" x14ac:dyDescent="0.25">
      <c r="A4080" t="s">
        <v>1532</v>
      </c>
      <c r="B4080" t="s">
        <v>987</v>
      </c>
      <c r="C4080" s="10" t="str" cm="1">
        <f t="array" ref="C4080">IF(AND(A4080="2020-12", ISNA(MATCH(B4080, _xlfn._xlws.FILTER(B:B, A:A="2021-01"), 0))), "Left", "Ativo")</f>
        <v>Ativo</v>
      </c>
      <c r="D4080" s="10" t="str" cm="1">
        <f t="array" ref="D4080">IF(AND(A4080="2021-01", ISNA(MATCH(B4080, _xlfn._xlws.FILTER(B:B, A:A="2021-02"), 0))), "Left", "Ativo")</f>
        <v>Ativo</v>
      </c>
      <c r="E4080" s="10" t="str" cm="1">
        <f t="array" ref="E4080">IF(AND(A4080="2021-02", ISNA(MATCH(B4080, _xlfn._xlws.FILTER(B:B, A:A="2021-03"), 0))), "Left", "Ativo")</f>
        <v>Ativo</v>
      </c>
      <c r="F4080" s="12" t="str" cm="1">
        <f t="array" ref="F4080">IF(AND(A4080="2021-03", ISNA(MATCH(B4080, _xlfn._xlws.FILTER(B:B, A:A="2021-04"), 0))), "Left", "Ativo")</f>
        <v>Ativo</v>
      </c>
    </row>
    <row r="4081" spans="1:6" x14ac:dyDescent="0.25">
      <c r="A4081" t="s">
        <v>1532</v>
      </c>
      <c r="B4081" t="s">
        <v>988</v>
      </c>
      <c r="C4081" s="10" t="str" cm="1">
        <f t="array" ref="C4081">IF(AND(A4081="2020-12", ISNA(MATCH(B4081, _xlfn._xlws.FILTER(B:B, A:A="2021-01"), 0))), "Left", "Ativo")</f>
        <v>Ativo</v>
      </c>
      <c r="D4081" s="10" t="str" cm="1">
        <f t="array" ref="D4081">IF(AND(A4081="2021-01", ISNA(MATCH(B4081, _xlfn._xlws.FILTER(B:B, A:A="2021-02"), 0))), "Left", "Ativo")</f>
        <v>Ativo</v>
      </c>
      <c r="E4081" s="10" t="str" cm="1">
        <f t="array" ref="E4081">IF(AND(A4081="2021-02", ISNA(MATCH(B4081, _xlfn._xlws.FILTER(B:B, A:A="2021-03"), 0))), "Left", "Ativo")</f>
        <v>Ativo</v>
      </c>
      <c r="F4081" s="12" t="str" cm="1">
        <f t="array" ref="F4081">IF(AND(A4081="2021-03", ISNA(MATCH(B4081, _xlfn._xlws.FILTER(B:B, A:A="2021-04"), 0))), "Left", "Ativo")</f>
        <v>Ativo</v>
      </c>
    </row>
    <row r="4082" spans="1:6" x14ac:dyDescent="0.25">
      <c r="A4082" t="s">
        <v>1532</v>
      </c>
      <c r="B4082" t="s">
        <v>989</v>
      </c>
      <c r="C4082" s="10" t="str" cm="1">
        <f t="array" ref="C4082">IF(AND(A4082="2020-12", ISNA(MATCH(B4082, _xlfn._xlws.FILTER(B:B, A:A="2021-01"), 0))), "Left", "Ativo")</f>
        <v>Ativo</v>
      </c>
      <c r="D4082" s="10" t="str" cm="1">
        <f t="array" ref="D4082">IF(AND(A4082="2021-01", ISNA(MATCH(B4082, _xlfn._xlws.FILTER(B:B, A:A="2021-02"), 0))), "Left", "Ativo")</f>
        <v>Ativo</v>
      </c>
      <c r="E4082" s="10" t="str" cm="1">
        <f t="array" ref="E4082">IF(AND(A4082="2021-02", ISNA(MATCH(B4082, _xlfn._xlws.FILTER(B:B, A:A="2021-03"), 0))), "Left", "Ativo")</f>
        <v>Ativo</v>
      </c>
      <c r="F4082" s="12" t="str" cm="1">
        <f t="array" ref="F4082">IF(AND(A4082="2021-03", ISNA(MATCH(B4082, _xlfn._xlws.FILTER(B:B, A:A="2021-04"), 0))), "Left", "Ativo")</f>
        <v>Ativo</v>
      </c>
    </row>
    <row r="4083" spans="1:6" x14ac:dyDescent="0.25">
      <c r="A4083" t="s">
        <v>1532</v>
      </c>
      <c r="B4083" t="s">
        <v>990</v>
      </c>
      <c r="C4083" s="10" t="str" cm="1">
        <f t="array" ref="C4083">IF(AND(A4083="2020-12", ISNA(MATCH(B4083, _xlfn._xlws.FILTER(B:B, A:A="2021-01"), 0))), "Left", "Ativo")</f>
        <v>Ativo</v>
      </c>
      <c r="D4083" s="10" t="str" cm="1">
        <f t="array" ref="D4083">IF(AND(A4083="2021-01", ISNA(MATCH(B4083, _xlfn._xlws.FILTER(B:B, A:A="2021-02"), 0))), "Left", "Ativo")</f>
        <v>Ativo</v>
      </c>
      <c r="E4083" s="10" t="str" cm="1">
        <f t="array" ref="E4083">IF(AND(A4083="2021-02", ISNA(MATCH(B4083, _xlfn._xlws.FILTER(B:B, A:A="2021-03"), 0))), "Left", "Ativo")</f>
        <v>Ativo</v>
      </c>
      <c r="F4083" s="12" t="str" cm="1">
        <f t="array" ref="F4083">IF(AND(A4083="2021-03", ISNA(MATCH(B4083, _xlfn._xlws.FILTER(B:B, A:A="2021-04"), 0))), "Left", "Ativo")</f>
        <v>Ativo</v>
      </c>
    </row>
    <row r="4084" spans="1:6" x14ac:dyDescent="0.25">
      <c r="A4084" t="s">
        <v>1532</v>
      </c>
      <c r="B4084" t="s">
        <v>991</v>
      </c>
      <c r="C4084" s="10" t="str" cm="1">
        <f t="array" ref="C4084">IF(AND(A4084="2020-12", ISNA(MATCH(B4084, _xlfn._xlws.FILTER(B:B, A:A="2021-01"), 0))), "Left", "Ativo")</f>
        <v>Ativo</v>
      </c>
      <c r="D4084" s="10" t="str" cm="1">
        <f t="array" ref="D4084">IF(AND(A4084="2021-01", ISNA(MATCH(B4084, _xlfn._xlws.FILTER(B:B, A:A="2021-02"), 0))), "Left", "Ativo")</f>
        <v>Ativo</v>
      </c>
      <c r="E4084" s="10" t="str" cm="1">
        <f t="array" ref="E4084">IF(AND(A4084="2021-02", ISNA(MATCH(B4084, _xlfn._xlws.FILTER(B:B, A:A="2021-03"), 0))), "Left", "Ativo")</f>
        <v>Ativo</v>
      </c>
      <c r="F4084" s="12" t="str" cm="1">
        <f t="array" ref="F4084">IF(AND(A4084="2021-03", ISNA(MATCH(B4084, _xlfn._xlws.FILTER(B:B, A:A="2021-04"), 0))), "Left", "Ativo")</f>
        <v>Ativo</v>
      </c>
    </row>
    <row r="4085" spans="1:6" x14ac:dyDescent="0.25">
      <c r="A4085" t="s">
        <v>1532</v>
      </c>
      <c r="B4085" t="s">
        <v>992</v>
      </c>
      <c r="C4085" s="10" t="str" cm="1">
        <f t="array" ref="C4085">IF(AND(A4085="2020-12", ISNA(MATCH(B4085, _xlfn._xlws.FILTER(B:B, A:A="2021-01"), 0))), "Left", "Ativo")</f>
        <v>Ativo</v>
      </c>
      <c r="D4085" s="10" t="str" cm="1">
        <f t="array" ref="D4085">IF(AND(A4085="2021-01", ISNA(MATCH(B4085, _xlfn._xlws.FILTER(B:B, A:A="2021-02"), 0))), "Left", "Ativo")</f>
        <v>Ativo</v>
      </c>
      <c r="E4085" s="10" t="str" cm="1">
        <f t="array" ref="E4085">IF(AND(A4085="2021-02", ISNA(MATCH(B4085, _xlfn._xlws.FILTER(B:B, A:A="2021-03"), 0))), "Left", "Ativo")</f>
        <v>Ativo</v>
      </c>
      <c r="F4085" s="12" t="str" cm="1">
        <f t="array" ref="F4085">IF(AND(A4085="2021-03", ISNA(MATCH(B4085, _xlfn._xlws.FILTER(B:B, A:A="2021-04"), 0))), "Left", "Ativo")</f>
        <v>Ativo</v>
      </c>
    </row>
    <row r="4086" spans="1:6" x14ac:dyDescent="0.25">
      <c r="A4086" t="s">
        <v>1532</v>
      </c>
      <c r="B4086" t="s">
        <v>993</v>
      </c>
      <c r="C4086" s="10" t="str" cm="1">
        <f t="array" ref="C4086">IF(AND(A4086="2020-12", ISNA(MATCH(B4086, _xlfn._xlws.FILTER(B:B, A:A="2021-01"), 0))), "Left", "Ativo")</f>
        <v>Ativo</v>
      </c>
      <c r="D4086" s="10" t="str" cm="1">
        <f t="array" ref="D4086">IF(AND(A4086="2021-01", ISNA(MATCH(B4086, _xlfn._xlws.FILTER(B:B, A:A="2021-02"), 0))), "Left", "Ativo")</f>
        <v>Ativo</v>
      </c>
      <c r="E4086" s="10" t="str" cm="1">
        <f t="array" ref="E4086">IF(AND(A4086="2021-02", ISNA(MATCH(B4086, _xlfn._xlws.FILTER(B:B, A:A="2021-03"), 0))), "Left", "Ativo")</f>
        <v>Ativo</v>
      </c>
      <c r="F4086" s="12" t="str" cm="1">
        <f t="array" ref="F4086">IF(AND(A4086="2021-03", ISNA(MATCH(B4086, _xlfn._xlws.FILTER(B:B, A:A="2021-04"), 0))), "Left", "Ativo")</f>
        <v>Ativo</v>
      </c>
    </row>
    <row r="4087" spans="1:6" x14ac:dyDescent="0.25">
      <c r="A4087" t="s">
        <v>1532</v>
      </c>
      <c r="B4087" t="s">
        <v>994</v>
      </c>
      <c r="C4087" s="10" t="str" cm="1">
        <f t="array" ref="C4087">IF(AND(A4087="2020-12", ISNA(MATCH(B4087, _xlfn._xlws.FILTER(B:B, A:A="2021-01"), 0))), "Left", "Ativo")</f>
        <v>Ativo</v>
      </c>
      <c r="D4087" s="10" t="str" cm="1">
        <f t="array" ref="D4087">IF(AND(A4087="2021-01", ISNA(MATCH(B4087, _xlfn._xlws.FILTER(B:B, A:A="2021-02"), 0))), "Left", "Ativo")</f>
        <v>Ativo</v>
      </c>
      <c r="E4087" s="10" t="str" cm="1">
        <f t="array" ref="E4087">IF(AND(A4087="2021-02", ISNA(MATCH(B4087, _xlfn._xlws.FILTER(B:B, A:A="2021-03"), 0))), "Left", "Ativo")</f>
        <v>Ativo</v>
      </c>
      <c r="F4087" s="12" t="str" cm="1">
        <f t="array" ref="F4087">IF(AND(A4087="2021-03", ISNA(MATCH(B4087, _xlfn._xlws.FILTER(B:B, A:A="2021-04"), 0))), "Left", "Ativo")</f>
        <v>Ativo</v>
      </c>
    </row>
    <row r="4088" spans="1:6" x14ac:dyDescent="0.25">
      <c r="A4088" t="s">
        <v>1532</v>
      </c>
      <c r="B4088" t="s">
        <v>995</v>
      </c>
      <c r="C4088" s="10" t="str" cm="1">
        <f t="array" ref="C4088">IF(AND(A4088="2020-12", ISNA(MATCH(B4088, _xlfn._xlws.FILTER(B:B, A:A="2021-01"), 0))), "Left", "Ativo")</f>
        <v>Ativo</v>
      </c>
      <c r="D4088" s="10" t="str" cm="1">
        <f t="array" ref="D4088">IF(AND(A4088="2021-01", ISNA(MATCH(B4088, _xlfn._xlws.FILTER(B:B, A:A="2021-02"), 0))), "Left", "Ativo")</f>
        <v>Ativo</v>
      </c>
      <c r="E4088" s="10" t="str" cm="1">
        <f t="array" ref="E4088">IF(AND(A4088="2021-02", ISNA(MATCH(B4088, _xlfn._xlws.FILTER(B:B, A:A="2021-03"), 0))), "Left", "Ativo")</f>
        <v>Ativo</v>
      </c>
      <c r="F4088" s="12" t="str" cm="1">
        <f t="array" ref="F4088">IF(AND(A4088="2021-03", ISNA(MATCH(B4088, _xlfn._xlws.FILTER(B:B, A:A="2021-04"), 0))), "Left", "Ativo")</f>
        <v>Ativo</v>
      </c>
    </row>
    <row r="4089" spans="1:6" x14ac:dyDescent="0.25">
      <c r="A4089" t="s">
        <v>1532</v>
      </c>
      <c r="B4089" t="s">
        <v>996</v>
      </c>
      <c r="C4089" s="10" t="str" cm="1">
        <f t="array" ref="C4089">IF(AND(A4089="2020-12", ISNA(MATCH(B4089, _xlfn._xlws.FILTER(B:B, A:A="2021-01"), 0))), "Left", "Ativo")</f>
        <v>Ativo</v>
      </c>
      <c r="D4089" s="10" t="str" cm="1">
        <f t="array" ref="D4089">IF(AND(A4089="2021-01", ISNA(MATCH(B4089, _xlfn._xlws.FILTER(B:B, A:A="2021-02"), 0))), "Left", "Ativo")</f>
        <v>Ativo</v>
      </c>
      <c r="E4089" s="10" t="str" cm="1">
        <f t="array" ref="E4089">IF(AND(A4089="2021-02", ISNA(MATCH(B4089, _xlfn._xlws.FILTER(B:B, A:A="2021-03"), 0))), "Left", "Ativo")</f>
        <v>Ativo</v>
      </c>
      <c r="F4089" s="12" t="str" cm="1">
        <f t="array" ref="F4089">IF(AND(A4089="2021-03", ISNA(MATCH(B4089, _xlfn._xlws.FILTER(B:B, A:A="2021-04"), 0))), "Left", "Ativo")</f>
        <v>Ativo</v>
      </c>
    </row>
    <row r="4090" spans="1:6" x14ac:dyDescent="0.25">
      <c r="A4090" t="s">
        <v>1532</v>
      </c>
      <c r="B4090" t="s">
        <v>997</v>
      </c>
      <c r="C4090" s="10" t="str" cm="1">
        <f t="array" ref="C4090">IF(AND(A4090="2020-12", ISNA(MATCH(B4090, _xlfn._xlws.FILTER(B:B, A:A="2021-01"), 0))), "Left", "Ativo")</f>
        <v>Ativo</v>
      </c>
      <c r="D4090" s="10" t="str" cm="1">
        <f t="array" ref="D4090">IF(AND(A4090="2021-01", ISNA(MATCH(B4090, _xlfn._xlws.FILTER(B:B, A:A="2021-02"), 0))), "Left", "Ativo")</f>
        <v>Ativo</v>
      </c>
      <c r="E4090" s="10" t="str" cm="1">
        <f t="array" ref="E4090">IF(AND(A4090="2021-02", ISNA(MATCH(B4090, _xlfn._xlws.FILTER(B:B, A:A="2021-03"), 0))), "Left", "Ativo")</f>
        <v>Ativo</v>
      </c>
      <c r="F4090" s="12" t="str" cm="1">
        <f t="array" ref="F4090">IF(AND(A4090="2021-03", ISNA(MATCH(B4090, _xlfn._xlws.FILTER(B:B, A:A="2021-04"), 0))), "Left", "Ativo")</f>
        <v>Ativo</v>
      </c>
    </row>
    <row r="4091" spans="1:6" x14ac:dyDescent="0.25">
      <c r="A4091" t="s">
        <v>1532</v>
      </c>
      <c r="B4091" t="s">
        <v>998</v>
      </c>
      <c r="C4091" s="10" t="str" cm="1">
        <f t="array" ref="C4091">IF(AND(A4091="2020-12", ISNA(MATCH(B4091, _xlfn._xlws.FILTER(B:B, A:A="2021-01"), 0))), "Left", "Ativo")</f>
        <v>Ativo</v>
      </c>
      <c r="D4091" s="10" t="str" cm="1">
        <f t="array" ref="D4091">IF(AND(A4091="2021-01", ISNA(MATCH(B4091, _xlfn._xlws.FILTER(B:B, A:A="2021-02"), 0))), "Left", "Ativo")</f>
        <v>Ativo</v>
      </c>
      <c r="E4091" s="10" t="str" cm="1">
        <f t="array" ref="E4091">IF(AND(A4091="2021-02", ISNA(MATCH(B4091, _xlfn._xlws.FILTER(B:B, A:A="2021-03"), 0))), "Left", "Ativo")</f>
        <v>Ativo</v>
      </c>
      <c r="F4091" s="12" t="str" cm="1">
        <f t="array" ref="F4091">IF(AND(A4091="2021-03", ISNA(MATCH(B4091, _xlfn._xlws.FILTER(B:B, A:A="2021-04"), 0))), "Left", "Ativo")</f>
        <v>Ativo</v>
      </c>
    </row>
    <row r="4092" spans="1:6" x14ac:dyDescent="0.25">
      <c r="A4092" t="s">
        <v>1532</v>
      </c>
      <c r="B4092" t="s">
        <v>999</v>
      </c>
      <c r="C4092" s="10" t="str" cm="1">
        <f t="array" ref="C4092">IF(AND(A4092="2020-12", ISNA(MATCH(B4092, _xlfn._xlws.FILTER(B:B, A:A="2021-01"), 0))), "Left", "Ativo")</f>
        <v>Ativo</v>
      </c>
      <c r="D4092" s="10" t="str" cm="1">
        <f t="array" ref="D4092">IF(AND(A4092="2021-01", ISNA(MATCH(B4092, _xlfn._xlws.FILTER(B:B, A:A="2021-02"), 0))), "Left", "Ativo")</f>
        <v>Ativo</v>
      </c>
      <c r="E4092" s="10" t="str" cm="1">
        <f t="array" ref="E4092">IF(AND(A4092="2021-02", ISNA(MATCH(B4092, _xlfn._xlws.FILTER(B:B, A:A="2021-03"), 0))), "Left", "Ativo")</f>
        <v>Ativo</v>
      </c>
      <c r="F4092" s="12" t="str" cm="1">
        <f t="array" ref="F4092">IF(AND(A4092="2021-03", ISNA(MATCH(B4092, _xlfn._xlws.FILTER(B:B, A:A="2021-04"), 0))), "Left", "Ativo")</f>
        <v>Ativo</v>
      </c>
    </row>
    <row r="4093" spans="1:6" x14ac:dyDescent="0.25">
      <c r="A4093" t="s">
        <v>1532</v>
      </c>
      <c r="B4093" t="s">
        <v>1000</v>
      </c>
      <c r="C4093" s="10" t="str" cm="1">
        <f t="array" ref="C4093">IF(AND(A4093="2020-12", ISNA(MATCH(B4093, _xlfn._xlws.FILTER(B:B, A:A="2021-01"), 0))), "Left", "Ativo")</f>
        <v>Ativo</v>
      </c>
      <c r="D4093" s="10" t="str" cm="1">
        <f t="array" ref="D4093">IF(AND(A4093="2021-01", ISNA(MATCH(B4093, _xlfn._xlws.FILTER(B:B, A:A="2021-02"), 0))), "Left", "Ativo")</f>
        <v>Ativo</v>
      </c>
      <c r="E4093" s="10" t="str" cm="1">
        <f t="array" ref="E4093">IF(AND(A4093="2021-02", ISNA(MATCH(B4093, _xlfn._xlws.FILTER(B:B, A:A="2021-03"), 0))), "Left", "Ativo")</f>
        <v>Ativo</v>
      </c>
      <c r="F4093" s="12" t="str" cm="1">
        <f t="array" ref="F4093">IF(AND(A4093="2021-03", ISNA(MATCH(B4093, _xlfn._xlws.FILTER(B:B, A:A="2021-04"), 0))), "Left", "Ativo")</f>
        <v>Ativo</v>
      </c>
    </row>
    <row r="4094" spans="1:6" x14ac:dyDescent="0.25">
      <c r="A4094" t="s">
        <v>1532</v>
      </c>
      <c r="B4094" t="s">
        <v>1001</v>
      </c>
      <c r="C4094" s="10" t="str" cm="1">
        <f t="array" ref="C4094">IF(AND(A4094="2020-12", ISNA(MATCH(B4094, _xlfn._xlws.FILTER(B:B, A:A="2021-01"), 0))), "Left", "Ativo")</f>
        <v>Ativo</v>
      </c>
      <c r="D4094" s="10" t="str" cm="1">
        <f t="array" ref="D4094">IF(AND(A4094="2021-01", ISNA(MATCH(B4094, _xlfn._xlws.FILTER(B:B, A:A="2021-02"), 0))), "Left", "Ativo")</f>
        <v>Ativo</v>
      </c>
      <c r="E4094" s="10" t="str" cm="1">
        <f t="array" ref="E4094">IF(AND(A4094="2021-02", ISNA(MATCH(B4094, _xlfn._xlws.FILTER(B:B, A:A="2021-03"), 0))), "Left", "Ativo")</f>
        <v>Ativo</v>
      </c>
      <c r="F4094" s="12" t="str" cm="1">
        <f t="array" ref="F4094">IF(AND(A4094="2021-03", ISNA(MATCH(B4094, _xlfn._xlws.FILTER(B:B, A:A="2021-04"), 0))), "Left", "Ativo")</f>
        <v>Ativo</v>
      </c>
    </row>
    <row r="4095" spans="1:6" x14ac:dyDescent="0.25">
      <c r="A4095" t="s">
        <v>1532</v>
      </c>
      <c r="B4095" t="s">
        <v>1002</v>
      </c>
      <c r="C4095" s="10" t="str" cm="1">
        <f t="array" ref="C4095">IF(AND(A4095="2020-12", ISNA(MATCH(B4095, _xlfn._xlws.FILTER(B:B, A:A="2021-01"), 0))), "Left", "Ativo")</f>
        <v>Ativo</v>
      </c>
      <c r="D4095" s="10" t="str" cm="1">
        <f t="array" ref="D4095">IF(AND(A4095="2021-01", ISNA(MATCH(B4095, _xlfn._xlws.FILTER(B:B, A:A="2021-02"), 0))), "Left", "Ativo")</f>
        <v>Ativo</v>
      </c>
      <c r="E4095" s="10" t="str" cm="1">
        <f t="array" ref="E4095">IF(AND(A4095="2021-02", ISNA(MATCH(B4095, _xlfn._xlws.FILTER(B:B, A:A="2021-03"), 0))), "Left", "Ativo")</f>
        <v>Ativo</v>
      </c>
      <c r="F4095" s="12" t="str" cm="1">
        <f t="array" ref="F4095">IF(AND(A4095="2021-03", ISNA(MATCH(B4095, _xlfn._xlws.FILTER(B:B, A:A="2021-04"), 0))), "Left", "Ativo")</f>
        <v>Ativo</v>
      </c>
    </row>
    <row r="4096" spans="1:6" x14ac:dyDescent="0.25">
      <c r="A4096" t="s">
        <v>1532</v>
      </c>
      <c r="B4096" t="s">
        <v>1003</v>
      </c>
      <c r="C4096" s="10" t="str" cm="1">
        <f t="array" ref="C4096">IF(AND(A4096="2020-12", ISNA(MATCH(B4096, _xlfn._xlws.FILTER(B:B, A:A="2021-01"), 0))), "Left", "Ativo")</f>
        <v>Ativo</v>
      </c>
      <c r="D4096" s="10" t="str" cm="1">
        <f t="array" ref="D4096">IF(AND(A4096="2021-01", ISNA(MATCH(B4096, _xlfn._xlws.FILTER(B:B, A:A="2021-02"), 0))), "Left", "Ativo")</f>
        <v>Ativo</v>
      </c>
      <c r="E4096" s="10" t="str" cm="1">
        <f t="array" ref="E4096">IF(AND(A4096="2021-02", ISNA(MATCH(B4096, _xlfn._xlws.FILTER(B:B, A:A="2021-03"), 0))), "Left", "Ativo")</f>
        <v>Ativo</v>
      </c>
      <c r="F4096" s="12" t="str" cm="1">
        <f t="array" ref="F4096">IF(AND(A4096="2021-03", ISNA(MATCH(B4096, _xlfn._xlws.FILTER(B:B, A:A="2021-04"), 0))), "Left", "Ativo")</f>
        <v>Ativo</v>
      </c>
    </row>
    <row r="4097" spans="1:6" x14ac:dyDescent="0.25">
      <c r="A4097" t="s">
        <v>1532</v>
      </c>
      <c r="B4097" t="s">
        <v>1004</v>
      </c>
      <c r="C4097" s="10" t="str" cm="1">
        <f t="array" ref="C4097">IF(AND(A4097="2020-12", ISNA(MATCH(B4097, _xlfn._xlws.FILTER(B:B, A:A="2021-01"), 0))), "Left", "Ativo")</f>
        <v>Ativo</v>
      </c>
      <c r="D4097" s="10" t="str" cm="1">
        <f t="array" ref="D4097">IF(AND(A4097="2021-01", ISNA(MATCH(B4097, _xlfn._xlws.FILTER(B:B, A:A="2021-02"), 0))), "Left", "Ativo")</f>
        <v>Ativo</v>
      </c>
      <c r="E4097" s="10" t="str" cm="1">
        <f t="array" ref="E4097">IF(AND(A4097="2021-02", ISNA(MATCH(B4097, _xlfn._xlws.FILTER(B:B, A:A="2021-03"), 0))), "Left", "Ativo")</f>
        <v>Ativo</v>
      </c>
      <c r="F4097" s="12" t="str" cm="1">
        <f t="array" ref="F4097">IF(AND(A4097="2021-03", ISNA(MATCH(B4097, _xlfn._xlws.FILTER(B:B, A:A="2021-04"), 0))), "Left", "Ativo")</f>
        <v>Ativo</v>
      </c>
    </row>
    <row r="4098" spans="1:6" x14ac:dyDescent="0.25">
      <c r="A4098" t="s">
        <v>1532</v>
      </c>
      <c r="B4098" t="s">
        <v>1005</v>
      </c>
      <c r="C4098" s="10" t="str" cm="1">
        <f t="array" ref="C4098">IF(AND(A4098="2020-12", ISNA(MATCH(B4098, _xlfn._xlws.FILTER(B:B, A:A="2021-01"), 0))), "Left", "Ativo")</f>
        <v>Ativo</v>
      </c>
      <c r="D4098" s="10" t="str" cm="1">
        <f t="array" ref="D4098">IF(AND(A4098="2021-01", ISNA(MATCH(B4098, _xlfn._xlws.FILTER(B:B, A:A="2021-02"), 0))), "Left", "Ativo")</f>
        <v>Ativo</v>
      </c>
      <c r="E4098" s="10" t="str" cm="1">
        <f t="array" ref="E4098">IF(AND(A4098="2021-02", ISNA(MATCH(B4098, _xlfn._xlws.FILTER(B:B, A:A="2021-03"), 0))), "Left", "Ativo")</f>
        <v>Ativo</v>
      </c>
      <c r="F4098" s="12" t="str" cm="1">
        <f t="array" ref="F4098">IF(AND(A4098="2021-03", ISNA(MATCH(B4098, _xlfn._xlws.FILTER(B:B, A:A="2021-04"), 0))), "Left", "Ativo")</f>
        <v>Ativo</v>
      </c>
    </row>
    <row r="4099" spans="1:6" x14ac:dyDescent="0.25">
      <c r="A4099" t="s">
        <v>1532</v>
      </c>
      <c r="B4099" t="s">
        <v>1006</v>
      </c>
      <c r="C4099" s="10" t="str" cm="1">
        <f t="array" ref="C4099">IF(AND(A4099="2020-12", ISNA(MATCH(B4099, _xlfn._xlws.FILTER(B:B, A:A="2021-01"), 0))), "Left", "Ativo")</f>
        <v>Ativo</v>
      </c>
      <c r="D4099" s="10" t="str" cm="1">
        <f t="array" ref="D4099">IF(AND(A4099="2021-01", ISNA(MATCH(B4099, _xlfn._xlws.FILTER(B:B, A:A="2021-02"), 0))), "Left", "Ativo")</f>
        <v>Ativo</v>
      </c>
      <c r="E4099" s="10" t="str" cm="1">
        <f t="array" ref="E4099">IF(AND(A4099="2021-02", ISNA(MATCH(B4099, _xlfn._xlws.FILTER(B:B, A:A="2021-03"), 0))), "Left", "Ativo")</f>
        <v>Ativo</v>
      </c>
      <c r="F4099" s="12" t="str" cm="1">
        <f t="array" ref="F4099">IF(AND(A4099="2021-03", ISNA(MATCH(B4099, _xlfn._xlws.FILTER(B:B, A:A="2021-04"), 0))), "Left", "Ativo")</f>
        <v>Ativo</v>
      </c>
    </row>
    <row r="4100" spans="1:6" x14ac:dyDescent="0.25">
      <c r="A4100" t="s">
        <v>1532</v>
      </c>
      <c r="B4100" t="s">
        <v>1093</v>
      </c>
      <c r="C4100" s="10" t="str" cm="1">
        <f t="array" ref="C4100">IF(AND(A4100="2020-12", ISNA(MATCH(B4100, _xlfn._xlws.FILTER(B:B, A:A="2021-01"), 0))), "Left", "Ativo")</f>
        <v>Ativo</v>
      </c>
      <c r="D4100" s="10" t="str" cm="1">
        <f t="array" ref="D4100">IF(AND(A4100="2021-01", ISNA(MATCH(B4100, _xlfn._xlws.FILTER(B:B, A:A="2021-02"), 0))), "Left", "Ativo")</f>
        <v>Ativo</v>
      </c>
      <c r="E4100" s="10" t="str" cm="1">
        <f t="array" ref="E4100">IF(AND(A4100="2021-02", ISNA(MATCH(B4100, _xlfn._xlws.FILTER(B:B, A:A="2021-03"), 0))), "Left", "Ativo")</f>
        <v>Ativo</v>
      </c>
      <c r="F4100" s="12" t="str" cm="1">
        <f t="array" ref="F4100">IF(AND(A4100="2021-03", ISNA(MATCH(B4100, _xlfn._xlws.FILTER(B:B, A:A="2021-04"), 0))), "Left", "Ativo")</f>
        <v>Ativo</v>
      </c>
    </row>
    <row r="4101" spans="1:6" x14ac:dyDescent="0.25">
      <c r="A4101" t="s">
        <v>1532</v>
      </c>
      <c r="B4101" t="s">
        <v>1094</v>
      </c>
      <c r="C4101" s="10" t="str" cm="1">
        <f t="array" ref="C4101">IF(AND(A4101="2020-12", ISNA(MATCH(B4101, _xlfn._xlws.FILTER(B:B, A:A="2021-01"), 0))), "Left", "Ativo")</f>
        <v>Ativo</v>
      </c>
      <c r="D4101" s="10" t="str" cm="1">
        <f t="array" ref="D4101">IF(AND(A4101="2021-01", ISNA(MATCH(B4101, _xlfn._xlws.FILTER(B:B, A:A="2021-02"), 0))), "Left", "Ativo")</f>
        <v>Ativo</v>
      </c>
      <c r="E4101" s="10" t="str" cm="1">
        <f t="array" ref="E4101">IF(AND(A4101="2021-02", ISNA(MATCH(B4101, _xlfn._xlws.FILTER(B:B, A:A="2021-03"), 0))), "Left", "Ativo")</f>
        <v>Ativo</v>
      </c>
      <c r="F4101" s="12" t="str" cm="1">
        <f t="array" ref="F4101">IF(AND(A4101="2021-03", ISNA(MATCH(B4101, _xlfn._xlws.FILTER(B:B, A:A="2021-04"), 0))), "Left", "Ativo")</f>
        <v>Ativo</v>
      </c>
    </row>
    <row r="4102" spans="1:6" x14ac:dyDescent="0.25">
      <c r="A4102" t="s">
        <v>1532</v>
      </c>
      <c r="B4102" t="s">
        <v>1095</v>
      </c>
      <c r="C4102" s="10" t="str" cm="1">
        <f t="array" ref="C4102">IF(AND(A4102="2020-12", ISNA(MATCH(B4102, _xlfn._xlws.FILTER(B:B, A:A="2021-01"), 0))), "Left", "Ativo")</f>
        <v>Ativo</v>
      </c>
      <c r="D4102" s="10" t="str" cm="1">
        <f t="array" ref="D4102">IF(AND(A4102="2021-01", ISNA(MATCH(B4102, _xlfn._xlws.FILTER(B:B, A:A="2021-02"), 0))), "Left", "Ativo")</f>
        <v>Ativo</v>
      </c>
      <c r="E4102" s="10" t="str" cm="1">
        <f t="array" ref="E4102">IF(AND(A4102="2021-02", ISNA(MATCH(B4102, _xlfn._xlws.FILTER(B:B, A:A="2021-03"), 0))), "Left", "Ativo")</f>
        <v>Ativo</v>
      </c>
      <c r="F4102" s="12" t="str" cm="1">
        <f t="array" ref="F4102">IF(AND(A4102="2021-03", ISNA(MATCH(B4102, _xlfn._xlws.FILTER(B:B, A:A="2021-04"), 0))), "Left", "Ativo")</f>
        <v>Ativo</v>
      </c>
    </row>
    <row r="4103" spans="1:6" x14ac:dyDescent="0.25">
      <c r="A4103" t="s">
        <v>1532</v>
      </c>
      <c r="B4103" t="s">
        <v>1096</v>
      </c>
      <c r="C4103" s="10" t="str" cm="1">
        <f t="array" ref="C4103">IF(AND(A4103="2020-12", ISNA(MATCH(B4103, _xlfn._xlws.FILTER(B:B, A:A="2021-01"), 0))), "Left", "Ativo")</f>
        <v>Ativo</v>
      </c>
      <c r="D4103" s="10" t="str" cm="1">
        <f t="array" ref="D4103">IF(AND(A4103="2021-01", ISNA(MATCH(B4103, _xlfn._xlws.FILTER(B:B, A:A="2021-02"), 0))), "Left", "Ativo")</f>
        <v>Ativo</v>
      </c>
      <c r="E4103" s="10" t="str" cm="1">
        <f t="array" ref="E4103">IF(AND(A4103="2021-02", ISNA(MATCH(B4103, _xlfn._xlws.FILTER(B:B, A:A="2021-03"), 0))), "Left", "Ativo")</f>
        <v>Ativo</v>
      </c>
      <c r="F4103" s="12" t="str" cm="1">
        <f t="array" ref="F4103">IF(AND(A4103="2021-03", ISNA(MATCH(B4103, _xlfn._xlws.FILTER(B:B, A:A="2021-04"), 0))), "Left", "Ativo")</f>
        <v>Ativo</v>
      </c>
    </row>
    <row r="4104" spans="1:6" x14ac:dyDescent="0.25">
      <c r="A4104" t="s">
        <v>1532</v>
      </c>
      <c r="B4104" t="s">
        <v>1097</v>
      </c>
      <c r="C4104" s="10" t="str" cm="1">
        <f t="array" ref="C4104">IF(AND(A4104="2020-12", ISNA(MATCH(B4104, _xlfn._xlws.FILTER(B:B, A:A="2021-01"), 0))), "Left", "Ativo")</f>
        <v>Ativo</v>
      </c>
      <c r="D4104" s="10" t="str" cm="1">
        <f t="array" ref="D4104">IF(AND(A4104="2021-01", ISNA(MATCH(B4104, _xlfn._xlws.FILTER(B:B, A:A="2021-02"), 0))), "Left", "Ativo")</f>
        <v>Ativo</v>
      </c>
      <c r="E4104" s="10" t="str" cm="1">
        <f t="array" ref="E4104">IF(AND(A4104="2021-02", ISNA(MATCH(B4104, _xlfn._xlws.FILTER(B:B, A:A="2021-03"), 0))), "Left", "Ativo")</f>
        <v>Ativo</v>
      </c>
      <c r="F4104" s="12" t="str" cm="1">
        <f t="array" ref="F4104">IF(AND(A4104="2021-03", ISNA(MATCH(B4104, _xlfn._xlws.FILTER(B:B, A:A="2021-04"), 0))), "Left", "Ativo")</f>
        <v>Ativo</v>
      </c>
    </row>
    <row r="4105" spans="1:6" x14ac:dyDescent="0.25">
      <c r="A4105" t="s">
        <v>1532</v>
      </c>
      <c r="B4105" t="s">
        <v>1098</v>
      </c>
      <c r="C4105" s="10" t="str" cm="1">
        <f t="array" ref="C4105">IF(AND(A4105="2020-12", ISNA(MATCH(B4105, _xlfn._xlws.FILTER(B:B, A:A="2021-01"), 0))), "Left", "Ativo")</f>
        <v>Ativo</v>
      </c>
      <c r="D4105" s="10" t="str" cm="1">
        <f t="array" ref="D4105">IF(AND(A4105="2021-01", ISNA(MATCH(B4105, _xlfn._xlws.FILTER(B:B, A:A="2021-02"), 0))), "Left", "Ativo")</f>
        <v>Ativo</v>
      </c>
      <c r="E4105" s="10" t="str" cm="1">
        <f t="array" ref="E4105">IF(AND(A4105="2021-02", ISNA(MATCH(B4105, _xlfn._xlws.FILTER(B:B, A:A="2021-03"), 0))), "Left", "Ativo")</f>
        <v>Ativo</v>
      </c>
      <c r="F4105" s="12" t="str" cm="1">
        <f t="array" ref="F4105">IF(AND(A4105="2021-03", ISNA(MATCH(B4105, _xlfn._xlws.FILTER(B:B, A:A="2021-04"), 0))), "Left", "Ativo")</f>
        <v>Ativo</v>
      </c>
    </row>
    <row r="4106" spans="1:6" x14ac:dyDescent="0.25">
      <c r="A4106" t="s">
        <v>1532</v>
      </c>
      <c r="B4106" t="s">
        <v>1099</v>
      </c>
      <c r="C4106" s="10" t="str" cm="1">
        <f t="array" ref="C4106">IF(AND(A4106="2020-12", ISNA(MATCH(B4106, _xlfn._xlws.FILTER(B:B, A:A="2021-01"), 0))), "Left", "Ativo")</f>
        <v>Ativo</v>
      </c>
      <c r="D4106" s="10" t="str" cm="1">
        <f t="array" ref="D4106">IF(AND(A4106="2021-01", ISNA(MATCH(B4106, _xlfn._xlws.FILTER(B:B, A:A="2021-02"), 0))), "Left", "Ativo")</f>
        <v>Ativo</v>
      </c>
      <c r="E4106" s="10" t="str" cm="1">
        <f t="array" ref="E4106">IF(AND(A4106="2021-02", ISNA(MATCH(B4106, _xlfn._xlws.FILTER(B:B, A:A="2021-03"), 0))), "Left", "Ativo")</f>
        <v>Ativo</v>
      </c>
      <c r="F4106" s="12" t="str" cm="1">
        <f t="array" ref="F4106">IF(AND(A4106="2021-03", ISNA(MATCH(B4106, _xlfn._xlws.FILTER(B:B, A:A="2021-04"), 0))), "Left", "Ativo")</f>
        <v>Ativo</v>
      </c>
    </row>
    <row r="4107" spans="1:6" x14ac:dyDescent="0.25">
      <c r="A4107" t="s">
        <v>1532</v>
      </c>
      <c r="B4107" t="s">
        <v>1102</v>
      </c>
      <c r="C4107" s="10" t="str" cm="1">
        <f t="array" ref="C4107">IF(AND(A4107="2020-12", ISNA(MATCH(B4107, _xlfn._xlws.FILTER(B:B, A:A="2021-01"), 0))), "Left", "Ativo")</f>
        <v>Ativo</v>
      </c>
      <c r="D4107" s="10" t="str" cm="1">
        <f t="array" ref="D4107">IF(AND(A4107="2021-01", ISNA(MATCH(B4107, _xlfn._xlws.FILTER(B:B, A:A="2021-02"), 0))), "Left", "Ativo")</f>
        <v>Ativo</v>
      </c>
      <c r="E4107" s="10" t="str" cm="1">
        <f t="array" ref="E4107">IF(AND(A4107="2021-02", ISNA(MATCH(B4107, _xlfn._xlws.FILTER(B:B, A:A="2021-03"), 0))), "Left", "Ativo")</f>
        <v>Ativo</v>
      </c>
      <c r="F4107" s="12" t="str" cm="1">
        <f t="array" ref="F4107">IF(AND(A4107="2021-03", ISNA(MATCH(B4107, _xlfn._xlws.FILTER(B:B, A:A="2021-04"), 0))), "Left", "Ativo")</f>
        <v>Ativo</v>
      </c>
    </row>
    <row r="4108" spans="1:6" x14ac:dyDescent="0.25">
      <c r="A4108" t="s">
        <v>1532</v>
      </c>
      <c r="B4108" t="s">
        <v>1103</v>
      </c>
      <c r="C4108" s="10" t="str" cm="1">
        <f t="array" ref="C4108">IF(AND(A4108="2020-12", ISNA(MATCH(B4108, _xlfn._xlws.FILTER(B:B, A:A="2021-01"), 0))), "Left", "Ativo")</f>
        <v>Ativo</v>
      </c>
      <c r="D4108" s="10" t="str" cm="1">
        <f t="array" ref="D4108">IF(AND(A4108="2021-01", ISNA(MATCH(B4108, _xlfn._xlws.FILTER(B:B, A:A="2021-02"), 0))), "Left", "Ativo")</f>
        <v>Ativo</v>
      </c>
      <c r="E4108" s="10" t="str" cm="1">
        <f t="array" ref="E4108">IF(AND(A4108="2021-02", ISNA(MATCH(B4108, _xlfn._xlws.FILTER(B:B, A:A="2021-03"), 0))), "Left", "Ativo")</f>
        <v>Ativo</v>
      </c>
      <c r="F4108" s="12" t="str" cm="1">
        <f t="array" ref="F4108">IF(AND(A4108="2021-03", ISNA(MATCH(B4108, _xlfn._xlws.FILTER(B:B, A:A="2021-04"), 0))), "Left", "Ativo")</f>
        <v>Ativo</v>
      </c>
    </row>
    <row r="4109" spans="1:6" x14ac:dyDescent="0.25">
      <c r="A4109" t="s">
        <v>1532</v>
      </c>
      <c r="B4109" t="s">
        <v>1104</v>
      </c>
      <c r="C4109" s="10" t="str" cm="1">
        <f t="array" ref="C4109">IF(AND(A4109="2020-12", ISNA(MATCH(B4109, _xlfn._xlws.FILTER(B:B, A:A="2021-01"), 0))), "Left", "Ativo")</f>
        <v>Ativo</v>
      </c>
      <c r="D4109" s="10" t="str" cm="1">
        <f t="array" ref="D4109">IF(AND(A4109="2021-01", ISNA(MATCH(B4109, _xlfn._xlws.FILTER(B:B, A:A="2021-02"), 0))), "Left", "Ativo")</f>
        <v>Ativo</v>
      </c>
      <c r="E4109" s="10" t="str" cm="1">
        <f t="array" ref="E4109">IF(AND(A4109="2021-02", ISNA(MATCH(B4109, _xlfn._xlws.FILTER(B:B, A:A="2021-03"), 0))), "Left", "Ativo")</f>
        <v>Ativo</v>
      </c>
      <c r="F4109" s="12" t="str" cm="1">
        <f t="array" ref="F4109">IF(AND(A4109="2021-03", ISNA(MATCH(B4109, _xlfn._xlws.FILTER(B:B, A:A="2021-04"), 0))), "Left", "Ativo")</f>
        <v>Ativo</v>
      </c>
    </row>
    <row r="4110" spans="1:6" x14ac:dyDescent="0.25">
      <c r="A4110" t="s">
        <v>1532</v>
      </c>
      <c r="B4110" t="s">
        <v>1161</v>
      </c>
      <c r="C4110" s="10" t="str" cm="1">
        <f t="array" ref="C4110">IF(AND(A4110="2020-12", ISNA(MATCH(B4110, _xlfn._xlws.FILTER(B:B, A:A="2021-01"), 0))), "Left", "Ativo")</f>
        <v>Ativo</v>
      </c>
      <c r="D4110" s="10" t="str" cm="1">
        <f t="array" ref="D4110">IF(AND(A4110="2021-01", ISNA(MATCH(B4110, _xlfn._xlws.FILTER(B:B, A:A="2021-02"), 0))), "Left", "Ativo")</f>
        <v>Ativo</v>
      </c>
      <c r="E4110" s="10" t="str" cm="1">
        <f t="array" ref="E4110">IF(AND(A4110="2021-02", ISNA(MATCH(B4110, _xlfn._xlws.FILTER(B:B, A:A="2021-03"), 0))), "Left", "Ativo")</f>
        <v>Ativo</v>
      </c>
      <c r="F4110" s="12" t="str" cm="1">
        <f t="array" ref="F4110">IF(AND(A4110="2021-03", ISNA(MATCH(B4110, _xlfn._xlws.FILTER(B:B, A:A="2021-04"), 0))), "Left", "Ativo")</f>
        <v>Ativo</v>
      </c>
    </row>
    <row r="4111" spans="1:6" x14ac:dyDescent="0.25">
      <c r="A4111" t="s">
        <v>1532</v>
      </c>
      <c r="B4111" t="s">
        <v>1162</v>
      </c>
      <c r="C4111" s="10" t="str" cm="1">
        <f t="array" ref="C4111">IF(AND(A4111="2020-12", ISNA(MATCH(B4111, _xlfn._xlws.FILTER(B:B, A:A="2021-01"), 0))), "Left", "Ativo")</f>
        <v>Ativo</v>
      </c>
      <c r="D4111" s="10" t="str" cm="1">
        <f t="array" ref="D4111">IF(AND(A4111="2021-01", ISNA(MATCH(B4111, _xlfn._xlws.FILTER(B:B, A:A="2021-02"), 0))), "Left", "Ativo")</f>
        <v>Ativo</v>
      </c>
      <c r="E4111" s="10" t="str" cm="1">
        <f t="array" ref="E4111">IF(AND(A4111="2021-02", ISNA(MATCH(B4111, _xlfn._xlws.FILTER(B:B, A:A="2021-03"), 0))), "Left", "Ativo")</f>
        <v>Ativo</v>
      </c>
      <c r="F4111" s="12" t="str" cm="1">
        <f t="array" ref="F4111">IF(AND(A4111="2021-03", ISNA(MATCH(B4111, _xlfn._xlws.FILTER(B:B, A:A="2021-04"), 0))), "Left", "Ativo")</f>
        <v>Ativo</v>
      </c>
    </row>
    <row r="4112" spans="1:6" x14ac:dyDescent="0.25">
      <c r="A4112" t="s">
        <v>1532</v>
      </c>
      <c r="B4112" t="s">
        <v>1163</v>
      </c>
      <c r="C4112" s="10" t="str" cm="1">
        <f t="array" ref="C4112">IF(AND(A4112="2020-12", ISNA(MATCH(B4112, _xlfn._xlws.FILTER(B:B, A:A="2021-01"), 0))), "Left", "Ativo")</f>
        <v>Ativo</v>
      </c>
      <c r="D4112" s="10" t="str" cm="1">
        <f t="array" ref="D4112">IF(AND(A4112="2021-01", ISNA(MATCH(B4112, _xlfn._xlws.FILTER(B:B, A:A="2021-02"), 0))), "Left", "Ativo")</f>
        <v>Ativo</v>
      </c>
      <c r="E4112" s="10" t="str" cm="1">
        <f t="array" ref="E4112">IF(AND(A4112="2021-02", ISNA(MATCH(B4112, _xlfn._xlws.FILTER(B:B, A:A="2021-03"), 0))), "Left", "Ativo")</f>
        <v>Ativo</v>
      </c>
      <c r="F4112" s="12" t="str" cm="1">
        <f t="array" ref="F4112">IF(AND(A4112="2021-03", ISNA(MATCH(B4112, _xlfn._xlws.FILTER(B:B, A:A="2021-04"), 0))), "Left", "Ativo")</f>
        <v>Ativo</v>
      </c>
    </row>
    <row r="4113" spans="1:6" x14ac:dyDescent="0.25">
      <c r="A4113" t="s">
        <v>1532</v>
      </c>
      <c r="B4113" t="s">
        <v>1164</v>
      </c>
      <c r="C4113" s="10" t="str" cm="1">
        <f t="array" ref="C4113">IF(AND(A4113="2020-12", ISNA(MATCH(B4113, _xlfn._xlws.FILTER(B:B, A:A="2021-01"), 0))), "Left", "Ativo")</f>
        <v>Ativo</v>
      </c>
      <c r="D4113" s="10" t="str" cm="1">
        <f t="array" ref="D4113">IF(AND(A4113="2021-01", ISNA(MATCH(B4113, _xlfn._xlws.FILTER(B:B, A:A="2021-02"), 0))), "Left", "Ativo")</f>
        <v>Ativo</v>
      </c>
      <c r="E4113" s="10" t="str" cm="1">
        <f t="array" ref="E4113">IF(AND(A4113="2021-02", ISNA(MATCH(B4113, _xlfn._xlws.FILTER(B:B, A:A="2021-03"), 0))), "Left", "Ativo")</f>
        <v>Ativo</v>
      </c>
      <c r="F4113" s="12" t="str" cm="1">
        <f t="array" ref="F4113">IF(AND(A4113="2021-03", ISNA(MATCH(B4113, _xlfn._xlws.FILTER(B:B, A:A="2021-04"), 0))), "Left", "Ativo")</f>
        <v>Ativo</v>
      </c>
    </row>
    <row r="4114" spans="1:6" x14ac:dyDescent="0.25">
      <c r="A4114" t="s">
        <v>1532</v>
      </c>
      <c r="B4114" t="s">
        <v>1165</v>
      </c>
      <c r="C4114" s="10" t="str" cm="1">
        <f t="array" ref="C4114">IF(AND(A4114="2020-12", ISNA(MATCH(B4114, _xlfn._xlws.FILTER(B:B, A:A="2021-01"), 0))), "Left", "Ativo")</f>
        <v>Ativo</v>
      </c>
      <c r="D4114" s="10" t="str" cm="1">
        <f t="array" ref="D4114">IF(AND(A4114="2021-01", ISNA(MATCH(B4114, _xlfn._xlws.FILTER(B:B, A:A="2021-02"), 0))), "Left", "Ativo")</f>
        <v>Ativo</v>
      </c>
      <c r="E4114" s="10" t="str" cm="1">
        <f t="array" ref="E4114">IF(AND(A4114="2021-02", ISNA(MATCH(B4114, _xlfn._xlws.FILTER(B:B, A:A="2021-03"), 0))), "Left", "Ativo")</f>
        <v>Ativo</v>
      </c>
      <c r="F4114" s="12" t="str" cm="1">
        <f t="array" ref="F4114">IF(AND(A4114="2021-03", ISNA(MATCH(B4114, _xlfn._xlws.FILTER(B:B, A:A="2021-04"), 0))), "Left", "Ativo")</f>
        <v>Ativo</v>
      </c>
    </row>
    <row r="4115" spans="1:6" x14ac:dyDescent="0.25">
      <c r="A4115" t="s">
        <v>1532</v>
      </c>
      <c r="B4115" t="s">
        <v>1166</v>
      </c>
      <c r="C4115" s="10" t="str" cm="1">
        <f t="array" ref="C4115">IF(AND(A4115="2020-12", ISNA(MATCH(B4115, _xlfn._xlws.FILTER(B:B, A:A="2021-01"), 0))), "Left", "Ativo")</f>
        <v>Ativo</v>
      </c>
      <c r="D4115" s="10" t="str" cm="1">
        <f t="array" ref="D4115">IF(AND(A4115="2021-01", ISNA(MATCH(B4115, _xlfn._xlws.FILTER(B:B, A:A="2021-02"), 0))), "Left", "Ativo")</f>
        <v>Ativo</v>
      </c>
      <c r="E4115" s="10" t="str" cm="1">
        <f t="array" ref="E4115">IF(AND(A4115="2021-02", ISNA(MATCH(B4115, _xlfn._xlws.FILTER(B:B, A:A="2021-03"), 0))), "Left", "Ativo")</f>
        <v>Ativo</v>
      </c>
      <c r="F4115" s="12" t="str" cm="1">
        <f t="array" ref="F4115">IF(AND(A4115="2021-03", ISNA(MATCH(B4115, _xlfn._xlws.FILTER(B:B, A:A="2021-04"), 0))), "Left", "Ativo")</f>
        <v>Ativo</v>
      </c>
    </row>
    <row r="4116" spans="1:6" x14ac:dyDescent="0.25">
      <c r="A4116" t="s">
        <v>1532</v>
      </c>
      <c r="B4116" t="s">
        <v>1167</v>
      </c>
      <c r="C4116" s="10" t="str" cm="1">
        <f t="array" ref="C4116">IF(AND(A4116="2020-12", ISNA(MATCH(B4116, _xlfn._xlws.FILTER(B:B, A:A="2021-01"), 0))), "Left", "Ativo")</f>
        <v>Ativo</v>
      </c>
      <c r="D4116" s="10" t="str" cm="1">
        <f t="array" ref="D4116">IF(AND(A4116="2021-01", ISNA(MATCH(B4116, _xlfn._xlws.FILTER(B:B, A:A="2021-02"), 0))), "Left", "Ativo")</f>
        <v>Ativo</v>
      </c>
      <c r="E4116" s="10" t="str" cm="1">
        <f t="array" ref="E4116">IF(AND(A4116="2021-02", ISNA(MATCH(B4116, _xlfn._xlws.FILTER(B:B, A:A="2021-03"), 0))), "Left", "Ativo")</f>
        <v>Ativo</v>
      </c>
      <c r="F4116" s="12" t="str" cm="1">
        <f t="array" ref="F4116">IF(AND(A4116="2021-03", ISNA(MATCH(B4116, _xlfn._xlws.FILTER(B:B, A:A="2021-04"), 0))), "Left", "Ativo")</f>
        <v>Ativo</v>
      </c>
    </row>
    <row r="4117" spans="1:6" x14ac:dyDescent="0.25">
      <c r="A4117" t="s">
        <v>1532</v>
      </c>
      <c r="B4117" t="s">
        <v>1168</v>
      </c>
      <c r="C4117" s="10" t="str" cm="1">
        <f t="array" ref="C4117">IF(AND(A4117="2020-12", ISNA(MATCH(B4117, _xlfn._xlws.FILTER(B:B, A:A="2021-01"), 0))), "Left", "Ativo")</f>
        <v>Ativo</v>
      </c>
      <c r="D4117" s="10" t="str" cm="1">
        <f t="array" ref="D4117">IF(AND(A4117="2021-01", ISNA(MATCH(B4117, _xlfn._xlws.FILTER(B:B, A:A="2021-02"), 0))), "Left", "Ativo")</f>
        <v>Ativo</v>
      </c>
      <c r="E4117" s="10" t="str" cm="1">
        <f t="array" ref="E4117">IF(AND(A4117="2021-02", ISNA(MATCH(B4117, _xlfn._xlws.FILTER(B:B, A:A="2021-03"), 0))), "Left", "Ativo")</f>
        <v>Ativo</v>
      </c>
      <c r="F4117" s="12" t="str" cm="1">
        <f t="array" ref="F4117">IF(AND(A4117="2021-03", ISNA(MATCH(B4117, _xlfn._xlws.FILTER(B:B, A:A="2021-04"), 0))), "Left", "Ativo")</f>
        <v>Ativo</v>
      </c>
    </row>
    <row r="4118" spans="1:6" x14ac:dyDescent="0.25">
      <c r="A4118" t="s">
        <v>1532</v>
      </c>
      <c r="B4118" t="s">
        <v>1169</v>
      </c>
      <c r="C4118" s="10" t="str" cm="1">
        <f t="array" ref="C4118">IF(AND(A4118="2020-12", ISNA(MATCH(B4118, _xlfn._xlws.FILTER(B:B, A:A="2021-01"), 0))), "Left", "Ativo")</f>
        <v>Ativo</v>
      </c>
      <c r="D4118" s="10" t="str" cm="1">
        <f t="array" ref="D4118">IF(AND(A4118="2021-01", ISNA(MATCH(B4118, _xlfn._xlws.FILTER(B:B, A:A="2021-02"), 0))), "Left", "Ativo")</f>
        <v>Ativo</v>
      </c>
      <c r="E4118" s="10" t="str" cm="1">
        <f t="array" ref="E4118">IF(AND(A4118="2021-02", ISNA(MATCH(B4118, _xlfn._xlws.FILTER(B:B, A:A="2021-03"), 0))), "Left", "Ativo")</f>
        <v>Ativo</v>
      </c>
      <c r="F4118" s="12" t="str" cm="1">
        <f t="array" ref="F4118">IF(AND(A4118="2021-03", ISNA(MATCH(B4118, _xlfn._xlws.FILTER(B:B, A:A="2021-04"), 0))), "Left", "Ativo")</f>
        <v>Ativo</v>
      </c>
    </row>
    <row r="4119" spans="1:6" x14ac:dyDescent="0.25">
      <c r="A4119" t="s">
        <v>1532</v>
      </c>
      <c r="B4119" t="s">
        <v>1170</v>
      </c>
      <c r="C4119" s="10" t="str" cm="1">
        <f t="array" ref="C4119">IF(AND(A4119="2020-12", ISNA(MATCH(B4119, _xlfn._xlws.FILTER(B:B, A:A="2021-01"), 0))), "Left", "Ativo")</f>
        <v>Ativo</v>
      </c>
      <c r="D4119" s="10" t="str" cm="1">
        <f t="array" ref="D4119">IF(AND(A4119="2021-01", ISNA(MATCH(B4119, _xlfn._xlws.FILTER(B:B, A:A="2021-02"), 0))), "Left", "Ativo")</f>
        <v>Ativo</v>
      </c>
      <c r="E4119" s="10" t="str" cm="1">
        <f t="array" ref="E4119">IF(AND(A4119="2021-02", ISNA(MATCH(B4119, _xlfn._xlws.FILTER(B:B, A:A="2021-03"), 0))), "Left", "Ativo")</f>
        <v>Ativo</v>
      </c>
      <c r="F4119" s="12" t="str" cm="1">
        <f t="array" ref="F4119">IF(AND(A4119="2021-03", ISNA(MATCH(B4119, _xlfn._xlws.FILTER(B:B, A:A="2021-04"), 0))), "Left", "Ativo")</f>
        <v>Ativo</v>
      </c>
    </row>
    <row r="4120" spans="1:6" x14ac:dyDescent="0.25">
      <c r="A4120" t="s">
        <v>1532</v>
      </c>
      <c r="B4120" t="s">
        <v>1171</v>
      </c>
      <c r="C4120" s="10" t="str" cm="1">
        <f t="array" ref="C4120">IF(AND(A4120="2020-12", ISNA(MATCH(B4120, _xlfn._xlws.FILTER(B:B, A:A="2021-01"), 0))), "Left", "Ativo")</f>
        <v>Ativo</v>
      </c>
      <c r="D4120" s="10" t="str" cm="1">
        <f t="array" ref="D4120">IF(AND(A4120="2021-01", ISNA(MATCH(B4120, _xlfn._xlws.FILTER(B:B, A:A="2021-02"), 0))), "Left", "Ativo")</f>
        <v>Ativo</v>
      </c>
      <c r="E4120" s="10" t="str" cm="1">
        <f t="array" ref="E4120">IF(AND(A4120="2021-02", ISNA(MATCH(B4120, _xlfn._xlws.FILTER(B:B, A:A="2021-03"), 0))), "Left", "Ativo")</f>
        <v>Ativo</v>
      </c>
      <c r="F4120" s="12" t="str" cm="1">
        <f t="array" ref="F4120">IF(AND(A4120="2021-03", ISNA(MATCH(B4120, _xlfn._xlws.FILTER(B:B, A:A="2021-04"), 0))), "Left", "Ativo")</f>
        <v>Ativo</v>
      </c>
    </row>
    <row r="4121" spans="1:6" x14ac:dyDescent="0.25">
      <c r="A4121" t="s">
        <v>1532</v>
      </c>
      <c r="B4121" t="s">
        <v>199</v>
      </c>
      <c r="C4121" s="10" t="str" cm="1">
        <f t="array" ref="C4121">IF(AND(A4121="2020-12", ISNA(MATCH(B4121, _xlfn._xlws.FILTER(B:B, A:A="2021-01"), 0))), "Left", "Ativo")</f>
        <v>Ativo</v>
      </c>
      <c r="D4121" s="10" t="str" cm="1">
        <f t="array" ref="D4121">IF(AND(A4121="2021-01", ISNA(MATCH(B4121, _xlfn._xlws.FILTER(B:B, A:A="2021-02"), 0))), "Left", "Ativo")</f>
        <v>Ativo</v>
      </c>
      <c r="E4121" s="10" t="str" cm="1">
        <f t="array" ref="E4121">IF(AND(A4121="2021-02", ISNA(MATCH(B4121, _xlfn._xlws.FILTER(B:B, A:A="2021-03"), 0))), "Left", "Ativo")</f>
        <v>Ativo</v>
      </c>
      <c r="F4121" s="12" t="str" cm="1">
        <f t="array" ref="F4121">IF(AND(A4121="2021-03", ISNA(MATCH(B4121, _xlfn._xlws.FILTER(B:B, A:A="2021-04"), 0))), "Left", "Ativo")</f>
        <v>Ativo</v>
      </c>
    </row>
    <row r="4122" spans="1:6" x14ac:dyDescent="0.25">
      <c r="A4122" t="s">
        <v>1532</v>
      </c>
      <c r="B4122" t="s">
        <v>200</v>
      </c>
      <c r="C4122" s="10" t="str" cm="1">
        <f t="array" ref="C4122">IF(AND(A4122="2020-12", ISNA(MATCH(B4122, _xlfn._xlws.FILTER(B:B, A:A="2021-01"), 0))), "Left", "Ativo")</f>
        <v>Ativo</v>
      </c>
      <c r="D4122" s="10" t="str" cm="1">
        <f t="array" ref="D4122">IF(AND(A4122="2021-01", ISNA(MATCH(B4122, _xlfn._xlws.FILTER(B:B, A:A="2021-02"), 0))), "Left", "Ativo")</f>
        <v>Ativo</v>
      </c>
      <c r="E4122" s="10" t="str" cm="1">
        <f t="array" ref="E4122">IF(AND(A4122="2021-02", ISNA(MATCH(B4122, _xlfn._xlws.FILTER(B:B, A:A="2021-03"), 0))), "Left", "Ativo")</f>
        <v>Ativo</v>
      </c>
      <c r="F4122" s="12" t="str" cm="1">
        <f t="array" ref="F4122">IF(AND(A4122="2021-03", ISNA(MATCH(B4122, _xlfn._xlws.FILTER(B:B, A:A="2021-04"), 0))), "Left", "Ativo")</f>
        <v>Ativo</v>
      </c>
    </row>
    <row r="4123" spans="1:6" x14ac:dyDescent="0.25">
      <c r="A4123" t="s">
        <v>1532</v>
      </c>
      <c r="B4123" t="s">
        <v>201</v>
      </c>
      <c r="C4123" s="10" t="str" cm="1">
        <f t="array" ref="C4123">IF(AND(A4123="2020-12", ISNA(MATCH(B4123, _xlfn._xlws.FILTER(B:B, A:A="2021-01"), 0))), "Left", "Ativo")</f>
        <v>Ativo</v>
      </c>
      <c r="D4123" s="10" t="str" cm="1">
        <f t="array" ref="D4123">IF(AND(A4123="2021-01", ISNA(MATCH(B4123, _xlfn._xlws.FILTER(B:B, A:A="2021-02"), 0))), "Left", "Ativo")</f>
        <v>Ativo</v>
      </c>
      <c r="E4123" s="10" t="str" cm="1">
        <f t="array" ref="E4123">IF(AND(A4123="2021-02", ISNA(MATCH(B4123, _xlfn._xlws.FILTER(B:B, A:A="2021-03"), 0))), "Left", "Ativo")</f>
        <v>Ativo</v>
      </c>
      <c r="F4123" s="12" t="str" cm="1">
        <f t="array" ref="F4123">IF(AND(A4123="2021-03", ISNA(MATCH(B4123, _xlfn._xlws.FILTER(B:B, A:A="2021-04"), 0))), "Left", "Ativo")</f>
        <v>Ativo</v>
      </c>
    </row>
    <row r="4124" spans="1:6" x14ac:dyDescent="0.25">
      <c r="A4124" t="s">
        <v>1532</v>
      </c>
      <c r="B4124" t="s">
        <v>206</v>
      </c>
      <c r="C4124" s="10" t="str" cm="1">
        <f t="array" ref="C4124">IF(AND(A4124="2020-12", ISNA(MATCH(B4124, _xlfn._xlws.FILTER(B:B, A:A="2021-01"), 0))), "Left", "Ativo")</f>
        <v>Ativo</v>
      </c>
      <c r="D4124" s="10" t="str" cm="1">
        <f t="array" ref="D4124">IF(AND(A4124="2021-01", ISNA(MATCH(B4124, _xlfn._xlws.FILTER(B:B, A:A="2021-02"), 0))), "Left", "Ativo")</f>
        <v>Ativo</v>
      </c>
      <c r="E4124" s="10" t="str" cm="1">
        <f t="array" ref="E4124">IF(AND(A4124="2021-02", ISNA(MATCH(B4124, _xlfn._xlws.FILTER(B:B, A:A="2021-03"), 0))), "Left", "Ativo")</f>
        <v>Ativo</v>
      </c>
      <c r="F4124" s="12" t="str" cm="1">
        <f t="array" ref="F4124">IF(AND(A4124="2021-03", ISNA(MATCH(B4124, _xlfn._xlws.FILTER(B:B, A:A="2021-04"), 0))), "Left", "Ativo")</f>
        <v>Ativo</v>
      </c>
    </row>
    <row r="4125" spans="1:6" x14ac:dyDescent="0.25">
      <c r="A4125" t="s">
        <v>1532</v>
      </c>
      <c r="B4125" t="s">
        <v>207</v>
      </c>
      <c r="C4125" s="10" t="str" cm="1">
        <f t="array" ref="C4125">IF(AND(A4125="2020-12", ISNA(MATCH(B4125, _xlfn._xlws.FILTER(B:B, A:A="2021-01"), 0))), "Left", "Ativo")</f>
        <v>Ativo</v>
      </c>
      <c r="D4125" s="10" t="str" cm="1">
        <f t="array" ref="D4125">IF(AND(A4125="2021-01", ISNA(MATCH(B4125, _xlfn._xlws.FILTER(B:B, A:A="2021-02"), 0))), "Left", "Ativo")</f>
        <v>Ativo</v>
      </c>
      <c r="E4125" s="10" t="str" cm="1">
        <f t="array" ref="E4125">IF(AND(A4125="2021-02", ISNA(MATCH(B4125, _xlfn._xlws.FILTER(B:B, A:A="2021-03"), 0))), "Left", "Ativo")</f>
        <v>Ativo</v>
      </c>
      <c r="F4125" s="12" t="str" cm="1">
        <f t="array" ref="F4125">IF(AND(A4125="2021-03", ISNA(MATCH(B4125, _xlfn._xlws.FILTER(B:B, A:A="2021-04"), 0))), "Left", "Ativo")</f>
        <v>Ativo</v>
      </c>
    </row>
    <row r="4126" spans="1:6" x14ac:dyDescent="0.25">
      <c r="A4126" t="s">
        <v>1532</v>
      </c>
      <c r="B4126" t="s">
        <v>208</v>
      </c>
      <c r="C4126" s="10" t="str" cm="1">
        <f t="array" ref="C4126">IF(AND(A4126="2020-12", ISNA(MATCH(B4126, _xlfn._xlws.FILTER(B:B, A:A="2021-01"), 0))), "Left", "Ativo")</f>
        <v>Ativo</v>
      </c>
      <c r="D4126" s="10" t="str" cm="1">
        <f t="array" ref="D4126">IF(AND(A4126="2021-01", ISNA(MATCH(B4126, _xlfn._xlws.FILTER(B:B, A:A="2021-02"), 0))), "Left", "Ativo")</f>
        <v>Ativo</v>
      </c>
      <c r="E4126" s="10" t="str" cm="1">
        <f t="array" ref="E4126">IF(AND(A4126="2021-02", ISNA(MATCH(B4126, _xlfn._xlws.FILTER(B:B, A:A="2021-03"), 0))), "Left", "Ativo")</f>
        <v>Ativo</v>
      </c>
      <c r="F4126" s="12" t="str" cm="1">
        <f t="array" ref="F4126">IF(AND(A4126="2021-03", ISNA(MATCH(B4126, _xlfn._xlws.FILTER(B:B, A:A="2021-04"), 0))), "Left", "Ativo")</f>
        <v>Ativo</v>
      </c>
    </row>
    <row r="4127" spans="1:6" x14ac:dyDescent="0.25">
      <c r="A4127" t="s">
        <v>1532</v>
      </c>
      <c r="B4127" t="s">
        <v>209</v>
      </c>
      <c r="C4127" s="10" t="str" cm="1">
        <f t="array" ref="C4127">IF(AND(A4127="2020-12", ISNA(MATCH(B4127, _xlfn._xlws.FILTER(B:B, A:A="2021-01"), 0))), "Left", "Ativo")</f>
        <v>Ativo</v>
      </c>
      <c r="D4127" s="10" t="str" cm="1">
        <f t="array" ref="D4127">IF(AND(A4127="2021-01", ISNA(MATCH(B4127, _xlfn._xlws.FILTER(B:B, A:A="2021-02"), 0))), "Left", "Ativo")</f>
        <v>Ativo</v>
      </c>
      <c r="E4127" s="10" t="str" cm="1">
        <f t="array" ref="E4127">IF(AND(A4127="2021-02", ISNA(MATCH(B4127, _xlfn._xlws.FILTER(B:B, A:A="2021-03"), 0))), "Left", "Ativo")</f>
        <v>Ativo</v>
      </c>
      <c r="F4127" s="12" t="str" cm="1">
        <f t="array" ref="F4127">IF(AND(A4127="2021-03", ISNA(MATCH(B4127, _xlfn._xlws.FILTER(B:B, A:A="2021-04"), 0))), "Left", "Ativo")</f>
        <v>Ativo</v>
      </c>
    </row>
    <row r="4128" spans="1:6" x14ac:dyDescent="0.25">
      <c r="A4128" t="s">
        <v>1532</v>
      </c>
      <c r="B4128" t="s">
        <v>210</v>
      </c>
      <c r="C4128" s="10" t="str" cm="1">
        <f t="array" ref="C4128">IF(AND(A4128="2020-12", ISNA(MATCH(B4128, _xlfn._xlws.FILTER(B:B, A:A="2021-01"), 0))), "Left", "Ativo")</f>
        <v>Ativo</v>
      </c>
      <c r="D4128" s="10" t="str" cm="1">
        <f t="array" ref="D4128">IF(AND(A4128="2021-01", ISNA(MATCH(B4128, _xlfn._xlws.FILTER(B:B, A:A="2021-02"), 0))), "Left", "Ativo")</f>
        <v>Ativo</v>
      </c>
      <c r="E4128" s="10" t="str" cm="1">
        <f t="array" ref="E4128">IF(AND(A4128="2021-02", ISNA(MATCH(B4128, _xlfn._xlws.FILTER(B:B, A:A="2021-03"), 0))), "Left", "Ativo")</f>
        <v>Ativo</v>
      </c>
      <c r="F4128" s="12" t="str" cm="1">
        <f t="array" ref="F4128">IF(AND(A4128="2021-03", ISNA(MATCH(B4128, _xlfn._xlws.FILTER(B:B, A:A="2021-04"), 0))), "Left", "Ativo")</f>
        <v>Ativo</v>
      </c>
    </row>
    <row r="4129" spans="1:6" x14ac:dyDescent="0.25">
      <c r="A4129" t="s">
        <v>1532</v>
      </c>
      <c r="B4129" t="s">
        <v>211</v>
      </c>
      <c r="C4129" s="10" t="str" cm="1">
        <f t="array" ref="C4129">IF(AND(A4129="2020-12", ISNA(MATCH(B4129, _xlfn._xlws.FILTER(B:B, A:A="2021-01"), 0))), "Left", "Ativo")</f>
        <v>Ativo</v>
      </c>
      <c r="D4129" s="10" t="str" cm="1">
        <f t="array" ref="D4129">IF(AND(A4129="2021-01", ISNA(MATCH(B4129, _xlfn._xlws.FILTER(B:B, A:A="2021-02"), 0))), "Left", "Ativo")</f>
        <v>Ativo</v>
      </c>
      <c r="E4129" s="10" t="str" cm="1">
        <f t="array" ref="E4129">IF(AND(A4129="2021-02", ISNA(MATCH(B4129, _xlfn._xlws.FILTER(B:B, A:A="2021-03"), 0))), "Left", "Ativo")</f>
        <v>Ativo</v>
      </c>
      <c r="F4129" s="12" t="str" cm="1">
        <f t="array" ref="F4129">IF(AND(A4129="2021-03", ISNA(MATCH(B4129, _xlfn._xlws.FILTER(B:B, A:A="2021-04"), 0))), "Left", "Ativo")</f>
        <v>Ativo</v>
      </c>
    </row>
    <row r="4130" spans="1:6" x14ac:dyDescent="0.25">
      <c r="A4130" t="s">
        <v>1532</v>
      </c>
      <c r="B4130" t="s">
        <v>212</v>
      </c>
      <c r="C4130" s="10" t="str" cm="1">
        <f t="array" ref="C4130">IF(AND(A4130="2020-12", ISNA(MATCH(B4130, _xlfn._xlws.FILTER(B:B, A:A="2021-01"), 0))), "Left", "Ativo")</f>
        <v>Ativo</v>
      </c>
      <c r="D4130" s="10" t="str" cm="1">
        <f t="array" ref="D4130">IF(AND(A4130="2021-01", ISNA(MATCH(B4130, _xlfn._xlws.FILTER(B:B, A:A="2021-02"), 0))), "Left", "Ativo")</f>
        <v>Ativo</v>
      </c>
      <c r="E4130" s="10" t="str" cm="1">
        <f t="array" ref="E4130">IF(AND(A4130="2021-02", ISNA(MATCH(B4130, _xlfn._xlws.FILTER(B:B, A:A="2021-03"), 0))), "Left", "Ativo")</f>
        <v>Ativo</v>
      </c>
      <c r="F4130" s="12" t="str" cm="1">
        <f t="array" ref="F4130">IF(AND(A4130="2021-03", ISNA(MATCH(B4130, _xlfn._xlws.FILTER(B:B, A:A="2021-04"), 0))), "Left", "Ativo")</f>
        <v>Ativo</v>
      </c>
    </row>
    <row r="4131" spans="1:6" x14ac:dyDescent="0.25">
      <c r="A4131" t="s">
        <v>1532</v>
      </c>
      <c r="B4131" t="s">
        <v>213</v>
      </c>
      <c r="C4131" s="10" t="str" cm="1">
        <f t="array" ref="C4131">IF(AND(A4131="2020-12", ISNA(MATCH(B4131, _xlfn._xlws.FILTER(B:B, A:A="2021-01"), 0))), "Left", "Ativo")</f>
        <v>Ativo</v>
      </c>
      <c r="D4131" s="10" t="str" cm="1">
        <f t="array" ref="D4131">IF(AND(A4131="2021-01", ISNA(MATCH(B4131, _xlfn._xlws.FILTER(B:B, A:A="2021-02"), 0))), "Left", "Ativo")</f>
        <v>Ativo</v>
      </c>
      <c r="E4131" s="10" t="str" cm="1">
        <f t="array" ref="E4131">IF(AND(A4131="2021-02", ISNA(MATCH(B4131, _xlfn._xlws.FILTER(B:B, A:A="2021-03"), 0))), "Left", "Ativo")</f>
        <v>Ativo</v>
      </c>
      <c r="F4131" s="12" t="str" cm="1">
        <f t="array" ref="F4131">IF(AND(A4131="2021-03", ISNA(MATCH(B4131, _xlfn._xlws.FILTER(B:B, A:A="2021-04"), 0))), "Left", "Ativo")</f>
        <v>Ativo</v>
      </c>
    </row>
    <row r="4132" spans="1:6" x14ac:dyDescent="0.25">
      <c r="A4132" t="s">
        <v>1532</v>
      </c>
      <c r="B4132" t="s">
        <v>214</v>
      </c>
      <c r="C4132" s="10" t="str" cm="1">
        <f t="array" ref="C4132">IF(AND(A4132="2020-12", ISNA(MATCH(B4132, _xlfn._xlws.FILTER(B:B, A:A="2021-01"), 0))), "Left", "Ativo")</f>
        <v>Ativo</v>
      </c>
      <c r="D4132" s="10" t="str" cm="1">
        <f t="array" ref="D4132">IF(AND(A4132="2021-01", ISNA(MATCH(B4132, _xlfn._xlws.FILTER(B:B, A:A="2021-02"), 0))), "Left", "Ativo")</f>
        <v>Ativo</v>
      </c>
      <c r="E4132" s="10" t="str" cm="1">
        <f t="array" ref="E4132">IF(AND(A4132="2021-02", ISNA(MATCH(B4132, _xlfn._xlws.FILTER(B:B, A:A="2021-03"), 0))), "Left", "Ativo")</f>
        <v>Ativo</v>
      </c>
      <c r="F4132" s="12" t="str" cm="1">
        <f t="array" ref="F4132">IF(AND(A4132="2021-03", ISNA(MATCH(B4132, _xlfn._xlws.FILTER(B:B, A:A="2021-04"), 0))), "Left", "Ativo")</f>
        <v>Ativo</v>
      </c>
    </row>
    <row r="4133" spans="1:6" x14ac:dyDescent="0.25">
      <c r="A4133" t="s">
        <v>1532</v>
      </c>
      <c r="B4133" t="s">
        <v>215</v>
      </c>
      <c r="C4133" s="10" t="str" cm="1">
        <f t="array" ref="C4133">IF(AND(A4133="2020-12", ISNA(MATCH(B4133, _xlfn._xlws.FILTER(B:B, A:A="2021-01"), 0))), "Left", "Ativo")</f>
        <v>Ativo</v>
      </c>
      <c r="D4133" s="10" t="str" cm="1">
        <f t="array" ref="D4133">IF(AND(A4133="2021-01", ISNA(MATCH(B4133, _xlfn._xlws.FILTER(B:B, A:A="2021-02"), 0))), "Left", "Ativo")</f>
        <v>Ativo</v>
      </c>
      <c r="E4133" s="10" t="str" cm="1">
        <f t="array" ref="E4133">IF(AND(A4133="2021-02", ISNA(MATCH(B4133, _xlfn._xlws.FILTER(B:B, A:A="2021-03"), 0))), "Left", "Ativo")</f>
        <v>Ativo</v>
      </c>
      <c r="F4133" s="12" t="str" cm="1">
        <f t="array" ref="F4133">IF(AND(A4133="2021-03", ISNA(MATCH(B4133, _xlfn._xlws.FILTER(B:B, A:A="2021-04"), 0))), "Left", "Ativo")</f>
        <v>Ativo</v>
      </c>
    </row>
    <row r="4134" spans="1:6" x14ac:dyDescent="0.25">
      <c r="A4134" t="s">
        <v>1532</v>
      </c>
      <c r="B4134" t="s">
        <v>216</v>
      </c>
      <c r="C4134" s="10" t="str" cm="1">
        <f t="array" ref="C4134">IF(AND(A4134="2020-12", ISNA(MATCH(B4134, _xlfn._xlws.FILTER(B:B, A:A="2021-01"), 0))), "Left", "Ativo")</f>
        <v>Ativo</v>
      </c>
      <c r="D4134" s="10" t="str" cm="1">
        <f t="array" ref="D4134">IF(AND(A4134="2021-01", ISNA(MATCH(B4134, _xlfn._xlws.FILTER(B:B, A:A="2021-02"), 0))), "Left", "Ativo")</f>
        <v>Ativo</v>
      </c>
      <c r="E4134" s="10" t="str" cm="1">
        <f t="array" ref="E4134">IF(AND(A4134="2021-02", ISNA(MATCH(B4134, _xlfn._xlws.FILTER(B:B, A:A="2021-03"), 0))), "Left", "Ativo")</f>
        <v>Ativo</v>
      </c>
      <c r="F4134" s="12" t="str" cm="1">
        <f t="array" ref="F4134">IF(AND(A4134="2021-03", ISNA(MATCH(B4134, _xlfn._xlws.FILTER(B:B, A:A="2021-04"), 0))), "Left", "Ativo")</f>
        <v>Ativo</v>
      </c>
    </row>
    <row r="4135" spans="1:6" x14ac:dyDescent="0.25">
      <c r="A4135" t="s">
        <v>1532</v>
      </c>
      <c r="B4135" t="s">
        <v>217</v>
      </c>
      <c r="C4135" s="10" t="str" cm="1">
        <f t="array" ref="C4135">IF(AND(A4135="2020-12", ISNA(MATCH(B4135, _xlfn._xlws.FILTER(B:B, A:A="2021-01"), 0))), "Left", "Ativo")</f>
        <v>Ativo</v>
      </c>
      <c r="D4135" s="10" t="str" cm="1">
        <f t="array" ref="D4135">IF(AND(A4135="2021-01", ISNA(MATCH(B4135, _xlfn._xlws.FILTER(B:B, A:A="2021-02"), 0))), "Left", "Ativo")</f>
        <v>Ativo</v>
      </c>
      <c r="E4135" s="10" t="str" cm="1">
        <f t="array" ref="E4135">IF(AND(A4135="2021-02", ISNA(MATCH(B4135, _xlfn._xlws.FILTER(B:B, A:A="2021-03"), 0))), "Left", "Ativo")</f>
        <v>Ativo</v>
      </c>
      <c r="F4135" s="12" t="str" cm="1">
        <f t="array" ref="F4135">IF(AND(A4135="2021-03", ISNA(MATCH(B4135, _xlfn._xlws.FILTER(B:B, A:A="2021-04"), 0))), "Left", "Ativo")</f>
        <v>Ativo</v>
      </c>
    </row>
    <row r="4136" spans="1:6" x14ac:dyDescent="0.25">
      <c r="A4136" t="s">
        <v>1532</v>
      </c>
      <c r="B4136" t="s">
        <v>218</v>
      </c>
      <c r="C4136" s="10" t="str" cm="1">
        <f t="array" ref="C4136">IF(AND(A4136="2020-12", ISNA(MATCH(B4136, _xlfn._xlws.FILTER(B:B, A:A="2021-01"), 0))), "Left", "Ativo")</f>
        <v>Ativo</v>
      </c>
      <c r="D4136" s="10" t="str" cm="1">
        <f t="array" ref="D4136">IF(AND(A4136="2021-01", ISNA(MATCH(B4136, _xlfn._xlws.FILTER(B:B, A:A="2021-02"), 0))), "Left", "Ativo")</f>
        <v>Ativo</v>
      </c>
      <c r="E4136" s="10" t="str" cm="1">
        <f t="array" ref="E4136">IF(AND(A4136="2021-02", ISNA(MATCH(B4136, _xlfn._xlws.FILTER(B:B, A:A="2021-03"), 0))), "Left", "Ativo")</f>
        <v>Ativo</v>
      </c>
      <c r="F4136" s="12" t="str" cm="1">
        <f t="array" ref="F4136">IF(AND(A4136="2021-03", ISNA(MATCH(B4136, _xlfn._xlws.FILTER(B:B, A:A="2021-04"), 0))), "Left", "Ativo")</f>
        <v>Ativo</v>
      </c>
    </row>
    <row r="4137" spans="1:6" x14ac:dyDescent="0.25">
      <c r="A4137" t="s">
        <v>1532</v>
      </c>
      <c r="B4137" t="s">
        <v>219</v>
      </c>
      <c r="C4137" s="10" t="str" cm="1">
        <f t="array" ref="C4137">IF(AND(A4137="2020-12", ISNA(MATCH(B4137, _xlfn._xlws.FILTER(B:B, A:A="2021-01"), 0))), "Left", "Ativo")</f>
        <v>Ativo</v>
      </c>
      <c r="D4137" s="10" t="str" cm="1">
        <f t="array" ref="D4137">IF(AND(A4137="2021-01", ISNA(MATCH(B4137, _xlfn._xlws.FILTER(B:B, A:A="2021-02"), 0))), "Left", "Ativo")</f>
        <v>Ativo</v>
      </c>
      <c r="E4137" s="10" t="str" cm="1">
        <f t="array" ref="E4137">IF(AND(A4137="2021-02", ISNA(MATCH(B4137, _xlfn._xlws.FILTER(B:B, A:A="2021-03"), 0))), "Left", "Ativo")</f>
        <v>Ativo</v>
      </c>
      <c r="F4137" s="12" t="str" cm="1">
        <f t="array" ref="F4137">IF(AND(A4137="2021-03", ISNA(MATCH(B4137, _xlfn._xlws.FILTER(B:B, A:A="2021-04"), 0))), "Left", "Ativo")</f>
        <v>Ativo</v>
      </c>
    </row>
    <row r="4138" spans="1:6" x14ac:dyDescent="0.25">
      <c r="A4138" t="s">
        <v>1532</v>
      </c>
      <c r="B4138" t="s">
        <v>220</v>
      </c>
      <c r="C4138" s="10" t="str" cm="1">
        <f t="array" ref="C4138">IF(AND(A4138="2020-12", ISNA(MATCH(B4138, _xlfn._xlws.FILTER(B:B, A:A="2021-01"), 0))), "Left", "Ativo")</f>
        <v>Ativo</v>
      </c>
      <c r="D4138" s="10" t="str" cm="1">
        <f t="array" ref="D4138">IF(AND(A4138="2021-01", ISNA(MATCH(B4138, _xlfn._xlws.FILTER(B:B, A:A="2021-02"), 0))), "Left", "Ativo")</f>
        <v>Ativo</v>
      </c>
      <c r="E4138" s="10" t="str" cm="1">
        <f t="array" ref="E4138">IF(AND(A4138="2021-02", ISNA(MATCH(B4138, _xlfn._xlws.FILTER(B:B, A:A="2021-03"), 0))), "Left", "Ativo")</f>
        <v>Ativo</v>
      </c>
      <c r="F4138" s="12" t="str" cm="1">
        <f t="array" ref="F4138">IF(AND(A4138="2021-03", ISNA(MATCH(B4138, _xlfn._xlws.FILTER(B:B, A:A="2021-04"), 0))), "Left", "Ativo")</f>
        <v>Ativo</v>
      </c>
    </row>
    <row r="4139" spans="1:6" x14ac:dyDescent="0.25">
      <c r="A4139" t="s">
        <v>1532</v>
      </c>
      <c r="B4139" t="s">
        <v>221</v>
      </c>
      <c r="C4139" s="10" t="str" cm="1">
        <f t="array" ref="C4139">IF(AND(A4139="2020-12", ISNA(MATCH(B4139, _xlfn._xlws.FILTER(B:B, A:A="2021-01"), 0))), "Left", "Ativo")</f>
        <v>Ativo</v>
      </c>
      <c r="D4139" s="10" t="str" cm="1">
        <f t="array" ref="D4139">IF(AND(A4139="2021-01", ISNA(MATCH(B4139, _xlfn._xlws.FILTER(B:B, A:A="2021-02"), 0))), "Left", "Ativo")</f>
        <v>Ativo</v>
      </c>
      <c r="E4139" s="10" t="str" cm="1">
        <f t="array" ref="E4139">IF(AND(A4139="2021-02", ISNA(MATCH(B4139, _xlfn._xlws.FILTER(B:B, A:A="2021-03"), 0))), "Left", "Ativo")</f>
        <v>Ativo</v>
      </c>
      <c r="F4139" s="12" t="str" cm="1">
        <f t="array" ref="F4139">IF(AND(A4139="2021-03", ISNA(MATCH(B4139, _xlfn._xlws.FILTER(B:B, A:A="2021-04"), 0))), "Left", "Ativo")</f>
        <v>Ativo</v>
      </c>
    </row>
    <row r="4140" spans="1:6" x14ac:dyDescent="0.25">
      <c r="A4140" t="s">
        <v>1532</v>
      </c>
      <c r="B4140" t="s">
        <v>222</v>
      </c>
      <c r="C4140" s="10" t="str" cm="1">
        <f t="array" ref="C4140">IF(AND(A4140="2020-12", ISNA(MATCH(B4140, _xlfn._xlws.FILTER(B:B, A:A="2021-01"), 0))), "Left", "Ativo")</f>
        <v>Ativo</v>
      </c>
      <c r="D4140" s="10" t="str" cm="1">
        <f t="array" ref="D4140">IF(AND(A4140="2021-01", ISNA(MATCH(B4140, _xlfn._xlws.FILTER(B:B, A:A="2021-02"), 0))), "Left", "Ativo")</f>
        <v>Ativo</v>
      </c>
      <c r="E4140" s="10" t="str" cm="1">
        <f t="array" ref="E4140">IF(AND(A4140="2021-02", ISNA(MATCH(B4140, _xlfn._xlws.FILTER(B:B, A:A="2021-03"), 0))), "Left", "Ativo")</f>
        <v>Ativo</v>
      </c>
      <c r="F4140" s="12" t="str" cm="1">
        <f t="array" ref="F4140">IF(AND(A4140="2021-03", ISNA(MATCH(B4140, _xlfn._xlws.FILTER(B:B, A:A="2021-04"), 0))), "Left", "Ativo")</f>
        <v>Ativo</v>
      </c>
    </row>
    <row r="4141" spans="1:6" x14ac:dyDescent="0.25">
      <c r="A4141" t="s">
        <v>1532</v>
      </c>
      <c r="B4141" t="s">
        <v>223</v>
      </c>
      <c r="C4141" s="10" t="str" cm="1">
        <f t="array" ref="C4141">IF(AND(A4141="2020-12", ISNA(MATCH(B4141, _xlfn._xlws.FILTER(B:B, A:A="2021-01"), 0))), "Left", "Ativo")</f>
        <v>Ativo</v>
      </c>
      <c r="D4141" s="10" t="str" cm="1">
        <f t="array" ref="D4141">IF(AND(A4141="2021-01", ISNA(MATCH(B4141, _xlfn._xlws.FILTER(B:B, A:A="2021-02"), 0))), "Left", "Ativo")</f>
        <v>Ativo</v>
      </c>
      <c r="E4141" s="10" t="str" cm="1">
        <f t="array" ref="E4141">IF(AND(A4141="2021-02", ISNA(MATCH(B4141, _xlfn._xlws.FILTER(B:B, A:A="2021-03"), 0))), "Left", "Ativo")</f>
        <v>Ativo</v>
      </c>
      <c r="F4141" s="12" t="str" cm="1">
        <f t="array" ref="F4141">IF(AND(A4141="2021-03", ISNA(MATCH(B4141, _xlfn._xlws.FILTER(B:B, A:A="2021-04"), 0))), "Left", "Ativo")</f>
        <v>Ativo</v>
      </c>
    </row>
    <row r="4142" spans="1:6" x14ac:dyDescent="0.25">
      <c r="A4142" t="s">
        <v>1532</v>
      </c>
      <c r="B4142" t="s">
        <v>224</v>
      </c>
      <c r="C4142" s="10" t="str" cm="1">
        <f t="array" ref="C4142">IF(AND(A4142="2020-12", ISNA(MATCH(B4142, _xlfn._xlws.FILTER(B:B, A:A="2021-01"), 0))), "Left", "Ativo")</f>
        <v>Ativo</v>
      </c>
      <c r="D4142" s="10" t="str" cm="1">
        <f t="array" ref="D4142">IF(AND(A4142="2021-01", ISNA(MATCH(B4142, _xlfn._xlws.FILTER(B:B, A:A="2021-02"), 0))), "Left", "Ativo")</f>
        <v>Ativo</v>
      </c>
      <c r="E4142" s="10" t="str" cm="1">
        <f t="array" ref="E4142">IF(AND(A4142="2021-02", ISNA(MATCH(B4142, _xlfn._xlws.FILTER(B:B, A:A="2021-03"), 0))), "Left", "Ativo")</f>
        <v>Ativo</v>
      </c>
      <c r="F4142" s="12" t="str" cm="1">
        <f t="array" ref="F4142">IF(AND(A4142="2021-03", ISNA(MATCH(B4142, _xlfn._xlws.FILTER(B:B, A:A="2021-04"), 0))), "Left", "Ativo")</f>
        <v>Ativo</v>
      </c>
    </row>
    <row r="4143" spans="1:6" x14ac:dyDescent="0.25">
      <c r="A4143" t="s">
        <v>1532</v>
      </c>
      <c r="B4143" t="s">
        <v>230</v>
      </c>
      <c r="C4143" s="10" t="str" cm="1">
        <f t="array" ref="C4143">IF(AND(A4143="2020-12", ISNA(MATCH(B4143, _xlfn._xlws.FILTER(B:B, A:A="2021-01"), 0))), "Left", "Ativo")</f>
        <v>Ativo</v>
      </c>
      <c r="D4143" s="10" t="str" cm="1">
        <f t="array" ref="D4143">IF(AND(A4143="2021-01", ISNA(MATCH(B4143, _xlfn._xlws.FILTER(B:B, A:A="2021-02"), 0))), "Left", "Ativo")</f>
        <v>Ativo</v>
      </c>
      <c r="E4143" s="10" t="str" cm="1">
        <f t="array" ref="E4143">IF(AND(A4143="2021-02", ISNA(MATCH(B4143, _xlfn._xlws.FILTER(B:B, A:A="2021-03"), 0))), "Left", "Ativo")</f>
        <v>Ativo</v>
      </c>
      <c r="F4143" s="12" t="str" cm="1">
        <f t="array" ref="F4143">IF(AND(A4143="2021-03", ISNA(MATCH(B4143, _xlfn._xlws.FILTER(B:B, A:A="2021-04"), 0))), "Left", "Ativo")</f>
        <v>Ativo</v>
      </c>
    </row>
    <row r="4144" spans="1:6" x14ac:dyDescent="0.25">
      <c r="A4144" t="s">
        <v>1532</v>
      </c>
      <c r="B4144" t="s">
        <v>231</v>
      </c>
      <c r="C4144" s="10" t="str" cm="1">
        <f t="array" ref="C4144">IF(AND(A4144="2020-12", ISNA(MATCH(B4144, _xlfn._xlws.FILTER(B:B, A:A="2021-01"), 0))), "Left", "Ativo")</f>
        <v>Ativo</v>
      </c>
      <c r="D4144" s="10" t="str" cm="1">
        <f t="array" ref="D4144">IF(AND(A4144="2021-01", ISNA(MATCH(B4144, _xlfn._xlws.FILTER(B:B, A:A="2021-02"), 0))), "Left", "Ativo")</f>
        <v>Ativo</v>
      </c>
      <c r="E4144" s="10" t="str" cm="1">
        <f t="array" ref="E4144">IF(AND(A4144="2021-02", ISNA(MATCH(B4144, _xlfn._xlws.FILTER(B:B, A:A="2021-03"), 0))), "Left", "Ativo")</f>
        <v>Ativo</v>
      </c>
      <c r="F4144" s="12" t="str" cm="1">
        <f t="array" ref="F4144">IF(AND(A4144="2021-03", ISNA(MATCH(B4144, _xlfn._xlws.FILTER(B:B, A:A="2021-04"), 0))), "Left", "Ativo")</f>
        <v>Ativo</v>
      </c>
    </row>
    <row r="4145" spans="1:6" x14ac:dyDescent="0.25">
      <c r="A4145" t="s">
        <v>1532</v>
      </c>
      <c r="B4145" t="s">
        <v>232</v>
      </c>
      <c r="C4145" s="10" t="str" cm="1">
        <f t="array" ref="C4145">IF(AND(A4145="2020-12", ISNA(MATCH(B4145, _xlfn._xlws.FILTER(B:B, A:A="2021-01"), 0))), "Left", "Ativo")</f>
        <v>Ativo</v>
      </c>
      <c r="D4145" s="10" t="str" cm="1">
        <f t="array" ref="D4145">IF(AND(A4145="2021-01", ISNA(MATCH(B4145, _xlfn._xlws.FILTER(B:B, A:A="2021-02"), 0))), "Left", "Ativo")</f>
        <v>Ativo</v>
      </c>
      <c r="E4145" s="10" t="str" cm="1">
        <f t="array" ref="E4145">IF(AND(A4145="2021-02", ISNA(MATCH(B4145, _xlfn._xlws.FILTER(B:B, A:A="2021-03"), 0))), "Left", "Ativo")</f>
        <v>Ativo</v>
      </c>
      <c r="F4145" s="12" t="str" cm="1">
        <f t="array" ref="F4145">IF(AND(A4145="2021-03", ISNA(MATCH(B4145, _xlfn._xlws.FILTER(B:B, A:A="2021-04"), 0))), "Left", "Ativo")</f>
        <v>Ativo</v>
      </c>
    </row>
    <row r="4146" spans="1:6" x14ac:dyDescent="0.25">
      <c r="A4146" t="s">
        <v>1532</v>
      </c>
      <c r="B4146" t="s">
        <v>233</v>
      </c>
      <c r="C4146" s="10" t="str" cm="1">
        <f t="array" ref="C4146">IF(AND(A4146="2020-12", ISNA(MATCH(B4146, _xlfn._xlws.FILTER(B:B, A:A="2021-01"), 0))), "Left", "Ativo")</f>
        <v>Ativo</v>
      </c>
      <c r="D4146" s="10" t="str" cm="1">
        <f t="array" ref="D4146">IF(AND(A4146="2021-01", ISNA(MATCH(B4146, _xlfn._xlws.FILTER(B:B, A:A="2021-02"), 0))), "Left", "Ativo")</f>
        <v>Ativo</v>
      </c>
      <c r="E4146" s="10" t="str" cm="1">
        <f t="array" ref="E4146">IF(AND(A4146="2021-02", ISNA(MATCH(B4146, _xlfn._xlws.FILTER(B:B, A:A="2021-03"), 0))), "Left", "Ativo")</f>
        <v>Ativo</v>
      </c>
      <c r="F4146" s="12" t="str" cm="1">
        <f t="array" ref="F4146">IF(AND(A4146="2021-03", ISNA(MATCH(B4146, _xlfn._xlws.FILTER(B:B, A:A="2021-04"), 0))), "Left", "Ativo")</f>
        <v>Ativo</v>
      </c>
    </row>
    <row r="4147" spans="1:6" x14ac:dyDescent="0.25">
      <c r="A4147" t="s">
        <v>1532</v>
      </c>
      <c r="B4147" t="s">
        <v>234</v>
      </c>
      <c r="C4147" s="10" t="str" cm="1">
        <f t="array" ref="C4147">IF(AND(A4147="2020-12", ISNA(MATCH(B4147, _xlfn._xlws.FILTER(B:B, A:A="2021-01"), 0))), "Left", "Ativo")</f>
        <v>Ativo</v>
      </c>
      <c r="D4147" s="10" t="str" cm="1">
        <f t="array" ref="D4147">IF(AND(A4147="2021-01", ISNA(MATCH(B4147, _xlfn._xlws.FILTER(B:B, A:A="2021-02"), 0))), "Left", "Ativo")</f>
        <v>Ativo</v>
      </c>
      <c r="E4147" s="10" t="str" cm="1">
        <f t="array" ref="E4147">IF(AND(A4147="2021-02", ISNA(MATCH(B4147, _xlfn._xlws.FILTER(B:B, A:A="2021-03"), 0))), "Left", "Ativo")</f>
        <v>Ativo</v>
      </c>
      <c r="F4147" s="12" t="str" cm="1">
        <f t="array" ref="F4147">IF(AND(A4147="2021-03", ISNA(MATCH(B4147, _xlfn._xlws.FILTER(B:B, A:A="2021-04"), 0))), "Left", "Ativo")</f>
        <v>Ativo</v>
      </c>
    </row>
    <row r="4148" spans="1:6" x14ac:dyDescent="0.25">
      <c r="A4148" t="s">
        <v>1532</v>
      </c>
      <c r="B4148" t="s">
        <v>235</v>
      </c>
      <c r="C4148" s="10" t="str" cm="1">
        <f t="array" ref="C4148">IF(AND(A4148="2020-12", ISNA(MATCH(B4148, _xlfn._xlws.FILTER(B:B, A:A="2021-01"), 0))), "Left", "Ativo")</f>
        <v>Ativo</v>
      </c>
      <c r="D4148" s="10" t="str" cm="1">
        <f t="array" ref="D4148">IF(AND(A4148="2021-01", ISNA(MATCH(B4148, _xlfn._xlws.FILTER(B:B, A:A="2021-02"), 0))), "Left", "Ativo")</f>
        <v>Ativo</v>
      </c>
      <c r="E4148" s="10" t="str" cm="1">
        <f t="array" ref="E4148">IF(AND(A4148="2021-02", ISNA(MATCH(B4148, _xlfn._xlws.FILTER(B:B, A:A="2021-03"), 0))), "Left", "Ativo")</f>
        <v>Ativo</v>
      </c>
      <c r="F4148" s="12" t="str" cm="1">
        <f t="array" ref="F4148">IF(AND(A4148="2021-03", ISNA(MATCH(B4148, _xlfn._xlws.FILTER(B:B, A:A="2021-04"), 0))), "Left", "Ativo")</f>
        <v>Ativo</v>
      </c>
    </row>
    <row r="4149" spans="1:6" x14ac:dyDescent="0.25">
      <c r="A4149" t="s">
        <v>1532</v>
      </c>
      <c r="B4149" t="s">
        <v>236</v>
      </c>
      <c r="C4149" s="10" t="str" cm="1">
        <f t="array" ref="C4149">IF(AND(A4149="2020-12", ISNA(MATCH(B4149, _xlfn._xlws.FILTER(B:B, A:A="2021-01"), 0))), "Left", "Ativo")</f>
        <v>Ativo</v>
      </c>
      <c r="D4149" s="10" t="str" cm="1">
        <f t="array" ref="D4149">IF(AND(A4149="2021-01", ISNA(MATCH(B4149, _xlfn._xlws.FILTER(B:B, A:A="2021-02"), 0))), "Left", "Ativo")</f>
        <v>Ativo</v>
      </c>
      <c r="E4149" s="10" t="str" cm="1">
        <f t="array" ref="E4149">IF(AND(A4149="2021-02", ISNA(MATCH(B4149, _xlfn._xlws.FILTER(B:B, A:A="2021-03"), 0))), "Left", "Ativo")</f>
        <v>Ativo</v>
      </c>
      <c r="F4149" s="12" t="str" cm="1">
        <f t="array" ref="F4149">IF(AND(A4149="2021-03", ISNA(MATCH(B4149, _xlfn._xlws.FILTER(B:B, A:A="2021-04"), 0))), "Left", "Ativo")</f>
        <v>Ativo</v>
      </c>
    </row>
    <row r="4150" spans="1:6" x14ac:dyDescent="0.25">
      <c r="A4150" t="s">
        <v>1532</v>
      </c>
      <c r="B4150" t="s">
        <v>239</v>
      </c>
      <c r="C4150" s="10" t="str" cm="1">
        <f t="array" ref="C4150">IF(AND(A4150="2020-12", ISNA(MATCH(B4150, _xlfn._xlws.FILTER(B:B, A:A="2021-01"), 0))), "Left", "Ativo")</f>
        <v>Ativo</v>
      </c>
      <c r="D4150" s="10" t="str" cm="1">
        <f t="array" ref="D4150">IF(AND(A4150="2021-01", ISNA(MATCH(B4150, _xlfn._xlws.FILTER(B:B, A:A="2021-02"), 0))), "Left", "Ativo")</f>
        <v>Ativo</v>
      </c>
      <c r="E4150" s="10" t="str" cm="1">
        <f t="array" ref="E4150">IF(AND(A4150="2021-02", ISNA(MATCH(B4150, _xlfn._xlws.FILTER(B:B, A:A="2021-03"), 0))), "Left", "Ativo")</f>
        <v>Ativo</v>
      </c>
      <c r="F4150" s="12" t="str" cm="1">
        <f t="array" ref="F4150">IF(AND(A4150="2021-03", ISNA(MATCH(B4150, _xlfn._xlws.FILTER(B:B, A:A="2021-04"), 0))), "Left", "Ativo")</f>
        <v>Ativo</v>
      </c>
    </row>
    <row r="4151" spans="1:6" x14ac:dyDescent="0.25">
      <c r="A4151" t="s">
        <v>1532</v>
      </c>
      <c r="B4151" t="s">
        <v>240</v>
      </c>
      <c r="C4151" s="10" t="str" cm="1">
        <f t="array" ref="C4151">IF(AND(A4151="2020-12", ISNA(MATCH(B4151, _xlfn._xlws.FILTER(B:B, A:A="2021-01"), 0))), "Left", "Ativo")</f>
        <v>Ativo</v>
      </c>
      <c r="D4151" s="10" t="str" cm="1">
        <f t="array" ref="D4151">IF(AND(A4151="2021-01", ISNA(MATCH(B4151, _xlfn._xlws.FILTER(B:B, A:A="2021-02"), 0))), "Left", "Ativo")</f>
        <v>Ativo</v>
      </c>
      <c r="E4151" s="10" t="str" cm="1">
        <f t="array" ref="E4151">IF(AND(A4151="2021-02", ISNA(MATCH(B4151, _xlfn._xlws.FILTER(B:B, A:A="2021-03"), 0))), "Left", "Ativo")</f>
        <v>Ativo</v>
      </c>
      <c r="F4151" s="12" t="str" cm="1">
        <f t="array" ref="F4151">IF(AND(A4151="2021-03", ISNA(MATCH(B4151, _xlfn._xlws.FILTER(B:B, A:A="2021-04"), 0))), "Left", "Ativo")</f>
        <v>Ativo</v>
      </c>
    </row>
    <row r="4152" spans="1:6" x14ac:dyDescent="0.25">
      <c r="A4152" t="s">
        <v>1532</v>
      </c>
      <c r="B4152" t="s">
        <v>241</v>
      </c>
      <c r="C4152" s="10" t="str" cm="1">
        <f t="array" ref="C4152">IF(AND(A4152="2020-12", ISNA(MATCH(B4152, _xlfn._xlws.FILTER(B:B, A:A="2021-01"), 0))), "Left", "Ativo")</f>
        <v>Ativo</v>
      </c>
      <c r="D4152" s="10" t="str" cm="1">
        <f t="array" ref="D4152">IF(AND(A4152="2021-01", ISNA(MATCH(B4152, _xlfn._xlws.FILTER(B:B, A:A="2021-02"), 0))), "Left", "Ativo")</f>
        <v>Ativo</v>
      </c>
      <c r="E4152" s="10" t="str" cm="1">
        <f t="array" ref="E4152">IF(AND(A4152="2021-02", ISNA(MATCH(B4152, _xlfn._xlws.FILTER(B:B, A:A="2021-03"), 0))), "Left", "Ativo")</f>
        <v>Ativo</v>
      </c>
      <c r="F4152" s="12" t="str" cm="1">
        <f t="array" ref="F4152">IF(AND(A4152="2021-03", ISNA(MATCH(B4152, _xlfn._xlws.FILTER(B:B, A:A="2021-04"), 0))), "Left", "Ativo")</f>
        <v>Ativo</v>
      </c>
    </row>
    <row r="4153" spans="1:6" x14ac:dyDescent="0.25">
      <c r="A4153" t="s">
        <v>1532</v>
      </c>
      <c r="B4153" t="s">
        <v>242</v>
      </c>
      <c r="C4153" s="10" t="str" cm="1">
        <f t="array" ref="C4153">IF(AND(A4153="2020-12", ISNA(MATCH(B4153, _xlfn._xlws.FILTER(B:B, A:A="2021-01"), 0))), "Left", "Ativo")</f>
        <v>Ativo</v>
      </c>
      <c r="D4153" s="10" t="str" cm="1">
        <f t="array" ref="D4153">IF(AND(A4153="2021-01", ISNA(MATCH(B4153, _xlfn._xlws.FILTER(B:B, A:A="2021-02"), 0))), "Left", "Ativo")</f>
        <v>Ativo</v>
      </c>
      <c r="E4153" s="10" t="str" cm="1">
        <f t="array" ref="E4153">IF(AND(A4153="2021-02", ISNA(MATCH(B4153, _xlfn._xlws.FILTER(B:B, A:A="2021-03"), 0))), "Left", "Ativo")</f>
        <v>Ativo</v>
      </c>
      <c r="F4153" s="12" t="str" cm="1">
        <f t="array" ref="F4153">IF(AND(A4153="2021-03", ISNA(MATCH(B4153, _xlfn._xlws.FILTER(B:B, A:A="2021-04"), 0))), "Left", "Ativo")</f>
        <v>Ativo</v>
      </c>
    </row>
    <row r="4154" spans="1:6" x14ac:dyDescent="0.25">
      <c r="A4154" t="s">
        <v>1532</v>
      </c>
      <c r="B4154" t="s">
        <v>243</v>
      </c>
      <c r="C4154" s="10" t="str" cm="1">
        <f t="array" ref="C4154">IF(AND(A4154="2020-12", ISNA(MATCH(B4154, _xlfn._xlws.FILTER(B:B, A:A="2021-01"), 0))), "Left", "Ativo")</f>
        <v>Ativo</v>
      </c>
      <c r="D4154" s="10" t="str" cm="1">
        <f t="array" ref="D4154">IF(AND(A4154="2021-01", ISNA(MATCH(B4154, _xlfn._xlws.FILTER(B:B, A:A="2021-02"), 0))), "Left", "Ativo")</f>
        <v>Ativo</v>
      </c>
      <c r="E4154" s="10" t="str" cm="1">
        <f t="array" ref="E4154">IF(AND(A4154="2021-02", ISNA(MATCH(B4154, _xlfn._xlws.FILTER(B:B, A:A="2021-03"), 0))), "Left", "Ativo")</f>
        <v>Ativo</v>
      </c>
      <c r="F4154" s="12" t="str" cm="1">
        <f t="array" ref="F4154">IF(AND(A4154="2021-03", ISNA(MATCH(B4154, _xlfn._xlws.FILTER(B:B, A:A="2021-04"), 0))), "Left", "Ativo")</f>
        <v>Ativo</v>
      </c>
    </row>
    <row r="4155" spans="1:6" x14ac:dyDescent="0.25">
      <c r="A4155" t="s">
        <v>1532</v>
      </c>
      <c r="B4155" t="s">
        <v>244</v>
      </c>
      <c r="C4155" s="10" t="str" cm="1">
        <f t="array" ref="C4155">IF(AND(A4155="2020-12", ISNA(MATCH(B4155, _xlfn._xlws.FILTER(B:B, A:A="2021-01"), 0))), "Left", "Ativo")</f>
        <v>Ativo</v>
      </c>
      <c r="D4155" s="10" t="str" cm="1">
        <f t="array" ref="D4155">IF(AND(A4155="2021-01", ISNA(MATCH(B4155, _xlfn._xlws.FILTER(B:B, A:A="2021-02"), 0))), "Left", "Ativo")</f>
        <v>Ativo</v>
      </c>
      <c r="E4155" s="10" t="str" cm="1">
        <f t="array" ref="E4155">IF(AND(A4155="2021-02", ISNA(MATCH(B4155, _xlfn._xlws.FILTER(B:B, A:A="2021-03"), 0))), "Left", "Ativo")</f>
        <v>Ativo</v>
      </c>
      <c r="F4155" s="12" t="str" cm="1">
        <f t="array" ref="F4155">IF(AND(A4155="2021-03", ISNA(MATCH(B4155, _xlfn._xlws.FILTER(B:B, A:A="2021-04"), 0))), "Left", "Ativo")</f>
        <v>Ativo</v>
      </c>
    </row>
    <row r="4156" spans="1:6" x14ac:dyDescent="0.25">
      <c r="A4156" t="s">
        <v>1532</v>
      </c>
      <c r="B4156" t="s">
        <v>245</v>
      </c>
      <c r="C4156" s="10" t="str" cm="1">
        <f t="array" ref="C4156">IF(AND(A4156="2020-12", ISNA(MATCH(B4156, _xlfn._xlws.FILTER(B:B, A:A="2021-01"), 0))), "Left", "Ativo")</f>
        <v>Ativo</v>
      </c>
      <c r="D4156" s="10" t="str" cm="1">
        <f t="array" ref="D4156">IF(AND(A4156="2021-01", ISNA(MATCH(B4156, _xlfn._xlws.FILTER(B:B, A:A="2021-02"), 0))), "Left", "Ativo")</f>
        <v>Ativo</v>
      </c>
      <c r="E4156" s="10" t="str" cm="1">
        <f t="array" ref="E4156">IF(AND(A4156="2021-02", ISNA(MATCH(B4156, _xlfn._xlws.FILTER(B:B, A:A="2021-03"), 0))), "Left", "Ativo")</f>
        <v>Ativo</v>
      </c>
      <c r="F4156" s="12" t="str" cm="1">
        <f t="array" ref="F4156">IF(AND(A4156="2021-03", ISNA(MATCH(B4156, _xlfn._xlws.FILTER(B:B, A:A="2021-04"), 0))), "Left", "Ativo")</f>
        <v>Ativo</v>
      </c>
    </row>
    <row r="4157" spans="1:6" x14ac:dyDescent="0.25">
      <c r="A4157" t="s">
        <v>1532</v>
      </c>
      <c r="B4157" t="s">
        <v>246</v>
      </c>
      <c r="C4157" s="10" t="str" cm="1">
        <f t="array" ref="C4157">IF(AND(A4157="2020-12", ISNA(MATCH(B4157, _xlfn._xlws.FILTER(B:B, A:A="2021-01"), 0))), "Left", "Ativo")</f>
        <v>Ativo</v>
      </c>
      <c r="D4157" s="10" t="str" cm="1">
        <f t="array" ref="D4157">IF(AND(A4157="2021-01", ISNA(MATCH(B4157, _xlfn._xlws.FILTER(B:B, A:A="2021-02"), 0))), "Left", "Ativo")</f>
        <v>Ativo</v>
      </c>
      <c r="E4157" s="10" t="str" cm="1">
        <f t="array" ref="E4157">IF(AND(A4157="2021-02", ISNA(MATCH(B4157, _xlfn._xlws.FILTER(B:B, A:A="2021-03"), 0))), "Left", "Ativo")</f>
        <v>Ativo</v>
      </c>
      <c r="F4157" s="12" t="str" cm="1">
        <f t="array" ref="F4157">IF(AND(A4157="2021-03", ISNA(MATCH(B4157, _xlfn._xlws.FILTER(B:B, A:A="2021-04"), 0))), "Left", "Ativo")</f>
        <v>Ativo</v>
      </c>
    </row>
    <row r="4158" spans="1:6" x14ac:dyDescent="0.25">
      <c r="A4158" t="s">
        <v>1532</v>
      </c>
      <c r="B4158" t="s">
        <v>247</v>
      </c>
      <c r="C4158" s="10" t="str" cm="1">
        <f t="array" ref="C4158">IF(AND(A4158="2020-12", ISNA(MATCH(B4158, _xlfn._xlws.FILTER(B:B, A:A="2021-01"), 0))), "Left", "Ativo")</f>
        <v>Ativo</v>
      </c>
      <c r="D4158" s="10" t="str" cm="1">
        <f t="array" ref="D4158">IF(AND(A4158="2021-01", ISNA(MATCH(B4158, _xlfn._xlws.FILTER(B:B, A:A="2021-02"), 0))), "Left", "Ativo")</f>
        <v>Ativo</v>
      </c>
      <c r="E4158" s="10" t="str" cm="1">
        <f t="array" ref="E4158">IF(AND(A4158="2021-02", ISNA(MATCH(B4158, _xlfn._xlws.FILTER(B:B, A:A="2021-03"), 0))), "Left", "Ativo")</f>
        <v>Ativo</v>
      </c>
      <c r="F4158" s="12" t="str" cm="1">
        <f t="array" ref="F4158">IF(AND(A4158="2021-03", ISNA(MATCH(B4158, _xlfn._xlws.FILTER(B:B, A:A="2021-04"), 0))), "Left", "Ativo")</f>
        <v>Ativo</v>
      </c>
    </row>
    <row r="4159" spans="1:6" x14ac:dyDescent="0.25">
      <c r="A4159" t="s">
        <v>1532</v>
      </c>
      <c r="B4159" t="s">
        <v>248</v>
      </c>
      <c r="C4159" s="10" t="str" cm="1">
        <f t="array" ref="C4159">IF(AND(A4159="2020-12", ISNA(MATCH(B4159, _xlfn._xlws.FILTER(B:B, A:A="2021-01"), 0))), "Left", "Ativo")</f>
        <v>Ativo</v>
      </c>
      <c r="D4159" s="10" t="str" cm="1">
        <f t="array" ref="D4159">IF(AND(A4159="2021-01", ISNA(MATCH(B4159, _xlfn._xlws.FILTER(B:B, A:A="2021-02"), 0))), "Left", "Ativo")</f>
        <v>Ativo</v>
      </c>
      <c r="E4159" s="10" t="str" cm="1">
        <f t="array" ref="E4159">IF(AND(A4159="2021-02", ISNA(MATCH(B4159, _xlfn._xlws.FILTER(B:B, A:A="2021-03"), 0))), "Left", "Ativo")</f>
        <v>Ativo</v>
      </c>
      <c r="F4159" s="12" t="str" cm="1">
        <f t="array" ref="F4159">IF(AND(A4159="2021-03", ISNA(MATCH(B4159, _xlfn._xlws.FILTER(B:B, A:A="2021-04"), 0))), "Left", "Ativo")</f>
        <v>Ativo</v>
      </c>
    </row>
    <row r="4160" spans="1:6" x14ac:dyDescent="0.25">
      <c r="A4160" t="s">
        <v>1532</v>
      </c>
      <c r="B4160" t="s">
        <v>249</v>
      </c>
      <c r="C4160" s="10" t="str" cm="1">
        <f t="array" ref="C4160">IF(AND(A4160="2020-12", ISNA(MATCH(B4160, _xlfn._xlws.FILTER(B:B, A:A="2021-01"), 0))), "Left", "Ativo")</f>
        <v>Ativo</v>
      </c>
      <c r="D4160" s="10" t="str" cm="1">
        <f t="array" ref="D4160">IF(AND(A4160="2021-01", ISNA(MATCH(B4160, _xlfn._xlws.FILTER(B:B, A:A="2021-02"), 0))), "Left", "Ativo")</f>
        <v>Ativo</v>
      </c>
      <c r="E4160" s="10" t="str" cm="1">
        <f t="array" ref="E4160">IF(AND(A4160="2021-02", ISNA(MATCH(B4160, _xlfn._xlws.FILTER(B:B, A:A="2021-03"), 0))), "Left", "Ativo")</f>
        <v>Ativo</v>
      </c>
      <c r="F4160" s="12" t="str" cm="1">
        <f t="array" ref="F4160">IF(AND(A4160="2021-03", ISNA(MATCH(B4160, _xlfn._xlws.FILTER(B:B, A:A="2021-04"), 0))), "Left", "Ativo")</f>
        <v>Ativo</v>
      </c>
    </row>
    <row r="4161" spans="1:6" x14ac:dyDescent="0.25">
      <c r="A4161" t="s">
        <v>1532</v>
      </c>
      <c r="B4161" t="s">
        <v>250</v>
      </c>
      <c r="C4161" s="10" t="str" cm="1">
        <f t="array" ref="C4161">IF(AND(A4161="2020-12", ISNA(MATCH(B4161, _xlfn._xlws.FILTER(B:B, A:A="2021-01"), 0))), "Left", "Ativo")</f>
        <v>Ativo</v>
      </c>
      <c r="D4161" s="10" t="str" cm="1">
        <f t="array" ref="D4161">IF(AND(A4161="2021-01", ISNA(MATCH(B4161, _xlfn._xlws.FILTER(B:B, A:A="2021-02"), 0))), "Left", "Ativo")</f>
        <v>Ativo</v>
      </c>
      <c r="E4161" s="10" t="str" cm="1">
        <f t="array" ref="E4161">IF(AND(A4161="2021-02", ISNA(MATCH(B4161, _xlfn._xlws.FILTER(B:B, A:A="2021-03"), 0))), "Left", "Ativo")</f>
        <v>Ativo</v>
      </c>
      <c r="F4161" s="12" t="str" cm="1">
        <f t="array" ref="F4161">IF(AND(A4161="2021-03", ISNA(MATCH(B4161, _xlfn._xlws.FILTER(B:B, A:A="2021-04"), 0))), "Left", "Ativo")</f>
        <v>Ativo</v>
      </c>
    </row>
    <row r="4162" spans="1:6" x14ac:dyDescent="0.25">
      <c r="A4162" t="s">
        <v>1532</v>
      </c>
      <c r="B4162" t="s">
        <v>251</v>
      </c>
      <c r="C4162" s="10" t="str" cm="1">
        <f t="array" ref="C4162">IF(AND(A4162="2020-12", ISNA(MATCH(B4162, _xlfn._xlws.FILTER(B:B, A:A="2021-01"), 0))), "Left", "Ativo")</f>
        <v>Ativo</v>
      </c>
      <c r="D4162" s="10" t="str" cm="1">
        <f t="array" ref="D4162">IF(AND(A4162="2021-01", ISNA(MATCH(B4162, _xlfn._xlws.FILTER(B:B, A:A="2021-02"), 0))), "Left", "Ativo")</f>
        <v>Ativo</v>
      </c>
      <c r="E4162" s="10" t="str" cm="1">
        <f t="array" ref="E4162">IF(AND(A4162="2021-02", ISNA(MATCH(B4162, _xlfn._xlws.FILTER(B:B, A:A="2021-03"), 0))), "Left", "Ativo")</f>
        <v>Ativo</v>
      </c>
      <c r="F4162" s="12" t="str" cm="1">
        <f t="array" ref="F4162">IF(AND(A4162="2021-03", ISNA(MATCH(B4162, _xlfn._xlws.FILTER(B:B, A:A="2021-04"), 0))), "Left", "Ativo")</f>
        <v>Ativo</v>
      </c>
    </row>
    <row r="4163" spans="1:6" x14ac:dyDescent="0.25">
      <c r="A4163" t="s">
        <v>1532</v>
      </c>
      <c r="B4163" t="s">
        <v>252</v>
      </c>
      <c r="C4163" s="10" t="str" cm="1">
        <f t="array" ref="C4163">IF(AND(A4163="2020-12", ISNA(MATCH(B4163, _xlfn._xlws.FILTER(B:B, A:A="2021-01"), 0))), "Left", "Ativo")</f>
        <v>Ativo</v>
      </c>
      <c r="D4163" s="10" t="str" cm="1">
        <f t="array" ref="D4163">IF(AND(A4163="2021-01", ISNA(MATCH(B4163, _xlfn._xlws.FILTER(B:B, A:A="2021-02"), 0))), "Left", "Ativo")</f>
        <v>Ativo</v>
      </c>
      <c r="E4163" s="10" t="str" cm="1">
        <f t="array" ref="E4163">IF(AND(A4163="2021-02", ISNA(MATCH(B4163, _xlfn._xlws.FILTER(B:B, A:A="2021-03"), 0))), "Left", "Ativo")</f>
        <v>Ativo</v>
      </c>
      <c r="F4163" s="12" t="str" cm="1">
        <f t="array" ref="F4163">IF(AND(A4163="2021-03", ISNA(MATCH(B4163, _xlfn._xlws.FILTER(B:B, A:A="2021-04"), 0))), "Left", "Ativo")</f>
        <v>Ativo</v>
      </c>
    </row>
    <row r="4164" spans="1:6" x14ac:dyDescent="0.25">
      <c r="A4164" t="s">
        <v>1532</v>
      </c>
      <c r="B4164" t="s">
        <v>253</v>
      </c>
      <c r="C4164" s="10" t="str" cm="1">
        <f t="array" ref="C4164">IF(AND(A4164="2020-12", ISNA(MATCH(B4164, _xlfn._xlws.FILTER(B:B, A:A="2021-01"), 0))), "Left", "Ativo")</f>
        <v>Ativo</v>
      </c>
      <c r="D4164" s="10" t="str" cm="1">
        <f t="array" ref="D4164">IF(AND(A4164="2021-01", ISNA(MATCH(B4164, _xlfn._xlws.FILTER(B:B, A:A="2021-02"), 0))), "Left", "Ativo")</f>
        <v>Ativo</v>
      </c>
      <c r="E4164" s="10" t="str" cm="1">
        <f t="array" ref="E4164">IF(AND(A4164="2021-02", ISNA(MATCH(B4164, _xlfn._xlws.FILTER(B:B, A:A="2021-03"), 0))), "Left", "Ativo")</f>
        <v>Ativo</v>
      </c>
      <c r="F4164" s="12" t="str" cm="1">
        <f t="array" ref="F4164">IF(AND(A4164="2021-03", ISNA(MATCH(B4164, _xlfn._xlws.FILTER(B:B, A:A="2021-04"), 0))), "Left", "Ativo")</f>
        <v>Ativo</v>
      </c>
    </row>
    <row r="4165" spans="1:6" x14ac:dyDescent="0.25">
      <c r="A4165" t="s">
        <v>1532</v>
      </c>
      <c r="B4165" t="s">
        <v>254</v>
      </c>
      <c r="C4165" s="10" t="str" cm="1">
        <f t="array" ref="C4165">IF(AND(A4165="2020-12", ISNA(MATCH(B4165, _xlfn._xlws.FILTER(B:B, A:A="2021-01"), 0))), "Left", "Ativo")</f>
        <v>Ativo</v>
      </c>
      <c r="D4165" s="10" t="str" cm="1">
        <f t="array" ref="D4165">IF(AND(A4165="2021-01", ISNA(MATCH(B4165, _xlfn._xlws.FILTER(B:B, A:A="2021-02"), 0))), "Left", "Ativo")</f>
        <v>Ativo</v>
      </c>
      <c r="E4165" s="10" t="str" cm="1">
        <f t="array" ref="E4165">IF(AND(A4165="2021-02", ISNA(MATCH(B4165, _xlfn._xlws.FILTER(B:B, A:A="2021-03"), 0))), "Left", "Ativo")</f>
        <v>Ativo</v>
      </c>
      <c r="F4165" s="12" t="str" cm="1">
        <f t="array" ref="F4165">IF(AND(A4165="2021-03", ISNA(MATCH(B4165, _xlfn._xlws.FILTER(B:B, A:A="2021-04"), 0))), "Left", "Ativo")</f>
        <v>Ativo</v>
      </c>
    </row>
    <row r="4166" spans="1:6" x14ac:dyDescent="0.25">
      <c r="A4166" t="s">
        <v>1532</v>
      </c>
      <c r="B4166" t="s">
        <v>255</v>
      </c>
      <c r="C4166" s="10" t="str" cm="1">
        <f t="array" ref="C4166">IF(AND(A4166="2020-12", ISNA(MATCH(B4166, _xlfn._xlws.FILTER(B:B, A:A="2021-01"), 0))), "Left", "Ativo")</f>
        <v>Ativo</v>
      </c>
      <c r="D4166" s="10" t="str" cm="1">
        <f t="array" ref="D4166">IF(AND(A4166="2021-01", ISNA(MATCH(B4166, _xlfn._xlws.FILTER(B:B, A:A="2021-02"), 0))), "Left", "Ativo")</f>
        <v>Ativo</v>
      </c>
      <c r="E4166" s="10" t="str" cm="1">
        <f t="array" ref="E4166">IF(AND(A4166="2021-02", ISNA(MATCH(B4166, _xlfn._xlws.FILTER(B:B, A:A="2021-03"), 0))), "Left", "Ativo")</f>
        <v>Ativo</v>
      </c>
      <c r="F4166" s="12" t="str" cm="1">
        <f t="array" ref="F4166">IF(AND(A4166="2021-03", ISNA(MATCH(B4166, _xlfn._xlws.FILTER(B:B, A:A="2021-04"), 0))), "Left", "Ativo")</f>
        <v>Ativo</v>
      </c>
    </row>
    <row r="4167" spans="1:6" x14ac:dyDescent="0.25">
      <c r="A4167" t="s">
        <v>1532</v>
      </c>
      <c r="B4167" t="s">
        <v>256</v>
      </c>
      <c r="C4167" s="10" t="str" cm="1">
        <f t="array" ref="C4167">IF(AND(A4167="2020-12", ISNA(MATCH(B4167, _xlfn._xlws.FILTER(B:B, A:A="2021-01"), 0))), "Left", "Ativo")</f>
        <v>Ativo</v>
      </c>
      <c r="D4167" s="10" t="str" cm="1">
        <f t="array" ref="D4167">IF(AND(A4167="2021-01", ISNA(MATCH(B4167, _xlfn._xlws.FILTER(B:B, A:A="2021-02"), 0))), "Left", "Ativo")</f>
        <v>Ativo</v>
      </c>
      <c r="E4167" s="10" t="str" cm="1">
        <f t="array" ref="E4167">IF(AND(A4167="2021-02", ISNA(MATCH(B4167, _xlfn._xlws.FILTER(B:B, A:A="2021-03"), 0))), "Left", "Ativo")</f>
        <v>Ativo</v>
      </c>
      <c r="F4167" s="12" t="str" cm="1">
        <f t="array" ref="F4167">IF(AND(A4167="2021-03", ISNA(MATCH(B4167, _xlfn._xlws.FILTER(B:B, A:A="2021-04"), 0))), "Left", "Ativo")</f>
        <v>Ativo</v>
      </c>
    </row>
    <row r="4168" spans="1:6" x14ac:dyDescent="0.25">
      <c r="A4168" t="s">
        <v>1532</v>
      </c>
      <c r="B4168" t="s">
        <v>257</v>
      </c>
      <c r="C4168" s="10" t="str" cm="1">
        <f t="array" ref="C4168">IF(AND(A4168="2020-12", ISNA(MATCH(B4168, _xlfn._xlws.FILTER(B:B, A:A="2021-01"), 0))), "Left", "Ativo")</f>
        <v>Ativo</v>
      </c>
      <c r="D4168" s="10" t="str" cm="1">
        <f t="array" ref="D4168">IF(AND(A4168="2021-01", ISNA(MATCH(B4168, _xlfn._xlws.FILTER(B:B, A:A="2021-02"), 0))), "Left", "Ativo")</f>
        <v>Ativo</v>
      </c>
      <c r="E4168" s="10" t="str" cm="1">
        <f t="array" ref="E4168">IF(AND(A4168="2021-02", ISNA(MATCH(B4168, _xlfn._xlws.FILTER(B:B, A:A="2021-03"), 0))), "Left", "Ativo")</f>
        <v>Ativo</v>
      </c>
      <c r="F4168" s="12" t="str" cm="1">
        <f t="array" ref="F4168">IF(AND(A4168="2021-03", ISNA(MATCH(B4168, _xlfn._xlws.FILTER(B:B, A:A="2021-04"), 0))), "Left", "Ativo")</f>
        <v>Ativo</v>
      </c>
    </row>
    <row r="4169" spans="1:6" x14ac:dyDescent="0.25">
      <c r="A4169" t="s">
        <v>1532</v>
      </c>
      <c r="B4169" t="s">
        <v>258</v>
      </c>
      <c r="C4169" s="10" t="str" cm="1">
        <f t="array" ref="C4169">IF(AND(A4169="2020-12", ISNA(MATCH(B4169, _xlfn._xlws.FILTER(B:B, A:A="2021-01"), 0))), "Left", "Ativo")</f>
        <v>Ativo</v>
      </c>
      <c r="D4169" s="10" t="str" cm="1">
        <f t="array" ref="D4169">IF(AND(A4169="2021-01", ISNA(MATCH(B4169, _xlfn._xlws.FILTER(B:B, A:A="2021-02"), 0))), "Left", "Ativo")</f>
        <v>Ativo</v>
      </c>
      <c r="E4169" s="10" t="str" cm="1">
        <f t="array" ref="E4169">IF(AND(A4169="2021-02", ISNA(MATCH(B4169, _xlfn._xlws.FILTER(B:B, A:A="2021-03"), 0))), "Left", "Ativo")</f>
        <v>Ativo</v>
      </c>
      <c r="F4169" s="12" t="str" cm="1">
        <f t="array" ref="F4169">IF(AND(A4169="2021-03", ISNA(MATCH(B4169, _xlfn._xlws.FILTER(B:B, A:A="2021-04"), 0))), "Left", "Ativo")</f>
        <v>Ativo</v>
      </c>
    </row>
    <row r="4170" spans="1:6" x14ac:dyDescent="0.25">
      <c r="A4170" t="s">
        <v>1532</v>
      </c>
      <c r="B4170" t="s">
        <v>259</v>
      </c>
      <c r="C4170" s="10" t="str" cm="1">
        <f t="array" ref="C4170">IF(AND(A4170="2020-12", ISNA(MATCH(B4170, _xlfn._xlws.FILTER(B:B, A:A="2021-01"), 0))), "Left", "Ativo")</f>
        <v>Ativo</v>
      </c>
      <c r="D4170" s="10" t="str" cm="1">
        <f t="array" ref="D4170">IF(AND(A4170="2021-01", ISNA(MATCH(B4170, _xlfn._xlws.FILTER(B:B, A:A="2021-02"), 0))), "Left", "Ativo")</f>
        <v>Ativo</v>
      </c>
      <c r="E4170" s="10" t="str" cm="1">
        <f t="array" ref="E4170">IF(AND(A4170="2021-02", ISNA(MATCH(B4170, _xlfn._xlws.FILTER(B:B, A:A="2021-03"), 0))), "Left", "Ativo")</f>
        <v>Ativo</v>
      </c>
      <c r="F4170" s="12" t="str" cm="1">
        <f t="array" ref="F4170">IF(AND(A4170="2021-03", ISNA(MATCH(B4170, _xlfn._xlws.FILTER(B:B, A:A="2021-04"), 0))), "Left", "Ativo")</f>
        <v>Ativo</v>
      </c>
    </row>
    <row r="4171" spans="1:6" x14ac:dyDescent="0.25">
      <c r="A4171" t="s">
        <v>1532</v>
      </c>
      <c r="B4171" t="s">
        <v>260</v>
      </c>
      <c r="C4171" s="10" t="str" cm="1">
        <f t="array" ref="C4171">IF(AND(A4171="2020-12", ISNA(MATCH(B4171, _xlfn._xlws.FILTER(B:B, A:A="2021-01"), 0))), "Left", "Ativo")</f>
        <v>Ativo</v>
      </c>
      <c r="D4171" s="10" t="str" cm="1">
        <f t="array" ref="D4171">IF(AND(A4171="2021-01", ISNA(MATCH(B4171, _xlfn._xlws.FILTER(B:B, A:A="2021-02"), 0))), "Left", "Ativo")</f>
        <v>Ativo</v>
      </c>
      <c r="E4171" s="10" t="str" cm="1">
        <f t="array" ref="E4171">IF(AND(A4171="2021-02", ISNA(MATCH(B4171, _xlfn._xlws.FILTER(B:B, A:A="2021-03"), 0))), "Left", "Ativo")</f>
        <v>Ativo</v>
      </c>
      <c r="F4171" s="12" t="str" cm="1">
        <f t="array" ref="F4171">IF(AND(A4171="2021-03", ISNA(MATCH(B4171, _xlfn._xlws.FILTER(B:B, A:A="2021-04"), 0))), "Left", "Ativo")</f>
        <v>Ativo</v>
      </c>
    </row>
    <row r="4172" spans="1:6" x14ac:dyDescent="0.25">
      <c r="A4172" t="s">
        <v>1532</v>
      </c>
      <c r="B4172" t="s">
        <v>261</v>
      </c>
      <c r="C4172" s="10" t="str" cm="1">
        <f t="array" ref="C4172">IF(AND(A4172="2020-12", ISNA(MATCH(B4172, _xlfn._xlws.FILTER(B:B, A:A="2021-01"), 0))), "Left", "Ativo")</f>
        <v>Ativo</v>
      </c>
      <c r="D4172" s="10" t="str" cm="1">
        <f t="array" ref="D4172">IF(AND(A4172="2021-01", ISNA(MATCH(B4172, _xlfn._xlws.FILTER(B:B, A:A="2021-02"), 0))), "Left", "Ativo")</f>
        <v>Ativo</v>
      </c>
      <c r="E4172" s="10" t="str" cm="1">
        <f t="array" ref="E4172">IF(AND(A4172="2021-02", ISNA(MATCH(B4172, _xlfn._xlws.FILTER(B:B, A:A="2021-03"), 0))), "Left", "Ativo")</f>
        <v>Ativo</v>
      </c>
      <c r="F4172" s="12" t="str" cm="1">
        <f t="array" ref="F4172">IF(AND(A4172="2021-03", ISNA(MATCH(B4172, _xlfn._xlws.FILTER(B:B, A:A="2021-04"), 0))), "Left", "Ativo")</f>
        <v>Ativo</v>
      </c>
    </row>
    <row r="4173" spans="1:6" x14ac:dyDescent="0.25">
      <c r="A4173" t="s">
        <v>1532</v>
      </c>
      <c r="B4173" t="s">
        <v>262</v>
      </c>
      <c r="C4173" s="10" t="str" cm="1">
        <f t="array" ref="C4173">IF(AND(A4173="2020-12", ISNA(MATCH(B4173, _xlfn._xlws.FILTER(B:B, A:A="2021-01"), 0))), "Left", "Ativo")</f>
        <v>Ativo</v>
      </c>
      <c r="D4173" s="10" t="str" cm="1">
        <f t="array" ref="D4173">IF(AND(A4173="2021-01", ISNA(MATCH(B4173, _xlfn._xlws.FILTER(B:B, A:A="2021-02"), 0))), "Left", "Ativo")</f>
        <v>Ativo</v>
      </c>
      <c r="E4173" s="10" t="str" cm="1">
        <f t="array" ref="E4173">IF(AND(A4173="2021-02", ISNA(MATCH(B4173, _xlfn._xlws.FILTER(B:B, A:A="2021-03"), 0))), "Left", "Ativo")</f>
        <v>Ativo</v>
      </c>
      <c r="F4173" s="12" t="str" cm="1">
        <f t="array" ref="F4173">IF(AND(A4173="2021-03", ISNA(MATCH(B4173, _xlfn._xlws.FILTER(B:B, A:A="2021-04"), 0))), "Left", "Ativo")</f>
        <v>Ativo</v>
      </c>
    </row>
    <row r="4174" spans="1:6" x14ac:dyDescent="0.25">
      <c r="A4174" t="s">
        <v>1532</v>
      </c>
      <c r="B4174" t="s">
        <v>263</v>
      </c>
      <c r="C4174" s="10" t="str" cm="1">
        <f t="array" ref="C4174">IF(AND(A4174="2020-12", ISNA(MATCH(B4174, _xlfn._xlws.FILTER(B:B, A:A="2021-01"), 0))), "Left", "Ativo")</f>
        <v>Ativo</v>
      </c>
      <c r="D4174" s="10" t="str" cm="1">
        <f t="array" ref="D4174">IF(AND(A4174="2021-01", ISNA(MATCH(B4174, _xlfn._xlws.FILTER(B:B, A:A="2021-02"), 0))), "Left", "Ativo")</f>
        <v>Ativo</v>
      </c>
      <c r="E4174" s="10" t="str" cm="1">
        <f t="array" ref="E4174">IF(AND(A4174="2021-02", ISNA(MATCH(B4174, _xlfn._xlws.FILTER(B:B, A:A="2021-03"), 0))), "Left", "Ativo")</f>
        <v>Ativo</v>
      </c>
      <c r="F4174" s="12" t="str" cm="1">
        <f t="array" ref="F4174">IF(AND(A4174="2021-03", ISNA(MATCH(B4174, _xlfn._xlws.FILTER(B:B, A:A="2021-04"), 0))), "Left", "Ativo")</f>
        <v>Ativo</v>
      </c>
    </row>
    <row r="4175" spans="1:6" x14ac:dyDescent="0.25">
      <c r="A4175" t="s">
        <v>1532</v>
      </c>
      <c r="B4175" t="s">
        <v>264</v>
      </c>
      <c r="C4175" s="10" t="str" cm="1">
        <f t="array" ref="C4175">IF(AND(A4175="2020-12", ISNA(MATCH(B4175, _xlfn._xlws.FILTER(B:B, A:A="2021-01"), 0))), "Left", "Ativo")</f>
        <v>Ativo</v>
      </c>
      <c r="D4175" s="10" t="str" cm="1">
        <f t="array" ref="D4175">IF(AND(A4175="2021-01", ISNA(MATCH(B4175, _xlfn._xlws.FILTER(B:B, A:A="2021-02"), 0))), "Left", "Ativo")</f>
        <v>Ativo</v>
      </c>
      <c r="E4175" s="10" t="str" cm="1">
        <f t="array" ref="E4175">IF(AND(A4175="2021-02", ISNA(MATCH(B4175, _xlfn._xlws.FILTER(B:B, A:A="2021-03"), 0))), "Left", "Ativo")</f>
        <v>Ativo</v>
      </c>
      <c r="F4175" s="12" t="str" cm="1">
        <f t="array" ref="F4175">IF(AND(A4175="2021-03", ISNA(MATCH(B4175, _xlfn._xlws.FILTER(B:B, A:A="2021-04"), 0))), "Left", "Ativo")</f>
        <v>Ativo</v>
      </c>
    </row>
    <row r="4176" spans="1:6" x14ac:dyDescent="0.25">
      <c r="A4176" t="s">
        <v>1532</v>
      </c>
      <c r="B4176" t="s">
        <v>265</v>
      </c>
      <c r="C4176" s="10" t="str" cm="1">
        <f t="array" ref="C4176">IF(AND(A4176="2020-12", ISNA(MATCH(B4176, _xlfn._xlws.FILTER(B:B, A:A="2021-01"), 0))), "Left", "Ativo")</f>
        <v>Ativo</v>
      </c>
      <c r="D4176" s="10" t="str" cm="1">
        <f t="array" ref="D4176">IF(AND(A4176="2021-01", ISNA(MATCH(B4176, _xlfn._xlws.FILTER(B:B, A:A="2021-02"), 0))), "Left", "Ativo")</f>
        <v>Ativo</v>
      </c>
      <c r="E4176" s="10" t="str" cm="1">
        <f t="array" ref="E4176">IF(AND(A4176="2021-02", ISNA(MATCH(B4176, _xlfn._xlws.FILTER(B:B, A:A="2021-03"), 0))), "Left", "Ativo")</f>
        <v>Ativo</v>
      </c>
      <c r="F4176" s="12" t="str" cm="1">
        <f t="array" ref="F4176">IF(AND(A4176="2021-03", ISNA(MATCH(B4176, _xlfn._xlws.FILTER(B:B, A:A="2021-04"), 0))), "Left", "Ativo")</f>
        <v>Ativo</v>
      </c>
    </row>
    <row r="4177" spans="1:6" x14ac:dyDescent="0.25">
      <c r="A4177" t="s">
        <v>1532</v>
      </c>
      <c r="B4177" t="s">
        <v>266</v>
      </c>
      <c r="C4177" s="10" t="str" cm="1">
        <f t="array" ref="C4177">IF(AND(A4177="2020-12", ISNA(MATCH(B4177, _xlfn._xlws.FILTER(B:B, A:A="2021-01"), 0))), "Left", "Ativo")</f>
        <v>Ativo</v>
      </c>
      <c r="D4177" s="10" t="str" cm="1">
        <f t="array" ref="D4177">IF(AND(A4177="2021-01", ISNA(MATCH(B4177, _xlfn._xlws.FILTER(B:B, A:A="2021-02"), 0))), "Left", "Ativo")</f>
        <v>Ativo</v>
      </c>
      <c r="E4177" s="10" t="str" cm="1">
        <f t="array" ref="E4177">IF(AND(A4177="2021-02", ISNA(MATCH(B4177, _xlfn._xlws.FILTER(B:B, A:A="2021-03"), 0))), "Left", "Ativo")</f>
        <v>Ativo</v>
      </c>
      <c r="F4177" s="12" t="str" cm="1">
        <f t="array" ref="F4177">IF(AND(A4177="2021-03", ISNA(MATCH(B4177, _xlfn._xlws.FILTER(B:B, A:A="2021-04"), 0))), "Left", "Ativo")</f>
        <v>Ativo</v>
      </c>
    </row>
    <row r="4178" spans="1:6" x14ac:dyDescent="0.25">
      <c r="A4178" t="s">
        <v>1532</v>
      </c>
      <c r="B4178" t="s">
        <v>267</v>
      </c>
      <c r="C4178" s="10" t="str" cm="1">
        <f t="array" ref="C4178">IF(AND(A4178="2020-12", ISNA(MATCH(B4178, _xlfn._xlws.FILTER(B:B, A:A="2021-01"), 0))), "Left", "Ativo")</f>
        <v>Ativo</v>
      </c>
      <c r="D4178" s="10" t="str" cm="1">
        <f t="array" ref="D4178">IF(AND(A4178="2021-01", ISNA(MATCH(B4178, _xlfn._xlws.FILTER(B:B, A:A="2021-02"), 0))), "Left", "Ativo")</f>
        <v>Ativo</v>
      </c>
      <c r="E4178" s="10" t="str" cm="1">
        <f t="array" ref="E4178">IF(AND(A4178="2021-02", ISNA(MATCH(B4178, _xlfn._xlws.FILTER(B:B, A:A="2021-03"), 0))), "Left", "Ativo")</f>
        <v>Ativo</v>
      </c>
      <c r="F4178" s="12" t="str" cm="1">
        <f t="array" ref="F4178">IF(AND(A4178="2021-03", ISNA(MATCH(B4178, _xlfn._xlws.FILTER(B:B, A:A="2021-04"), 0))), "Left", "Ativo")</f>
        <v>Ativo</v>
      </c>
    </row>
    <row r="4179" spans="1:6" x14ac:dyDescent="0.25">
      <c r="A4179" t="s">
        <v>1532</v>
      </c>
      <c r="B4179" t="s">
        <v>270</v>
      </c>
      <c r="C4179" s="10" t="str" cm="1">
        <f t="array" ref="C4179">IF(AND(A4179="2020-12", ISNA(MATCH(B4179, _xlfn._xlws.FILTER(B:B, A:A="2021-01"), 0))), "Left", "Ativo")</f>
        <v>Ativo</v>
      </c>
      <c r="D4179" s="10" t="str" cm="1">
        <f t="array" ref="D4179">IF(AND(A4179="2021-01", ISNA(MATCH(B4179, _xlfn._xlws.FILTER(B:B, A:A="2021-02"), 0))), "Left", "Ativo")</f>
        <v>Ativo</v>
      </c>
      <c r="E4179" s="10" t="str" cm="1">
        <f t="array" ref="E4179">IF(AND(A4179="2021-02", ISNA(MATCH(B4179, _xlfn._xlws.FILTER(B:B, A:A="2021-03"), 0))), "Left", "Ativo")</f>
        <v>Ativo</v>
      </c>
      <c r="F4179" s="12" t="str" cm="1">
        <f t="array" ref="F4179">IF(AND(A4179="2021-03", ISNA(MATCH(B4179, _xlfn._xlws.FILTER(B:B, A:A="2021-04"), 0))), "Left", "Ativo")</f>
        <v>Ativo</v>
      </c>
    </row>
    <row r="4180" spans="1:6" x14ac:dyDescent="0.25">
      <c r="A4180" t="s">
        <v>1532</v>
      </c>
      <c r="B4180" t="s">
        <v>271</v>
      </c>
      <c r="C4180" s="10" t="str" cm="1">
        <f t="array" ref="C4180">IF(AND(A4180="2020-12", ISNA(MATCH(B4180, _xlfn._xlws.FILTER(B:B, A:A="2021-01"), 0))), "Left", "Ativo")</f>
        <v>Ativo</v>
      </c>
      <c r="D4180" s="10" t="str" cm="1">
        <f t="array" ref="D4180">IF(AND(A4180="2021-01", ISNA(MATCH(B4180, _xlfn._xlws.FILTER(B:B, A:A="2021-02"), 0))), "Left", "Ativo")</f>
        <v>Ativo</v>
      </c>
      <c r="E4180" s="10" t="str" cm="1">
        <f t="array" ref="E4180">IF(AND(A4180="2021-02", ISNA(MATCH(B4180, _xlfn._xlws.FILTER(B:B, A:A="2021-03"), 0))), "Left", "Ativo")</f>
        <v>Ativo</v>
      </c>
      <c r="F4180" s="12" t="str" cm="1">
        <f t="array" ref="F4180">IF(AND(A4180="2021-03", ISNA(MATCH(B4180, _xlfn._xlws.FILTER(B:B, A:A="2021-04"), 0))), "Left", "Ativo")</f>
        <v>Ativo</v>
      </c>
    </row>
    <row r="4181" spans="1:6" x14ac:dyDescent="0.25">
      <c r="A4181" t="s">
        <v>1532</v>
      </c>
      <c r="B4181" t="s">
        <v>273</v>
      </c>
      <c r="C4181" s="10" t="str" cm="1">
        <f t="array" ref="C4181">IF(AND(A4181="2020-12", ISNA(MATCH(B4181, _xlfn._xlws.FILTER(B:B, A:A="2021-01"), 0))), "Left", "Ativo")</f>
        <v>Ativo</v>
      </c>
      <c r="D4181" s="10" t="str" cm="1">
        <f t="array" ref="D4181">IF(AND(A4181="2021-01", ISNA(MATCH(B4181, _xlfn._xlws.FILTER(B:B, A:A="2021-02"), 0))), "Left", "Ativo")</f>
        <v>Ativo</v>
      </c>
      <c r="E4181" s="10" t="str" cm="1">
        <f t="array" ref="E4181">IF(AND(A4181="2021-02", ISNA(MATCH(B4181, _xlfn._xlws.FILTER(B:B, A:A="2021-03"), 0))), "Left", "Ativo")</f>
        <v>Ativo</v>
      </c>
      <c r="F4181" s="12" t="str" cm="1">
        <f t="array" ref="F4181">IF(AND(A4181="2021-03", ISNA(MATCH(B4181, _xlfn._xlws.FILTER(B:B, A:A="2021-04"), 0))), "Left", "Ativo")</f>
        <v>Ativo</v>
      </c>
    </row>
    <row r="4182" spans="1:6" x14ac:dyDescent="0.25">
      <c r="A4182" t="s">
        <v>1532</v>
      </c>
      <c r="B4182" t="s">
        <v>274</v>
      </c>
      <c r="C4182" s="10" t="str" cm="1">
        <f t="array" ref="C4182">IF(AND(A4182="2020-12", ISNA(MATCH(B4182, _xlfn._xlws.FILTER(B:B, A:A="2021-01"), 0))), "Left", "Ativo")</f>
        <v>Ativo</v>
      </c>
      <c r="D4182" s="10" t="str" cm="1">
        <f t="array" ref="D4182">IF(AND(A4182="2021-01", ISNA(MATCH(B4182, _xlfn._xlws.FILTER(B:B, A:A="2021-02"), 0))), "Left", "Ativo")</f>
        <v>Ativo</v>
      </c>
      <c r="E4182" s="10" t="str" cm="1">
        <f t="array" ref="E4182">IF(AND(A4182="2021-02", ISNA(MATCH(B4182, _xlfn._xlws.FILTER(B:B, A:A="2021-03"), 0))), "Left", "Ativo")</f>
        <v>Ativo</v>
      </c>
      <c r="F4182" s="12" t="str" cm="1">
        <f t="array" ref="F4182">IF(AND(A4182="2021-03", ISNA(MATCH(B4182, _xlfn._xlws.FILTER(B:B, A:A="2021-04"), 0))), "Left", "Ativo")</f>
        <v>Ativo</v>
      </c>
    </row>
    <row r="4183" spans="1:6" x14ac:dyDescent="0.25">
      <c r="A4183" t="s">
        <v>1532</v>
      </c>
      <c r="B4183" t="s">
        <v>275</v>
      </c>
      <c r="C4183" s="10" t="str" cm="1">
        <f t="array" ref="C4183">IF(AND(A4183="2020-12", ISNA(MATCH(B4183, _xlfn._xlws.FILTER(B:B, A:A="2021-01"), 0))), "Left", "Ativo")</f>
        <v>Ativo</v>
      </c>
      <c r="D4183" s="10" t="str" cm="1">
        <f t="array" ref="D4183">IF(AND(A4183="2021-01", ISNA(MATCH(B4183, _xlfn._xlws.FILTER(B:B, A:A="2021-02"), 0))), "Left", "Ativo")</f>
        <v>Ativo</v>
      </c>
      <c r="E4183" s="10" t="str" cm="1">
        <f t="array" ref="E4183">IF(AND(A4183="2021-02", ISNA(MATCH(B4183, _xlfn._xlws.FILTER(B:B, A:A="2021-03"), 0))), "Left", "Ativo")</f>
        <v>Ativo</v>
      </c>
      <c r="F4183" s="12" t="str" cm="1">
        <f t="array" ref="F4183">IF(AND(A4183="2021-03", ISNA(MATCH(B4183, _xlfn._xlws.FILTER(B:B, A:A="2021-04"), 0))), "Left", "Ativo")</f>
        <v>Ativo</v>
      </c>
    </row>
    <row r="4184" spans="1:6" x14ac:dyDescent="0.25">
      <c r="A4184" t="s">
        <v>1532</v>
      </c>
      <c r="B4184" t="s">
        <v>276</v>
      </c>
      <c r="C4184" s="10" t="str" cm="1">
        <f t="array" ref="C4184">IF(AND(A4184="2020-12", ISNA(MATCH(B4184, _xlfn._xlws.FILTER(B:B, A:A="2021-01"), 0))), "Left", "Ativo")</f>
        <v>Ativo</v>
      </c>
      <c r="D4184" s="10" t="str" cm="1">
        <f t="array" ref="D4184">IF(AND(A4184="2021-01", ISNA(MATCH(B4184, _xlfn._xlws.FILTER(B:B, A:A="2021-02"), 0))), "Left", "Ativo")</f>
        <v>Ativo</v>
      </c>
      <c r="E4184" s="10" t="str" cm="1">
        <f t="array" ref="E4184">IF(AND(A4184="2021-02", ISNA(MATCH(B4184, _xlfn._xlws.FILTER(B:B, A:A="2021-03"), 0))), "Left", "Ativo")</f>
        <v>Ativo</v>
      </c>
      <c r="F4184" s="12" t="str" cm="1">
        <f t="array" ref="F4184">IF(AND(A4184="2021-03", ISNA(MATCH(B4184, _xlfn._xlws.FILTER(B:B, A:A="2021-04"), 0))), "Left", "Ativo")</f>
        <v>Ativo</v>
      </c>
    </row>
    <row r="4185" spans="1:6" x14ac:dyDescent="0.25">
      <c r="A4185" t="s">
        <v>1532</v>
      </c>
      <c r="B4185" t="s">
        <v>277</v>
      </c>
      <c r="C4185" s="10" t="str" cm="1">
        <f t="array" ref="C4185">IF(AND(A4185="2020-12", ISNA(MATCH(B4185, _xlfn._xlws.FILTER(B:B, A:A="2021-01"), 0))), "Left", "Ativo")</f>
        <v>Ativo</v>
      </c>
      <c r="D4185" s="10" t="str" cm="1">
        <f t="array" ref="D4185">IF(AND(A4185="2021-01", ISNA(MATCH(B4185, _xlfn._xlws.FILTER(B:B, A:A="2021-02"), 0))), "Left", "Ativo")</f>
        <v>Ativo</v>
      </c>
      <c r="E4185" s="10" t="str" cm="1">
        <f t="array" ref="E4185">IF(AND(A4185="2021-02", ISNA(MATCH(B4185, _xlfn._xlws.FILTER(B:B, A:A="2021-03"), 0))), "Left", "Ativo")</f>
        <v>Ativo</v>
      </c>
      <c r="F4185" s="12" t="str" cm="1">
        <f t="array" ref="F4185">IF(AND(A4185="2021-03", ISNA(MATCH(B4185, _xlfn._xlws.FILTER(B:B, A:A="2021-04"), 0))), "Left", "Ativo")</f>
        <v>Ativo</v>
      </c>
    </row>
    <row r="4186" spans="1:6" x14ac:dyDescent="0.25">
      <c r="A4186" t="s">
        <v>1532</v>
      </c>
      <c r="B4186" t="s">
        <v>278</v>
      </c>
      <c r="C4186" s="10" t="str" cm="1">
        <f t="array" ref="C4186">IF(AND(A4186="2020-12", ISNA(MATCH(B4186, _xlfn._xlws.FILTER(B:B, A:A="2021-01"), 0))), "Left", "Ativo")</f>
        <v>Ativo</v>
      </c>
      <c r="D4186" s="10" t="str" cm="1">
        <f t="array" ref="D4186">IF(AND(A4186="2021-01", ISNA(MATCH(B4186, _xlfn._xlws.FILTER(B:B, A:A="2021-02"), 0))), "Left", "Ativo")</f>
        <v>Ativo</v>
      </c>
      <c r="E4186" s="10" t="str" cm="1">
        <f t="array" ref="E4186">IF(AND(A4186="2021-02", ISNA(MATCH(B4186, _xlfn._xlws.FILTER(B:B, A:A="2021-03"), 0))), "Left", "Ativo")</f>
        <v>Ativo</v>
      </c>
      <c r="F4186" s="12" t="str" cm="1">
        <f t="array" ref="F4186">IF(AND(A4186="2021-03", ISNA(MATCH(B4186, _xlfn._xlws.FILTER(B:B, A:A="2021-04"), 0))), "Left", "Ativo")</f>
        <v>Ativo</v>
      </c>
    </row>
    <row r="4187" spans="1:6" x14ac:dyDescent="0.25">
      <c r="A4187" t="s">
        <v>1532</v>
      </c>
      <c r="B4187" t="s">
        <v>279</v>
      </c>
      <c r="C4187" s="10" t="str" cm="1">
        <f t="array" ref="C4187">IF(AND(A4187="2020-12", ISNA(MATCH(B4187, _xlfn._xlws.FILTER(B:B, A:A="2021-01"), 0))), "Left", "Ativo")</f>
        <v>Ativo</v>
      </c>
      <c r="D4187" s="10" t="str" cm="1">
        <f t="array" ref="D4187">IF(AND(A4187="2021-01", ISNA(MATCH(B4187, _xlfn._xlws.FILTER(B:B, A:A="2021-02"), 0))), "Left", "Ativo")</f>
        <v>Ativo</v>
      </c>
      <c r="E4187" s="10" t="str" cm="1">
        <f t="array" ref="E4187">IF(AND(A4187="2021-02", ISNA(MATCH(B4187, _xlfn._xlws.FILTER(B:B, A:A="2021-03"), 0))), "Left", "Ativo")</f>
        <v>Ativo</v>
      </c>
      <c r="F4187" s="12" t="str" cm="1">
        <f t="array" ref="F4187">IF(AND(A4187="2021-03", ISNA(MATCH(B4187, _xlfn._xlws.FILTER(B:B, A:A="2021-04"), 0))), "Left", "Ativo")</f>
        <v>Ativo</v>
      </c>
    </row>
    <row r="4188" spans="1:6" x14ac:dyDescent="0.25">
      <c r="A4188" t="s">
        <v>1532</v>
      </c>
      <c r="B4188" t="s">
        <v>280</v>
      </c>
      <c r="C4188" s="10" t="str" cm="1">
        <f t="array" ref="C4188">IF(AND(A4188="2020-12", ISNA(MATCH(B4188, _xlfn._xlws.FILTER(B:B, A:A="2021-01"), 0))), "Left", "Ativo")</f>
        <v>Ativo</v>
      </c>
      <c r="D4188" s="10" t="str" cm="1">
        <f t="array" ref="D4188">IF(AND(A4188="2021-01", ISNA(MATCH(B4188, _xlfn._xlws.FILTER(B:B, A:A="2021-02"), 0))), "Left", "Ativo")</f>
        <v>Ativo</v>
      </c>
      <c r="E4188" s="10" t="str" cm="1">
        <f t="array" ref="E4188">IF(AND(A4188="2021-02", ISNA(MATCH(B4188, _xlfn._xlws.FILTER(B:B, A:A="2021-03"), 0))), "Left", "Ativo")</f>
        <v>Ativo</v>
      </c>
      <c r="F4188" s="12" t="str" cm="1">
        <f t="array" ref="F4188">IF(AND(A4188="2021-03", ISNA(MATCH(B4188, _xlfn._xlws.FILTER(B:B, A:A="2021-04"), 0))), "Left", "Ativo")</f>
        <v>Ativo</v>
      </c>
    </row>
    <row r="4189" spans="1:6" x14ac:dyDescent="0.25">
      <c r="A4189" t="s">
        <v>1532</v>
      </c>
      <c r="B4189" t="s">
        <v>281</v>
      </c>
      <c r="C4189" s="10" t="str" cm="1">
        <f t="array" ref="C4189">IF(AND(A4189="2020-12", ISNA(MATCH(B4189, _xlfn._xlws.FILTER(B:B, A:A="2021-01"), 0))), "Left", "Ativo")</f>
        <v>Ativo</v>
      </c>
      <c r="D4189" s="10" t="str" cm="1">
        <f t="array" ref="D4189">IF(AND(A4189="2021-01", ISNA(MATCH(B4189, _xlfn._xlws.FILTER(B:B, A:A="2021-02"), 0))), "Left", "Ativo")</f>
        <v>Ativo</v>
      </c>
      <c r="E4189" s="10" t="str" cm="1">
        <f t="array" ref="E4189">IF(AND(A4189="2021-02", ISNA(MATCH(B4189, _xlfn._xlws.FILTER(B:B, A:A="2021-03"), 0))), "Left", "Ativo")</f>
        <v>Ativo</v>
      </c>
      <c r="F4189" s="12" t="str" cm="1">
        <f t="array" ref="F4189">IF(AND(A4189="2021-03", ISNA(MATCH(B4189, _xlfn._xlws.FILTER(B:B, A:A="2021-04"), 0))), "Left", "Ativo")</f>
        <v>Ativo</v>
      </c>
    </row>
    <row r="4190" spans="1:6" x14ac:dyDescent="0.25">
      <c r="A4190" t="s">
        <v>1532</v>
      </c>
      <c r="B4190" t="s">
        <v>282</v>
      </c>
      <c r="C4190" s="10" t="str" cm="1">
        <f t="array" ref="C4190">IF(AND(A4190="2020-12", ISNA(MATCH(B4190, _xlfn._xlws.FILTER(B:B, A:A="2021-01"), 0))), "Left", "Ativo")</f>
        <v>Ativo</v>
      </c>
      <c r="D4190" s="10" t="str" cm="1">
        <f t="array" ref="D4190">IF(AND(A4190="2021-01", ISNA(MATCH(B4190, _xlfn._xlws.FILTER(B:B, A:A="2021-02"), 0))), "Left", "Ativo")</f>
        <v>Ativo</v>
      </c>
      <c r="E4190" s="10" t="str" cm="1">
        <f t="array" ref="E4190">IF(AND(A4190="2021-02", ISNA(MATCH(B4190, _xlfn._xlws.FILTER(B:B, A:A="2021-03"), 0))), "Left", "Ativo")</f>
        <v>Ativo</v>
      </c>
      <c r="F4190" s="12" t="str" cm="1">
        <f t="array" ref="F4190">IF(AND(A4190="2021-03", ISNA(MATCH(B4190, _xlfn._xlws.FILTER(B:B, A:A="2021-04"), 0))), "Left", "Ativo")</f>
        <v>Ativo</v>
      </c>
    </row>
    <row r="4191" spans="1:6" x14ac:dyDescent="0.25">
      <c r="A4191" t="s">
        <v>1532</v>
      </c>
      <c r="B4191" t="s">
        <v>283</v>
      </c>
      <c r="C4191" s="10" t="str" cm="1">
        <f t="array" ref="C4191">IF(AND(A4191="2020-12", ISNA(MATCH(B4191, _xlfn._xlws.FILTER(B:B, A:A="2021-01"), 0))), "Left", "Ativo")</f>
        <v>Ativo</v>
      </c>
      <c r="D4191" s="10" t="str" cm="1">
        <f t="array" ref="D4191">IF(AND(A4191="2021-01", ISNA(MATCH(B4191, _xlfn._xlws.FILTER(B:B, A:A="2021-02"), 0))), "Left", "Ativo")</f>
        <v>Ativo</v>
      </c>
      <c r="E4191" s="10" t="str" cm="1">
        <f t="array" ref="E4191">IF(AND(A4191="2021-02", ISNA(MATCH(B4191, _xlfn._xlws.FILTER(B:B, A:A="2021-03"), 0))), "Left", "Ativo")</f>
        <v>Ativo</v>
      </c>
      <c r="F4191" s="12" t="str" cm="1">
        <f t="array" ref="F4191">IF(AND(A4191="2021-03", ISNA(MATCH(B4191, _xlfn._xlws.FILTER(B:B, A:A="2021-04"), 0))), "Left", "Ativo")</f>
        <v>Ativo</v>
      </c>
    </row>
    <row r="4192" spans="1:6" x14ac:dyDescent="0.25">
      <c r="A4192" t="s">
        <v>1532</v>
      </c>
      <c r="B4192" t="s">
        <v>284</v>
      </c>
      <c r="C4192" s="10" t="str" cm="1">
        <f t="array" ref="C4192">IF(AND(A4192="2020-12", ISNA(MATCH(B4192, _xlfn._xlws.FILTER(B:B, A:A="2021-01"), 0))), "Left", "Ativo")</f>
        <v>Ativo</v>
      </c>
      <c r="D4192" s="10" t="str" cm="1">
        <f t="array" ref="D4192">IF(AND(A4192="2021-01", ISNA(MATCH(B4192, _xlfn._xlws.FILTER(B:B, A:A="2021-02"), 0))), "Left", "Ativo")</f>
        <v>Ativo</v>
      </c>
      <c r="E4192" s="10" t="str" cm="1">
        <f t="array" ref="E4192">IF(AND(A4192="2021-02", ISNA(MATCH(B4192, _xlfn._xlws.FILTER(B:B, A:A="2021-03"), 0))), "Left", "Ativo")</f>
        <v>Ativo</v>
      </c>
      <c r="F4192" s="12" t="str" cm="1">
        <f t="array" ref="F4192">IF(AND(A4192="2021-03", ISNA(MATCH(B4192, _xlfn._xlws.FILTER(B:B, A:A="2021-04"), 0))), "Left", "Ativo")</f>
        <v>Ativo</v>
      </c>
    </row>
    <row r="4193" spans="1:6" x14ac:dyDescent="0.25">
      <c r="A4193" t="s">
        <v>1532</v>
      </c>
      <c r="B4193" t="s">
        <v>285</v>
      </c>
      <c r="C4193" s="10" t="str" cm="1">
        <f t="array" ref="C4193">IF(AND(A4193="2020-12", ISNA(MATCH(B4193, _xlfn._xlws.FILTER(B:B, A:A="2021-01"), 0))), "Left", "Ativo")</f>
        <v>Ativo</v>
      </c>
      <c r="D4193" s="10" t="str" cm="1">
        <f t="array" ref="D4193">IF(AND(A4193="2021-01", ISNA(MATCH(B4193, _xlfn._xlws.FILTER(B:B, A:A="2021-02"), 0))), "Left", "Ativo")</f>
        <v>Ativo</v>
      </c>
      <c r="E4193" s="10" t="str" cm="1">
        <f t="array" ref="E4193">IF(AND(A4193="2021-02", ISNA(MATCH(B4193, _xlfn._xlws.FILTER(B:B, A:A="2021-03"), 0))), "Left", "Ativo")</f>
        <v>Ativo</v>
      </c>
      <c r="F4193" s="12" t="str" cm="1">
        <f t="array" ref="F4193">IF(AND(A4193="2021-03", ISNA(MATCH(B4193, _xlfn._xlws.FILTER(B:B, A:A="2021-04"), 0))), "Left", "Ativo")</f>
        <v>Ativo</v>
      </c>
    </row>
    <row r="4194" spans="1:6" x14ac:dyDescent="0.25">
      <c r="A4194" t="s">
        <v>1532</v>
      </c>
      <c r="B4194" t="s">
        <v>286</v>
      </c>
      <c r="C4194" s="10" t="str" cm="1">
        <f t="array" ref="C4194">IF(AND(A4194="2020-12", ISNA(MATCH(B4194, _xlfn._xlws.FILTER(B:B, A:A="2021-01"), 0))), "Left", "Ativo")</f>
        <v>Ativo</v>
      </c>
      <c r="D4194" s="10" t="str" cm="1">
        <f t="array" ref="D4194">IF(AND(A4194="2021-01", ISNA(MATCH(B4194, _xlfn._xlws.FILTER(B:B, A:A="2021-02"), 0))), "Left", "Ativo")</f>
        <v>Ativo</v>
      </c>
      <c r="E4194" s="10" t="str" cm="1">
        <f t="array" ref="E4194">IF(AND(A4194="2021-02", ISNA(MATCH(B4194, _xlfn._xlws.FILTER(B:B, A:A="2021-03"), 0))), "Left", "Ativo")</f>
        <v>Ativo</v>
      </c>
      <c r="F4194" s="12" t="str" cm="1">
        <f t="array" ref="F4194">IF(AND(A4194="2021-03", ISNA(MATCH(B4194, _xlfn._xlws.FILTER(B:B, A:A="2021-04"), 0))), "Left", "Ativo")</f>
        <v>Ativo</v>
      </c>
    </row>
    <row r="4195" spans="1:6" x14ac:dyDescent="0.25">
      <c r="A4195" t="s">
        <v>1532</v>
      </c>
      <c r="B4195" t="s">
        <v>287</v>
      </c>
      <c r="C4195" s="10" t="str" cm="1">
        <f t="array" ref="C4195">IF(AND(A4195="2020-12", ISNA(MATCH(B4195, _xlfn._xlws.FILTER(B:B, A:A="2021-01"), 0))), "Left", "Ativo")</f>
        <v>Ativo</v>
      </c>
      <c r="D4195" s="10" t="str" cm="1">
        <f t="array" ref="D4195">IF(AND(A4195="2021-01", ISNA(MATCH(B4195, _xlfn._xlws.FILTER(B:B, A:A="2021-02"), 0))), "Left", "Ativo")</f>
        <v>Ativo</v>
      </c>
      <c r="E4195" s="10" t="str" cm="1">
        <f t="array" ref="E4195">IF(AND(A4195="2021-02", ISNA(MATCH(B4195, _xlfn._xlws.FILTER(B:B, A:A="2021-03"), 0))), "Left", "Ativo")</f>
        <v>Ativo</v>
      </c>
      <c r="F4195" s="12" t="str" cm="1">
        <f t="array" ref="F4195">IF(AND(A4195="2021-03", ISNA(MATCH(B4195, _xlfn._xlws.FILTER(B:B, A:A="2021-04"), 0))), "Left", "Ativo")</f>
        <v>Ativo</v>
      </c>
    </row>
    <row r="4196" spans="1:6" x14ac:dyDescent="0.25">
      <c r="A4196" t="s">
        <v>1532</v>
      </c>
      <c r="B4196" t="s">
        <v>288</v>
      </c>
      <c r="C4196" s="10" t="str" cm="1">
        <f t="array" ref="C4196">IF(AND(A4196="2020-12", ISNA(MATCH(B4196, _xlfn._xlws.FILTER(B:B, A:A="2021-01"), 0))), "Left", "Ativo")</f>
        <v>Ativo</v>
      </c>
      <c r="D4196" s="10" t="str" cm="1">
        <f t="array" ref="D4196">IF(AND(A4196="2021-01", ISNA(MATCH(B4196, _xlfn._xlws.FILTER(B:B, A:A="2021-02"), 0))), "Left", "Ativo")</f>
        <v>Ativo</v>
      </c>
      <c r="E4196" s="10" t="str" cm="1">
        <f t="array" ref="E4196">IF(AND(A4196="2021-02", ISNA(MATCH(B4196, _xlfn._xlws.FILTER(B:B, A:A="2021-03"), 0))), "Left", "Ativo")</f>
        <v>Ativo</v>
      </c>
      <c r="F4196" s="12" t="str" cm="1">
        <f t="array" ref="F4196">IF(AND(A4196="2021-03", ISNA(MATCH(B4196, _xlfn._xlws.FILTER(B:B, A:A="2021-04"), 0))), "Left", "Ativo")</f>
        <v>Ativo</v>
      </c>
    </row>
    <row r="4197" spans="1:6" x14ac:dyDescent="0.25">
      <c r="A4197" t="s">
        <v>1532</v>
      </c>
      <c r="B4197" t="s">
        <v>289</v>
      </c>
      <c r="C4197" s="10" t="str" cm="1">
        <f t="array" ref="C4197">IF(AND(A4197="2020-12", ISNA(MATCH(B4197, _xlfn._xlws.FILTER(B:B, A:A="2021-01"), 0))), "Left", "Ativo")</f>
        <v>Ativo</v>
      </c>
      <c r="D4197" s="10" t="str" cm="1">
        <f t="array" ref="D4197">IF(AND(A4197="2021-01", ISNA(MATCH(B4197, _xlfn._xlws.FILTER(B:B, A:A="2021-02"), 0))), "Left", "Ativo")</f>
        <v>Ativo</v>
      </c>
      <c r="E4197" s="10" t="str" cm="1">
        <f t="array" ref="E4197">IF(AND(A4197="2021-02", ISNA(MATCH(B4197, _xlfn._xlws.FILTER(B:B, A:A="2021-03"), 0))), "Left", "Ativo")</f>
        <v>Ativo</v>
      </c>
      <c r="F4197" s="12" t="str" cm="1">
        <f t="array" ref="F4197">IF(AND(A4197="2021-03", ISNA(MATCH(B4197, _xlfn._xlws.FILTER(B:B, A:A="2021-04"), 0))), "Left", "Ativo")</f>
        <v>Ativo</v>
      </c>
    </row>
    <row r="4198" spans="1:6" x14ac:dyDescent="0.25">
      <c r="A4198" t="s">
        <v>1532</v>
      </c>
      <c r="B4198" t="s">
        <v>290</v>
      </c>
      <c r="C4198" s="10" t="str" cm="1">
        <f t="array" ref="C4198">IF(AND(A4198="2020-12", ISNA(MATCH(B4198, _xlfn._xlws.FILTER(B:B, A:A="2021-01"), 0))), "Left", "Ativo")</f>
        <v>Ativo</v>
      </c>
      <c r="D4198" s="10" t="str" cm="1">
        <f t="array" ref="D4198">IF(AND(A4198="2021-01", ISNA(MATCH(B4198, _xlfn._xlws.FILTER(B:B, A:A="2021-02"), 0))), "Left", "Ativo")</f>
        <v>Ativo</v>
      </c>
      <c r="E4198" s="10" t="str" cm="1">
        <f t="array" ref="E4198">IF(AND(A4198="2021-02", ISNA(MATCH(B4198, _xlfn._xlws.FILTER(B:B, A:A="2021-03"), 0))), "Left", "Ativo")</f>
        <v>Ativo</v>
      </c>
      <c r="F4198" s="12" t="str" cm="1">
        <f t="array" ref="F4198">IF(AND(A4198="2021-03", ISNA(MATCH(B4198, _xlfn._xlws.FILTER(B:B, A:A="2021-04"), 0))), "Left", "Ativo")</f>
        <v>Ativo</v>
      </c>
    </row>
    <row r="4199" spans="1:6" x14ac:dyDescent="0.25">
      <c r="A4199" t="s">
        <v>1532</v>
      </c>
      <c r="B4199" t="s">
        <v>291</v>
      </c>
      <c r="C4199" s="10" t="str" cm="1">
        <f t="array" ref="C4199">IF(AND(A4199="2020-12", ISNA(MATCH(B4199, _xlfn._xlws.FILTER(B:B, A:A="2021-01"), 0))), "Left", "Ativo")</f>
        <v>Ativo</v>
      </c>
      <c r="D4199" s="10" t="str" cm="1">
        <f t="array" ref="D4199">IF(AND(A4199="2021-01", ISNA(MATCH(B4199, _xlfn._xlws.FILTER(B:B, A:A="2021-02"), 0))), "Left", "Ativo")</f>
        <v>Ativo</v>
      </c>
      <c r="E4199" s="10" t="str" cm="1">
        <f t="array" ref="E4199">IF(AND(A4199="2021-02", ISNA(MATCH(B4199, _xlfn._xlws.FILTER(B:B, A:A="2021-03"), 0))), "Left", "Ativo")</f>
        <v>Ativo</v>
      </c>
      <c r="F4199" s="12" t="str" cm="1">
        <f t="array" ref="F4199">IF(AND(A4199="2021-03", ISNA(MATCH(B4199, _xlfn._xlws.FILTER(B:B, A:A="2021-04"), 0))), "Left", "Ativo")</f>
        <v>Ativo</v>
      </c>
    </row>
    <row r="4200" spans="1:6" x14ac:dyDescent="0.25">
      <c r="A4200" t="s">
        <v>1532</v>
      </c>
      <c r="B4200" t="s">
        <v>292</v>
      </c>
      <c r="C4200" s="10" t="str" cm="1">
        <f t="array" ref="C4200">IF(AND(A4200="2020-12", ISNA(MATCH(B4200, _xlfn._xlws.FILTER(B:B, A:A="2021-01"), 0))), "Left", "Ativo")</f>
        <v>Ativo</v>
      </c>
      <c r="D4200" s="10" t="str" cm="1">
        <f t="array" ref="D4200">IF(AND(A4200="2021-01", ISNA(MATCH(B4200, _xlfn._xlws.FILTER(B:B, A:A="2021-02"), 0))), "Left", "Ativo")</f>
        <v>Ativo</v>
      </c>
      <c r="E4200" s="10" t="str" cm="1">
        <f t="array" ref="E4200">IF(AND(A4200="2021-02", ISNA(MATCH(B4200, _xlfn._xlws.FILTER(B:B, A:A="2021-03"), 0))), "Left", "Ativo")</f>
        <v>Ativo</v>
      </c>
      <c r="F4200" s="12" t="str" cm="1">
        <f t="array" ref="F4200">IF(AND(A4200="2021-03", ISNA(MATCH(B4200, _xlfn._xlws.FILTER(B:B, A:A="2021-04"), 0))), "Left", "Ativo")</f>
        <v>Ativo</v>
      </c>
    </row>
    <row r="4201" spans="1:6" x14ac:dyDescent="0.25">
      <c r="A4201" t="s">
        <v>1532</v>
      </c>
      <c r="B4201" t="s">
        <v>293</v>
      </c>
      <c r="C4201" s="10" t="str" cm="1">
        <f t="array" ref="C4201">IF(AND(A4201="2020-12", ISNA(MATCH(B4201, _xlfn._xlws.FILTER(B:B, A:A="2021-01"), 0))), "Left", "Ativo")</f>
        <v>Ativo</v>
      </c>
      <c r="D4201" s="10" t="str" cm="1">
        <f t="array" ref="D4201">IF(AND(A4201="2021-01", ISNA(MATCH(B4201, _xlfn._xlws.FILTER(B:B, A:A="2021-02"), 0))), "Left", "Ativo")</f>
        <v>Ativo</v>
      </c>
      <c r="E4201" s="10" t="str" cm="1">
        <f t="array" ref="E4201">IF(AND(A4201="2021-02", ISNA(MATCH(B4201, _xlfn._xlws.FILTER(B:B, A:A="2021-03"), 0))), "Left", "Ativo")</f>
        <v>Ativo</v>
      </c>
      <c r="F4201" s="12" t="str" cm="1">
        <f t="array" ref="F4201">IF(AND(A4201="2021-03", ISNA(MATCH(B4201, _xlfn._xlws.FILTER(B:B, A:A="2021-04"), 0))), "Left", "Ativo")</f>
        <v>Ativo</v>
      </c>
    </row>
    <row r="4202" spans="1:6" x14ac:dyDescent="0.25">
      <c r="A4202" t="s">
        <v>1532</v>
      </c>
      <c r="B4202" t="s">
        <v>294</v>
      </c>
      <c r="C4202" s="10" t="str" cm="1">
        <f t="array" ref="C4202">IF(AND(A4202="2020-12", ISNA(MATCH(B4202, _xlfn._xlws.FILTER(B:B, A:A="2021-01"), 0))), "Left", "Ativo")</f>
        <v>Ativo</v>
      </c>
      <c r="D4202" s="10" t="str" cm="1">
        <f t="array" ref="D4202">IF(AND(A4202="2021-01", ISNA(MATCH(B4202, _xlfn._xlws.FILTER(B:B, A:A="2021-02"), 0))), "Left", "Ativo")</f>
        <v>Ativo</v>
      </c>
      <c r="E4202" s="10" t="str" cm="1">
        <f t="array" ref="E4202">IF(AND(A4202="2021-02", ISNA(MATCH(B4202, _xlfn._xlws.FILTER(B:B, A:A="2021-03"), 0))), "Left", "Ativo")</f>
        <v>Ativo</v>
      </c>
      <c r="F4202" s="12" t="str" cm="1">
        <f t="array" ref="F4202">IF(AND(A4202="2021-03", ISNA(MATCH(B4202, _xlfn._xlws.FILTER(B:B, A:A="2021-04"), 0))), "Left", "Ativo")</f>
        <v>Ativo</v>
      </c>
    </row>
    <row r="4203" spans="1:6" x14ac:dyDescent="0.25">
      <c r="A4203" t="s">
        <v>1532</v>
      </c>
      <c r="B4203" t="s">
        <v>295</v>
      </c>
      <c r="C4203" s="10" t="str" cm="1">
        <f t="array" ref="C4203">IF(AND(A4203="2020-12", ISNA(MATCH(B4203, _xlfn._xlws.FILTER(B:B, A:A="2021-01"), 0))), "Left", "Ativo")</f>
        <v>Ativo</v>
      </c>
      <c r="D4203" s="10" t="str" cm="1">
        <f t="array" ref="D4203">IF(AND(A4203="2021-01", ISNA(MATCH(B4203, _xlfn._xlws.FILTER(B:B, A:A="2021-02"), 0))), "Left", "Ativo")</f>
        <v>Ativo</v>
      </c>
      <c r="E4203" s="10" t="str" cm="1">
        <f t="array" ref="E4203">IF(AND(A4203="2021-02", ISNA(MATCH(B4203, _xlfn._xlws.FILTER(B:B, A:A="2021-03"), 0))), "Left", "Ativo")</f>
        <v>Ativo</v>
      </c>
      <c r="F4203" s="12" t="str" cm="1">
        <f t="array" ref="F4203">IF(AND(A4203="2021-03", ISNA(MATCH(B4203, _xlfn._xlws.FILTER(B:B, A:A="2021-04"), 0))), "Left", "Ativo")</f>
        <v>Ativo</v>
      </c>
    </row>
    <row r="4204" spans="1:6" x14ac:dyDescent="0.25">
      <c r="A4204" t="s">
        <v>1532</v>
      </c>
      <c r="B4204" t="s">
        <v>296</v>
      </c>
      <c r="C4204" s="10" t="str" cm="1">
        <f t="array" ref="C4204">IF(AND(A4204="2020-12", ISNA(MATCH(B4204, _xlfn._xlws.FILTER(B:B, A:A="2021-01"), 0))), "Left", "Ativo")</f>
        <v>Ativo</v>
      </c>
      <c r="D4204" s="10" t="str" cm="1">
        <f t="array" ref="D4204">IF(AND(A4204="2021-01", ISNA(MATCH(B4204, _xlfn._xlws.FILTER(B:B, A:A="2021-02"), 0))), "Left", "Ativo")</f>
        <v>Ativo</v>
      </c>
      <c r="E4204" s="10" t="str" cm="1">
        <f t="array" ref="E4204">IF(AND(A4204="2021-02", ISNA(MATCH(B4204, _xlfn._xlws.FILTER(B:B, A:A="2021-03"), 0))), "Left", "Ativo")</f>
        <v>Ativo</v>
      </c>
      <c r="F4204" s="12" t="str" cm="1">
        <f t="array" ref="F4204">IF(AND(A4204="2021-03", ISNA(MATCH(B4204, _xlfn._xlws.FILTER(B:B, A:A="2021-04"), 0))), "Left", "Ativo")</f>
        <v>Ativo</v>
      </c>
    </row>
    <row r="4205" spans="1:6" x14ac:dyDescent="0.25">
      <c r="A4205" t="s">
        <v>1532</v>
      </c>
      <c r="B4205" t="s">
        <v>297</v>
      </c>
      <c r="C4205" s="10" t="str" cm="1">
        <f t="array" ref="C4205">IF(AND(A4205="2020-12", ISNA(MATCH(B4205, _xlfn._xlws.FILTER(B:B, A:A="2021-01"), 0))), "Left", "Ativo")</f>
        <v>Ativo</v>
      </c>
      <c r="D4205" s="10" t="str" cm="1">
        <f t="array" ref="D4205">IF(AND(A4205="2021-01", ISNA(MATCH(B4205, _xlfn._xlws.FILTER(B:B, A:A="2021-02"), 0))), "Left", "Ativo")</f>
        <v>Ativo</v>
      </c>
      <c r="E4205" s="10" t="str" cm="1">
        <f t="array" ref="E4205">IF(AND(A4205="2021-02", ISNA(MATCH(B4205, _xlfn._xlws.FILTER(B:B, A:A="2021-03"), 0))), "Left", "Ativo")</f>
        <v>Ativo</v>
      </c>
      <c r="F4205" s="12" t="str" cm="1">
        <f t="array" ref="F4205">IF(AND(A4205="2021-03", ISNA(MATCH(B4205, _xlfn._xlws.FILTER(B:B, A:A="2021-04"), 0))), "Left", "Ativo")</f>
        <v>Ativo</v>
      </c>
    </row>
    <row r="4206" spans="1:6" x14ac:dyDescent="0.25">
      <c r="A4206" t="s">
        <v>1532</v>
      </c>
      <c r="B4206" t="s">
        <v>298</v>
      </c>
      <c r="C4206" s="10" t="str" cm="1">
        <f t="array" ref="C4206">IF(AND(A4206="2020-12", ISNA(MATCH(B4206, _xlfn._xlws.FILTER(B:B, A:A="2021-01"), 0))), "Left", "Ativo")</f>
        <v>Ativo</v>
      </c>
      <c r="D4206" s="10" t="str" cm="1">
        <f t="array" ref="D4206">IF(AND(A4206="2021-01", ISNA(MATCH(B4206, _xlfn._xlws.FILTER(B:B, A:A="2021-02"), 0))), "Left", "Ativo")</f>
        <v>Ativo</v>
      </c>
      <c r="E4206" s="10" t="str" cm="1">
        <f t="array" ref="E4206">IF(AND(A4206="2021-02", ISNA(MATCH(B4206, _xlfn._xlws.FILTER(B:B, A:A="2021-03"), 0))), "Left", "Ativo")</f>
        <v>Ativo</v>
      </c>
      <c r="F4206" s="12" t="str" cm="1">
        <f t="array" ref="F4206">IF(AND(A4206="2021-03", ISNA(MATCH(B4206, _xlfn._xlws.FILTER(B:B, A:A="2021-04"), 0))), "Left", "Ativo")</f>
        <v>Ativo</v>
      </c>
    </row>
    <row r="4207" spans="1:6" x14ac:dyDescent="0.25">
      <c r="A4207" t="s">
        <v>1532</v>
      </c>
      <c r="B4207" t="s">
        <v>299</v>
      </c>
      <c r="C4207" s="10" t="str" cm="1">
        <f t="array" ref="C4207">IF(AND(A4207="2020-12", ISNA(MATCH(B4207, _xlfn._xlws.FILTER(B:B, A:A="2021-01"), 0))), "Left", "Ativo")</f>
        <v>Ativo</v>
      </c>
      <c r="D4207" s="10" t="str" cm="1">
        <f t="array" ref="D4207">IF(AND(A4207="2021-01", ISNA(MATCH(B4207, _xlfn._xlws.FILTER(B:B, A:A="2021-02"), 0))), "Left", "Ativo")</f>
        <v>Ativo</v>
      </c>
      <c r="E4207" s="10" t="str" cm="1">
        <f t="array" ref="E4207">IF(AND(A4207="2021-02", ISNA(MATCH(B4207, _xlfn._xlws.FILTER(B:B, A:A="2021-03"), 0))), "Left", "Ativo")</f>
        <v>Ativo</v>
      </c>
      <c r="F4207" s="12" t="str" cm="1">
        <f t="array" ref="F4207">IF(AND(A4207="2021-03", ISNA(MATCH(B4207, _xlfn._xlws.FILTER(B:B, A:A="2021-04"), 0))), "Left", "Ativo")</f>
        <v>Ativo</v>
      </c>
    </row>
    <row r="4208" spans="1:6" x14ac:dyDescent="0.25">
      <c r="A4208" t="s">
        <v>1532</v>
      </c>
      <c r="B4208" t="s">
        <v>300</v>
      </c>
      <c r="C4208" s="10" t="str" cm="1">
        <f t="array" ref="C4208">IF(AND(A4208="2020-12", ISNA(MATCH(B4208, _xlfn._xlws.FILTER(B:B, A:A="2021-01"), 0))), "Left", "Ativo")</f>
        <v>Ativo</v>
      </c>
      <c r="D4208" s="10" t="str" cm="1">
        <f t="array" ref="D4208">IF(AND(A4208="2021-01", ISNA(MATCH(B4208, _xlfn._xlws.FILTER(B:B, A:A="2021-02"), 0))), "Left", "Ativo")</f>
        <v>Ativo</v>
      </c>
      <c r="E4208" s="10" t="str" cm="1">
        <f t="array" ref="E4208">IF(AND(A4208="2021-02", ISNA(MATCH(B4208, _xlfn._xlws.FILTER(B:B, A:A="2021-03"), 0))), "Left", "Ativo")</f>
        <v>Ativo</v>
      </c>
      <c r="F4208" s="12" t="str" cm="1">
        <f t="array" ref="F4208">IF(AND(A4208="2021-03", ISNA(MATCH(B4208, _xlfn._xlws.FILTER(B:B, A:A="2021-04"), 0))), "Left", "Ativo")</f>
        <v>Ativo</v>
      </c>
    </row>
    <row r="4209" spans="1:6" x14ac:dyDescent="0.25">
      <c r="A4209" t="s">
        <v>1532</v>
      </c>
      <c r="B4209" t="s">
        <v>302</v>
      </c>
      <c r="C4209" s="10" t="str" cm="1">
        <f t="array" ref="C4209">IF(AND(A4209="2020-12", ISNA(MATCH(B4209, _xlfn._xlws.FILTER(B:B, A:A="2021-01"), 0))), "Left", "Ativo")</f>
        <v>Ativo</v>
      </c>
      <c r="D4209" s="10" t="str" cm="1">
        <f t="array" ref="D4209">IF(AND(A4209="2021-01", ISNA(MATCH(B4209, _xlfn._xlws.FILTER(B:B, A:A="2021-02"), 0))), "Left", "Ativo")</f>
        <v>Ativo</v>
      </c>
      <c r="E4209" s="10" t="str" cm="1">
        <f t="array" ref="E4209">IF(AND(A4209="2021-02", ISNA(MATCH(B4209, _xlfn._xlws.FILTER(B:B, A:A="2021-03"), 0))), "Left", "Ativo")</f>
        <v>Ativo</v>
      </c>
      <c r="F4209" s="12" t="str" cm="1">
        <f t="array" ref="F4209">IF(AND(A4209="2021-03", ISNA(MATCH(B4209, _xlfn._xlws.FILTER(B:B, A:A="2021-04"), 0))), "Left", "Ativo")</f>
        <v>Ativo</v>
      </c>
    </row>
    <row r="4210" spans="1:6" x14ac:dyDescent="0.25">
      <c r="A4210" t="s">
        <v>1532</v>
      </c>
      <c r="B4210" t="s">
        <v>303</v>
      </c>
      <c r="C4210" s="10" t="str" cm="1">
        <f t="array" ref="C4210">IF(AND(A4210="2020-12", ISNA(MATCH(B4210, _xlfn._xlws.FILTER(B:B, A:A="2021-01"), 0))), "Left", "Ativo")</f>
        <v>Ativo</v>
      </c>
      <c r="D4210" s="10" t="str" cm="1">
        <f t="array" ref="D4210">IF(AND(A4210="2021-01", ISNA(MATCH(B4210, _xlfn._xlws.FILTER(B:B, A:A="2021-02"), 0))), "Left", "Ativo")</f>
        <v>Ativo</v>
      </c>
      <c r="E4210" s="10" t="str" cm="1">
        <f t="array" ref="E4210">IF(AND(A4210="2021-02", ISNA(MATCH(B4210, _xlfn._xlws.FILTER(B:B, A:A="2021-03"), 0))), "Left", "Ativo")</f>
        <v>Ativo</v>
      </c>
      <c r="F4210" s="12" t="str" cm="1">
        <f t="array" ref="F4210">IF(AND(A4210="2021-03", ISNA(MATCH(B4210, _xlfn._xlws.FILTER(B:B, A:A="2021-04"), 0))), "Left", "Ativo")</f>
        <v>Ativo</v>
      </c>
    </row>
    <row r="4211" spans="1:6" x14ac:dyDescent="0.25">
      <c r="A4211" t="s">
        <v>1532</v>
      </c>
      <c r="B4211" t="s">
        <v>305</v>
      </c>
      <c r="C4211" s="10" t="str" cm="1">
        <f t="array" ref="C4211">IF(AND(A4211="2020-12", ISNA(MATCH(B4211, _xlfn._xlws.FILTER(B:B, A:A="2021-01"), 0))), "Left", "Ativo")</f>
        <v>Ativo</v>
      </c>
      <c r="D4211" s="10" t="str" cm="1">
        <f t="array" ref="D4211">IF(AND(A4211="2021-01", ISNA(MATCH(B4211, _xlfn._xlws.FILTER(B:B, A:A="2021-02"), 0))), "Left", "Ativo")</f>
        <v>Ativo</v>
      </c>
      <c r="E4211" s="10" t="str" cm="1">
        <f t="array" ref="E4211">IF(AND(A4211="2021-02", ISNA(MATCH(B4211, _xlfn._xlws.FILTER(B:B, A:A="2021-03"), 0))), "Left", "Ativo")</f>
        <v>Ativo</v>
      </c>
      <c r="F4211" s="12" t="str" cm="1">
        <f t="array" ref="F4211">IF(AND(A4211="2021-03", ISNA(MATCH(B4211, _xlfn._xlws.FILTER(B:B, A:A="2021-04"), 0))), "Left", "Ativo")</f>
        <v>Ativo</v>
      </c>
    </row>
    <row r="4212" spans="1:6" x14ac:dyDescent="0.25">
      <c r="A4212" t="s">
        <v>1532</v>
      </c>
      <c r="B4212" t="s">
        <v>306</v>
      </c>
      <c r="C4212" s="10" t="str" cm="1">
        <f t="array" ref="C4212">IF(AND(A4212="2020-12", ISNA(MATCH(B4212, _xlfn._xlws.FILTER(B:B, A:A="2021-01"), 0))), "Left", "Ativo")</f>
        <v>Ativo</v>
      </c>
      <c r="D4212" s="10" t="str" cm="1">
        <f t="array" ref="D4212">IF(AND(A4212="2021-01", ISNA(MATCH(B4212, _xlfn._xlws.FILTER(B:B, A:A="2021-02"), 0))), "Left", "Ativo")</f>
        <v>Ativo</v>
      </c>
      <c r="E4212" s="10" t="str" cm="1">
        <f t="array" ref="E4212">IF(AND(A4212="2021-02", ISNA(MATCH(B4212, _xlfn._xlws.FILTER(B:B, A:A="2021-03"), 0))), "Left", "Ativo")</f>
        <v>Ativo</v>
      </c>
      <c r="F4212" s="12" t="str" cm="1">
        <f t="array" ref="F4212">IF(AND(A4212="2021-03", ISNA(MATCH(B4212, _xlfn._xlws.FILTER(B:B, A:A="2021-04"), 0))), "Left", "Ativo")</f>
        <v>Ativo</v>
      </c>
    </row>
    <row r="4213" spans="1:6" x14ac:dyDescent="0.25">
      <c r="A4213" t="s">
        <v>1532</v>
      </c>
      <c r="B4213" t="s">
        <v>307</v>
      </c>
      <c r="C4213" s="10" t="str" cm="1">
        <f t="array" ref="C4213">IF(AND(A4213="2020-12", ISNA(MATCH(B4213, _xlfn._xlws.FILTER(B:B, A:A="2021-01"), 0))), "Left", "Ativo")</f>
        <v>Ativo</v>
      </c>
      <c r="D4213" s="10" t="str" cm="1">
        <f t="array" ref="D4213">IF(AND(A4213="2021-01", ISNA(MATCH(B4213, _xlfn._xlws.FILTER(B:B, A:A="2021-02"), 0))), "Left", "Ativo")</f>
        <v>Ativo</v>
      </c>
      <c r="E4213" s="10" t="str" cm="1">
        <f t="array" ref="E4213">IF(AND(A4213="2021-02", ISNA(MATCH(B4213, _xlfn._xlws.FILTER(B:B, A:A="2021-03"), 0))), "Left", "Ativo")</f>
        <v>Ativo</v>
      </c>
      <c r="F4213" s="12" t="str" cm="1">
        <f t="array" ref="F4213">IF(AND(A4213="2021-03", ISNA(MATCH(B4213, _xlfn._xlws.FILTER(B:B, A:A="2021-04"), 0))), "Left", "Ativo")</f>
        <v>Ativo</v>
      </c>
    </row>
    <row r="4214" spans="1:6" x14ac:dyDescent="0.25">
      <c r="A4214" t="s">
        <v>1532</v>
      </c>
      <c r="B4214" t="s">
        <v>308</v>
      </c>
      <c r="C4214" s="10" t="str" cm="1">
        <f t="array" ref="C4214">IF(AND(A4214="2020-12", ISNA(MATCH(B4214, _xlfn._xlws.FILTER(B:B, A:A="2021-01"), 0))), "Left", "Ativo")</f>
        <v>Ativo</v>
      </c>
      <c r="D4214" s="10" t="str" cm="1">
        <f t="array" ref="D4214">IF(AND(A4214="2021-01", ISNA(MATCH(B4214, _xlfn._xlws.FILTER(B:B, A:A="2021-02"), 0))), "Left", "Ativo")</f>
        <v>Ativo</v>
      </c>
      <c r="E4214" s="10" t="str" cm="1">
        <f t="array" ref="E4214">IF(AND(A4214="2021-02", ISNA(MATCH(B4214, _xlfn._xlws.FILTER(B:B, A:A="2021-03"), 0))), "Left", "Ativo")</f>
        <v>Ativo</v>
      </c>
      <c r="F4214" s="12" t="str" cm="1">
        <f t="array" ref="F4214">IF(AND(A4214="2021-03", ISNA(MATCH(B4214, _xlfn._xlws.FILTER(B:B, A:A="2021-04"), 0))), "Left", "Ativo")</f>
        <v>Ativo</v>
      </c>
    </row>
    <row r="4215" spans="1:6" x14ac:dyDescent="0.25">
      <c r="A4215" t="s">
        <v>1532</v>
      </c>
      <c r="B4215" t="s">
        <v>309</v>
      </c>
      <c r="C4215" s="10" t="str" cm="1">
        <f t="array" ref="C4215">IF(AND(A4215="2020-12", ISNA(MATCH(B4215, _xlfn._xlws.FILTER(B:B, A:A="2021-01"), 0))), "Left", "Ativo")</f>
        <v>Ativo</v>
      </c>
      <c r="D4215" s="10" t="str" cm="1">
        <f t="array" ref="D4215">IF(AND(A4215="2021-01", ISNA(MATCH(B4215, _xlfn._xlws.FILTER(B:B, A:A="2021-02"), 0))), "Left", "Ativo")</f>
        <v>Ativo</v>
      </c>
      <c r="E4215" s="10" t="str" cm="1">
        <f t="array" ref="E4215">IF(AND(A4215="2021-02", ISNA(MATCH(B4215, _xlfn._xlws.FILTER(B:B, A:A="2021-03"), 0))), "Left", "Ativo")</f>
        <v>Ativo</v>
      </c>
      <c r="F4215" s="12" t="str" cm="1">
        <f t="array" ref="F4215">IF(AND(A4215="2021-03", ISNA(MATCH(B4215, _xlfn._xlws.FILTER(B:B, A:A="2021-04"), 0))), "Left", "Ativo")</f>
        <v>Ativo</v>
      </c>
    </row>
    <row r="4216" spans="1:6" x14ac:dyDescent="0.25">
      <c r="A4216" t="s">
        <v>1532</v>
      </c>
      <c r="B4216" t="s">
        <v>310</v>
      </c>
      <c r="C4216" s="10" t="str" cm="1">
        <f t="array" ref="C4216">IF(AND(A4216="2020-12", ISNA(MATCH(B4216, _xlfn._xlws.FILTER(B:B, A:A="2021-01"), 0))), "Left", "Ativo")</f>
        <v>Ativo</v>
      </c>
      <c r="D4216" s="10" t="str" cm="1">
        <f t="array" ref="D4216">IF(AND(A4216="2021-01", ISNA(MATCH(B4216, _xlfn._xlws.FILTER(B:B, A:A="2021-02"), 0))), "Left", "Ativo")</f>
        <v>Ativo</v>
      </c>
      <c r="E4216" s="10" t="str" cm="1">
        <f t="array" ref="E4216">IF(AND(A4216="2021-02", ISNA(MATCH(B4216, _xlfn._xlws.FILTER(B:B, A:A="2021-03"), 0))), "Left", "Ativo")</f>
        <v>Ativo</v>
      </c>
      <c r="F4216" s="12" t="str" cm="1">
        <f t="array" ref="F4216">IF(AND(A4216="2021-03", ISNA(MATCH(B4216, _xlfn._xlws.FILTER(B:B, A:A="2021-04"), 0))), "Left", "Ativo")</f>
        <v>Ativo</v>
      </c>
    </row>
    <row r="4217" spans="1:6" x14ac:dyDescent="0.25">
      <c r="A4217" t="s">
        <v>1532</v>
      </c>
      <c r="B4217" t="s">
        <v>311</v>
      </c>
      <c r="C4217" s="10" t="str" cm="1">
        <f t="array" ref="C4217">IF(AND(A4217="2020-12", ISNA(MATCH(B4217, _xlfn._xlws.FILTER(B:B, A:A="2021-01"), 0))), "Left", "Ativo")</f>
        <v>Ativo</v>
      </c>
      <c r="D4217" s="10" t="str" cm="1">
        <f t="array" ref="D4217">IF(AND(A4217="2021-01", ISNA(MATCH(B4217, _xlfn._xlws.FILTER(B:B, A:A="2021-02"), 0))), "Left", "Ativo")</f>
        <v>Ativo</v>
      </c>
      <c r="E4217" s="10" t="str" cm="1">
        <f t="array" ref="E4217">IF(AND(A4217="2021-02", ISNA(MATCH(B4217, _xlfn._xlws.FILTER(B:B, A:A="2021-03"), 0))), "Left", "Ativo")</f>
        <v>Ativo</v>
      </c>
      <c r="F4217" s="12" t="str" cm="1">
        <f t="array" ref="F4217">IF(AND(A4217="2021-03", ISNA(MATCH(B4217, _xlfn._xlws.FILTER(B:B, A:A="2021-04"), 0))), "Left", "Ativo")</f>
        <v>Ativo</v>
      </c>
    </row>
    <row r="4218" spans="1:6" x14ac:dyDescent="0.25">
      <c r="A4218" t="s">
        <v>1532</v>
      </c>
      <c r="B4218" t="s">
        <v>312</v>
      </c>
      <c r="C4218" s="10" t="str" cm="1">
        <f t="array" ref="C4218">IF(AND(A4218="2020-12", ISNA(MATCH(B4218, _xlfn._xlws.FILTER(B:B, A:A="2021-01"), 0))), "Left", "Ativo")</f>
        <v>Ativo</v>
      </c>
      <c r="D4218" s="10" t="str" cm="1">
        <f t="array" ref="D4218">IF(AND(A4218="2021-01", ISNA(MATCH(B4218, _xlfn._xlws.FILTER(B:B, A:A="2021-02"), 0))), "Left", "Ativo")</f>
        <v>Ativo</v>
      </c>
      <c r="E4218" s="10" t="str" cm="1">
        <f t="array" ref="E4218">IF(AND(A4218="2021-02", ISNA(MATCH(B4218, _xlfn._xlws.FILTER(B:B, A:A="2021-03"), 0))), "Left", "Ativo")</f>
        <v>Ativo</v>
      </c>
      <c r="F4218" s="12" t="str" cm="1">
        <f t="array" ref="F4218">IF(AND(A4218="2021-03", ISNA(MATCH(B4218, _xlfn._xlws.FILTER(B:B, A:A="2021-04"), 0))), "Left", "Ativo")</f>
        <v>Ativo</v>
      </c>
    </row>
    <row r="4219" spans="1:6" x14ac:dyDescent="0.25">
      <c r="A4219" t="s">
        <v>1532</v>
      </c>
      <c r="B4219" t="s">
        <v>313</v>
      </c>
      <c r="C4219" s="10" t="str" cm="1">
        <f t="array" ref="C4219">IF(AND(A4219="2020-12", ISNA(MATCH(B4219, _xlfn._xlws.FILTER(B:B, A:A="2021-01"), 0))), "Left", "Ativo")</f>
        <v>Ativo</v>
      </c>
      <c r="D4219" s="10" t="str" cm="1">
        <f t="array" ref="D4219">IF(AND(A4219="2021-01", ISNA(MATCH(B4219, _xlfn._xlws.FILTER(B:B, A:A="2021-02"), 0))), "Left", "Ativo")</f>
        <v>Ativo</v>
      </c>
      <c r="E4219" s="10" t="str" cm="1">
        <f t="array" ref="E4219">IF(AND(A4219="2021-02", ISNA(MATCH(B4219, _xlfn._xlws.FILTER(B:B, A:A="2021-03"), 0))), "Left", "Ativo")</f>
        <v>Ativo</v>
      </c>
      <c r="F4219" s="12" t="str" cm="1">
        <f t="array" ref="F4219">IF(AND(A4219="2021-03", ISNA(MATCH(B4219, _xlfn._xlws.FILTER(B:B, A:A="2021-04"), 0))), "Left", "Ativo")</f>
        <v>Ativo</v>
      </c>
    </row>
    <row r="4220" spans="1:6" x14ac:dyDescent="0.25">
      <c r="A4220" t="s">
        <v>1532</v>
      </c>
      <c r="B4220" t="s">
        <v>314</v>
      </c>
      <c r="C4220" s="10" t="str" cm="1">
        <f t="array" ref="C4220">IF(AND(A4220="2020-12", ISNA(MATCH(B4220, _xlfn._xlws.FILTER(B:B, A:A="2021-01"), 0))), "Left", "Ativo")</f>
        <v>Ativo</v>
      </c>
      <c r="D4220" s="10" t="str" cm="1">
        <f t="array" ref="D4220">IF(AND(A4220="2021-01", ISNA(MATCH(B4220, _xlfn._xlws.FILTER(B:B, A:A="2021-02"), 0))), "Left", "Ativo")</f>
        <v>Ativo</v>
      </c>
      <c r="E4220" s="10" t="str" cm="1">
        <f t="array" ref="E4220">IF(AND(A4220="2021-02", ISNA(MATCH(B4220, _xlfn._xlws.FILTER(B:B, A:A="2021-03"), 0))), "Left", "Ativo")</f>
        <v>Ativo</v>
      </c>
      <c r="F4220" s="12" t="str" cm="1">
        <f t="array" ref="F4220">IF(AND(A4220="2021-03", ISNA(MATCH(B4220, _xlfn._xlws.FILTER(B:B, A:A="2021-04"), 0))), "Left", "Ativo")</f>
        <v>Ativo</v>
      </c>
    </row>
    <row r="4221" spans="1:6" x14ac:dyDescent="0.25">
      <c r="A4221" t="s">
        <v>1532</v>
      </c>
      <c r="B4221" t="s">
        <v>315</v>
      </c>
      <c r="C4221" s="10" t="str" cm="1">
        <f t="array" ref="C4221">IF(AND(A4221="2020-12", ISNA(MATCH(B4221, _xlfn._xlws.FILTER(B:B, A:A="2021-01"), 0))), "Left", "Ativo")</f>
        <v>Ativo</v>
      </c>
      <c r="D4221" s="10" t="str" cm="1">
        <f t="array" ref="D4221">IF(AND(A4221="2021-01", ISNA(MATCH(B4221, _xlfn._xlws.FILTER(B:B, A:A="2021-02"), 0))), "Left", "Ativo")</f>
        <v>Ativo</v>
      </c>
      <c r="E4221" s="10" t="str" cm="1">
        <f t="array" ref="E4221">IF(AND(A4221="2021-02", ISNA(MATCH(B4221, _xlfn._xlws.FILTER(B:B, A:A="2021-03"), 0))), "Left", "Ativo")</f>
        <v>Ativo</v>
      </c>
      <c r="F4221" s="12" t="str" cm="1">
        <f t="array" ref="F4221">IF(AND(A4221="2021-03", ISNA(MATCH(B4221, _xlfn._xlws.FILTER(B:B, A:A="2021-04"), 0))), "Left", "Ativo")</f>
        <v>Ativo</v>
      </c>
    </row>
    <row r="4222" spans="1:6" x14ac:dyDescent="0.25">
      <c r="A4222" t="s">
        <v>1532</v>
      </c>
      <c r="B4222" t="s">
        <v>316</v>
      </c>
      <c r="C4222" s="10" t="str" cm="1">
        <f t="array" ref="C4222">IF(AND(A4222="2020-12", ISNA(MATCH(B4222, _xlfn._xlws.FILTER(B:B, A:A="2021-01"), 0))), "Left", "Ativo")</f>
        <v>Ativo</v>
      </c>
      <c r="D4222" s="10" t="str" cm="1">
        <f t="array" ref="D4222">IF(AND(A4222="2021-01", ISNA(MATCH(B4222, _xlfn._xlws.FILTER(B:B, A:A="2021-02"), 0))), "Left", "Ativo")</f>
        <v>Ativo</v>
      </c>
      <c r="E4222" s="10" t="str" cm="1">
        <f t="array" ref="E4222">IF(AND(A4222="2021-02", ISNA(MATCH(B4222, _xlfn._xlws.FILTER(B:B, A:A="2021-03"), 0))), "Left", "Ativo")</f>
        <v>Ativo</v>
      </c>
      <c r="F4222" s="12" t="str" cm="1">
        <f t="array" ref="F4222">IF(AND(A4222="2021-03", ISNA(MATCH(B4222, _xlfn._xlws.FILTER(B:B, A:A="2021-04"), 0))), "Left", "Ativo")</f>
        <v>Ativo</v>
      </c>
    </row>
    <row r="4223" spans="1:6" x14ac:dyDescent="0.25">
      <c r="A4223" t="s">
        <v>1532</v>
      </c>
      <c r="B4223" t="s">
        <v>317</v>
      </c>
      <c r="C4223" s="10" t="str" cm="1">
        <f t="array" ref="C4223">IF(AND(A4223="2020-12", ISNA(MATCH(B4223, _xlfn._xlws.FILTER(B:B, A:A="2021-01"), 0))), "Left", "Ativo")</f>
        <v>Ativo</v>
      </c>
      <c r="D4223" s="10" t="str" cm="1">
        <f t="array" ref="D4223">IF(AND(A4223="2021-01", ISNA(MATCH(B4223, _xlfn._xlws.FILTER(B:B, A:A="2021-02"), 0))), "Left", "Ativo")</f>
        <v>Ativo</v>
      </c>
      <c r="E4223" s="10" t="str" cm="1">
        <f t="array" ref="E4223">IF(AND(A4223="2021-02", ISNA(MATCH(B4223, _xlfn._xlws.FILTER(B:B, A:A="2021-03"), 0))), "Left", "Ativo")</f>
        <v>Ativo</v>
      </c>
      <c r="F4223" s="12" t="str" cm="1">
        <f t="array" ref="F4223">IF(AND(A4223="2021-03", ISNA(MATCH(B4223, _xlfn._xlws.FILTER(B:B, A:A="2021-04"), 0))), "Left", "Ativo")</f>
        <v>Ativo</v>
      </c>
    </row>
    <row r="4224" spans="1:6" x14ac:dyDescent="0.25">
      <c r="A4224" t="s">
        <v>1532</v>
      </c>
      <c r="B4224" t="s">
        <v>318</v>
      </c>
      <c r="C4224" s="10" t="str" cm="1">
        <f t="array" ref="C4224">IF(AND(A4224="2020-12", ISNA(MATCH(B4224, _xlfn._xlws.FILTER(B:B, A:A="2021-01"), 0))), "Left", "Ativo")</f>
        <v>Ativo</v>
      </c>
      <c r="D4224" s="10" t="str" cm="1">
        <f t="array" ref="D4224">IF(AND(A4224="2021-01", ISNA(MATCH(B4224, _xlfn._xlws.FILTER(B:B, A:A="2021-02"), 0))), "Left", "Ativo")</f>
        <v>Ativo</v>
      </c>
      <c r="E4224" s="10" t="str" cm="1">
        <f t="array" ref="E4224">IF(AND(A4224="2021-02", ISNA(MATCH(B4224, _xlfn._xlws.FILTER(B:B, A:A="2021-03"), 0))), "Left", "Ativo")</f>
        <v>Ativo</v>
      </c>
      <c r="F4224" s="12" t="str" cm="1">
        <f t="array" ref="F4224">IF(AND(A4224="2021-03", ISNA(MATCH(B4224, _xlfn._xlws.FILTER(B:B, A:A="2021-04"), 0))), "Left", "Ativo")</f>
        <v>Ativo</v>
      </c>
    </row>
    <row r="4225" spans="1:6" x14ac:dyDescent="0.25">
      <c r="A4225" t="s">
        <v>1532</v>
      </c>
      <c r="B4225" t="s">
        <v>319</v>
      </c>
      <c r="C4225" s="10" t="str" cm="1">
        <f t="array" ref="C4225">IF(AND(A4225="2020-12", ISNA(MATCH(B4225, _xlfn._xlws.FILTER(B:B, A:A="2021-01"), 0))), "Left", "Ativo")</f>
        <v>Ativo</v>
      </c>
      <c r="D4225" s="10" t="str" cm="1">
        <f t="array" ref="D4225">IF(AND(A4225="2021-01", ISNA(MATCH(B4225, _xlfn._xlws.FILTER(B:B, A:A="2021-02"), 0))), "Left", "Ativo")</f>
        <v>Ativo</v>
      </c>
      <c r="E4225" s="10" t="str" cm="1">
        <f t="array" ref="E4225">IF(AND(A4225="2021-02", ISNA(MATCH(B4225, _xlfn._xlws.FILTER(B:B, A:A="2021-03"), 0))), "Left", "Ativo")</f>
        <v>Ativo</v>
      </c>
      <c r="F4225" s="12" t="str" cm="1">
        <f t="array" ref="F4225">IF(AND(A4225="2021-03", ISNA(MATCH(B4225, _xlfn._xlws.FILTER(B:B, A:A="2021-04"), 0))), "Left", "Ativo")</f>
        <v>Ativo</v>
      </c>
    </row>
    <row r="4226" spans="1:6" x14ac:dyDescent="0.25">
      <c r="A4226" t="s">
        <v>1532</v>
      </c>
      <c r="B4226" t="s">
        <v>320</v>
      </c>
      <c r="C4226" s="10" t="str" cm="1">
        <f t="array" ref="C4226">IF(AND(A4226="2020-12", ISNA(MATCH(B4226, _xlfn._xlws.FILTER(B:B, A:A="2021-01"), 0))), "Left", "Ativo")</f>
        <v>Ativo</v>
      </c>
      <c r="D4226" s="10" t="str" cm="1">
        <f t="array" ref="D4226">IF(AND(A4226="2021-01", ISNA(MATCH(B4226, _xlfn._xlws.FILTER(B:B, A:A="2021-02"), 0))), "Left", "Ativo")</f>
        <v>Ativo</v>
      </c>
      <c r="E4226" s="10" t="str" cm="1">
        <f t="array" ref="E4226">IF(AND(A4226="2021-02", ISNA(MATCH(B4226, _xlfn._xlws.FILTER(B:B, A:A="2021-03"), 0))), "Left", "Ativo")</f>
        <v>Ativo</v>
      </c>
      <c r="F4226" s="12" t="str" cm="1">
        <f t="array" ref="F4226">IF(AND(A4226="2021-03", ISNA(MATCH(B4226, _xlfn._xlws.FILTER(B:B, A:A="2021-04"), 0))), "Left", "Ativo")</f>
        <v>Ativo</v>
      </c>
    </row>
    <row r="4227" spans="1:6" x14ac:dyDescent="0.25">
      <c r="A4227" t="s">
        <v>1532</v>
      </c>
      <c r="B4227" t="s">
        <v>321</v>
      </c>
      <c r="C4227" s="10" t="str" cm="1">
        <f t="array" ref="C4227">IF(AND(A4227="2020-12", ISNA(MATCH(B4227, _xlfn._xlws.FILTER(B:B, A:A="2021-01"), 0))), "Left", "Ativo")</f>
        <v>Ativo</v>
      </c>
      <c r="D4227" s="10" t="str" cm="1">
        <f t="array" ref="D4227">IF(AND(A4227="2021-01", ISNA(MATCH(B4227, _xlfn._xlws.FILTER(B:B, A:A="2021-02"), 0))), "Left", "Ativo")</f>
        <v>Ativo</v>
      </c>
      <c r="E4227" s="10" t="str" cm="1">
        <f t="array" ref="E4227">IF(AND(A4227="2021-02", ISNA(MATCH(B4227, _xlfn._xlws.FILTER(B:B, A:A="2021-03"), 0))), "Left", "Ativo")</f>
        <v>Ativo</v>
      </c>
      <c r="F4227" s="12" t="str" cm="1">
        <f t="array" ref="F4227">IF(AND(A4227="2021-03", ISNA(MATCH(B4227, _xlfn._xlws.FILTER(B:B, A:A="2021-04"), 0))), "Left", "Ativo")</f>
        <v>Ativo</v>
      </c>
    </row>
    <row r="4228" spans="1:6" x14ac:dyDescent="0.25">
      <c r="A4228" t="s">
        <v>1532</v>
      </c>
      <c r="B4228" t="s">
        <v>322</v>
      </c>
      <c r="C4228" s="10" t="str" cm="1">
        <f t="array" ref="C4228">IF(AND(A4228="2020-12", ISNA(MATCH(B4228, _xlfn._xlws.FILTER(B:B, A:A="2021-01"), 0))), "Left", "Ativo")</f>
        <v>Ativo</v>
      </c>
      <c r="D4228" s="10" t="str" cm="1">
        <f t="array" ref="D4228">IF(AND(A4228="2021-01", ISNA(MATCH(B4228, _xlfn._xlws.FILTER(B:B, A:A="2021-02"), 0))), "Left", "Ativo")</f>
        <v>Ativo</v>
      </c>
      <c r="E4228" s="10" t="str" cm="1">
        <f t="array" ref="E4228">IF(AND(A4228="2021-02", ISNA(MATCH(B4228, _xlfn._xlws.FILTER(B:B, A:A="2021-03"), 0))), "Left", "Ativo")</f>
        <v>Ativo</v>
      </c>
      <c r="F4228" s="12" t="str" cm="1">
        <f t="array" ref="F4228">IF(AND(A4228="2021-03", ISNA(MATCH(B4228, _xlfn._xlws.FILTER(B:B, A:A="2021-04"), 0))), "Left", "Ativo")</f>
        <v>Ativo</v>
      </c>
    </row>
    <row r="4229" spans="1:6" x14ac:dyDescent="0.25">
      <c r="A4229" t="s">
        <v>1532</v>
      </c>
      <c r="B4229" t="s">
        <v>323</v>
      </c>
      <c r="C4229" s="10" t="str" cm="1">
        <f t="array" ref="C4229">IF(AND(A4229="2020-12", ISNA(MATCH(B4229, _xlfn._xlws.FILTER(B:B, A:A="2021-01"), 0))), "Left", "Ativo")</f>
        <v>Ativo</v>
      </c>
      <c r="D4229" s="10" t="str" cm="1">
        <f t="array" ref="D4229">IF(AND(A4229="2021-01", ISNA(MATCH(B4229, _xlfn._xlws.FILTER(B:B, A:A="2021-02"), 0))), "Left", "Ativo")</f>
        <v>Ativo</v>
      </c>
      <c r="E4229" s="10" t="str" cm="1">
        <f t="array" ref="E4229">IF(AND(A4229="2021-02", ISNA(MATCH(B4229, _xlfn._xlws.FILTER(B:B, A:A="2021-03"), 0))), "Left", "Ativo")</f>
        <v>Ativo</v>
      </c>
      <c r="F4229" s="12" t="str" cm="1">
        <f t="array" ref="F4229">IF(AND(A4229="2021-03", ISNA(MATCH(B4229, _xlfn._xlws.FILTER(B:B, A:A="2021-04"), 0))), "Left", "Ativo")</f>
        <v>Ativo</v>
      </c>
    </row>
    <row r="4230" spans="1:6" x14ac:dyDescent="0.25">
      <c r="A4230" t="s">
        <v>1532</v>
      </c>
      <c r="B4230" t="s">
        <v>324</v>
      </c>
      <c r="C4230" s="10" t="str" cm="1">
        <f t="array" ref="C4230">IF(AND(A4230="2020-12", ISNA(MATCH(B4230, _xlfn._xlws.FILTER(B:B, A:A="2021-01"), 0))), "Left", "Ativo")</f>
        <v>Ativo</v>
      </c>
      <c r="D4230" s="10" t="str" cm="1">
        <f t="array" ref="D4230">IF(AND(A4230="2021-01", ISNA(MATCH(B4230, _xlfn._xlws.FILTER(B:B, A:A="2021-02"), 0))), "Left", "Ativo")</f>
        <v>Ativo</v>
      </c>
      <c r="E4230" s="10" t="str" cm="1">
        <f t="array" ref="E4230">IF(AND(A4230="2021-02", ISNA(MATCH(B4230, _xlfn._xlws.FILTER(B:B, A:A="2021-03"), 0))), "Left", "Ativo")</f>
        <v>Ativo</v>
      </c>
      <c r="F4230" s="12" t="str" cm="1">
        <f t="array" ref="F4230">IF(AND(A4230="2021-03", ISNA(MATCH(B4230, _xlfn._xlws.FILTER(B:B, A:A="2021-04"), 0))), "Left", "Ativo")</f>
        <v>Ativo</v>
      </c>
    </row>
    <row r="4231" spans="1:6" x14ac:dyDescent="0.25">
      <c r="A4231" t="s">
        <v>1532</v>
      </c>
      <c r="B4231" t="s">
        <v>325</v>
      </c>
      <c r="C4231" s="10" t="str" cm="1">
        <f t="array" ref="C4231">IF(AND(A4231="2020-12", ISNA(MATCH(B4231, _xlfn._xlws.FILTER(B:B, A:A="2021-01"), 0))), "Left", "Ativo")</f>
        <v>Ativo</v>
      </c>
      <c r="D4231" s="10" t="str" cm="1">
        <f t="array" ref="D4231">IF(AND(A4231="2021-01", ISNA(MATCH(B4231, _xlfn._xlws.FILTER(B:B, A:A="2021-02"), 0))), "Left", "Ativo")</f>
        <v>Ativo</v>
      </c>
      <c r="E4231" s="10" t="str" cm="1">
        <f t="array" ref="E4231">IF(AND(A4231="2021-02", ISNA(MATCH(B4231, _xlfn._xlws.FILTER(B:B, A:A="2021-03"), 0))), "Left", "Ativo")</f>
        <v>Ativo</v>
      </c>
      <c r="F4231" s="12" t="str" cm="1">
        <f t="array" ref="F4231">IF(AND(A4231="2021-03", ISNA(MATCH(B4231, _xlfn._xlws.FILTER(B:B, A:A="2021-04"), 0))), "Left", "Ativo")</f>
        <v>Ativo</v>
      </c>
    </row>
    <row r="4232" spans="1:6" x14ac:dyDescent="0.25">
      <c r="A4232" t="s">
        <v>1532</v>
      </c>
      <c r="B4232" t="s">
        <v>326</v>
      </c>
      <c r="C4232" s="10" t="str" cm="1">
        <f t="array" ref="C4232">IF(AND(A4232="2020-12", ISNA(MATCH(B4232, _xlfn._xlws.FILTER(B:B, A:A="2021-01"), 0))), "Left", "Ativo")</f>
        <v>Ativo</v>
      </c>
      <c r="D4232" s="10" t="str" cm="1">
        <f t="array" ref="D4232">IF(AND(A4232="2021-01", ISNA(MATCH(B4232, _xlfn._xlws.FILTER(B:B, A:A="2021-02"), 0))), "Left", "Ativo")</f>
        <v>Ativo</v>
      </c>
      <c r="E4232" s="10" t="str" cm="1">
        <f t="array" ref="E4232">IF(AND(A4232="2021-02", ISNA(MATCH(B4232, _xlfn._xlws.FILTER(B:B, A:A="2021-03"), 0))), "Left", "Ativo")</f>
        <v>Ativo</v>
      </c>
      <c r="F4232" s="12" t="str" cm="1">
        <f t="array" ref="F4232">IF(AND(A4232="2021-03", ISNA(MATCH(B4232, _xlfn._xlws.FILTER(B:B, A:A="2021-04"), 0))), "Left", "Ativo")</f>
        <v>Ativo</v>
      </c>
    </row>
    <row r="4233" spans="1:6" x14ac:dyDescent="0.25">
      <c r="A4233" t="s">
        <v>1532</v>
      </c>
      <c r="B4233" t="s">
        <v>327</v>
      </c>
      <c r="C4233" s="10" t="str" cm="1">
        <f t="array" ref="C4233">IF(AND(A4233="2020-12", ISNA(MATCH(B4233, _xlfn._xlws.FILTER(B:B, A:A="2021-01"), 0))), "Left", "Ativo")</f>
        <v>Ativo</v>
      </c>
      <c r="D4233" s="10" t="str" cm="1">
        <f t="array" ref="D4233">IF(AND(A4233="2021-01", ISNA(MATCH(B4233, _xlfn._xlws.FILTER(B:B, A:A="2021-02"), 0))), "Left", "Ativo")</f>
        <v>Ativo</v>
      </c>
      <c r="E4233" s="10" t="str" cm="1">
        <f t="array" ref="E4233">IF(AND(A4233="2021-02", ISNA(MATCH(B4233, _xlfn._xlws.FILTER(B:B, A:A="2021-03"), 0))), "Left", "Ativo")</f>
        <v>Ativo</v>
      </c>
      <c r="F4233" s="12" t="str" cm="1">
        <f t="array" ref="F4233">IF(AND(A4233="2021-03", ISNA(MATCH(B4233, _xlfn._xlws.FILTER(B:B, A:A="2021-04"), 0))), "Left", "Ativo")</f>
        <v>Ativo</v>
      </c>
    </row>
    <row r="4234" spans="1:6" x14ac:dyDescent="0.25">
      <c r="A4234" t="s">
        <v>1532</v>
      </c>
      <c r="B4234" t="s">
        <v>328</v>
      </c>
      <c r="C4234" s="10" t="str" cm="1">
        <f t="array" ref="C4234">IF(AND(A4234="2020-12", ISNA(MATCH(B4234, _xlfn._xlws.FILTER(B:B, A:A="2021-01"), 0))), "Left", "Ativo")</f>
        <v>Ativo</v>
      </c>
      <c r="D4234" s="10" t="str" cm="1">
        <f t="array" ref="D4234">IF(AND(A4234="2021-01", ISNA(MATCH(B4234, _xlfn._xlws.FILTER(B:B, A:A="2021-02"), 0))), "Left", "Ativo")</f>
        <v>Ativo</v>
      </c>
      <c r="E4234" s="10" t="str" cm="1">
        <f t="array" ref="E4234">IF(AND(A4234="2021-02", ISNA(MATCH(B4234, _xlfn._xlws.FILTER(B:B, A:A="2021-03"), 0))), "Left", "Ativo")</f>
        <v>Ativo</v>
      </c>
      <c r="F4234" s="12" t="str" cm="1">
        <f t="array" ref="F4234">IF(AND(A4234="2021-03", ISNA(MATCH(B4234, _xlfn._xlws.FILTER(B:B, A:A="2021-04"), 0))), "Left", "Ativo")</f>
        <v>Ativo</v>
      </c>
    </row>
    <row r="4235" spans="1:6" x14ac:dyDescent="0.25">
      <c r="A4235" t="s">
        <v>1532</v>
      </c>
      <c r="B4235" t="s">
        <v>329</v>
      </c>
      <c r="C4235" s="10" t="str" cm="1">
        <f t="array" ref="C4235">IF(AND(A4235="2020-12", ISNA(MATCH(B4235, _xlfn._xlws.FILTER(B:B, A:A="2021-01"), 0))), "Left", "Ativo")</f>
        <v>Ativo</v>
      </c>
      <c r="D4235" s="10" t="str" cm="1">
        <f t="array" ref="D4235">IF(AND(A4235="2021-01", ISNA(MATCH(B4235, _xlfn._xlws.FILTER(B:B, A:A="2021-02"), 0))), "Left", "Ativo")</f>
        <v>Ativo</v>
      </c>
      <c r="E4235" s="10" t="str" cm="1">
        <f t="array" ref="E4235">IF(AND(A4235="2021-02", ISNA(MATCH(B4235, _xlfn._xlws.FILTER(B:B, A:A="2021-03"), 0))), "Left", "Ativo")</f>
        <v>Ativo</v>
      </c>
      <c r="F4235" s="12" t="str" cm="1">
        <f t="array" ref="F4235">IF(AND(A4235="2021-03", ISNA(MATCH(B4235, _xlfn._xlws.FILTER(B:B, A:A="2021-04"), 0))), "Left", "Ativo")</f>
        <v>Ativo</v>
      </c>
    </row>
    <row r="4236" spans="1:6" x14ac:dyDescent="0.25">
      <c r="A4236" t="s">
        <v>1532</v>
      </c>
      <c r="B4236" t="s">
        <v>330</v>
      </c>
      <c r="C4236" s="10" t="str" cm="1">
        <f t="array" ref="C4236">IF(AND(A4236="2020-12", ISNA(MATCH(B4236, _xlfn._xlws.FILTER(B:B, A:A="2021-01"), 0))), "Left", "Ativo")</f>
        <v>Ativo</v>
      </c>
      <c r="D4236" s="10" t="str" cm="1">
        <f t="array" ref="D4236">IF(AND(A4236="2021-01", ISNA(MATCH(B4236, _xlfn._xlws.FILTER(B:B, A:A="2021-02"), 0))), "Left", "Ativo")</f>
        <v>Ativo</v>
      </c>
      <c r="E4236" s="10" t="str" cm="1">
        <f t="array" ref="E4236">IF(AND(A4236="2021-02", ISNA(MATCH(B4236, _xlfn._xlws.FILTER(B:B, A:A="2021-03"), 0))), "Left", "Ativo")</f>
        <v>Ativo</v>
      </c>
      <c r="F4236" s="12" t="str" cm="1">
        <f t="array" ref="F4236">IF(AND(A4236="2021-03", ISNA(MATCH(B4236, _xlfn._xlws.FILTER(B:B, A:A="2021-04"), 0))), "Left", "Ativo")</f>
        <v>Ativo</v>
      </c>
    </row>
    <row r="4237" spans="1:6" x14ac:dyDescent="0.25">
      <c r="A4237" t="s">
        <v>1532</v>
      </c>
      <c r="B4237" t="s">
        <v>331</v>
      </c>
      <c r="C4237" s="10" t="str" cm="1">
        <f t="array" ref="C4237">IF(AND(A4237="2020-12", ISNA(MATCH(B4237, _xlfn._xlws.FILTER(B:B, A:A="2021-01"), 0))), "Left", "Ativo")</f>
        <v>Ativo</v>
      </c>
      <c r="D4237" s="10" t="str" cm="1">
        <f t="array" ref="D4237">IF(AND(A4237="2021-01", ISNA(MATCH(B4237, _xlfn._xlws.FILTER(B:B, A:A="2021-02"), 0))), "Left", "Ativo")</f>
        <v>Ativo</v>
      </c>
      <c r="E4237" s="10" t="str" cm="1">
        <f t="array" ref="E4237">IF(AND(A4237="2021-02", ISNA(MATCH(B4237, _xlfn._xlws.FILTER(B:B, A:A="2021-03"), 0))), "Left", "Ativo")</f>
        <v>Ativo</v>
      </c>
      <c r="F4237" s="12" t="str" cm="1">
        <f t="array" ref="F4237">IF(AND(A4237="2021-03", ISNA(MATCH(B4237, _xlfn._xlws.FILTER(B:B, A:A="2021-04"), 0))), "Left", "Ativo")</f>
        <v>Ativo</v>
      </c>
    </row>
    <row r="4238" spans="1:6" x14ac:dyDescent="0.25">
      <c r="A4238" t="s">
        <v>1532</v>
      </c>
      <c r="B4238" t="s">
        <v>332</v>
      </c>
      <c r="C4238" s="10" t="str" cm="1">
        <f t="array" ref="C4238">IF(AND(A4238="2020-12", ISNA(MATCH(B4238, _xlfn._xlws.FILTER(B:B, A:A="2021-01"), 0))), "Left", "Ativo")</f>
        <v>Ativo</v>
      </c>
      <c r="D4238" s="10" t="str" cm="1">
        <f t="array" ref="D4238">IF(AND(A4238="2021-01", ISNA(MATCH(B4238, _xlfn._xlws.FILTER(B:B, A:A="2021-02"), 0))), "Left", "Ativo")</f>
        <v>Ativo</v>
      </c>
      <c r="E4238" s="10" t="str" cm="1">
        <f t="array" ref="E4238">IF(AND(A4238="2021-02", ISNA(MATCH(B4238, _xlfn._xlws.FILTER(B:B, A:A="2021-03"), 0))), "Left", "Ativo")</f>
        <v>Ativo</v>
      </c>
      <c r="F4238" s="12" t="str" cm="1">
        <f t="array" ref="F4238">IF(AND(A4238="2021-03", ISNA(MATCH(B4238, _xlfn._xlws.FILTER(B:B, A:A="2021-04"), 0))), "Left", "Ativo")</f>
        <v>Ativo</v>
      </c>
    </row>
    <row r="4239" spans="1:6" x14ac:dyDescent="0.25">
      <c r="A4239" t="s">
        <v>1532</v>
      </c>
      <c r="B4239" t="s">
        <v>333</v>
      </c>
      <c r="C4239" s="10" t="str" cm="1">
        <f t="array" ref="C4239">IF(AND(A4239="2020-12", ISNA(MATCH(B4239, _xlfn._xlws.FILTER(B:B, A:A="2021-01"), 0))), "Left", "Ativo")</f>
        <v>Ativo</v>
      </c>
      <c r="D4239" s="10" t="str" cm="1">
        <f t="array" ref="D4239">IF(AND(A4239="2021-01", ISNA(MATCH(B4239, _xlfn._xlws.FILTER(B:B, A:A="2021-02"), 0))), "Left", "Ativo")</f>
        <v>Ativo</v>
      </c>
      <c r="E4239" s="10" t="str" cm="1">
        <f t="array" ref="E4239">IF(AND(A4239="2021-02", ISNA(MATCH(B4239, _xlfn._xlws.FILTER(B:B, A:A="2021-03"), 0))), "Left", "Ativo")</f>
        <v>Ativo</v>
      </c>
      <c r="F4239" s="12" t="str" cm="1">
        <f t="array" ref="F4239">IF(AND(A4239="2021-03", ISNA(MATCH(B4239, _xlfn._xlws.FILTER(B:B, A:A="2021-04"), 0))), "Left", "Ativo")</f>
        <v>Ativo</v>
      </c>
    </row>
    <row r="4240" spans="1:6" x14ac:dyDescent="0.25">
      <c r="A4240" t="s">
        <v>1532</v>
      </c>
      <c r="B4240" t="s">
        <v>334</v>
      </c>
      <c r="C4240" s="10" t="str" cm="1">
        <f t="array" ref="C4240">IF(AND(A4240="2020-12", ISNA(MATCH(B4240, _xlfn._xlws.FILTER(B:B, A:A="2021-01"), 0))), "Left", "Ativo")</f>
        <v>Ativo</v>
      </c>
      <c r="D4240" s="10" t="str" cm="1">
        <f t="array" ref="D4240">IF(AND(A4240="2021-01", ISNA(MATCH(B4240, _xlfn._xlws.FILTER(B:B, A:A="2021-02"), 0))), "Left", "Ativo")</f>
        <v>Ativo</v>
      </c>
      <c r="E4240" s="10" t="str" cm="1">
        <f t="array" ref="E4240">IF(AND(A4240="2021-02", ISNA(MATCH(B4240, _xlfn._xlws.FILTER(B:B, A:A="2021-03"), 0))), "Left", "Ativo")</f>
        <v>Ativo</v>
      </c>
      <c r="F4240" s="12" t="str" cm="1">
        <f t="array" ref="F4240">IF(AND(A4240="2021-03", ISNA(MATCH(B4240, _xlfn._xlws.FILTER(B:B, A:A="2021-04"), 0))), "Left", "Ativo")</f>
        <v>Ativo</v>
      </c>
    </row>
    <row r="4241" spans="1:6" x14ac:dyDescent="0.25">
      <c r="A4241" t="s">
        <v>1532</v>
      </c>
      <c r="B4241" t="s">
        <v>335</v>
      </c>
      <c r="C4241" s="10" t="str" cm="1">
        <f t="array" ref="C4241">IF(AND(A4241="2020-12", ISNA(MATCH(B4241, _xlfn._xlws.FILTER(B:B, A:A="2021-01"), 0))), "Left", "Ativo")</f>
        <v>Ativo</v>
      </c>
      <c r="D4241" s="10" t="str" cm="1">
        <f t="array" ref="D4241">IF(AND(A4241="2021-01", ISNA(MATCH(B4241, _xlfn._xlws.FILTER(B:B, A:A="2021-02"), 0))), "Left", "Ativo")</f>
        <v>Ativo</v>
      </c>
      <c r="E4241" s="10" t="str" cm="1">
        <f t="array" ref="E4241">IF(AND(A4241="2021-02", ISNA(MATCH(B4241, _xlfn._xlws.FILTER(B:B, A:A="2021-03"), 0))), "Left", "Ativo")</f>
        <v>Ativo</v>
      </c>
      <c r="F4241" s="12" t="str" cm="1">
        <f t="array" ref="F4241">IF(AND(A4241="2021-03", ISNA(MATCH(B4241, _xlfn._xlws.FILTER(B:B, A:A="2021-04"), 0))), "Left", "Ativo")</f>
        <v>Ativo</v>
      </c>
    </row>
    <row r="4242" spans="1:6" x14ac:dyDescent="0.25">
      <c r="A4242" t="s">
        <v>1532</v>
      </c>
      <c r="B4242" t="s">
        <v>336</v>
      </c>
      <c r="C4242" s="10" t="str" cm="1">
        <f t="array" ref="C4242">IF(AND(A4242="2020-12", ISNA(MATCH(B4242, _xlfn._xlws.FILTER(B:B, A:A="2021-01"), 0))), "Left", "Ativo")</f>
        <v>Ativo</v>
      </c>
      <c r="D4242" s="10" t="str" cm="1">
        <f t="array" ref="D4242">IF(AND(A4242="2021-01", ISNA(MATCH(B4242, _xlfn._xlws.FILTER(B:B, A:A="2021-02"), 0))), "Left", "Ativo")</f>
        <v>Ativo</v>
      </c>
      <c r="E4242" s="10" t="str" cm="1">
        <f t="array" ref="E4242">IF(AND(A4242="2021-02", ISNA(MATCH(B4242, _xlfn._xlws.FILTER(B:B, A:A="2021-03"), 0))), "Left", "Ativo")</f>
        <v>Ativo</v>
      </c>
      <c r="F4242" s="12" t="str" cm="1">
        <f t="array" ref="F4242">IF(AND(A4242="2021-03", ISNA(MATCH(B4242, _xlfn._xlws.FILTER(B:B, A:A="2021-04"), 0))), "Left", "Ativo")</f>
        <v>Ativo</v>
      </c>
    </row>
    <row r="4243" spans="1:6" x14ac:dyDescent="0.25">
      <c r="A4243" t="s">
        <v>1532</v>
      </c>
      <c r="B4243" t="s">
        <v>337</v>
      </c>
      <c r="C4243" s="10" t="str" cm="1">
        <f t="array" ref="C4243">IF(AND(A4243="2020-12", ISNA(MATCH(B4243, _xlfn._xlws.FILTER(B:B, A:A="2021-01"), 0))), "Left", "Ativo")</f>
        <v>Ativo</v>
      </c>
      <c r="D4243" s="10" t="str" cm="1">
        <f t="array" ref="D4243">IF(AND(A4243="2021-01", ISNA(MATCH(B4243, _xlfn._xlws.FILTER(B:B, A:A="2021-02"), 0))), "Left", "Ativo")</f>
        <v>Ativo</v>
      </c>
      <c r="E4243" s="10" t="str" cm="1">
        <f t="array" ref="E4243">IF(AND(A4243="2021-02", ISNA(MATCH(B4243, _xlfn._xlws.FILTER(B:B, A:A="2021-03"), 0))), "Left", "Ativo")</f>
        <v>Ativo</v>
      </c>
      <c r="F4243" s="12" t="str" cm="1">
        <f t="array" ref="F4243">IF(AND(A4243="2021-03", ISNA(MATCH(B4243, _xlfn._xlws.FILTER(B:B, A:A="2021-04"), 0))), "Left", "Ativo")</f>
        <v>Ativo</v>
      </c>
    </row>
    <row r="4244" spans="1:6" x14ac:dyDescent="0.25">
      <c r="A4244" t="s">
        <v>1532</v>
      </c>
      <c r="B4244" t="s">
        <v>338</v>
      </c>
      <c r="C4244" s="10" t="str" cm="1">
        <f t="array" ref="C4244">IF(AND(A4244="2020-12", ISNA(MATCH(B4244, _xlfn._xlws.FILTER(B:B, A:A="2021-01"), 0))), "Left", "Ativo")</f>
        <v>Ativo</v>
      </c>
      <c r="D4244" s="10" t="str" cm="1">
        <f t="array" ref="D4244">IF(AND(A4244="2021-01", ISNA(MATCH(B4244, _xlfn._xlws.FILTER(B:B, A:A="2021-02"), 0))), "Left", "Ativo")</f>
        <v>Ativo</v>
      </c>
      <c r="E4244" s="10" t="str" cm="1">
        <f t="array" ref="E4244">IF(AND(A4244="2021-02", ISNA(MATCH(B4244, _xlfn._xlws.FILTER(B:B, A:A="2021-03"), 0))), "Left", "Ativo")</f>
        <v>Ativo</v>
      </c>
      <c r="F4244" s="12" t="str" cm="1">
        <f t="array" ref="F4244">IF(AND(A4244="2021-03", ISNA(MATCH(B4244, _xlfn._xlws.FILTER(B:B, A:A="2021-04"), 0))), "Left", "Ativo")</f>
        <v>Ativo</v>
      </c>
    </row>
    <row r="4245" spans="1:6" x14ac:dyDescent="0.25">
      <c r="A4245" t="s">
        <v>1532</v>
      </c>
      <c r="B4245" t="s">
        <v>339</v>
      </c>
      <c r="C4245" s="10" t="str" cm="1">
        <f t="array" ref="C4245">IF(AND(A4245="2020-12", ISNA(MATCH(B4245, _xlfn._xlws.FILTER(B:B, A:A="2021-01"), 0))), "Left", "Ativo")</f>
        <v>Ativo</v>
      </c>
      <c r="D4245" s="10" t="str" cm="1">
        <f t="array" ref="D4245">IF(AND(A4245="2021-01", ISNA(MATCH(B4245, _xlfn._xlws.FILTER(B:B, A:A="2021-02"), 0))), "Left", "Ativo")</f>
        <v>Ativo</v>
      </c>
      <c r="E4245" s="10" t="str" cm="1">
        <f t="array" ref="E4245">IF(AND(A4245="2021-02", ISNA(MATCH(B4245, _xlfn._xlws.FILTER(B:B, A:A="2021-03"), 0))), "Left", "Ativo")</f>
        <v>Ativo</v>
      </c>
      <c r="F4245" s="12" t="str" cm="1">
        <f t="array" ref="F4245">IF(AND(A4245="2021-03", ISNA(MATCH(B4245, _xlfn._xlws.FILTER(B:B, A:A="2021-04"), 0))), "Left", "Ativo")</f>
        <v>Ativo</v>
      </c>
    </row>
    <row r="4246" spans="1:6" x14ac:dyDescent="0.25">
      <c r="A4246" t="s">
        <v>1532</v>
      </c>
      <c r="B4246" t="s">
        <v>340</v>
      </c>
      <c r="C4246" s="10" t="str" cm="1">
        <f t="array" ref="C4246">IF(AND(A4246="2020-12", ISNA(MATCH(B4246, _xlfn._xlws.FILTER(B:B, A:A="2021-01"), 0))), "Left", "Ativo")</f>
        <v>Ativo</v>
      </c>
      <c r="D4246" s="10" t="str" cm="1">
        <f t="array" ref="D4246">IF(AND(A4246="2021-01", ISNA(MATCH(B4246, _xlfn._xlws.FILTER(B:B, A:A="2021-02"), 0))), "Left", "Ativo")</f>
        <v>Ativo</v>
      </c>
      <c r="E4246" s="10" t="str" cm="1">
        <f t="array" ref="E4246">IF(AND(A4246="2021-02", ISNA(MATCH(B4246, _xlfn._xlws.FILTER(B:B, A:A="2021-03"), 0))), "Left", "Ativo")</f>
        <v>Ativo</v>
      </c>
      <c r="F4246" s="12" t="str" cm="1">
        <f t="array" ref="F4246">IF(AND(A4246="2021-03", ISNA(MATCH(B4246, _xlfn._xlws.FILTER(B:B, A:A="2021-04"), 0))), "Left", "Ativo")</f>
        <v>Ativo</v>
      </c>
    </row>
    <row r="4247" spans="1:6" x14ac:dyDescent="0.25">
      <c r="A4247" t="s">
        <v>1532</v>
      </c>
      <c r="B4247" t="s">
        <v>341</v>
      </c>
      <c r="C4247" s="10" t="str" cm="1">
        <f t="array" ref="C4247">IF(AND(A4247="2020-12", ISNA(MATCH(B4247, _xlfn._xlws.FILTER(B:B, A:A="2021-01"), 0))), "Left", "Ativo")</f>
        <v>Ativo</v>
      </c>
      <c r="D4247" s="10" t="str" cm="1">
        <f t="array" ref="D4247">IF(AND(A4247="2021-01", ISNA(MATCH(B4247, _xlfn._xlws.FILTER(B:B, A:A="2021-02"), 0))), "Left", "Ativo")</f>
        <v>Ativo</v>
      </c>
      <c r="E4247" s="10" t="str" cm="1">
        <f t="array" ref="E4247">IF(AND(A4247="2021-02", ISNA(MATCH(B4247, _xlfn._xlws.FILTER(B:B, A:A="2021-03"), 0))), "Left", "Ativo")</f>
        <v>Ativo</v>
      </c>
      <c r="F4247" s="12" t="str" cm="1">
        <f t="array" ref="F4247">IF(AND(A4247="2021-03", ISNA(MATCH(B4247, _xlfn._xlws.FILTER(B:B, A:A="2021-04"), 0))), "Left", "Ativo")</f>
        <v>Ativo</v>
      </c>
    </row>
    <row r="4248" spans="1:6" x14ac:dyDescent="0.25">
      <c r="A4248" t="s">
        <v>1532</v>
      </c>
      <c r="B4248" t="s">
        <v>342</v>
      </c>
      <c r="C4248" s="10" t="str" cm="1">
        <f t="array" ref="C4248">IF(AND(A4248="2020-12", ISNA(MATCH(B4248, _xlfn._xlws.FILTER(B:B, A:A="2021-01"), 0))), "Left", "Ativo")</f>
        <v>Ativo</v>
      </c>
      <c r="D4248" s="10" t="str" cm="1">
        <f t="array" ref="D4248">IF(AND(A4248="2021-01", ISNA(MATCH(B4248, _xlfn._xlws.FILTER(B:B, A:A="2021-02"), 0))), "Left", "Ativo")</f>
        <v>Ativo</v>
      </c>
      <c r="E4248" s="10" t="str" cm="1">
        <f t="array" ref="E4248">IF(AND(A4248="2021-02", ISNA(MATCH(B4248, _xlfn._xlws.FILTER(B:B, A:A="2021-03"), 0))), "Left", "Ativo")</f>
        <v>Ativo</v>
      </c>
      <c r="F4248" s="12" t="str" cm="1">
        <f t="array" ref="F4248">IF(AND(A4248="2021-03", ISNA(MATCH(B4248, _xlfn._xlws.FILTER(B:B, A:A="2021-04"), 0))), "Left", "Ativo")</f>
        <v>Ativo</v>
      </c>
    </row>
    <row r="4249" spans="1:6" x14ac:dyDescent="0.25">
      <c r="A4249" t="s">
        <v>1532</v>
      </c>
      <c r="B4249" t="s">
        <v>343</v>
      </c>
      <c r="C4249" s="10" t="str" cm="1">
        <f t="array" ref="C4249">IF(AND(A4249="2020-12", ISNA(MATCH(B4249, _xlfn._xlws.FILTER(B:B, A:A="2021-01"), 0))), "Left", "Ativo")</f>
        <v>Ativo</v>
      </c>
      <c r="D4249" s="10" t="str" cm="1">
        <f t="array" ref="D4249">IF(AND(A4249="2021-01", ISNA(MATCH(B4249, _xlfn._xlws.FILTER(B:B, A:A="2021-02"), 0))), "Left", "Ativo")</f>
        <v>Ativo</v>
      </c>
      <c r="E4249" s="10" t="str" cm="1">
        <f t="array" ref="E4249">IF(AND(A4249="2021-02", ISNA(MATCH(B4249, _xlfn._xlws.FILTER(B:B, A:A="2021-03"), 0))), "Left", "Ativo")</f>
        <v>Ativo</v>
      </c>
      <c r="F4249" s="12" t="str" cm="1">
        <f t="array" ref="F4249">IF(AND(A4249="2021-03", ISNA(MATCH(B4249, _xlfn._xlws.FILTER(B:B, A:A="2021-04"), 0))), "Left", "Ativo")</f>
        <v>Ativo</v>
      </c>
    </row>
    <row r="4250" spans="1:6" x14ac:dyDescent="0.25">
      <c r="A4250" t="s">
        <v>1532</v>
      </c>
      <c r="B4250" t="s">
        <v>344</v>
      </c>
      <c r="C4250" s="10" t="str" cm="1">
        <f t="array" ref="C4250">IF(AND(A4250="2020-12", ISNA(MATCH(B4250, _xlfn._xlws.FILTER(B:B, A:A="2021-01"), 0))), "Left", "Ativo")</f>
        <v>Ativo</v>
      </c>
      <c r="D4250" s="10" t="str" cm="1">
        <f t="array" ref="D4250">IF(AND(A4250="2021-01", ISNA(MATCH(B4250, _xlfn._xlws.FILTER(B:B, A:A="2021-02"), 0))), "Left", "Ativo")</f>
        <v>Ativo</v>
      </c>
      <c r="E4250" s="10" t="str" cm="1">
        <f t="array" ref="E4250">IF(AND(A4250="2021-02", ISNA(MATCH(B4250, _xlfn._xlws.FILTER(B:B, A:A="2021-03"), 0))), "Left", "Ativo")</f>
        <v>Ativo</v>
      </c>
      <c r="F4250" s="12" t="str" cm="1">
        <f t="array" ref="F4250">IF(AND(A4250="2021-03", ISNA(MATCH(B4250, _xlfn._xlws.FILTER(B:B, A:A="2021-04"), 0))), "Left", "Ativo")</f>
        <v>Ativo</v>
      </c>
    </row>
    <row r="4251" spans="1:6" x14ac:dyDescent="0.25">
      <c r="A4251" t="s">
        <v>1532</v>
      </c>
      <c r="B4251" t="s">
        <v>345</v>
      </c>
      <c r="C4251" s="10" t="str" cm="1">
        <f t="array" ref="C4251">IF(AND(A4251="2020-12", ISNA(MATCH(B4251, _xlfn._xlws.FILTER(B:B, A:A="2021-01"), 0))), "Left", "Ativo")</f>
        <v>Ativo</v>
      </c>
      <c r="D4251" s="10" t="str" cm="1">
        <f t="array" ref="D4251">IF(AND(A4251="2021-01", ISNA(MATCH(B4251, _xlfn._xlws.FILTER(B:B, A:A="2021-02"), 0))), "Left", "Ativo")</f>
        <v>Ativo</v>
      </c>
      <c r="E4251" s="10" t="str" cm="1">
        <f t="array" ref="E4251">IF(AND(A4251="2021-02", ISNA(MATCH(B4251, _xlfn._xlws.FILTER(B:B, A:A="2021-03"), 0))), "Left", "Ativo")</f>
        <v>Ativo</v>
      </c>
      <c r="F4251" s="12" t="str" cm="1">
        <f t="array" ref="F4251">IF(AND(A4251="2021-03", ISNA(MATCH(B4251, _xlfn._xlws.FILTER(B:B, A:A="2021-04"), 0))), "Left", "Ativo")</f>
        <v>Ativo</v>
      </c>
    </row>
    <row r="4252" spans="1:6" x14ac:dyDescent="0.25">
      <c r="A4252" t="s">
        <v>1532</v>
      </c>
      <c r="B4252" t="s">
        <v>346</v>
      </c>
      <c r="C4252" s="10" t="str" cm="1">
        <f t="array" ref="C4252">IF(AND(A4252="2020-12", ISNA(MATCH(B4252, _xlfn._xlws.FILTER(B:B, A:A="2021-01"), 0))), "Left", "Ativo")</f>
        <v>Ativo</v>
      </c>
      <c r="D4252" s="10" t="str" cm="1">
        <f t="array" ref="D4252">IF(AND(A4252="2021-01", ISNA(MATCH(B4252, _xlfn._xlws.FILTER(B:B, A:A="2021-02"), 0))), "Left", "Ativo")</f>
        <v>Ativo</v>
      </c>
      <c r="E4252" s="10" t="str" cm="1">
        <f t="array" ref="E4252">IF(AND(A4252="2021-02", ISNA(MATCH(B4252, _xlfn._xlws.FILTER(B:B, A:A="2021-03"), 0))), "Left", "Ativo")</f>
        <v>Ativo</v>
      </c>
      <c r="F4252" s="12" t="str" cm="1">
        <f t="array" ref="F4252">IF(AND(A4252="2021-03", ISNA(MATCH(B4252, _xlfn._xlws.FILTER(B:B, A:A="2021-04"), 0))), "Left", "Ativo")</f>
        <v>Ativo</v>
      </c>
    </row>
    <row r="4253" spans="1:6" x14ac:dyDescent="0.25">
      <c r="A4253" t="s">
        <v>1532</v>
      </c>
      <c r="B4253" t="s">
        <v>347</v>
      </c>
      <c r="C4253" s="10" t="str" cm="1">
        <f t="array" ref="C4253">IF(AND(A4253="2020-12", ISNA(MATCH(B4253, _xlfn._xlws.FILTER(B:B, A:A="2021-01"), 0))), "Left", "Ativo")</f>
        <v>Ativo</v>
      </c>
      <c r="D4253" s="10" t="str" cm="1">
        <f t="array" ref="D4253">IF(AND(A4253="2021-01", ISNA(MATCH(B4253, _xlfn._xlws.FILTER(B:B, A:A="2021-02"), 0))), "Left", "Ativo")</f>
        <v>Ativo</v>
      </c>
      <c r="E4253" s="10" t="str" cm="1">
        <f t="array" ref="E4253">IF(AND(A4253="2021-02", ISNA(MATCH(B4253, _xlfn._xlws.FILTER(B:B, A:A="2021-03"), 0))), "Left", "Ativo")</f>
        <v>Ativo</v>
      </c>
      <c r="F4253" s="12" t="str" cm="1">
        <f t="array" ref="F4253">IF(AND(A4253="2021-03", ISNA(MATCH(B4253, _xlfn._xlws.FILTER(B:B, A:A="2021-04"), 0))), "Left", "Ativo")</f>
        <v>Ativo</v>
      </c>
    </row>
    <row r="4254" spans="1:6" x14ac:dyDescent="0.25">
      <c r="A4254" t="s">
        <v>1532</v>
      </c>
      <c r="B4254" t="s">
        <v>348</v>
      </c>
      <c r="C4254" s="10" t="str" cm="1">
        <f t="array" ref="C4254">IF(AND(A4254="2020-12", ISNA(MATCH(B4254, _xlfn._xlws.FILTER(B:B, A:A="2021-01"), 0))), "Left", "Ativo")</f>
        <v>Ativo</v>
      </c>
      <c r="D4254" s="10" t="str" cm="1">
        <f t="array" ref="D4254">IF(AND(A4254="2021-01", ISNA(MATCH(B4254, _xlfn._xlws.FILTER(B:B, A:A="2021-02"), 0))), "Left", "Ativo")</f>
        <v>Ativo</v>
      </c>
      <c r="E4254" s="10" t="str" cm="1">
        <f t="array" ref="E4254">IF(AND(A4254="2021-02", ISNA(MATCH(B4254, _xlfn._xlws.FILTER(B:B, A:A="2021-03"), 0))), "Left", "Ativo")</f>
        <v>Ativo</v>
      </c>
      <c r="F4254" s="12" t="str" cm="1">
        <f t="array" ref="F4254">IF(AND(A4254="2021-03", ISNA(MATCH(B4254, _xlfn._xlws.FILTER(B:B, A:A="2021-04"), 0))), "Left", "Ativo")</f>
        <v>Ativo</v>
      </c>
    </row>
    <row r="4255" spans="1:6" x14ac:dyDescent="0.25">
      <c r="A4255" t="s">
        <v>1532</v>
      </c>
      <c r="B4255" t="s">
        <v>349</v>
      </c>
      <c r="C4255" s="10" t="str" cm="1">
        <f t="array" ref="C4255">IF(AND(A4255="2020-12", ISNA(MATCH(B4255, _xlfn._xlws.FILTER(B:B, A:A="2021-01"), 0))), "Left", "Ativo")</f>
        <v>Ativo</v>
      </c>
      <c r="D4255" s="10" t="str" cm="1">
        <f t="array" ref="D4255">IF(AND(A4255="2021-01", ISNA(MATCH(B4255, _xlfn._xlws.FILTER(B:B, A:A="2021-02"), 0))), "Left", "Ativo")</f>
        <v>Ativo</v>
      </c>
      <c r="E4255" s="10" t="str" cm="1">
        <f t="array" ref="E4255">IF(AND(A4255="2021-02", ISNA(MATCH(B4255, _xlfn._xlws.FILTER(B:B, A:A="2021-03"), 0))), "Left", "Ativo")</f>
        <v>Ativo</v>
      </c>
      <c r="F4255" s="12" t="str" cm="1">
        <f t="array" ref="F4255">IF(AND(A4255="2021-03", ISNA(MATCH(B4255, _xlfn._xlws.FILTER(B:B, A:A="2021-04"), 0))), "Left", "Ativo")</f>
        <v>Ativo</v>
      </c>
    </row>
    <row r="4256" spans="1:6" x14ac:dyDescent="0.25">
      <c r="A4256" t="s">
        <v>1532</v>
      </c>
      <c r="B4256" t="s">
        <v>350</v>
      </c>
      <c r="C4256" s="10" t="str" cm="1">
        <f t="array" ref="C4256">IF(AND(A4256="2020-12", ISNA(MATCH(B4256, _xlfn._xlws.FILTER(B:B, A:A="2021-01"), 0))), "Left", "Ativo")</f>
        <v>Ativo</v>
      </c>
      <c r="D4256" s="10" t="str" cm="1">
        <f t="array" ref="D4256">IF(AND(A4256="2021-01", ISNA(MATCH(B4256, _xlfn._xlws.FILTER(B:B, A:A="2021-02"), 0))), "Left", "Ativo")</f>
        <v>Ativo</v>
      </c>
      <c r="E4256" s="10" t="str" cm="1">
        <f t="array" ref="E4256">IF(AND(A4256="2021-02", ISNA(MATCH(B4256, _xlfn._xlws.FILTER(B:B, A:A="2021-03"), 0))), "Left", "Ativo")</f>
        <v>Ativo</v>
      </c>
      <c r="F4256" s="12" t="str" cm="1">
        <f t="array" ref="F4256">IF(AND(A4256="2021-03", ISNA(MATCH(B4256, _xlfn._xlws.FILTER(B:B, A:A="2021-04"), 0))), "Left", "Ativo")</f>
        <v>Ativo</v>
      </c>
    </row>
    <row r="4257" spans="1:6" x14ac:dyDescent="0.25">
      <c r="A4257" t="s">
        <v>1532</v>
      </c>
      <c r="B4257" t="s">
        <v>351</v>
      </c>
      <c r="C4257" s="10" t="str" cm="1">
        <f t="array" ref="C4257">IF(AND(A4257="2020-12", ISNA(MATCH(B4257, _xlfn._xlws.FILTER(B:B, A:A="2021-01"), 0))), "Left", "Ativo")</f>
        <v>Ativo</v>
      </c>
      <c r="D4257" s="10" t="str" cm="1">
        <f t="array" ref="D4257">IF(AND(A4257="2021-01", ISNA(MATCH(B4257, _xlfn._xlws.FILTER(B:B, A:A="2021-02"), 0))), "Left", "Ativo")</f>
        <v>Ativo</v>
      </c>
      <c r="E4257" s="10" t="str" cm="1">
        <f t="array" ref="E4257">IF(AND(A4257="2021-02", ISNA(MATCH(B4257, _xlfn._xlws.FILTER(B:B, A:A="2021-03"), 0))), "Left", "Ativo")</f>
        <v>Ativo</v>
      </c>
      <c r="F4257" s="12" t="str" cm="1">
        <f t="array" ref="F4257">IF(AND(A4257="2021-03", ISNA(MATCH(B4257, _xlfn._xlws.FILTER(B:B, A:A="2021-04"), 0))), "Left", "Ativo")</f>
        <v>Ativo</v>
      </c>
    </row>
    <row r="4258" spans="1:6" x14ac:dyDescent="0.25">
      <c r="A4258" t="s">
        <v>1532</v>
      </c>
      <c r="B4258" t="s">
        <v>352</v>
      </c>
      <c r="C4258" s="10" t="str" cm="1">
        <f t="array" ref="C4258">IF(AND(A4258="2020-12", ISNA(MATCH(B4258, _xlfn._xlws.FILTER(B:B, A:A="2021-01"), 0))), "Left", "Ativo")</f>
        <v>Ativo</v>
      </c>
      <c r="D4258" s="10" t="str" cm="1">
        <f t="array" ref="D4258">IF(AND(A4258="2021-01", ISNA(MATCH(B4258, _xlfn._xlws.FILTER(B:B, A:A="2021-02"), 0))), "Left", "Ativo")</f>
        <v>Ativo</v>
      </c>
      <c r="E4258" s="10" t="str" cm="1">
        <f t="array" ref="E4258">IF(AND(A4258="2021-02", ISNA(MATCH(B4258, _xlfn._xlws.FILTER(B:B, A:A="2021-03"), 0))), "Left", "Ativo")</f>
        <v>Ativo</v>
      </c>
      <c r="F4258" s="12" t="str" cm="1">
        <f t="array" ref="F4258">IF(AND(A4258="2021-03", ISNA(MATCH(B4258, _xlfn._xlws.FILTER(B:B, A:A="2021-04"), 0))), "Left", "Ativo")</f>
        <v>Ativo</v>
      </c>
    </row>
    <row r="4259" spans="1:6" x14ac:dyDescent="0.25">
      <c r="A4259" t="s">
        <v>1532</v>
      </c>
      <c r="B4259" t="s">
        <v>353</v>
      </c>
      <c r="C4259" s="10" t="str" cm="1">
        <f t="array" ref="C4259">IF(AND(A4259="2020-12", ISNA(MATCH(B4259, _xlfn._xlws.FILTER(B:B, A:A="2021-01"), 0))), "Left", "Ativo")</f>
        <v>Ativo</v>
      </c>
      <c r="D4259" s="10" t="str" cm="1">
        <f t="array" ref="D4259">IF(AND(A4259="2021-01", ISNA(MATCH(B4259, _xlfn._xlws.FILTER(B:B, A:A="2021-02"), 0))), "Left", "Ativo")</f>
        <v>Ativo</v>
      </c>
      <c r="E4259" s="10" t="str" cm="1">
        <f t="array" ref="E4259">IF(AND(A4259="2021-02", ISNA(MATCH(B4259, _xlfn._xlws.FILTER(B:B, A:A="2021-03"), 0))), "Left", "Ativo")</f>
        <v>Ativo</v>
      </c>
      <c r="F4259" s="12" t="str" cm="1">
        <f t="array" ref="F4259">IF(AND(A4259="2021-03", ISNA(MATCH(B4259, _xlfn._xlws.FILTER(B:B, A:A="2021-04"), 0))), "Left", "Ativo")</f>
        <v>Ativo</v>
      </c>
    </row>
    <row r="4260" spans="1:6" x14ac:dyDescent="0.25">
      <c r="A4260" t="s">
        <v>1532</v>
      </c>
      <c r="B4260" t="s">
        <v>354</v>
      </c>
      <c r="C4260" s="10" t="str" cm="1">
        <f t="array" ref="C4260">IF(AND(A4260="2020-12", ISNA(MATCH(B4260, _xlfn._xlws.FILTER(B:B, A:A="2021-01"), 0))), "Left", "Ativo")</f>
        <v>Ativo</v>
      </c>
      <c r="D4260" s="10" t="str" cm="1">
        <f t="array" ref="D4260">IF(AND(A4260="2021-01", ISNA(MATCH(B4260, _xlfn._xlws.FILTER(B:B, A:A="2021-02"), 0))), "Left", "Ativo")</f>
        <v>Ativo</v>
      </c>
      <c r="E4260" s="10" t="str" cm="1">
        <f t="array" ref="E4260">IF(AND(A4260="2021-02", ISNA(MATCH(B4260, _xlfn._xlws.FILTER(B:B, A:A="2021-03"), 0))), "Left", "Ativo")</f>
        <v>Ativo</v>
      </c>
      <c r="F4260" s="12" t="str" cm="1">
        <f t="array" ref="F4260">IF(AND(A4260="2021-03", ISNA(MATCH(B4260, _xlfn._xlws.FILTER(B:B, A:A="2021-04"), 0))), "Left", "Ativo")</f>
        <v>Ativo</v>
      </c>
    </row>
    <row r="4261" spans="1:6" x14ac:dyDescent="0.25">
      <c r="A4261" t="s">
        <v>1532</v>
      </c>
      <c r="B4261" t="s">
        <v>355</v>
      </c>
      <c r="C4261" s="10" t="str" cm="1">
        <f t="array" ref="C4261">IF(AND(A4261="2020-12", ISNA(MATCH(B4261, _xlfn._xlws.FILTER(B:B, A:A="2021-01"), 0))), "Left", "Ativo")</f>
        <v>Ativo</v>
      </c>
      <c r="D4261" s="10" t="str" cm="1">
        <f t="array" ref="D4261">IF(AND(A4261="2021-01", ISNA(MATCH(B4261, _xlfn._xlws.FILTER(B:B, A:A="2021-02"), 0))), "Left", "Ativo")</f>
        <v>Ativo</v>
      </c>
      <c r="E4261" s="10" t="str" cm="1">
        <f t="array" ref="E4261">IF(AND(A4261="2021-02", ISNA(MATCH(B4261, _xlfn._xlws.FILTER(B:B, A:A="2021-03"), 0))), "Left", "Ativo")</f>
        <v>Ativo</v>
      </c>
      <c r="F4261" s="12" t="str" cm="1">
        <f t="array" ref="F4261">IF(AND(A4261="2021-03", ISNA(MATCH(B4261, _xlfn._xlws.FILTER(B:B, A:A="2021-04"), 0))), "Left", "Ativo")</f>
        <v>Ativo</v>
      </c>
    </row>
    <row r="4262" spans="1:6" x14ac:dyDescent="0.25">
      <c r="A4262" t="s">
        <v>1532</v>
      </c>
      <c r="B4262" t="s">
        <v>356</v>
      </c>
      <c r="C4262" s="10" t="str" cm="1">
        <f t="array" ref="C4262">IF(AND(A4262="2020-12", ISNA(MATCH(B4262, _xlfn._xlws.FILTER(B:B, A:A="2021-01"), 0))), "Left", "Ativo")</f>
        <v>Ativo</v>
      </c>
      <c r="D4262" s="10" t="str" cm="1">
        <f t="array" ref="D4262">IF(AND(A4262="2021-01", ISNA(MATCH(B4262, _xlfn._xlws.FILTER(B:B, A:A="2021-02"), 0))), "Left", "Ativo")</f>
        <v>Ativo</v>
      </c>
      <c r="E4262" s="10" t="str" cm="1">
        <f t="array" ref="E4262">IF(AND(A4262="2021-02", ISNA(MATCH(B4262, _xlfn._xlws.FILTER(B:B, A:A="2021-03"), 0))), "Left", "Ativo")</f>
        <v>Ativo</v>
      </c>
      <c r="F4262" s="12" t="str" cm="1">
        <f t="array" ref="F4262">IF(AND(A4262="2021-03", ISNA(MATCH(B4262, _xlfn._xlws.FILTER(B:B, A:A="2021-04"), 0))), "Left", "Ativo")</f>
        <v>Ativo</v>
      </c>
    </row>
    <row r="4263" spans="1:6" x14ac:dyDescent="0.25">
      <c r="A4263" t="s">
        <v>1532</v>
      </c>
      <c r="B4263" t="s">
        <v>357</v>
      </c>
      <c r="C4263" s="10" t="str" cm="1">
        <f t="array" ref="C4263">IF(AND(A4263="2020-12", ISNA(MATCH(B4263, _xlfn._xlws.FILTER(B:B, A:A="2021-01"), 0))), "Left", "Ativo")</f>
        <v>Ativo</v>
      </c>
      <c r="D4263" s="10" t="str" cm="1">
        <f t="array" ref="D4263">IF(AND(A4263="2021-01", ISNA(MATCH(B4263, _xlfn._xlws.FILTER(B:B, A:A="2021-02"), 0))), "Left", "Ativo")</f>
        <v>Ativo</v>
      </c>
      <c r="E4263" s="10" t="str" cm="1">
        <f t="array" ref="E4263">IF(AND(A4263="2021-02", ISNA(MATCH(B4263, _xlfn._xlws.FILTER(B:B, A:A="2021-03"), 0))), "Left", "Ativo")</f>
        <v>Ativo</v>
      </c>
      <c r="F4263" s="12" t="str" cm="1">
        <f t="array" ref="F4263">IF(AND(A4263="2021-03", ISNA(MATCH(B4263, _xlfn._xlws.FILTER(B:B, A:A="2021-04"), 0))), "Left", "Ativo")</f>
        <v>Ativo</v>
      </c>
    </row>
    <row r="4264" spans="1:6" x14ac:dyDescent="0.25">
      <c r="A4264" t="s">
        <v>1532</v>
      </c>
      <c r="B4264" t="s">
        <v>358</v>
      </c>
      <c r="C4264" s="10" t="str" cm="1">
        <f t="array" ref="C4264">IF(AND(A4264="2020-12", ISNA(MATCH(B4264, _xlfn._xlws.FILTER(B:B, A:A="2021-01"), 0))), "Left", "Ativo")</f>
        <v>Ativo</v>
      </c>
      <c r="D4264" s="10" t="str" cm="1">
        <f t="array" ref="D4264">IF(AND(A4264="2021-01", ISNA(MATCH(B4264, _xlfn._xlws.FILTER(B:B, A:A="2021-02"), 0))), "Left", "Ativo")</f>
        <v>Ativo</v>
      </c>
      <c r="E4264" s="10" t="str" cm="1">
        <f t="array" ref="E4264">IF(AND(A4264="2021-02", ISNA(MATCH(B4264, _xlfn._xlws.FILTER(B:B, A:A="2021-03"), 0))), "Left", "Ativo")</f>
        <v>Ativo</v>
      </c>
      <c r="F4264" s="12" t="str" cm="1">
        <f t="array" ref="F4264">IF(AND(A4264="2021-03", ISNA(MATCH(B4264, _xlfn._xlws.FILTER(B:B, A:A="2021-04"), 0))), "Left", "Ativo")</f>
        <v>Ativo</v>
      </c>
    </row>
    <row r="4265" spans="1:6" x14ac:dyDescent="0.25">
      <c r="A4265" t="s">
        <v>1532</v>
      </c>
      <c r="B4265" t="s">
        <v>359</v>
      </c>
      <c r="C4265" s="10" t="str" cm="1">
        <f t="array" ref="C4265">IF(AND(A4265="2020-12", ISNA(MATCH(B4265, _xlfn._xlws.FILTER(B:B, A:A="2021-01"), 0))), "Left", "Ativo")</f>
        <v>Ativo</v>
      </c>
      <c r="D4265" s="10" t="str" cm="1">
        <f t="array" ref="D4265">IF(AND(A4265="2021-01", ISNA(MATCH(B4265, _xlfn._xlws.FILTER(B:B, A:A="2021-02"), 0))), "Left", "Ativo")</f>
        <v>Ativo</v>
      </c>
      <c r="E4265" s="10" t="str" cm="1">
        <f t="array" ref="E4265">IF(AND(A4265="2021-02", ISNA(MATCH(B4265, _xlfn._xlws.FILTER(B:B, A:A="2021-03"), 0))), "Left", "Ativo")</f>
        <v>Ativo</v>
      </c>
      <c r="F4265" s="12" t="str" cm="1">
        <f t="array" ref="F4265">IF(AND(A4265="2021-03", ISNA(MATCH(B4265, _xlfn._xlws.FILTER(B:B, A:A="2021-04"), 0))), "Left", "Ativo")</f>
        <v>Ativo</v>
      </c>
    </row>
    <row r="4266" spans="1:6" x14ac:dyDescent="0.25">
      <c r="A4266" t="s">
        <v>1532</v>
      </c>
      <c r="B4266" t="s">
        <v>360</v>
      </c>
      <c r="C4266" s="10" t="str" cm="1">
        <f t="array" ref="C4266">IF(AND(A4266="2020-12", ISNA(MATCH(B4266, _xlfn._xlws.FILTER(B:B, A:A="2021-01"), 0))), "Left", "Ativo")</f>
        <v>Ativo</v>
      </c>
      <c r="D4266" s="10" t="str" cm="1">
        <f t="array" ref="D4266">IF(AND(A4266="2021-01", ISNA(MATCH(B4266, _xlfn._xlws.FILTER(B:B, A:A="2021-02"), 0))), "Left", "Ativo")</f>
        <v>Ativo</v>
      </c>
      <c r="E4266" s="10" t="str" cm="1">
        <f t="array" ref="E4266">IF(AND(A4266="2021-02", ISNA(MATCH(B4266, _xlfn._xlws.FILTER(B:B, A:A="2021-03"), 0))), "Left", "Ativo")</f>
        <v>Ativo</v>
      </c>
      <c r="F4266" s="12" t="str" cm="1">
        <f t="array" ref="F4266">IF(AND(A4266="2021-03", ISNA(MATCH(B4266, _xlfn._xlws.FILTER(B:B, A:A="2021-04"), 0))), "Left", "Ativo")</f>
        <v>Ativo</v>
      </c>
    </row>
    <row r="4267" spans="1:6" x14ac:dyDescent="0.25">
      <c r="A4267" t="s">
        <v>1532</v>
      </c>
      <c r="B4267" t="s">
        <v>361</v>
      </c>
      <c r="C4267" s="10" t="str" cm="1">
        <f t="array" ref="C4267">IF(AND(A4267="2020-12", ISNA(MATCH(B4267, _xlfn._xlws.FILTER(B:B, A:A="2021-01"), 0))), "Left", "Ativo")</f>
        <v>Ativo</v>
      </c>
      <c r="D4267" s="10" t="str" cm="1">
        <f t="array" ref="D4267">IF(AND(A4267="2021-01", ISNA(MATCH(B4267, _xlfn._xlws.FILTER(B:B, A:A="2021-02"), 0))), "Left", "Ativo")</f>
        <v>Ativo</v>
      </c>
      <c r="E4267" s="10" t="str" cm="1">
        <f t="array" ref="E4267">IF(AND(A4267="2021-02", ISNA(MATCH(B4267, _xlfn._xlws.FILTER(B:B, A:A="2021-03"), 0))), "Left", "Ativo")</f>
        <v>Ativo</v>
      </c>
      <c r="F4267" s="12" t="str" cm="1">
        <f t="array" ref="F4267">IF(AND(A4267="2021-03", ISNA(MATCH(B4267, _xlfn._xlws.FILTER(B:B, A:A="2021-04"), 0))), "Left", "Ativo")</f>
        <v>Ativo</v>
      </c>
    </row>
    <row r="4268" spans="1:6" x14ac:dyDescent="0.25">
      <c r="A4268" t="s">
        <v>1532</v>
      </c>
      <c r="B4268" t="s">
        <v>362</v>
      </c>
      <c r="C4268" s="10" t="str" cm="1">
        <f t="array" ref="C4268">IF(AND(A4268="2020-12", ISNA(MATCH(B4268, _xlfn._xlws.FILTER(B:B, A:A="2021-01"), 0))), "Left", "Ativo")</f>
        <v>Ativo</v>
      </c>
      <c r="D4268" s="10" t="str" cm="1">
        <f t="array" ref="D4268">IF(AND(A4268="2021-01", ISNA(MATCH(B4268, _xlfn._xlws.FILTER(B:B, A:A="2021-02"), 0))), "Left", "Ativo")</f>
        <v>Ativo</v>
      </c>
      <c r="E4268" s="10" t="str" cm="1">
        <f t="array" ref="E4268">IF(AND(A4268="2021-02", ISNA(MATCH(B4268, _xlfn._xlws.FILTER(B:B, A:A="2021-03"), 0))), "Left", "Ativo")</f>
        <v>Ativo</v>
      </c>
      <c r="F4268" s="12" t="str" cm="1">
        <f t="array" ref="F4268">IF(AND(A4268="2021-03", ISNA(MATCH(B4268, _xlfn._xlws.FILTER(B:B, A:A="2021-04"), 0))), "Left", "Ativo")</f>
        <v>Ativo</v>
      </c>
    </row>
    <row r="4269" spans="1:6" x14ac:dyDescent="0.25">
      <c r="A4269" t="s">
        <v>1532</v>
      </c>
      <c r="B4269" t="s">
        <v>363</v>
      </c>
      <c r="C4269" s="10" t="str" cm="1">
        <f t="array" ref="C4269">IF(AND(A4269="2020-12", ISNA(MATCH(B4269, _xlfn._xlws.FILTER(B:B, A:A="2021-01"), 0))), "Left", "Ativo")</f>
        <v>Ativo</v>
      </c>
      <c r="D4269" s="10" t="str" cm="1">
        <f t="array" ref="D4269">IF(AND(A4269="2021-01", ISNA(MATCH(B4269, _xlfn._xlws.FILTER(B:B, A:A="2021-02"), 0))), "Left", "Ativo")</f>
        <v>Ativo</v>
      </c>
      <c r="E4269" s="10" t="str" cm="1">
        <f t="array" ref="E4269">IF(AND(A4269="2021-02", ISNA(MATCH(B4269, _xlfn._xlws.FILTER(B:B, A:A="2021-03"), 0))), "Left", "Ativo")</f>
        <v>Ativo</v>
      </c>
      <c r="F4269" s="12" t="str" cm="1">
        <f t="array" ref="F4269">IF(AND(A4269="2021-03", ISNA(MATCH(B4269, _xlfn._xlws.FILTER(B:B, A:A="2021-04"), 0))), "Left", "Ativo")</f>
        <v>Ativo</v>
      </c>
    </row>
    <row r="4270" spans="1:6" x14ac:dyDescent="0.25">
      <c r="A4270" t="s">
        <v>1532</v>
      </c>
      <c r="B4270" t="s">
        <v>364</v>
      </c>
      <c r="C4270" s="10" t="str" cm="1">
        <f t="array" ref="C4270">IF(AND(A4270="2020-12", ISNA(MATCH(B4270, _xlfn._xlws.FILTER(B:B, A:A="2021-01"), 0))), "Left", "Ativo")</f>
        <v>Ativo</v>
      </c>
      <c r="D4270" s="10" t="str" cm="1">
        <f t="array" ref="D4270">IF(AND(A4270="2021-01", ISNA(MATCH(B4270, _xlfn._xlws.FILTER(B:B, A:A="2021-02"), 0))), "Left", "Ativo")</f>
        <v>Ativo</v>
      </c>
      <c r="E4270" s="10" t="str" cm="1">
        <f t="array" ref="E4270">IF(AND(A4270="2021-02", ISNA(MATCH(B4270, _xlfn._xlws.FILTER(B:B, A:A="2021-03"), 0))), "Left", "Ativo")</f>
        <v>Ativo</v>
      </c>
      <c r="F4270" s="12" t="str" cm="1">
        <f t="array" ref="F4270">IF(AND(A4270="2021-03", ISNA(MATCH(B4270, _xlfn._xlws.FILTER(B:B, A:A="2021-04"), 0))), "Left", "Ativo")</f>
        <v>Ativo</v>
      </c>
    </row>
    <row r="4271" spans="1:6" x14ac:dyDescent="0.25">
      <c r="A4271" t="s">
        <v>1532</v>
      </c>
      <c r="B4271" t="s">
        <v>365</v>
      </c>
      <c r="C4271" s="10" t="str" cm="1">
        <f t="array" ref="C4271">IF(AND(A4271="2020-12", ISNA(MATCH(B4271, _xlfn._xlws.FILTER(B:B, A:A="2021-01"), 0))), "Left", "Ativo")</f>
        <v>Ativo</v>
      </c>
      <c r="D4271" s="10" t="str" cm="1">
        <f t="array" ref="D4271">IF(AND(A4271="2021-01", ISNA(MATCH(B4271, _xlfn._xlws.FILTER(B:B, A:A="2021-02"), 0))), "Left", "Ativo")</f>
        <v>Ativo</v>
      </c>
      <c r="E4271" s="10" t="str" cm="1">
        <f t="array" ref="E4271">IF(AND(A4271="2021-02", ISNA(MATCH(B4271, _xlfn._xlws.FILTER(B:B, A:A="2021-03"), 0))), "Left", "Ativo")</f>
        <v>Ativo</v>
      </c>
      <c r="F4271" s="12" t="str" cm="1">
        <f t="array" ref="F4271">IF(AND(A4271="2021-03", ISNA(MATCH(B4271, _xlfn._xlws.FILTER(B:B, A:A="2021-04"), 0))), "Left", "Ativo")</f>
        <v>Ativo</v>
      </c>
    </row>
    <row r="4272" spans="1:6" x14ac:dyDescent="0.25">
      <c r="A4272" t="s">
        <v>1532</v>
      </c>
      <c r="B4272" t="s">
        <v>366</v>
      </c>
      <c r="C4272" s="10" t="str" cm="1">
        <f t="array" ref="C4272">IF(AND(A4272="2020-12", ISNA(MATCH(B4272, _xlfn._xlws.FILTER(B:B, A:A="2021-01"), 0))), "Left", "Ativo")</f>
        <v>Ativo</v>
      </c>
      <c r="D4272" s="10" t="str" cm="1">
        <f t="array" ref="D4272">IF(AND(A4272="2021-01", ISNA(MATCH(B4272, _xlfn._xlws.FILTER(B:B, A:A="2021-02"), 0))), "Left", "Ativo")</f>
        <v>Ativo</v>
      </c>
      <c r="E4272" s="10" t="str" cm="1">
        <f t="array" ref="E4272">IF(AND(A4272="2021-02", ISNA(MATCH(B4272, _xlfn._xlws.FILTER(B:B, A:A="2021-03"), 0))), "Left", "Ativo")</f>
        <v>Ativo</v>
      </c>
      <c r="F4272" s="12" t="str" cm="1">
        <f t="array" ref="F4272">IF(AND(A4272="2021-03", ISNA(MATCH(B4272, _xlfn._xlws.FILTER(B:B, A:A="2021-04"), 0))), "Left", "Ativo")</f>
        <v>Ativo</v>
      </c>
    </row>
    <row r="4273" spans="1:6" x14ac:dyDescent="0.25">
      <c r="A4273" t="s">
        <v>1532</v>
      </c>
      <c r="B4273" t="s">
        <v>367</v>
      </c>
      <c r="C4273" s="10" t="str" cm="1">
        <f t="array" ref="C4273">IF(AND(A4273="2020-12", ISNA(MATCH(B4273, _xlfn._xlws.FILTER(B:B, A:A="2021-01"), 0))), "Left", "Ativo")</f>
        <v>Ativo</v>
      </c>
      <c r="D4273" s="10" t="str" cm="1">
        <f t="array" ref="D4273">IF(AND(A4273="2021-01", ISNA(MATCH(B4273, _xlfn._xlws.FILTER(B:B, A:A="2021-02"), 0))), "Left", "Ativo")</f>
        <v>Ativo</v>
      </c>
      <c r="E4273" s="10" t="str" cm="1">
        <f t="array" ref="E4273">IF(AND(A4273="2021-02", ISNA(MATCH(B4273, _xlfn._xlws.FILTER(B:B, A:A="2021-03"), 0))), "Left", "Ativo")</f>
        <v>Ativo</v>
      </c>
      <c r="F4273" s="12" t="str" cm="1">
        <f t="array" ref="F4273">IF(AND(A4273="2021-03", ISNA(MATCH(B4273, _xlfn._xlws.FILTER(B:B, A:A="2021-04"), 0))), "Left", "Ativo")</f>
        <v>Ativo</v>
      </c>
    </row>
    <row r="4274" spans="1:6" x14ac:dyDescent="0.25">
      <c r="A4274" t="s">
        <v>1532</v>
      </c>
      <c r="B4274" t="s">
        <v>368</v>
      </c>
      <c r="C4274" s="10" t="str" cm="1">
        <f t="array" ref="C4274">IF(AND(A4274="2020-12", ISNA(MATCH(B4274, _xlfn._xlws.FILTER(B:B, A:A="2021-01"), 0))), "Left", "Ativo")</f>
        <v>Ativo</v>
      </c>
      <c r="D4274" s="10" t="str" cm="1">
        <f t="array" ref="D4274">IF(AND(A4274="2021-01", ISNA(MATCH(B4274, _xlfn._xlws.FILTER(B:B, A:A="2021-02"), 0))), "Left", "Ativo")</f>
        <v>Ativo</v>
      </c>
      <c r="E4274" s="10" t="str" cm="1">
        <f t="array" ref="E4274">IF(AND(A4274="2021-02", ISNA(MATCH(B4274, _xlfn._xlws.FILTER(B:B, A:A="2021-03"), 0))), "Left", "Ativo")</f>
        <v>Ativo</v>
      </c>
      <c r="F4274" s="12" t="str" cm="1">
        <f t="array" ref="F4274">IF(AND(A4274="2021-03", ISNA(MATCH(B4274, _xlfn._xlws.FILTER(B:B, A:A="2021-04"), 0))), "Left", "Ativo")</f>
        <v>Ativo</v>
      </c>
    </row>
    <row r="4275" spans="1:6" x14ac:dyDescent="0.25">
      <c r="A4275" t="s">
        <v>1532</v>
      </c>
      <c r="B4275" t="s">
        <v>369</v>
      </c>
      <c r="C4275" s="10" t="str" cm="1">
        <f t="array" ref="C4275">IF(AND(A4275="2020-12", ISNA(MATCH(B4275, _xlfn._xlws.FILTER(B:B, A:A="2021-01"), 0))), "Left", "Ativo")</f>
        <v>Ativo</v>
      </c>
      <c r="D4275" s="10" t="str" cm="1">
        <f t="array" ref="D4275">IF(AND(A4275="2021-01", ISNA(MATCH(B4275, _xlfn._xlws.FILTER(B:B, A:A="2021-02"), 0))), "Left", "Ativo")</f>
        <v>Ativo</v>
      </c>
      <c r="E4275" s="10" t="str" cm="1">
        <f t="array" ref="E4275">IF(AND(A4275="2021-02", ISNA(MATCH(B4275, _xlfn._xlws.FILTER(B:B, A:A="2021-03"), 0))), "Left", "Ativo")</f>
        <v>Ativo</v>
      </c>
      <c r="F4275" s="12" t="str" cm="1">
        <f t="array" ref="F4275">IF(AND(A4275="2021-03", ISNA(MATCH(B4275, _xlfn._xlws.FILTER(B:B, A:A="2021-04"), 0))), "Left", "Ativo")</f>
        <v>Ativo</v>
      </c>
    </row>
    <row r="4276" spans="1:6" x14ac:dyDescent="0.25">
      <c r="A4276" t="s">
        <v>1532</v>
      </c>
      <c r="B4276" t="s">
        <v>370</v>
      </c>
      <c r="C4276" s="10" t="str" cm="1">
        <f t="array" ref="C4276">IF(AND(A4276="2020-12", ISNA(MATCH(B4276, _xlfn._xlws.FILTER(B:B, A:A="2021-01"), 0))), "Left", "Ativo")</f>
        <v>Ativo</v>
      </c>
      <c r="D4276" s="10" t="str" cm="1">
        <f t="array" ref="D4276">IF(AND(A4276="2021-01", ISNA(MATCH(B4276, _xlfn._xlws.FILTER(B:B, A:A="2021-02"), 0))), "Left", "Ativo")</f>
        <v>Ativo</v>
      </c>
      <c r="E4276" s="10" t="str" cm="1">
        <f t="array" ref="E4276">IF(AND(A4276="2021-02", ISNA(MATCH(B4276, _xlfn._xlws.FILTER(B:B, A:A="2021-03"), 0))), "Left", "Ativo")</f>
        <v>Ativo</v>
      </c>
      <c r="F4276" s="12" t="str" cm="1">
        <f t="array" ref="F4276">IF(AND(A4276="2021-03", ISNA(MATCH(B4276, _xlfn._xlws.FILTER(B:B, A:A="2021-04"), 0))), "Left", "Ativo")</f>
        <v>Ativo</v>
      </c>
    </row>
    <row r="4277" spans="1:6" x14ac:dyDescent="0.25">
      <c r="A4277" t="s">
        <v>1532</v>
      </c>
      <c r="B4277" t="s">
        <v>371</v>
      </c>
      <c r="C4277" s="10" t="str" cm="1">
        <f t="array" ref="C4277">IF(AND(A4277="2020-12", ISNA(MATCH(B4277, _xlfn._xlws.FILTER(B:B, A:A="2021-01"), 0))), "Left", "Ativo")</f>
        <v>Ativo</v>
      </c>
      <c r="D4277" s="10" t="str" cm="1">
        <f t="array" ref="D4277">IF(AND(A4277="2021-01", ISNA(MATCH(B4277, _xlfn._xlws.FILTER(B:B, A:A="2021-02"), 0))), "Left", "Ativo")</f>
        <v>Ativo</v>
      </c>
      <c r="E4277" s="10" t="str" cm="1">
        <f t="array" ref="E4277">IF(AND(A4277="2021-02", ISNA(MATCH(B4277, _xlfn._xlws.FILTER(B:B, A:A="2021-03"), 0))), "Left", "Ativo")</f>
        <v>Ativo</v>
      </c>
      <c r="F4277" s="12" t="str" cm="1">
        <f t="array" ref="F4277">IF(AND(A4277="2021-03", ISNA(MATCH(B4277, _xlfn._xlws.FILTER(B:B, A:A="2021-04"), 0))), "Left", "Ativo")</f>
        <v>Ativo</v>
      </c>
    </row>
    <row r="4278" spans="1:6" x14ac:dyDescent="0.25">
      <c r="A4278" t="s">
        <v>1532</v>
      </c>
      <c r="B4278" t="s">
        <v>372</v>
      </c>
      <c r="C4278" s="10" t="str" cm="1">
        <f t="array" ref="C4278">IF(AND(A4278="2020-12", ISNA(MATCH(B4278, _xlfn._xlws.FILTER(B:B, A:A="2021-01"), 0))), "Left", "Ativo")</f>
        <v>Ativo</v>
      </c>
      <c r="D4278" s="10" t="str" cm="1">
        <f t="array" ref="D4278">IF(AND(A4278="2021-01", ISNA(MATCH(B4278, _xlfn._xlws.FILTER(B:B, A:A="2021-02"), 0))), "Left", "Ativo")</f>
        <v>Ativo</v>
      </c>
      <c r="E4278" s="10" t="str" cm="1">
        <f t="array" ref="E4278">IF(AND(A4278="2021-02", ISNA(MATCH(B4278, _xlfn._xlws.FILTER(B:B, A:A="2021-03"), 0))), "Left", "Ativo")</f>
        <v>Ativo</v>
      </c>
      <c r="F4278" s="12" t="str" cm="1">
        <f t="array" ref="F4278">IF(AND(A4278="2021-03", ISNA(MATCH(B4278, _xlfn._xlws.FILTER(B:B, A:A="2021-04"), 0))), "Left", "Ativo")</f>
        <v>Ativo</v>
      </c>
    </row>
    <row r="4279" spans="1:6" x14ac:dyDescent="0.25">
      <c r="A4279" t="s">
        <v>1532</v>
      </c>
      <c r="B4279" t="s">
        <v>373</v>
      </c>
      <c r="C4279" s="10" t="str" cm="1">
        <f t="array" ref="C4279">IF(AND(A4279="2020-12", ISNA(MATCH(B4279, _xlfn._xlws.FILTER(B:B, A:A="2021-01"), 0))), "Left", "Ativo")</f>
        <v>Ativo</v>
      </c>
      <c r="D4279" s="10" t="str" cm="1">
        <f t="array" ref="D4279">IF(AND(A4279="2021-01", ISNA(MATCH(B4279, _xlfn._xlws.FILTER(B:B, A:A="2021-02"), 0))), "Left", "Ativo")</f>
        <v>Ativo</v>
      </c>
      <c r="E4279" s="10" t="str" cm="1">
        <f t="array" ref="E4279">IF(AND(A4279="2021-02", ISNA(MATCH(B4279, _xlfn._xlws.FILTER(B:B, A:A="2021-03"), 0))), "Left", "Ativo")</f>
        <v>Ativo</v>
      </c>
      <c r="F4279" s="12" t="str" cm="1">
        <f t="array" ref="F4279">IF(AND(A4279="2021-03", ISNA(MATCH(B4279, _xlfn._xlws.FILTER(B:B, A:A="2021-04"), 0))), "Left", "Ativo")</f>
        <v>Ativo</v>
      </c>
    </row>
    <row r="4280" spans="1:6" x14ac:dyDescent="0.25">
      <c r="A4280" t="s">
        <v>1532</v>
      </c>
      <c r="B4280" t="s">
        <v>374</v>
      </c>
      <c r="C4280" s="10" t="str" cm="1">
        <f t="array" ref="C4280">IF(AND(A4280="2020-12", ISNA(MATCH(B4280, _xlfn._xlws.FILTER(B:B, A:A="2021-01"), 0))), "Left", "Ativo")</f>
        <v>Ativo</v>
      </c>
      <c r="D4280" s="10" t="str" cm="1">
        <f t="array" ref="D4280">IF(AND(A4280="2021-01", ISNA(MATCH(B4280, _xlfn._xlws.FILTER(B:B, A:A="2021-02"), 0))), "Left", "Ativo")</f>
        <v>Ativo</v>
      </c>
      <c r="E4280" s="10" t="str" cm="1">
        <f t="array" ref="E4280">IF(AND(A4280="2021-02", ISNA(MATCH(B4280, _xlfn._xlws.FILTER(B:B, A:A="2021-03"), 0))), "Left", "Ativo")</f>
        <v>Ativo</v>
      </c>
      <c r="F4280" s="12" t="str" cm="1">
        <f t="array" ref="F4280">IF(AND(A4280="2021-03", ISNA(MATCH(B4280, _xlfn._xlws.FILTER(B:B, A:A="2021-04"), 0))), "Left", "Ativo")</f>
        <v>Ativo</v>
      </c>
    </row>
    <row r="4281" spans="1:6" x14ac:dyDescent="0.25">
      <c r="A4281" t="s">
        <v>1532</v>
      </c>
      <c r="B4281" t="s">
        <v>375</v>
      </c>
      <c r="C4281" s="10" t="str" cm="1">
        <f t="array" ref="C4281">IF(AND(A4281="2020-12", ISNA(MATCH(B4281, _xlfn._xlws.FILTER(B:B, A:A="2021-01"), 0))), "Left", "Ativo")</f>
        <v>Ativo</v>
      </c>
      <c r="D4281" s="10" t="str" cm="1">
        <f t="array" ref="D4281">IF(AND(A4281="2021-01", ISNA(MATCH(B4281, _xlfn._xlws.FILTER(B:B, A:A="2021-02"), 0))), "Left", "Ativo")</f>
        <v>Ativo</v>
      </c>
      <c r="E4281" s="10" t="str" cm="1">
        <f t="array" ref="E4281">IF(AND(A4281="2021-02", ISNA(MATCH(B4281, _xlfn._xlws.FILTER(B:B, A:A="2021-03"), 0))), "Left", "Ativo")</f>
        <v>Ativo</v>
      </c>
      <c r="F4281" s="12" t="str" cm="1">
        <f t="array" ref="F4281">IF(AND(A4281="2021-03", ISNA(MATCH(B4281, _xlfn._xlws.FILTER(B:B, A:A="2021-04"), 0))), "Left", "Ativo")</f>
        <v>Ativo</v>
      </c>
    </row>
    <row r="4282" spans="1:6" x14ac:dyDescent="0.25">
      <c r="A4282" t="s">
        <v>1532</v>
      </c>
      <c r="B4282" t="s">
        <v>376</v>
      </c>
      <c r="C4282" s="10" t="str" cm="1">
        <f t="array" ref="C4282">IF(AND(A4282="2020-12", ISNA(MATCH(B4282, _xlfn._xlws.FILTER(B:B, A:A="2021-01"), 0))), "Left", "Ativo")</f>
        <v>Ativo</v>
      </c>
      <c r="D4282" s="10" t="str" cm="1">
        <f t="array" ref="D4282">IF(AND(A4282="2021-01", ISNA(MATCH(B4282, _xlfn._xlws.FILTER(B:B, A:A="2021-02"), 0))), "Left", "Ativo")</f>
        <v>Ativo</v>
      </c>
      <c r="E4282" s="10" t="str" cm="1">
        <f t="array" ref="E4282">IF(AND(A4282="2021-02", ISNA(MATCH(B4282, _xlfn._xlws.FILTER(B:B, A:A="2021-03"), 0))), "Left", "Ativo")</f>
        <v>Ativo</v>
      </c>
      <c r="F4282" s="12" t="str" cm="1">
        <f t="array" ref="F4282">IF(AND(A4282="2021-03", ISNA(MATCH(B4282, _xlfn._xlws.FILTER(B:B, A:A="2021-04"), 0))), "Left", "Ativo")</f>
        <v>Ativo</v>
      </c>
    </row>
    <row r="4283" spans="1:6" x14ac:dyDescent="0.25">
      <c r="A4283" t="s">
        <v>1532</v>
      </c>
      <c r="B4283" t="s">
        <v>1007</v>
      </c>
      <c r="C4283" s="10" t="str" cm="1">
        <f t="array" ref="C4283">IF(AND(A4283="2020-12", ISNA(MATCH(B4283, _xlfn._xlws.FILTER(B:B, A:A="2021-01"), 0))), "Left", "Ativo")</f>
        <v>Ativo</v>
      </c>
      <c r="D4283" s="10" t="str" cm="1">
        <f t="array" ref="D4283">IF(AND(A4283="2021-01", ISNA(MATCH(B4283, _xlfn._xlws.FILTER(B:B, A:A="2021-02"), 0))), "Left", "Ativo")</f>
        <v>Ativo</v>
      </c>
      <c r="E4283" s="10" t="str" cm="1">
        <f t="array" ref="E4283">IF(AND(A4283="2021-02", ISNA(MATCH(B4283, _xlfn._xlws.FILTER(B:B, A:A="2021-03"), 0))), "Left", "Ativo")</f>
        <v>Ativo</v>
      </c>
      <c r="F4283" s="12" t="str" cm="1">
        <f t="array" ref="F4283">IF(AND(A4283="2021-03", ISNA(MATCH(B4283, _xlfn._xlws.FILTER(B:B, A:A="2021-04"), 0))), "Left", "Ativo")</f>
        <v>Ativo</v>
      </c>
    </row>
    <row r="4284" spans="1:6" x14ac:dyDescent="0.25">
      <c r="A4284" t="s">
        <v>1532</v>
      </c>
      <c r="B4284" t="s">
        <v>1008</v>
      </c>
      <c r="C4284" s="10" t="str" cm="1">
        <f t="array" ref="C4284">IF(AND(A4284="2020-12", ISNA(MATCH(B4284, _xlfn._xlws.FILTER(B:B, A:A="2021-01"), 0))), "Left", "Ativo")</f>
        <v>Ativo</v>
      </c>
      <c r="D4284" s="10" t="str" cm="1">
        <f t="array" ref="D4284">IF(AND(A4284="2021-01", ISNA(MATCH(B4284, _xlfn._xlws.FILTER(B:B, A:A="2021-02"), 0))), "Left", "Ativo")</f>
        <v>Ativo</v>
      </c>
      <c r="E4284" s="10" t="str" cm="1">
        <f t="array" ref="E4284">IF(AND(A4284="2021-02", ISNA(MATCH(B4284, _xlfn._xlws.FILTER(B:B, A:A="2021-03"), 0))), "Left", "Ativo")</f>
        <v>Ativo</v>
      </c>
      <c r="F4284" s="12" t="str" cm="1">
        <f t="array" ref="F4284">IF(AND(A4284="2021-03", ISNA(MATCH(B4284, _xlfn._xlws.FILTER(B:B, A:A="2021-04"), 0))), "Left", "Ativo")</f>
        <v>Ativo</v>
      </c>
    </row>
    <row r="4285" spans="1:6" x14ac:dyDescent="0.25">
      <c r="A4285" t="s">
        <v>1532</v>
      </c>
      <c r="B4285" t="s">
        <v>1009</v>
      </c>
      <c r="C4285" s="10" t="str" cm="1">
        <f t="array" ref="C4285">IF(AND(A4285="2020-12", ISNA(MATCH(B4285, _xlfn._xlws.FILTER(B:B, A:A="2021-01"), 0))), "Left", "Ativo")</f>
        <v>Ativo</v>
      </c>
      <c r="D4285" s="10" t="str" cm="1">
        <f t="array" ref="D4285">IF(AND(A4285="2021-01", ISNA(MATCH(B4285, _xlfn._xlws.FILTER(B:B, A:A="2021-02"), 0))), "Left", "Ativo")</f>
        <v>Ativo</v>
      </c>
      <c r="E4285" s="10" t="str" cm="1">
        <f t="array" ref="E4285">IF(AND(A4285="2021-02", ISNA(MATCH(B4285, _xlfn._xlws.FILTER(B:B, A:A="2021-03"), 0))), "Left", "Ativo")</f>
        <v>Ativo</v>
      </c>
      <c r="F4285" s="12" t="str" cm="1">
        <f t="array" ref="F4285">IF(AND(A4285="2021-03", ISNA(MATCH(B4285, _xlfn._xlws.FILTER(B:B, A:A="2021-04"), 0))), "Left", "Ativo")</f>
        <v>Ativo</v>
      </c>
    </row>
    <row r="4286" spans="1:6" x14ac:dyDescent="0.25">
      <c r="A4286" t="s">
        <v>1532</v>
      </c>
      <c r="B4286" t="s">
        <v>1010</v>
      </c>
      <c r="C4286" s="10" t="str" cm="1">
        <f t="array" ref="C4286">IF(AND(A4286="2020-12", ISNA(MATCH(B4286, _xlfn._xlws.FILTER(B:B, A:A="2021-01"), 0))), "Left", "Ativo")</f>
        <v>Ativo</v>
      </c>
      <c r="D4286" s="10" t="str" cm="1">
        <f t="array" ref="D4286">IF(AND(A4286="2021-01", ISNA(MATCH(B4286, _xlfn._xlws.FILTER(B:B, A:A="2021-02"), 0))), "Left", "Ativo")</f>
        <v>Ativo</v>
      </c>
      <c r="E4286" s="10" t="str" cm="1">
        <f t="array" ref="E4286">IF(AND(A4286="2021-02", ISNA(MATCH(B4286, _xlfn._xlws.FILTER(B:B, A:A="2021-03"), 0))), "Left", "Ativo")</f>
        <v>Ativo</v>
      </c>
      <c r="F4286" s="12" t="str" cm="1">
        <f t="array" ref="F4286">IF(AND(A4286="2021-03", ISNA(MATCH(B4286, _xlfn._xlws.FILTER(B:B, A:A="2021-04"), 0))), "Left", "Ativo")</f>
        <v>Ativo</v>
      </c>
    </row>
    <row r="4287" spans="1:6" x14ac:dyDescent="0.25">
      <c r="A4287" t="s">
        <v>1532</v>
      </c>
      <c r="B4287" t="s">
        <v>1011</v>
      </c>
      <c r="C4287" s="10" t="str" cm="1">
        <f t="array" ref="C4287">IF(AND(A4287="2020-12", ISNA(MATCH(B4287, _xlfn._xlws.FILTER(B:B, A:A="2021-01"), 0))), "Left", "Ativo")</f>
        <v>Ativo</v>
      </c>
      <c r="D4287" s="10" t="str" cm="1">
        <f t="array" ref="D4287">IF(AND(A4287="2021-01", ISNA(MATCH(B4287, _xlfn._xlws.FILTER(B:B, A:A="2021-02"), 0))), "Left", "Ativo")</f>
        <v>Ativo</v>
      </c>
      <c r="E4287" s="10" t="str" cm="1">
        <f t="array" ref="E4287">IF(AND(A4287="2021-02", ISNA(MATCH(B4287, _xlfn._xlws.FILTER(B:B, A:A="2021-03"), 0))), "Left", "Ativo")</f>
        <v>Ativo</v>
      </c>
      <c r="F4287" s="12" t="str" cm="1">
        <f t="array" ref="F4287">IF(AND(A4287="2021-03", ISNA(MATCH(B4287, _xlfn._xlws.FILTER(B:B, A:A="2021-04"), 0))), "Left", "Ativo")</f>
        <v>Ativo</v>
      </c>
    </row>
    <row r="4288" spans="1:6" x14ac:dyDescent="0.25">
      <c r="A4288" t="s">
        <v>1532</v>
      </c>
      <c r="B4288" t="s">
        <v>1012</v>
      </c>
      <c r="C4288" s="10" t="str" cm="1">
        <f t="array" ref="C4288">IF(AND(A4288="2020-12", ISNA(MATCH(B4288, _xlfn._xlws.FILTER(B:B, A:A="2021-01"), 0))), "Left", "Ativo")</f>
        <v>Ativo</v>
      </c>
      <c r="D4288" s="10" t="str" cm="1">
        <f t="array" ref="D4288">IF(AND(A4288="2021-01", ISNA(MATCH(B4288, _xlfn._xlws.FILTER(B:B, A:A="2021-02"), 0))), "Left", "Ativo")</f>
        <v>Ativo</v>
      </c>
      <c r="E4288" s="10" t="str" cm="1">
        <f t="array" ref="E4288">IF(AND(A4288="2021-02", ISNA(MATCH(B4288, _xlfn._xlws.FILTER(B:B, A:A="2021-03"), 0))), "Left", "Ativo")</f>
        <v>Ativo</v>
      </c>
      <c r="F4288" s="12" t="str" cm="1">
        <f t="array" ref="F4288">IF(AND(A4288="2021-03", ISNA(MATCH(B4288, _xlfn._xlws.FILTER(B:B, A:A="2021-04"), 0))), "Left", "Ativo")</f>
        <v>Ativo</v>
      </c>
    </row>
    <row r="4289" spans="1:6" x14ac:dyDescent="0.25">
      <c r="A4289" t="s">
        <v>1532</v>
      </c>
      <c r="B4289" t="s">
        <v>1013</v>
      </c>
      <c r="C4289" s="10" t="str" cm="1">
        <f t="array" ref="C4289">IF(AND(A4289="2020-12", ISNA(MATCH(B4289, _xlfn._xlws.FILTER(B:B, A:A="2021-01"), 0))), "Left", "Ativo")</f>
        <v>Ativo</v>
      </c>
      <c r="D4289" s="10" t="str" cm="1">
        <f t="array" ref="D4289">IF(AND(A4289="2021-01", ISNA(MATCH(B4289, _xlfn._xlws.FILTER(B:B, A:A="2021-02"), 0))), "Left", "Ativo")</f>
        <v>Ativo</v>
      </c>
      <c r="E4289" s="10" t="str" cm="1">
        <f t="array" ref="E4289">IF(AND(A4289="2021-02", ISNA(MATCH(B4289, _xlfn._xlws.FILTER(B:B, A:A="2021-03"), 0))), "Left", "Ativo")</f>
        <v>Ativo</v>
      </c>
      <c r="F4289" s="12" t="str" cm="1">
        <f t="array" ref="F4289">IF(AND(A4289="2021-03", ISNA(MATCH(B4289, _xlfn._xlws.FILTER(B:B, A:A="2021-04"), 0))), "Left", "Ativo")</f>
        <v>Ativo</v>
      </c>
    </row>
    <row r="4290" spans="1:6" x14ac:dyDescent="0.25">
      <c r="A4290" t="s">
        <v>1532</v>
      </c>
      <c r="B4290" t="s">
        <v>1014</v>
      </c>
      <c r="C4290" s="10" t="str" cm="1">
        <f t="array" ref="C4290">IF(AND(A4290="2020-12", ISNA(MATCH(B4290, _xlfn._xlws.FILTER(B:B, A:A="2021-01"), 0))), "Left", "Ativo")</f>
        <v>Ativo</v>
      </c>
      <c r="D4290" s="10" t="str" cm="1">
        <f t="array" ref="D4290">IF(AND(A4290="2021-01", ISNA(MATCH(B4290, _xlfn._xlws.FILTER(B:B, A:A="2021-02"), 0))), "Left", "Ativo")</f>
        <v>Ativo</v>
      </c>
      <c r="E4290" s="10" t="str" cm="1">
        <f t="array" ref="E4290">IF(AND(A4290="2021-02", ISNA(MATCH(B4290, _xlfn._xlws.FILTER(B:B, A:A="2021-03"), 0))), "Left", "Ativo")</f>
        <v>Ativo</v>
      </c>
      <c r="F4290" s="12" t="str" cm="1">
        <f t="array" ref="F4290">IF(AND(A4290="2021-03", ISNA(MATCH(B4290, _xlfn._xlws.FILTER(B:B, A:A="2021-04"), 0))), "Left", "Ativo")</f>
        <v>Ativo</v>
      </c>
    </row>
    <row r="4291" spans="1:6" x14ac:dyDescent="0.25">
      <c r="A4291" t="s">
        <v>1532</v>
      </c>
      <c r="B4291" t="s">
        <v>1015</v>
      </c>
      <c r="C4291" s="10" t="str" cm="1">
        <f t="array" ref="C4291">IF(AND(A4291="2020-12", ISNA(MATCH(B4291, _xlfn._xlws.FILTER(B:B, A:A="2021-01"), 0))), "Left", "Ativo")</f>
        <v>Ativo</v>
      </c>
      <c r="D4291" s="10" t="str" cm="1">
        <f t="array" ref="D4291">IF(AND(A4291="2021-01", ISNA(MATCH(B4291, _xlfn._xlws.FILTER(B:B, A:A="2021-02"), 0))), "Left", "Ativo")</f>
        <v>Ativo</v>
      </c>
      <c r="E4291" s="10" t="str" cm="1">
        <f t="array" ref="E4291">IF(AND(A4291="2021-02", ISNA(MATCH(B4291, _xlfn._xlws.FILTER(B:B, A:A="2021-03"), 0))), "Left", "Ativo")</f>
        <v>Ativo</v>
      </c>
      <c r="F4291" s="12" t="str" cm="1">
        <f t="array" ref="F4291">IF(AND(A4291="2021-03", ISNA(MATCH(B4291, _xlfn._xlws.FILTER(B:B, A:A="2021-04"), 0))), "Left", "Ativo")</f>
        <v>Ativo</v>
      </c>
    </row>
    <row r="4292" spans="1:6" x14ac:dyDescent="0.25">
      <c r="A4292" t="s">
        <v>1532</v>
      </c>
      <c r="B4292" t="s">
        <v>1016</v>
      </c>
      <c r="C4292" s="10" t="str" cm="1">
        <f t="array" ref="C4292">IF(AND(A4292="2020-12", ISNA(MATCH(B4292, _xlfn._xlws.FILTER(B:B, A:A="2021-01"), 0))), "Left", "Ativo")</f>
        <v>Ativo</v>
      </c>
      <c r="D4292" s="10" t="str" cm="1">
        <f t="array" ref="D4292">IF(AND(A4292="2021-01", ISNA(MATCH(B4292, _xlfn._xlws.FILTER(B:B, A:A="2021-02"), 0))), "Left", "Ativo")</f>
        <v>Ativo</v>
      </c>
      <c r="E4292" s="10" t="str" cm="1">
        <f t="array" ref="E4292">IF(AND(A4292="2021-02", ISNA(MATCH(B4292, _xlfn._xlws.FILTER(B:B, A:A="2021-03"), 0))), "Left", "Ativo")</f>
        <v>Ativo</v>
      </c>
      <c r="F4292" s="12" t="str" cm="1">
        <f t="array" ref="F4292">IF(AND(A4292="2021-03", ISNA(MATCH(B4292, _xlfn._xlws.FILTER(B:B, A:A="2021-04"), 0))), "Left", "Ativo")</f>
        <v>Ativo</v>
      </c>
    </row>
    <row r="4293" spans="1:6" x14ac:dyDescent="0.25">
      <c r="A4293" t="s">
        <v>1532</v>
      </c>
      <c r="B4293" t="s">
        <v>1017</v>
      </c>
      <c r="C4293" s="10" t="str" cm="1">
        <f t="array" ref="C4293">IF(AND(A4293="2020-12", ISNA(MATCH(B4293, _xlfn._xlws.FILTER(B:B, A:A="2021-01"), 0))), "Left", "Ativo")</f>
        <v>Ativo</v>
      </c>
      <c r="D4293" s="10" t="str" cm="1">
        <f t="array" ref="D4293">IF(AND(A4293="2021-01", ISNA(MATCH(B4293, _xlfn._xlws.FILTER(B:B, A:A="2021-02"), 0))), "Left", "Ativo")</f>
        <v>Ativo</v>
      </c>
      <c r="E4293" s="10" t="str" cm="1">
        <f t="array" ref="E4293">IF(AND(A4293="2021-02", ISNA(MATCH(B4293, _xlfn._xlws.FILTER(B:B, A:A="2021-03"), 0))), "Left", "Ativo")</f>
        <v>Ativo</v>
      </c>
      <c r="F4293" s="12" t="str" cm="1">
        <f t="array" ref="F4293">IF(AND(A4293="2021-03", ISNA(MATCH(B4293, _xlfn._xlws.FILTER(B:B, A:A="2021-04"), 0))), "Left", "Ativo")</f>
        <v>Ativo</v>
      </c>
    </row>
    <row r="4294" spans="1:6" x14ac:dyDescent="0.25">
      <c r="A4294" t="s">
        <v>1532</v>
      </c>
      <c r="B4294" t="s">
        <v>1018</v>
      </c>
      <c r="C4294" s="10" t="str" cm="1">
        <f t="array" ref="C4294">IF(AND(A4294="2020-12", ISNA(MATCH(B4294, _xlfn._xlws.FILTER(B:B, A:A="2021-01"), 0))), "Left", "Ativo")</f>
        <v>Ativo</v>
      </c>
      <c r="D4294" s="10" t="str" cm="1">
        <f t="array" ref="D4294">IF(AND(A4294="2021-01", ISNA(MATCH(B4294, _xlfn._xlws.FILTER(B:B, A:A="2021-02"), 0))), "Left", "Ativo")</f>
        <v>Ativo</v>
      </c>
      <c r="E4294" s="10" t="str" cm="1">
        <f t="array" ref="E4294">IF(AND(A4294="2021-02", ISNA(MATCH(B4294, _xlfn._xlws.FILTER(B:B, A:A="2021-03"), 0))), "Left", "Ativo")</f>
        <v>Ativo</v>
      </c>
      <c r="F4294" s="12" t="str" cm="1">
        <f t="array" ref="F4294">IF(AND(A4294="2021-03", ISNA(MATCH(B4294, _xlfn._xlws.FILTER(B:B, A:A="2021-04"), 0))), "Left", "Ativo")</f>
        <v>Ativo</v>
      </c>
    </row>
    <row r="4295" spans="1:6" x14ac:dyDescent="0.25">
      <c r="A4295" t="s">
        <v>1532</v>
      </c>
      <c r="B4295" t="s">
        <v>1019</v>
      </c>
      <c r="C4295" s="10" t="str" cm="1">
        <f t="array" ref="C4295">IF(AND(A4295="2020-12", ISNA(MATCH(B4295, _xlfn._xlws.FILTER(B:B, A:A="2021-01"), 0))), "Left", "Ativo")</f>
        <v>Ativo</v>
      </c>
      <c r="D4295" s="10" t="str" cm="1">
        <f t="array" ref="D4295">IF(AND(A4295="2021-01", ISNA(MATCH(B4295, _xlfn._xlws.FILTER(B:B, A:A="2021-02"), 0))), "Left", "Ativo")</f>
        <v>Ativo</v>
      </c>
      <c r="E4295" s="10" t="str" cm="1">
        <f t="array" ref="E4295">IF(AND(A4295="2021-02", ISNA(MATCH(B4295, _xlfn._xlws.FILTER(B:B, A:A="2021-03"), 0))), "Left", "Ativo")</f>
        <v>Ativo</v>
      </c>
      <c r="F4295" s="12" t="str" cm="1">
        <f t="array" ref="F4295">IF(AND(A4295="2021-03", ISNA(MATCH(B4295, _xlfn._xlws.FILTER(B:B, A:A="2021-04"), 0))), "Left", "Ativo")</f>
        <v>Ativo</v>
      </c>
    </row>
    <row r="4296" spans="1:6" x14ac:dyDescent="0.25">
      <c r="A4296" t="s">
        <v>1532</v>
      </c>
      <c r="B4296" t="s">
        <v>1020</v>
      </c>
      <c r="C4296" s="10" t="str" cm="1">
        <f t="array" ref="C4296">IF(AND(A4296="2020-12", ISNA(MATCH(B4296, _xlfn._xlws.FILTER(B:B, A:A="2021-01"), 0))), "Left", "Ativo")</f>
        <v>Ativo</v>
      </c>
      <c r="D4296" s="10" t="str" cm="1">
        <f t="array" ref="D4296">IF(AND(A4296="2021-01", ISNA(MATCH(B4296, _xlfn._xlws.FILTER(B:B, A:A="2021-02"), 0))), "Left", "Ativo")</f>
        <v>Ativo</v>
      </c>
      <c r="E4296" s="10" t="str" cm="1">
        <f t="array" ref="E4296">IF(AND(A4296="2021-02", ISNA(MATCH(B4296, _xlfn._xlws.FILTER(B:B, A:A="2021-03"), 0))), "Left", "Ativo")</f>
        <v>Ativo</v>
      </c>
      <c r="F4296" s="12" t="str" cm="1">
        <f t="array" ref="F4296">IF(AND(A4296="2021-03", ISNA(MATCH(B4296, _xlfn._xlws.FILTER(B:B, A:A="2021-04"), 0))), "Left", "Ativo")</f>
        <v>Ativo</v>
      </c>
    </row>
    <row r="4297" spans="1:6" x14ac:dyDescent="0.25">
      <c r="A4297" t="s">
        <v>1532</v>
      </c>
      <c r="B4297" t="s">
        <v>1021</v>
      </c>
      <c r="C4297" s="10" t="str" cm="1">
        <f t="array" ref="C4297">IF(AND(A4297="2020-12", ISNA(MATCH(B4297, _xlfn._xlws.FILTER(B:B, A:A="2021-01"), 0))), "Left", "Ativo")</f>
        <v>Ativo</v>
      </c>
      <c r="D4297" s="10" t="str" cm="1">
        <f t="array" ref="D4297">IF(AND(A4297="2021-01", ISNA(MATCH(B4297, _xlfn._xlws.FILTER(B:B, A:A="2021-02"), 0))), "Left", "Ativo")</f>
        <v>Ativo</v>
      </c>
      <c r="E4297" s="10" t="str" cm="1">
        <f t="array" ref="E4297">IF(AND(A4297="2021-02", ISNA(MATCH(B4297, _xlfn._xlws.FILTER(B:B, A:A="2021-03"), 0))), "Left", "Ativo")</f>
        <v>Ativo</v>
      </c>
      <c r="F4297" s="12" t="str" cm="1">
        <f t="array" ref="F4297">IF(AND(A4297="2021-03", ISNA(MATCH(B4297, _xlfn._xlws.FILTER(B:B, A:A="2021-04"), 0))), "Left", "Ativo")</f>
        <v>Ativo</v>
      </c>
    </row>
    <row r="4298" spans="1:6" x14ac:dyDescent="0.25">
      <c r="A4298" t="s">
        <v>1532</v>
      </c>
      <c r="B4298" t="s">
        <v>1022</v>
      </c>
      <c r="C4298" s="10" t="str" cm="1">
        <f t="array" ref="C4298">IF(AND(A4298="2020-12", ISNA(MATCH(B4298, _xlfn._xlws.FILTER(B:B, A:A="2021-01"), 0))), "Left", "Ativo")</f>
        <v>Ativo</v>
      </c>
      <c r="D4298" s="10" t="str" cm="1">
        <f t="array" ref="D4298">IF(AND(A4298="2021-01", ISNA(MATCH(B4298, _xlfn._xlws.FILTER(B:B, A:A="2021-02"), 0))), "Left", "Ativo")</f>
        <v>Ativo</v>
      </c>
      <c r="E4298" s="10" t="str" cm="1">
        <f t="array" ref="E4298">IF(AND(A4298="2021-02", ISNA(MATCH(B4298, _xlfn._xlws.FILTER(B:B, A:A="2021-03"), 0))), "Left", "Ativo")</f>
        <v>Ativo</v>
      </c>
      <c r="F4298" s="12" t="str" cm="1">
        <f t="array" ref="F4298">IF(AND(A4298="2021-03", ISNA(MATCH(B4298, _xlfn._xlws.FILTER(B:B, A:A="2021-04"), 0))), "Left", "Ativo")</f>
        <v>Ativo</v>
      </c>
    </row>
    <row r="4299" spans="1:6" x14ac:dyDescent="0.25">
      <c r="A4299" t="s">
        <v>1532</v>
      </c>
      <c r="B4299" t="s">
        <v>1023</v>
      </c>
      <c r="C4299" s="10" t="str" cm="1">
        <f t="array" ref="C4299">IF(AND(A4299="2020-12", ISNA(MATCH(B4299, _xlfn._xlws.FILTER(B:B, A:A="2021-01"), 0))), "Left", "Ativo")</f>
        <v>Ativo</v>
      </c>
      <c r="D4299" s="10" t="str" cm="1">
        <f t="array" ref="D4299">IF(AND(A4299="2021-01", ISNA(MATCH(B4299, _xlfn._xlws.FILTER(B:B, A:A="2021-02"), 0))), "Left", "Ativo")</f>
        <v>Ativo</v>
      </c>
      <c r="E4299" s="10" t="str" cm="1">
        <f t="array" ref="E4299">IF(AND(A4299="2021-02", ISNA(MATCH(B4299, _xlfn._xlws.FILTER(B:B, A:A="2021-03"), 0))), "Left", "Ativo")</f>
        <v>Ativo</v>
      </c>
      <c r="F4299" s="12" t="str" cm="1">
        <f t="array" ref="F4299">IF(AND(A4299="2021-03", ISNA(MATCH(B4299, _xlfn._xlws.FILTER(B:B, A:A="2021-04"), 0))), "Left", "Ativo")</f>
        <v>Ativo</v>
      </c>
    </row>
    <row r="4300" spans="1:6" x14ac:dyDescent="0.25">
      <c r="A4300" t="s">
        <v>1532</v>
      </c>
      <c r="B4300" t="s">
        <v>1024</v>
      </c>
      <c r="C4300" s="10" t="str" cm="1">
        <f t="array" ref="C4300">IF(AND(A4300="2020-12", ISNA(MATCH(B4300, _xlfn._xlws.FILTER(B:B, A:A="2021-01"), 0))), "Left", "Ativo")</f>
        <v>Ativo</v>
      </c>
      <c r="D4300" s="10" t="str" cm="1">
        <f t="array" ref="D4300">IF(AND(A4300="2021-01", ISNA(MATCH(B4300, _xlfn._xlws.FILTER(B:B, A:A="2021-02"), 0))), "Left", "Ativo")</f>
        <v>Ativo</v>
      </c>
      <c r="E4300" s="10" t="str" cm="1">
        <f t="array" ref="E4300">IF(AND(A4300="2021-02", ISNA(MATCH(B4300, _xlfn._xlws.FILTER(B:B, A:A="2021-03"), 0))), "Left", "Ativo")</f>
        <v>Ativo</v>
      </c>
      <c r="F4300" s="12" t="str" cm="1">
        <f t="array" ref="F4300">IF(AND(A4300="2021-03", ISNA(MATCH(B4300, _xlfn._xlws.FILTER(B:B, A:A="2021-04"), 0))), "Left", "Ativo")</f>
        <v>Ativo</v>
      </c>
    </row>
    <row r="4301" spans="1:6" x14ac:dyDescent="0.25">
      <c r="A4301" t="s">
        <v>1532</v>
      </c>
      <c r="B4301" t="s">
        <v>1025</v>
      </c>
      <c r="C4301" s="10" t="str" cm="1">
        <f t="array" ref="C4301">IF(AND(A4301="2020-12", ISNA(MATCH(B4301, _xlfn._xlws.FILTER(B:B, A:A="2021-01"), 0))), "Left", "Ativo")</f>
        <v>Ativo</v>
      </c>
      <c r="D4301" s="10" t="str" cm="1">
        <f t="array" ref="D4301">IF(AND(A4301="2021-01", ISNA(MATCH(B4301, _xlfn._xlws.FILTER(B:B, A:A="2021-02"), 0))), "Left", "Ativo")</f>
        <v>Ativo</v>
      </c>
      <c r="E4301" s="10" t="str" cm="1">
        <f t="array" ref="E4301">IF(AND(A4301="2021-02", ISNA(MATCH(B4301, _xlfn._xlws.FILTER(B:B, A:A="2021-03"), 0))), "Left", "Ativo")</f>
        <v>Ativo</v>
      </c>
      <c r="F4301" s="12" t="str" cm="1">
        <f t="array" ref="F4301">IF(AND(A4301="2021-03", ISNA(MATCH(B4301, _xlfn._xlws.FILTER(B:B, A:A="2021-04"), 0))), "Left", "Ativo")</f>
        <v>Ativo</v>
      </c>
    </row>
    <row r="4302" spans="1:6" x14ac:dyDescent="0.25">
      <c r="A4302" t="s">
        <v>1532</v>
      </c>
      <c r="B4302" t="s">
        <v>1026</v>
      </c>
      <c r="C4302" s="10" t="str" cm="1">
        <f t="array" ref="C4302">IF(AND(A4302="2020-12", ISNA(MATCH(B4302, _xlfn._xlws.FILTER(B:B, A:A="2021-01"), 0))), "Left", "Ativo")</f>
        <v>Ativo</v>
      </c>
      <c r="D4302" s="10" t="str" cm="1">
        <f t="array" ref="D4302">IF(AND(A4302="2021-01", ISNA(MATCH(B4302, _xlfn._xlws.FILTER(B:B, A:A="2021-02"), 0))), "Left", "Ativo")</f>
        <v>Ativo</v>
      </c>
      <c r="E4302" s="10" t="str" cm="1">
        <f t="array" ref="E4302">IF(AND(A4302="2021-02", ISNA(MATCH(B4302, _xlfn._xlws.FILTER(B:B, A:A="2021-03"), 0))), "Left", "Ativo")</f>
        <v>Ativo</v>
      </c>
      <c r="F4302" s="12" t="str" cm="1">
        <f t="array" ref="F4302">IF(AND(A4302="2021-03", ISNA(MATCH(B4302, _xlfn._xlws.FILTER(B:B, A:A="2021-04"), 0))), "Left", "Ativo")</f>
        <v>Ativo</v>
      </c>
    </row>
    <row r="4303" spans="1:6" x14ac:dyDescent="0.25">
      <c r="A4303" t="s">
        <v>1532</v>
      </c>
      <c r="B4303" t="s">
        <v>1027</v>
      </c>
      <c r="C4303" s="10" t="str" cm="1">
        <f t="array" ref="C4303">IF(AND(A4303="2020-12", ISNA(MATCH(B4303, _xlfn._xlws.FILTER(B:B, A:A="2021-01"), 0))), "Left", "Ativo")</f>
        <v>Ativo</v>
      </c>
      <c r="D4303" s="10" t="str" cm="1">
        <f t="array" ref="D4303">IF(AND(A4303="2021-01", ISNA(MATCH(B4303, _xlfn._xlws.FILTER(B:B, A:A="2021-02"), 0))), "Left", "Ativo")</f>
        <v>Ativo</v>
      </c>
      <c r="E4303" s="10" t="str" cm="1">
        <f t="array" ref="E4303">IF(AND(A4303="2021-02", ISNA(MATCH(B4303, _xlfn._xlws.FILTER(B:B, A:A="2021-03"), 0))), "Left", "Ativo")</f>
        <v>Ativo</v>
      </c>
      <c r="F4303" s="12" t="str" cm="1">
        <f t="array" ref="F4303">IF(AND(A4303="2021-03", ISNA(MATCH(B4303, _xlfn._xlws.FILTER(B:B, A:A="2021-04"), 0))), "Left", "Ativo")</f>
        <v>Ativo</v>
      </c>
    </row>
    <row r="4304" spans="1:6" x14ac:dyDescent="0.25">
      <c r="A4304" t="s">
        <v>1532</v>
      </c>
      <c r="B4304" t="s">
        <v>1107</v>
      </c>
      <c r="C4304" s="10" t="str" cm="1">
        <f t="array" ref="C4304">IF(AND(A4304="2020-12", ISNA(MATCH(B4304, _xlfn._xlws.FILTER(B:B, A:A="2021-01"), 0))), "Left", "Ativo")</f>
        <v>Ativo</v>
      </c>
      <c r="D4304" s="10" t="str" cm="1">
        <f t="array" ref="D4304">IF(AND(A4304="2021-01", ISNA(MATCH(B4304, _xlfn._xlws.FILTER(B:B, A:A="2021-02"), 0))), "Left", "Ativo")</f>
        <v>Ativo</v>
      </c>
      <c r="E4304" s="10" t="str" cm="1">
        <f t="array" ref="E4304">IF(AND(A4304="2021-02", ISNA(MATCH(B4304, _xlfn._xlws.FILTER(B:B, A:A="2021-03"), 0))), "Left", "Ativo")</f>
        <v>Ativo</v>
      </c>
      <c r="F4304" s="12" t="str" cm="1">
        <f t="array" ref="F4304">IF(AND(A4304="2021-03", ISNA(MATCH(B4304, _xlfn._xlws.FILTER(B:B, A:A="2021-04"), 0))), "Left", "Ativo")</f>
        <v>Ativo</v>
      </c>
    </row>
    <row r="4305" spans="1:6" x14ac:dyDescent="0.25">
      <c r="A4305" t="s">
        <v>1532</v>
      </c>
      <c r="B4305" t="s">
        <v>1108</v>
      </c>
      <c r="C4305" s="10" t="str" cm="1">
        <f t="array" ref="C4305">IF(AND(A4305="2020-12", ISNA(MATCH(B4305, _xlfn._xlws.FILTER(B:B, A:A="2021-01"), 0))), "Left", "Ativo")</f>
        <v>Ativo</v>
      </c>
      <c r="D4305" s="10" t="str" cm="1">
        <f t="array" ref="D4305">IF(AND(A4305="2021-01", ISNA(MATCH(B4305, _xlfn._xlws.FILTER(B:B, A:A="2021-02"), 0))), "Left", "Ativo")</f>
        <v>Ativo</v>
      </c>
      <c r="E4305" s="10" t="str" cm="1">
        <f t="array" ref="E4305">IF(AND(A4305="2021-02", ISNA(MATCH(B4305, _xlfn._xlws.FILTER(B:B, A:A="2021-03"), 0))), "Left", "Ativo")</f>
        <v>Ativo</v>
      </c>
      <c r="F4305" s="12" t="str" cm="1">
        <f t="array" ref="F4305">IF(AND(A4305="2021-03", ISNA(MATCH(B4305, _xlfn._xlws.FILTER(B:B, A:A="2021-04"), 0))), "Left", "Ativo")</f>
        <v>Ativo</v>
      </c>
    </row>
    <row r="4306" spans="1:6" x14ac:dyDescent="0.25">
      <c r="A4306" t="s">
        <v>1532</v>
      </c>
      <c r="B4306" t="s">
        <v>1109</v>
      </c>
      <c r="C4306" s="10" t="str" cm="1">
        <f t="array" ref="C4306">IF(AND(A4306="2020-12", ISNA(MATCH(B4306, _xlfn._xlws.FILTER(B:B, A:A="2021-01"), 0))), "Left", "Ativo")</f>
        <v>Ativo</v>
      </c>
      <c r="D4306" s="10" t="str" cm="1">
        <f t="array" ref="D4306">IF(AND(A4306="2021-01", ISNA(MATCH(B4306, _xlfn._xlws.FILTER(B:B, A:A="2021-02"), 0))), "Left", "Ativo")</f>
        <v>Ativo</v>
      </c>
      <c r="E4306" s="10" t="str" cm="1">
        <f t="array" ref="E4306">IF(AND(A4306="2021-02", ISNA(MATCH(B4306, _xlfn._xlws.FILTER(B:B, A:A="2021-03"), 0))), "Left", "Ativo")</f>
        <v>Ativo</v>
      </c>
      <c r="F4306" s="12" t="str" cm="1">
        <f t="array" ref="F4306">IF(AND(A4306="2021-03", ISNA(MATCH(B4306, _xlfn._xlws.FILTER(B:B, A:A="2021-04"), 0))), "Left", "Ativo")</f>
        <v>Ativo</v>
      </c>
    </row>
    <row r="4307" spans="1:6" x14ac:dyDescent="0.25">
      <c r="A4307" t="s">
        <v>1532</v>
      </c>
      <c r="B4307" t="s">
        <v>1110</v>
      </c>
      <c r="C4307" s="10" t="str" cm="1">
        <f t="array" ref="C4307">IF(AND(A4307="2020-12", ISNA(MATCH(B4307, _xlfn._xlws.FILTER(B:B, A:A="2021-01"), 0))), "Left", "Ativo")</f>
        <v>Ativo</v>
      </c>
      <c r="D4307" s="10" t="str" cm="1">
        <f t="array" ref="D4307">IF(AND(A4307="2021-01", ISNA(MATCH(B4307, _xlfn._xlws.FILTER(B:B, A:A="2021-02"), 0))), "Left", "Ativo")</f>
        <v>Ativo</v>
      </c>
      <c r="E4307" s="10" t="str" cm="1">
        <f t="array" ref="E4307">IF(AND(A4307="2021-02", ISNA(MATCH(B4307, _xlfn._xlws.FILTER(B:B, A:A="2021-03"), 0))), "Left", "Ativo")</f>
        <v>Ativo</v>
      </c>
      <c r="F4307" s="12" t="str" cm="1">
        <f t="array" ref="F4307">IF(AND(A4307="2021-03", ISNA(MATCH(B4307, _xlfn._xlws.FILTER(B:B, A:A="2021-04"), 0))), "Left", "Ativo")</f>
        <v>Ativo</v>
      </c>
    </row>
    <row r="4308" spans="1:6" x14ac:dyDescent="0.25">
      <c r="A4308" t="s">
        <v>1532</v>
      </c>
      <c r="B4308" t="s">
        <v>1111</v>
      </c>
      <c r="C4308" s="10" t="str" cm="1">
        <f t="array" ref="C4308">IF(AND(A4308="2020-12", ISNA(MATCH(B4308, _xlfn._xlws.FILTER(B:B, A:A="2021-01"), 0))), "Left", "Ativo")</f>
        <v>Ativo</v>
      </c>
      <c r="D4308" s="10" t="str" cm="1">
        <f t="array" ref="D4308">IF(AND(A4308="2021-01", ISNA(MATCH(B4308, _xlfn._xlws.FILTER(B:B, A:A="2021-02"), 0))), "Left", "Ativo")</f>
        <v>Ativo</v>
      </c>
      <c r="E4308" s="10" t="str" cm="1">
        <f t="array" ref="E4308">IF(AND(A4308="2021-02", ISNA(MATCH(B4308, _xlfn._xlws.FILTER(B:B, A:A="2021-03"), 0))), "Left", "Ativo")</f>
        <v>Ativo</v>
      </c>
      <c r="F4308" s="12" t="str" cm="1">
        <f t="array" ref="F4308">IF(AND(A4308="2021-03", ISNA(MATCH(B4308, _xlfn._xlws.FILTER(B:B, A:A="2021-04"), 0))), "Left", "Ativo")</f>
        <v>Ativo</v>
      </c>
    </row>
    <row r="4309" spans="1:6" x14ac:dyDescent="0.25">
      <c r="A4309" t="s">
        <v>1532</v>
      </c>
      <c r="B4309" t="s">
        <v>1112</v>
      </c>
      <c r="C4309" s="10" t="str" cm="1">
        <f t="array" ref="C4309">IF(AND(A4309="2020-12", ISNA(MATCH(B4309, _xlfn._xlws.FILTER(B:B, A:A="2021-01"), 0))), "Left", "Ativo")</f>
        <v>Ativo</v>
      </c>
      <c r="D4309" s="10" t="str" cm="1">
        <f t="array" ref="D4309">IF(AND(A4309="2021-01", ISNA(MATCH(B4309, _xlfn._xlws.FILTER(B:B, A:A="2021-02"), 0))), "Left", "Ativo")</f>
        <v>Ativo</v>
      </c>
      <c r="E4309" s="10" t="str" cm="1">
        <f t="array" ref="E4309">IF(AND(A4309="2021-02", ISNA(MATCH(B4309, _xlfn._xlws.FILTER(B:B, A:A="2021-03"), 0))), "Left", "Ativo")</f>
        <v>Ativo</v>
      </c>
      <c r="F4309" s="12" t="str" cm="1">
        <f t="array" ref="F4309">IF(AND(A4309="2021-03", ISNA(MATCH(B4309, _xlfn._xlws.FILTER(B:B, A:A="2021-04"), 0))), "Left", "Ativo")</f>
        <v>Ativo</v>
      </c>
    </row>
    <row r="4310" spans="1:6" x14ac:dyDescent="0.25">
      <c r="A4310" t="s">
        <v>1532</v>
      </c>
      <c r="B4310" t="s">
        <v>1113</v>
      </c>
      <c r="C4310" s="10" t="str" cm="1">
        <f t="array" ref="C4310">IF(AND(A4310="2020-12", ISNA(MATCH(B4310, _xlfn._xlws.FILTER(B:B, A:A="2021-01"), 0))), "Left", "Ativo")</f>
        <v>Ativo</v>
      </c>
      <c r="D4310" s="10" t="str" cm="1">
        <f t="array" ref="D4310">IF(AND(A4310="2021-01", ISNA(MATCH(B4310, _xlfn._xlws.FILTER(B:B, A:A="2021-02"), 0))), "Left", "Ativo")</f>
        <v>Ativo</v>
      </c>
      <c r="E4310" s="10" t="str" cm="1">
        <f t="array" ref="E4310">IF(AND(A4310="2021-02", ISNA(MATCH(B4310, _xlfn._xlws.FILTER(B:B, A:A="2021-03"), 0))), "Left", "Ativo")</f>
        <v>Ativo</v>
      </c>
      <c r="F4310" s="12" t="str" cm="1">
        <f t="array" ref="F4310">IF(AND(A4310="2021-03", ISNA(MATCH(B4310, _xlfn._xlws.FILTER(B:B, A:A="2021-04"), 0))), "Left", "Ativo")</f>
        <v>Ativo</v>
      </c>
    </row>
    <row r="4311" spans="1:6" x14ac:dyDescent="0.25">
      <c r="A4311" t="s">
        <v>1532</v>
      </c>
      <c r="B4311" t="s">
        <v>1116</v>
      </c>
      <c r="C4311" s="10" t="str" cm="1">
        <f t="array" ref="C4311">IF(AND(A4311="2020-12", ISNA(MATCH(B4311, _xlfn._xlws.FILTER(B:B, A:A="2021-01"), 0))), "Left", "Ativo")</f>
        <v>Ativo</v>
      </c>
      <c r="D4311" s="10" t="str" cm="1">
        <f t="array" ref="D4311">IF(AND(A4311="2021-01", ISNA(MATCH(B4311, _xlfn._xlws.FILTER(B:B, A:A="2021-02"), 0))), "Left", "Ativo")</f>
        <v>Ativo</v>
      </c>
      <c r="E4311" s="10" t="str" cm="1">
        <f t="array" ref="E4311">IF(AND(A4311="2021-02", ISNA(MATCH(B4311, _xlfn._xlws.FILTER(B:B, A:A="2021-03"), 0))), "Left", "Ativo")</f>
        <v>Ativo</v>
      </c>
      <c r="F4311" s="12" t="str" cm="1">
        <f t="array" ref="F4311">IF(AND(A4311="2021-03", ISNA(MATCH(B4311, _xlfn._xlws.FILTER(B:B, A:A="2021-04"), 0))), "Left", "Ativo")</f>
        <v>Ativo</v>
      </c>
    </row>
    <row r="4312" spans="1:6" x14ac:dyDescent="0.25">
      <c r="A4312" t="s">
        <v>1532</v>
      </c>
      <c r="B4312" t="s">
        <v>1117</v>
      </c>
      <c r="C4312" s="10" t="str" cm="1">
        <f t="array" ref="C4312">IF(AND(A4312="2020-12", ISNA(MATCH(B4312, _xlfn._xlws.FILTER(B:B, A:A="2021-01"), 0))), "Left", "Ativo")</f>
        <v>Ativo</v>
      </c>
      <c r="D4312" s="10" t="str" cm="1">
        <f t="array" ref="D4312">IF(AND(A4312="2021-01", ISNA(MATCH(B4312, _xlfn._xlws.FILTER(B:B, A:A="2021-02"), 0))), "Left", "Ativo")</f>
        <v>Ativo</v>
      </c>
      <c r="E4312" s="10" t="str" cm="1">
        <f t="array" ref="E4312">IF(AND(A4312="2021-02", ISNA(MATCH(B4312, _xlfn._xlws.FILTER(B:B, A:A="2021-03"), 0))), "Left", "Ativo")</f>
        <v>Ativo</v>
      </c>
      <c r="F4312" s="12" t="str" cm="1">
        <f t="array" ref="F4312">IF(AND(A4312="2021-03", ISNA(MATCH(B4312, _xlfn._xlws.FILTER(B:B, A:A="2021-04"), 0))), "Left", "Ativo")</f>
        <v>Ativo</v>
      </c>
    </row>
    <row r="4313" spans="1:6" x14ac:dyDescent="0.25">
      <c r="A4313" t="s">
        <v>1532</v>
      </c>
      <c r="B4313" t="s">
        <v>1118</v>
      </c>
      <c r="C4313" s="10" t="str" cm="1">
        <f t="array" ref="C4313">IF(AND(A4313="2020-12", ISNA(MATCH(B4313, _xlfn._xlws.FILTER(B:B, A:A="2021-01"), 0))), "Left", "Ativo")</f>
        <v>Ativo</v>
      </c>
      <c r="D4313" s="10" t="str" cm="1">
        <f t="array" ref="D4313">IF(AND(A4313="2021-01", ISNA(MATCH(B4313, _xlfn._xlws.FILTER(B:B, A:A="2021-02"), 0))), "Left", "Ativo")</f>
        <v>Ativo</v>
      </c>
      <c r="E4313" s="10" t="str" cm="1">
        <f t="array" ref="E4313">IF(AND(A4313="2021-02", ISNA(MATCH(B4313, _xlfn._xlws.FILTER(B:B, A:A="2021-03"), 0))), "Left", "Ativo")</f>
        <v>Ativo</v>
      </c>
      <c r="F4313" s="12" t="str" cm="1">
        <f t="array" ref="F4313">IF(AND(A4313="2021-03", ISNA(MATCH(B4313, _xlfn._xlws.FILTER(B:B, A:A="2021-04"), 0))), "Left", "Ativo")</f>
        <v>Ativo</v>
      </c>
    </row>
    <row r="4314" spans="1:6" x14ac:dyDescent="0.25">
      <c r="A4314" t="s">
        <v>1532</v>
      </c>
      <c r="B4314" t="s">
        <v>1172</v>
      </c>
      <c r="C4314" s="10" t="str" cm="1">
        <f t="array" ref="C4314">IF(AND(A4314="2020-12", ISNA(MATCH(B4314, _xlfn._xlws.FILTER(B:B, A:A="2021-01"), 0))), "Left", "Ativo")</f>
        <v>Ativo</v>
      </c>
      <c r="D4314" s="10" t="str" cm="1">
        <f t="array" ref="D4314">IF(AND(A4314="2021-01", ISNA(MATCH(B4314, _xlfn._xlws.FILTER(B:B, A:A="2021-02"), 0))), "Left", "Ativo")</f>
        <v>Ativo</v>
      </c>
      <c r="E4314" s="10" t="str" cm="1">
        <f t="array" ref="E4314">IF(AND(A4314="2021-02", ISNA(MATCH(B4314, _xlfn._xlws.FILTER(B:B, A:A="2021-03"), 0))), "Left", "Ativo")</f>
        <v>Ativo</v>
      </c>
      <c r="F4314" s="12" t="str" cm="1">
        <f t="array" ref="F4314">IF(AND(A4314="2021-03", ISNA(MATCH(B4314, _xlfn._xlws.FILTER(B:B, A:A="2021-04"), 0))), "Left", "Ativo")</f>
        <v>Ativo</v>
      </c>
    </row>
    <row r="4315" spans="1:6" x14ac:dyDescent="0.25">
      <c r="A4315" t="s">
        <v>1532</v>
      </c>
      <c r="B4315" t="s">
        <v>1173</v>
      </c>
      <c r="C4315" s="10" t="str" cm="1">
        <f t="array" ref="C4315">IF(AND(A4315="2020-12", ISNA(MATCH(B4315, _xlfn._xlws.FILTER(B:B, A:A="2021-01"), 0))), "Left", "Ativo")</f>
        <v>Ativo</v>
      </c>
      <c r="D4315" s="10" t="str" cm="1">
        <f t="array" ref="D4315">IF(AND(A4315="2021-01", ISNA(MATCH(B4315, _xlfn._xlws.FILTER(B:B, A:A="2021-02"), 0))), "Left", "Ativo")</f>
        <v>Ativo</v>
      </c>
      <c r="E4315" s="10" t="str" cm="1">
        <f t="array" ref="E4315">IF(AND(A4315="2021-02", ISNA(MATCH(B4315, _xlfn._xlws.FILTER(B:B, A:A="2021-03"), 0))), "Left", "Ativo")</f>
        <v>Ativo</v>
      </c>
      <c r="F4315" s="12" t="str" cm="1">
        <f t="array" ref="F4315">IF(AND(A4315="2021-03", ISNA(MATCH(B4315, _xlfn._xlws.FILTER(B:B, A:A="2021-04"), 0))), "Left", "Ativo")</f>
        <v>Ativo</v>
      </c>
    </row>
    <row r="4316" spans="1:6" x14ac:dyDescent="0.25">
      <c r="A4316" t="s">
        <v>1532</v>
      </c>
      <c r="B4316" t="s">
        <v>1174</v>
      </c>
      <c r="C4316" s="10" t="str" cm="1">
        <f t="array" ref="C4316">IF(AND(A4316="2020-12", ISNA(MATCH(B4316, _xlfn._xlws.FILTER(B:B, A:A="2021-01"), 0))), "Left", "Ativo")</f>
        <v>Ativo</v>
      </c>
      <c r="D4316" s="10" t="str" cm="1">
        <f t="array" ref="D4316">IF(AND(A4316="2021-01", ISNA(MATCH(B4316, _xlfn._xlws.FILTER(B:B, A:A="2021-02"), 0))), "Left", "Ativo")</f>
        <v>Ativo</v>
      </c>
      <c r="E4316" s="10" t="str" cm="1">
        <f t="array" ref="E4316">IF(AND(A4316="2021-02", ISNA(MATCH(B4316, _xlfn._xlws.FILTER(B:B, A:A="2021-03"), 0))), "Left", "Ativo")</f>
        <v>Ativo</v>
      </c>
      <c r="F4316" s="12" t="str" cm="1">
        <f t="array" ref="F4316">IF(AND(A4316="2021-03", ISNA(MATCH(B4316, _xlfn._xlws.FILTER(B:B, A:A="2021-04"), 0))), "Left", "Ativo")</f>
        <v>Ativo</v>
      </c>
    </row>
    <row r="4317" spans="1:6" x14ac:dyDescent="0.25">
      <c r="A4317" t="s">
        <v>1532</v>
      </c>
      <c r="B4317" t="s">
        <v>1175</v>
      </c>
      <c r="C4317" s="10" t="str" cm="1">
        <f t="array" ref="C4317">IF(AND(A4317="2020-12", ISNA(MATCH(B4317, _xlfn._xlws.FILTER(B:B, A:A="2021-01"), 0))), "Left", "Ativo")</f>
        <v>Ativo</v>
      </c>
      <c r="D4317" s="10" t="str" cm="1">
        <f t="array" ref="D4317">IF(AND(A4317="2021-01", ISNA(MATCH(B4317, _xlfn._xlws.FILTER(B:B, A:A="2021-02"), 0))), "Left", "Ativo")</f>
        <v>Ativo</v>
      </c>
      <c r="E4317" s="10" t="str" cm="1">
        <f t="array" ref="E4317">IF(AND(A4317="2021-02", ISNA(MATCH(B4317, _xlfn._xlws.FILTER(B:B, A:A="2021-03"), 0))), "Left", "Ativo")</f>
        <v>Ativo</v>
      </c>
      <c r="F4317" s="12" t="str" cm="1">
        <f t="array" ref="F4317">IF(AND(A4317="2021-03", ISNA(MATCH(B4317, _xlfn._xlws.FILTER(B:B, A:A="2021-04"), 0))), "Left", "Ativo")</f>
        <v>Ativo</v>
      </c>
    </row>
    <row r="4318" spans="1:6" x14ac:dyDescent="0.25">
      <c r="A4318" t="s">
        <v>1532</v>
      </c>
      <c r="B4318" t="s">
        <v>1176</v>
      </c>
      <c r="C4318" s="10" t="str" cm="1">
        <f t="array" ref="C4318">IF(AND(A4318="2020-12", ISNA(MATCH(B4318, _xlfn._xlws.FILTER(B:B, A:A="2021-01"), 0))), "Left", "Ativo")</f>
        <v>Ativo</v>
      </c>
      <c r="D4318" s="10" t="str" cm="1">
        <f t="array" ref="D4318">IF(AND(A4318="2021-01", ISNA(MATCH(B4318, _xlfn._xlws.FILTER(B:B, A:A="2021-02"), 0))), "Left", "Ativo")</f>
        <v>Ativo</v>
      </c>
      <c r="E4318" s="10" t="str" cm="1">
        <f t="array" ref="E4318">IF(AND(A4318="2021-02", ISNA(MATCH(B4318, _xlfn._xlws.FILTER(B:B, A:A="2021-03"), 0))), "Left", "Ativo")</f>
        <v>Ativo</v>
      </c>
      <c r="F4318" s="12" t="str" cm="1">
        <f t="array" ref="F4318">IF(AND(A4318="2021-03", ISNA(MATCH(B4318, _xlfn._xlws.FILTER(B:B, A:A="2021-04"), 0))), "Left", "Ativo")</f>
        <v>Ativo</v>
      </c>
    </row>
    <row r="4319" spans="1:6" x14ac:dyDescent="0.25">
      <c r="A4319" t="s">
        <v>1532</v>
      </c>
      <c r="B4319" t="s">
        <v>1177</v>
      </c>
      <c r="C4319" s="10" t="str" cm="1">
        <f t="array" ref="C4319">IF(AND(A4319="2020-12", ISNA(MATCH(B4319, _xlfn._xlws.FILTER(B:B, A:A="2021-01"), 0))), "Left", "Ativo")</f>
        <v>Ativo</v>
      </c>
      <c r="D4319" s="10" t="str" cm="1">
        <f t="array" ref="D4319">IF(AND(A4319="2021-01", ISNA(MATCH(B4319, _xlfn._xlws.FILTER(B:B, A:A="2021-02"), 0))), "Left", "Ativo")</f>
        <v>Ativo</v>
      </c>
      <c r="E4319" s="10" t="str" cm="1">
        <f t="array" ref="E4319">IF(AND(A4319="2021-02", ISNA(MATCH(B4319, _xlfn._xlws.FILTER(B:B, A:A="2021-03"), 0))), "Left", "Ativo")</f>
        <v>Ativo</v>
      </c>
      <c r="F4319" s="12" t="str" cm="1">
        <f t="array" ref="F4319">IF(AND(A4319="2021-03", ISNA(MATCH(B4319, _xlfn._xlws.FILTER(B:B, A:A="2021-04"), 0))), "Left", "Ativo")</f>
        <v>Ativo</v>
      </c>
    </row>
    <row r="4320" spans="1:6" x14ac:dyDescent="0.25">
      <c r="A4320" t="s">
        <v>1532</v>
      </c>
      <c r="B4320" t="s">
        <v>1178</v>
      </c>
      <c r="C4320" s="10" t="str" cm="1">
        <f t="array" ref="C4320">IF(AND(A4320="2020-12", ISNA(MATCH(B4320, _xlfn._xlws.FILTER(B:B, A:A="2021-01"), 0))), "Left", "Ativo")</f>
        <v>Ativo</v>
      </c>
      <c r="D4320" s="10" t="str" cm="1">
        <f t="array" ref="D4320">IF(AND(A4320="2021-01", ISNA(MATCH(B4320, _xlfn._xlws.FILTER(B:B, A:A="2021-02"), 0))), "Left", "Ativo")</f>
        <v>Ativo</v>
      </c>
      <c r="E4320" s="10" t="str" cm="1">
        <f t="array" ref="E4320">IF(AND(A4320="2021-02", ISNA(MATCH(B4320, _xlfn._xlws.FILTER(B:B, A:A="2021-03"), 0))), "Left", "Ativo")</f>
        <v>Ativo</v>
      </c>
      <c r="F4320" s="12" t="str" cm="1">
        <f t="array" ref="F4320">IF(AND(A4320="2021-03", ISNA(MATCH(B4320, _xlfn._xlws.FILTER(B:B, A:A="2021-04"), 0))), "Left", "Ativo")</f>
        <v>Ativo</v>
      </c>
    </row>
    <row r="4321" spans="1:6" x14ac:dyDescent="0.25">
      <c r="A4321" t="s">
        <v>1532</v>
      </c>
      <c r="B4321" t="s">
        <v>1179</v>
      </c>
      <c r="C4321" s="10" t="str" cm="1">
        <f t="array" ref="C4321">IF(AND(A4321="2020-12", ISNA(MATCH(B4321, _xlfn._xlws.FILTER(B:B, A:A="2021-01"), 0))), "Left", "Ativo")</f>
        <v>Ativo</v>
      </c>
      <c r="D4321" s="10" t="str" cm="1">
        <f t="array" ref="D4321">IF(AND(A4321="2021-01", ISNA(MATCH(B4321, _xlfn._xlws.FILTER(B:B, A:A="2021-02"), 0))), "Left", "Ativo")</f>
        <v>Ativo</v>
      </c>
      <c r="E4321" s="10" t="str" cm="1">
        <f t="array" ref="E4321">IF(AND(A4321="2021-02", ISNA(MATCH(B4321, _xlfn._xlws.FILTER(B:B, A:A="2021-03"), 0))), "Left", "Ativo")</f>
        <v>Ativo</v>
      </c>
      <c r="F4321" s="12" t="str" cm="1">
        <f t="array" ref="F4321">IF(AND(A4321="2021-03", ISNA(MATCH(B4321, _xlfn._xlws.FILTER(B:B, A:A="2021-04"), 0))), "Left", "Ativo")</f>
        <v>Ativo</v>
      </c>
    </row>
    <row r="4322" spans="1:6" x14ac:dyDescent="0.25">
      <c r="A4322" t="s">
        <v>1532</v>
      </c>
      <c r="B4322" t="s">
        <v>1180</v>
      </c>
      <c r="C4322" s="10" t="str" cm="1">
        <f t="array" ref="C4322">IF(AND(A4322="2020-12", ISNA(MATCH(B4322, _xlfn._xlws.FILTER(B:B, A:A="2021-01"), 0))), "Left", "Ativo")</f>
        <v>Ativo</v>
      </c>
      <c r="D4322" s="10" t="str" cm="1">
        <f t="array" ref="D4322">IF(AND(A4322="2021-01", ISNA(MATCH(B4322, _xlfn._xlws.FILTER(B:B, A:A="2021-02"), 0))), "Left", "Ativo")</f>
        <v>Ativo</v>
      </c>
      <c r="E4322" s="10" t="str" cm="1">
        <f t="array" ref="E4322">IF(AND(A4322="2021-02", ISNA(MATCH(B4322, _xlfn._xlws.FILTER(B:B, A:A="2021-03"), 0))), "Left", "Ativo")</f>
        <v>Ativo</v>
      </c>
      <c r="F4322" s="12" t="str" cm="1">
        <f t="array" ref="F4322">IF(AND(A4322="2021-03", ISNA(MATCH(B4322, _xlfn._xlws.FILTER(B:B, A:A="2021-04"), 0))), "Left", "Ativo")</f>
        <v>Ativo</v>
      </c>
    </row>
    <row r="4323" spans="1:6" x14ac:dyDescent="0.25">
      <c r="A4323" t="s">
        <v>1532</v>
      </c>
      <c r="B4323" t="s">
        <v>1181</v>
      </c>
      <c r="C4323" s="10" t="str" cm="1">
        <f t="array" ref="C4323">IF(AND(A4323="2020-12", ISNA(MATCH(B4323, _xlfn._xlws.FILTER(B:B, A:A="2021-01"), 0))), "Left", "Ativo")</f>
        <v>Ativo</v>
      </c>
      <c r="D4323" s="10" t="str" cm="1">
        <f t="array" ref="D4323">IF(AND(A4323="2021-01", ISNA(MATCH(B4323, _xlfn._xlws.FILTER(B:B, A:A="2021-02"), 0))), "Left", "Ativo")</f>
        <v>Ativo</v>
      </c>
      <c r="E4323" s="10" t="str" cm="1">
        <f t="array" ref="E4323">IF(AND(A4323="2021-02", ISNA(MATCH(B4323, _xlfn._xlws.FILTER(B:B, A:A="2021-03"), 0))), "Left", "Ativo")</f>
        <v>Ativo</v>
      </c>
      <c r="F4323" s="12" t="str" cm="1">
        <f t="array" ref="F4323">IF(AND(A4323="2021-03", ISNA(MATCH(B4323, _xlfn._xlws.FILTER(B:B, A:A="2021-04"), 0))), "Left", "Ativo")</f>
        <v>Ativo</v>
      </c>
    </row>
    <row r="4324" spans="1:6" x14ac:dyDescent="0.25">
      <c r="A4324" t="s">
        <v>1532</v>
      </c>
      <c r="B4324" t="s">
        <v>1182</v>
      </c>
      <c r="C4324" s="10" t="str" cm="1">
        <f t="array" ref="C4324">IF(AND(A4324="2020-12", ISNA(MATCH(B4324, _xlfn._xlws.FILTER(B:B, A:A="2021-01"), 0))), "Left", "Ativo")</f>
        <v>Ativo</v>
      </c>
      <c r="D4324" s="10" t="str" cm="1">
        <f t="array" ref="D4324">IF(AND(A4324="2021-01", ISNA(MATCH(B4324, _xlfn._xlws.FILTER(B:B, A:A="2021-02"), 0))), "Left", "Ativo")</f>
        <v>Ativo</v>
      </c>
      <c r="E4324" s="10" t="str" cm="1">
        <f t="array" ref="E4324">IF(AND(A4324="2021-02", ISNA(MATCH(B4324, _xlfn._xlws.FILTER(B:B, A:A="2021-03"), 0))), "Left", "Ativo")</f>
        <v>Ativo</v>
      </c>
      <c r="F4324" s="12" t="str" cm="1">
        <f t="array" ref="F4324">IF(AND(A4324="2021-03", ISNA(MATCH(B4324, _xlfn._xlws.FILTER(B:B, A:A="2021-04"), 0))), "Left", "Ativo")</f>
        <v>Ativo</v>
      </c>
    </row>
    <row r="4325" spans="1:6" x14ac:dyDescent="0.25">
      <c r="A4325" t="s">
        <v>1532</v>
      </c>
      <c r="B4325" t="s">
        <v>387</v>
      </c>
      <c r="C4325" s="10" t="str" cm="1">
        <f t="array" ref="C4325">IF(AND(A4325="2020-12", ISNA(MATCH(B4325, _xlfn._xlws.FILTER(B:B, A:A="2021-01"), 0))), "Left", "Ativo")</f>
        <v>Ativo</v>
      </c>
      <c r="D4325" s="10" t="str" cm="1">
        <f t="array" ref="D4325">IF(AND(A4325="2021-01", ISNA(MATCH(B4325, _xlfn._xlws.FILTER(B:B, A:A="2021-02"), 0))), "Left", "Ativo")</f>
        <v>Ativo</v>
      </c>
      <c r="E4325" s="10" t="str" cm="1">
        <f t="array" ref="E4325">IF(AND(A4325="2021-02", ISNA(MATCH(B4325, _xlfn._xlws.FILTER(B:B, A:A="2021-03"), 0))), "Left", "Ativo")</f>
        <v>Ativo</v>
      </c>
      <c r="F4325" s="12" t="str" cm="1">
        <f t="array" ref="F4325">IF(AND(A4325="2021-03", ISNA(MATCH(B4325, _xlfn._xlws.FILTER(B:B, A:A="2021-04"), 0))), "Left", "Ativo")</f>
        <v>Ativo</v>
      </c>
    </row>
    <row r="4326" spans="1:6" x14ac:dyDescent="0.25">
      <c r="A4326" t="s">
        <v>1532</v>
      </c>
      <c r="B4326" t="s">
        <v>388</v>
      </c>
      <c r="C4326" s="10" t="str" cm="1">
        <f t="array" ref="C4326">IF(AND(A4326="2020-12", ISNA(MATCH(B4326, _xlfn._xlws.FILTER(B:B, A:A="2021-01"), 0))), "Left", "Ativo")</f>
        <v>Ativo</v>
      </c>
      <c r="D4326" s="10" t="str" cm="1">
        <f t="array" ref="D4326">IF(AND(A4326="2021-01", ISNA(MATCH(B4326, _xlfn._xlws.FILTER(B:B, A:A="2021-02"), 0))), "Left", "Ativo")</f>
        <v>Ativo</v>
      </c>
      <c r="E4326" s="10" t="str" cm="1">
        <f t="array" ref="E4326">IF(AND(A4326="2021-02", ISNA(MATCH(B4326, _xlfn._xlws.FILTER(B:B, A:A="2021-03"), 0))), "Left", "Ativo")</f>
        <v>Ativo</v>
      </c>
      <c r="F4326" s="12" t="str" cm="1">
        <f t="array" ref="F4326">IF(AND(A4326="2021-03", ISNA(MATCH(B4326, _xlfn._xlws.FILTER(B:B, A:A="2021-04"), 0))), "Left", "Ativo")</f>
        <v>Ativo</v>
      </c>
    </row>
    <row r="4327" spans="1:6" x14ac:dyDescent="0.25">
      <c r="A4327" t="s">
        <v>1532</v>
      </c>
      <c r="B4327" t="s">
        <v>389</v>
      </c>
      <c r="C4327" s="10" t="str" cm="1">
        <f t="array" ref="C4327">IF(AND(A4327="2020-12", ISNA(MATCH(B4327, _xlfn._xlws.FILTER(B:B, A:A="2021-01"), 0))), "Left", "Ativo")</f>
        <v>Ativo</v>
      </c>
      <c r="D4327" s="10" t="str" cm="1">
        <f t="array" ref="D4327">IF(AND(A4327="2021-01", ISNA(MATCH(B4327, _xlfn._xlws.FILTER(B:B, A:A="2021-02"), 0))), "Left", "Ativo")</f>
        <v>Ativo</v>
      </c>
      <c r="E4327" s="10" t="str" cm="1">
        <f t="array" ref="E4327">IF(AND(A4327="2021-02", ISNA(MATCH(B4327, _xlfn._xlws.FILTER(B:B, A:A="2021-03"), 0))), "Left", "Ativo")</f>
        <v>Ativo</v>
      </c>
      <c r="F4327" s="12" t="str" cm="1">
        <f t="array" ref="F4327">IF(AND(A4327="2021-03", ISNA(MATCH(B4327, _xlfn._xlws.FILTER(B:B, A:A="2021-04"), 0))), "Left", "Ativo")</f>
        <v>Ativo</v>
      </c>
    </row>
    <row r="4328" spans="1:6" x14ac:dyDescent="0.25">
      <c r="A4328" t="s">
        <v>1532</v>
      </c>
      <c r="B4328" t="s">
        <v>394</v>
      </c>
      <c r="C4328" s="10" t="str" cm="1">
        <f t="array" ref="C4328">IF(AND(A4328="2020-12", ISNA(MATCH(B4328, _xlfn._xlws.FILTER(B:B, A:A="2021-01"), 0))), "Left", "Ativo")</f>
        <v>Ativo</v>
      </c>
      <c r="D4328" s="10" t="str" cm="1">
        <f t="array" ref="D4328">IF(AND(A4328="2021-01", ISNA(MATCH(B4328, _xlfn._xlws.FILTER(B:B, A:A="2021-02"), 0))), "Left", "Ativo")</f>
        <v>Ativo</v>
      </c>
      <c r="E4328" s="10" t="str" cm="1">
        <f t="array" ref="E4328">IF(AND(A4328="2021-02", ISNA(MATCH(B4328, _xlfn._xlws.FILTER(B:B, A:A="2021-03"), 0))), "Left", "Ativo")</f>
        <v>Ativo</v>
      </c>
      <c r="F4328" s="12" t="str" cm="1">
        <f t="array" ref="F4328">IF(AND(A4328="2021-03", ISNA(MATCH(B4328, _xlfn._xlws.FILTER(B:B, A:A="2021-04"), 0))), "Left", "Ativo")</f>
        <v>Ativo</v>
      </c>
    </row>
    <row r="4329" spans="1:6" x14ac:dyDescent="0.25">
      <c r="A4329" t="s">
        <v>1532</v>
      </c>
      <c r="B4329" t="s">
        <v>395</v>
      </c>
      <c r="C4329" s="10" t="str" cm="1">
        <f t="array" ref="C4329">IF(AND(A4329="2020-12", ISNA(MATCH(B4329, _xlfn._xlws.FILTER(B:B, A:A="2021-01"), 0))), "Left", "Ativo")</f>
        <v>Ativo</v>
      </c>
      <c r="D4329" s="10" t="str" cm="1">
        <f t="array" ref="D4329">IF(AND(A4329="2021-01", ISNA(MATCH(B4329, _xlfn._xlws.FILTER(B:B, A:A="2021-02"), 0))), "Left", "Ativo")</f>
        <v>Ativo</v>
      </c>
      <c r="E4329" s="10" t="str" cm="1">
        <f t="array" ref="E4329">IF(AND(A4329="2021-02", ISNA(MATCH(B4329, _xlfn._xlws.FILTER(B:B, A:A="2021-03"), 0))), "Left", "Ativo")</f>
        <v>Ativo</v>
      </c>
      <c r="F4329" s="12" t="str" cm="1">
        <f t="array" ref="F4329">IF(AND(A4329="2021-03", ISNA(MATCH(B4329, _xlfn._xlws.FILTER(B:B, A:A="2021-04"), 0))), "Left", "Ativo")</f>
        <v>Ativo</v>
      </c>
    </row>
    <row r="4330" spans="1:6" x14ac:dyDescent="0.25">
      <c r="A4330" t="s">
        <v>1532</v>
      </c>
      <c r="B4330" t="s">
        <v>396</v>
      </c>
      <c r="C4330" s="10" t="str" cm="1">
        <f t="array" ref="C4330">IF(AND(A4330="2020-12", ISNA(MATCH(B4330, _xlfn._xlws.FILTER(B:B, A:A="2021-01"), 0))), "Left", "Ativo")</f>
        <v>Ativo</v>
      </c>
      <c r="D4330" s="10" t="str" cm="1">
        <f t="array" ref="D4330">IF(AND(A4330="2021-01", ISNA(MATCH(B4330, _xlfn._xlws.FILTER(B:B, A:A="2021-02"), 0))), "Left", "Ativo")</f>
        <v>Ativo</v>
      </c>
      <c r="E4330" s="10" t="str" cm="1">
        <f t="array" ref="E4330">IF(AND(A4330="2021-02", ISNA(MATCH(B4330, _xlfn._xlws.FILTER(B:B, A:A="2021-03"), 0))), "Left", "Ativo")</f>
        <v>Ativo</v>
      </c>
      <c r="F4330" s="12" t="str" cm="1">
        <f t="array" ref="F4330">IF(AND(A4330="2021-03", ISNA(MATCH(B4330, _xlfn._xlws.FILTER(B:B, A:A="2021-04"), 0))), "Left", "Ativo")</f>
        <v>Ativo</v>
      </c>
    </row>
    <row r="4331" spans="1:6" x14ac:dyDescent="0.25">
      <c r="A4331" t="s">
        <v>1532</v>
      </c>
      <c r="B4331" t="s">
        <v>397</v>
      </c>
      <c r="C4331" s="10" t="str" cm="1">
        <f t="array" ref="C4331">IF(AND(A4331="2020-12", ISNA(MATCH(B4331, _xlfn._xlws.FILTER(B:B, A:A="2021-01"), 0))), "Left", "Ativo")</f>
        <v>Ativo</v>
      </c>
      <c r="D4331" s="10" t="str" cm="1">
        <f t="array" ref="D4331">IF(AND(A4331="2021-01", ISNA(MATCH(B4331, _xlfn._xlws.FILTER(B:B, A:A="2021-02"), 0))), "Left", "Ativo")</f>
        <v>Ativo</v>
      </c>
      <c r="E4331" s="10" t="str" cm="1">
        <f t="array" ref="E4331">IF(AND(A4331="2021-02", ISNA(MATCH(B4331, _xlfn._xlws.FILTER(B:B, A:A="2021-03"), 0))), "Left", "Ativo")</f>
        <v>Ativo</v>
      </c>
      <c r="F4331" s="12" t="str" cm="1">
        <f t="array" ref="F4331">IF(AND(A4331="2021-03", ISNA(MATCH(B4331, _xlfn._xlws.FILTER(B:B, A:A="2021-04"), 0))), "Left", "Ativo")</f>
        <v>Ativo</v>
      </c>
    </row>
    <row r="4332" spans="1:6" x14ac:dyDescent="0.25">
      <c r="A4332" t="s">
        <v>1532</v>
      </c>
      <c r="B4332" t="s">
        <v>398</v>
      </c>
      <c r="C4332" s="10" t="str" cm="1">
        <f t="array" ref="C4332">IF(AND(A4332="2020-12", ISNA(MATCH(B4332, _xlfn._xlws.FILTER(B:B, A:A="2021-01"), 0))), "Left", "Ativo")</f>
        <v>Ativo</v>
      </c>
      <c r="D4332" s="10" t="str" cm="1">
        <f t="array" ref="D4332">IF(AND(A4332="2021-01", ISNA(MATCH(B4332, _xlfn._xlws.FILTER(B:B, A:A="2021-02"), 0))), "Left", "Ativo")</f>
        <v>Ativo</v>
      </c>
      <c r="E4332" s="10" t="str" cm="1">
        <f t="array" ref="E4332">IF(AND(A4332="2021-02", ISNA(MATCH(B4332, _xlfn._xlws.FILTER(B:B, A:A="2021-03"), 0))), "Left", "Ativo")</f>
        <v>Ativo</v>
      </c>
      <c r="F4332" s="12" t="str" cm="1">
        <f t="array" ref="F4332">IF(AND(A4332="2021-03", ISNA(MATCH(B4332, _xlfn._xlws.FILTER(B:B, A:A="2021-04"), 0))), "Left", "Ativo")</f>
        <v>Ativo</v>
      </c>
    </row>
    <row r="4333" spans="1:6" x14ac:dyDescent="0.25">
      <c r="A4333" t="s">
        <v>1532</v>
      </c>
      <c r="B4333" t="s">
        <v>399</v>
      </c>
      <c r="C4333" s="10" t="str" cm="1">
        <f t="array" ref="C4333">IF(AND(A4333="2020-12", ISNA(MATCH(B4333, _xlfn._xlws.FILTER(B:B, A:A="2021-01"), 0))), "Left", "Ativo")</f>
        <v>Ativo</v>
      </c>
      <c r="D4333" s="10" t="str" cm="1">
        <f t="array" ref="D4333">IF(AND(A4333="2021-01", ISNA(MATCH(B4333, _xlfn._xlws.FILTER(B:B, A:A="2021-02"), 0))), "Left", "Ativo")</f>
        <v>Ativo</v>
      </c>
      <c r="E4333" s="10" t="str" cm="1">
        <f t="array" ref="E4333">IF(AND(A4333="2021-02", ISNA(MATCH(B4333, _xlfn._xlws.FILTER(B:B, A:A="2021-03"), 0))), "Left", "Ativo")</f>
        <v>Ativo</v>
      </c>
      <c r="F4333" s="12" t="str" cm="1">
        <f t="array" ref="F4333">IF(AND(A4333="2021-03", ISNA(MATCH(B4333, _xlfn._xlws.FILTER(B:B, A:A="2021-04"), 0))), "Left", "Ativo")</f>
        <v>Ativo</v>
      </c>
    </row>
    <row r="4334" spans="1:6" x14ac:dyDescent="0.25">
      <c r="A4334" t="s">
        <v>1532</v>
      </c>
      <c r="B4334" t="s">
        <v>400</v>
      </c>
      <c r="C4334" s="10" t="str" cm="1">
        <f t="array" ref="C4334">IF(AND(A4334="2020-12", ISNA(MATCH(B4334, _xlfn._xlws.FILTER(B:B, A:A="2021-01"), 0))), "Left", "Ativo")</f>
        <v>Ativo</v>
      </c>
      <c r="D4334" s="10" t="str" cm="1">
        <f t="array" ref="D4334">IF(AND(A4334="2021-01", ISNA(MATCH(B4334, _xlfn._xlws.FILTER(B:B, A:A="2021-02"), 0))), "Left", "Ativo")</f>
        <v>Ativo</v>
      </c>
      <c r="E4334" s="10" t="str" cm="1">
        <f t="array" ref="E4334">IF(AND(A4334="2021-02", ISNA(MATCH(B4334, _xlfn._xlws.FILTER(B:B, A:A="2021-03"), 0))), "Left", "Ativo")</f>
        <v>Ativo</v>
      </c>
      <c r="F4334" s="12" t="str" cm="1">
        <f t="array" ref="F4334">IF(AND(A4334="2021-03", ISNA(MATCH(B4334, _xlfn._xlws.FILTER(B:B, A:A="2021-04"), 0))), "Left", "Ativo")</f>
        <v>Ativo</v>
      </c>
    </row>
    <row r="4335" spans="1:6" x14ac:dyDescent="0.25">
      <c r="A4335" t="s">
        <v>1532</v>
      </c>
      <c r="B4335" t="s">
        <v>401</v>
      </c>
      <c r="C4335" s="10" t="str" cm="1">
        <f t="array" ref="C4335">IF(AND(A4335="2020-12", ISNA(MATCH(B4335, _xlfn._xlws.FILTER(B:B, A:A="2021-01"), 0))), "Left", "Ativo")</f>
        <v>Ativo</v>
      </c>
      <c r="D4335" s="10" t="str" cm="1">
        <f t="array" ref="D4335">IF(AND(A4335="2021-01", ISNA(MATCH(B4335, _xlfn._xlws.FILTER(B:B, A:A="2021-02"), 0))), "Left", "Ativo")</f>
        <v>Ativo</v>
      </c>
      <c r="E4335" s="10" t="str" cm="1">
        <f t="array" ref="E4335">IF(AND(A4335="2021-02", ISNA(MATCH(B4335, _xlfn._xlws.FILTER(B:B, A:A="2021-03"), 0))), "Left", "Ativo")</f>
        <v>Ativo</v>
      </c>
      <c r="F4335" s="12" t="str" cm="1">
        <f t="array" ref="F4335">IF(AND(A4335="2021-03", ISNA(MATCH(B4335, _xlfn._xlws.FILTER(B:B, A:A="2021-04"), 0))), "Left", "Ativo")</f>
        <v>Ativo</v>
      </c>
    </row>
    <row r="4336" spans="1:6" x14ac:dyDescent="0.25">
      <c r="A4336" t="s">
        <v>1532</v>
      </c>
      <c r="B4336" t="s">
        <v>402</v>
      </c>
      <c r="C4336" s="10" t="str" cm="1">
        <f t="array" ref="C4336">IF(AND(A4336="2020-12", ISNA(MATCH(B4336, _xlfn._xlws.FILTER(B:B, A:A="2021-01"), 0))), "Left", "Ativo")</f>
        <v>Ativo</v>
      </c>
      <c r="D4336" s="10" t="str" cm="1">
        <f t="array" ref="D4336">IF(AND(A4336="2021-01", ISNA(MATCH(B4336, _xlfn._xlws.FILTER(B:B, A:A="2021-02"), 0))), "Left", "Ativo")</f>
        <v>Ativo</v>
      </c>
      <c r="E4336" s="10" t="str" cm="1">
        <f t="array" ref="E4336">IF(AND(A4336="2021-02", ISNA(MATCH(B4336, _xlfn._xlws.FILTER(B:B, A:A="2021-03"), 0))), "Left", "Ativo")</f>
        <v>Ativo</v>
      </c>
      <c r="F4336" s="12" t="str" cm="1">
        <f t="array" ref="F4336">IF(AND(A4336="2021-03", ISNA(MATCH(B4336, _xlfn._xlws.FILTER(B:B, A:A="2021-04"), 0))), "Left", "Ativo")</f>
        <v>Ativo</v>
      </c>
    </row>
    <row r="4337" spans="1:6" x14ac:dyDescent="0.25">
      <c r="A4337" t="s">
        <v>1532</v>
      </c>
      <c r="B4337" t="s">
        <v>403</v>
      </c>
      <c r="C4337" s="10" t="str" cm="1">
        <f t="array" ref="C4337">IF(AND(A4337="2020-12", ISNA(MATCH(B4337, _xlfn._xlws.FILTER(B:B, A:A="2021-01"), 0))), "Left", "Ativo")</f>
        <v>Ativo</v>
      </c>
      <c r="D4337" s="10" t="str" cm="1">
        <f t="array" ref="D4337">IF(AND(A4337="2021-01", ISNA(MATCH(B4337, _xlfn._xlws.FILTER(B:B, A:A="2021-02"), 0))), "Left", "Ativo")</f>
        <v>Ativo</v>
      </c>
      <c r="E4337" s="10" t="str" cm="1">
        <f t="array" ref="E4337">IF(AND(A4337="2021-02", ISNA(MATCH(B4337, _xlfn._xlws.FILTER(B:B, A:A="2021-03"), 0))), "Left", "Ativo")</f>
        <v>Ativo</v>
      </c>
      <c r="F4337" s="12" t="str" cm="1">
        <f t="array" ref="F4337">IF(AND(A4337="2021-03", ISNA(MATCH(B4337, _xlfn._xlws.FILTER(B:B, A:A="2021-04"), 0))), "Left", "Ativo")</f>
        <v>Ativo</v>
      </c>
    </row>
    <row r="4338" spans="1:6" x14ac:dyDescent="0.25">
      <c r="A4338" t="s">
        <v>1532</v>
      </c>
      <c r="B4338" t="s">
        <v>404</v>
      </c>
      <c r="C4338" s="10" t="str" cm="1">
        <f t="array" ref="C4338">IF(AND(A4338="2020-12", ISNA(MATCH(B4338, _xlfn._xlws.FILTER(B:B, A:A="2021-01"), 0))), "Left", "Ativo")</f>
        <v>Ativo</v>
      </c>
      <c r="D4338" s="10" t="str" cm="1">
        <f t="array" ref="D4338">IF(AND(A4338="2021-01", ISNA(MATCH(B4338, _xlfn._xlws.FILTER(B:B, A:A="2021-02"), 0))), "Left", "Ativo")</f>
        <v>Ativo</v>
      </c>
      <c r="E4338" s="10" t="str" cm="1">
        <f t="array" ref="E4338">IF(AND(A4338="2021-02", ISNA(MATCH(B4338, _xlfn._xlws.FILTER(B:B, A:A="2021-03"), 0))), "Left", "Ativo")</f>
        <v>Ativo</v>
      </c>
      <c r="F4338" s="12" t="str" cm="1">
        <f t="array" ref="F4338">IF(AND(A4338="2021-03", ISNA(MATCH(B4338, _xlfn._xlws.FILTER(B:B, A:A="2021-04"), 0))), "Left", "Ativo")</f>
        <v>Ativo</v>
      </c>
    </row>
    <row r="4339" spans="1:6" x14ac:dyDescent="0.25">
      <c r="A4339" t="s">
        <v>1532</v>
      </c>
      <c r="B4339" t="s">
        <v>405</v>
      </c>
      <c r="C4339" s="10" t="str" cm="1">
        <f t="array" ref="C4339">IF(AND(A4339="2020-12", ISNA(MATCH(B4339, _xlfn._xlws.FILTER(B:B, A:A="2021-01"), 0))), "Left", "Ativo")</f>
        <v>Ativo</v>
      </c>
      <c r="D4339" s="10" t="str" cm="1">
        <f t="array" ref="D4339">IF(AND(A4339="2021-01", ISNA(MATCH(B4339, _xlfn._xlws.FILTER(B:B, A:A="2021-02"), 0))), "Left", "Ativo")</f>
        <v>Ativo</v>
      </c>
      <c r="E4339" s="10" t="str" cm="1">
        <f t="array" ref="E4339">IF(AND(A4339="2021-02", ISNA(MATCH(B4339, _xlfn._xlws.FILTER(B:B, A:A="2021-03"), 0))), "Left", "Ativo")</f>
        <v>Ativo</v>
      </c>
      <c r="F4339" s="12" t="str" cm="1">
        <f t="array" ref="F4339">IF(AND(A4339="2021-03", ISNA(MATCH(B4339, _xlfn._xlws.FILTER(B:B, A:A="2021-04"), 0))), "Left", "Ativo")</f>
        <v>Ativo</v>
      </c>
    </row>
    <row r="4340" spans="1:6" x14ac:dyDescent="0.25">
      <c r="A4340" t="s">
        <v>1532</v>
      </c>
      <c r="B4340" t="s">
        <v>406</v>
      </c>
      <c r="C4340" s="10" t="str" cm="1">
        <f t="array" ref="C4340">IF(AND(A4340="2020-12", ISNA(MATCH(B4340, _xlfn._xlws.FILTER(B:B, A:A="2021-01"), 0))), "Left", "Ativo")</f>
        <v>Ativo</v>
      </c>
      <c r="D4340" s="10" t="str" cm="1">
        <f t="array" ref="D4340">IF(AND(A4340="2021-01", ISNA(MATCH(B4340, _xlfn._xlws.FILTER(B:B, A:A="2021-02"), 0))), "Left", "Ativo")</f>
        <v>Ativo</v>
      </c>
      <c r="E4340" s="10" t="str" cm="1">
        <f t="array" ref="E4340">IF(AND(A4340="2021-02", ISNA(MATCH(B4340, _xlfn._xlws.FILTER(B:B, A:A="2021-03"), 0))), "Left", "Ativo")</f>
        <v>Ativo</v>
      </c>
      <c r="F4340" s="12" t="str" cm="1">
        <f t="array" ref="F4340">IF(AND(A4340="2021-03", ISNA(MATCH(B4340, _xlfn._xlws.FILTER(B:B, A:A="2021-04"), 0))), "Left", "Ativo")</f>
        <v>Ativo</v>
      </c>
    </row>
    <row r="4341" spans="1:6" x14ac:dyDescent="0.25">
      <c r="A4341" t="s">
        <v>1532</v>
      </c>
      <c r="B4341" t="s">
        <v>407</v>
      </c>
      <c r="C4341" s="10" t="str" cm="1">
        <f t="array" ref="C4341">IF(AND(A4341="2020-12", ISNA(MATCH(B4341, _xlfn._xlws.FILTER(B:B, A:A="2021-01"), 0))), "Left", "Ativo")</f>
        <v>Ativo</v>
      </c>
      <c r="D4341" s="10" t="str" cm="1">
        <f t="array" ref="D4341">IF(AND(A4341="2021-01", ISNA(MATCH(B4341, _xlfn._xlws.FILTER(B:B, A:A="2021-02"), 0))), "Left", "Ativo")</f>
        <v>Ativo</v>
      </c>
      <c r="E4341" s="10" t="str" cm="1">
        <f t="array" ref="E4341">IF(AND(A4341="2021-02", ISNA(MATCH(B4341, _xlfn._xlws.FILTER(B:B, A:A="2021-03"), 0))), "Left", "Ativo")</f>
        <v>Ativo</v>
      </c>
      <c r="F4341" s="12" t="str" cm="1">
        <f t="array" ref="F4341">IF(AND(A4341="2021-03", ISNA(MATCH(B4341, _xlfn._xlws.FILTER(B:B, A:A="2021-04"), 0))), "Left", "Ativo")</f>
        <v>Ativo</v>
      </c>
    </row>
    <row r="4342" spans="1:6" x14ac:dyDescent="0.25">
      <c r="A4342" t="s">
        <v>1532</v>
      </c>
      <c r="B4342" t="s">
        <v>408</v>
      </c>
      <c r="C4342" s="10" t="str" cm="1">
        <f t="array" ref="C4342">IF(AND(A4342="2020-12", ISNA(MATCH(B4342, _xlfn._xlws.FILTER(B:B, A:A="2021-01"), 0))), "Left", "Ativo")</f>
        <v>Ativo</v>
      </c>
      <c r="D4342" s="10" t="str" cm="1">
        <f t="array" ref="D4342">IF(AND(A4342="2021-01", ISNA(MATCH(B4342, _xlfn._xlws.FILTER(B:B, A:A="2021-02"), 0))), "Left", "Ativo")</f>
        <v>Ativo</v>
      </c>
      <c r="E4342" s="10" t="str" cm="1">
        <f t="array" ref="E4342">IF(AND(A4342="2021-02", ISNA(MATCH(B4342, _xlfn._xlws.FILTER(B:B, A:A="2021-03"), 0))), "Left", "Ativo")</f>
        <v>Ativo</v>
      </c>
      <c r="F4342" s="12" t="str" cm="1">
        <f t="array" ref="F4342">IF(AND(A4342="2021-03", ISNA(MATCH(B4342, _xlfn._xlws.FILTER(B:B, A:A="2021-04"), 0))), "Left", "Ativo")</f>
        <v>Ativo</v>
      </c>
    </row>
    <row r="4343" spans="1:6" x14ac:dyDescent="0.25">
      <c r="A4343" t="s">
        <v>1532</v>
      </c>
      <c r="B4343" t="s">
        <v>409</v>
      </c>
      <c r="C4343" s="10" t="str" cm="1">
        <f t="array" ref="C4343">IF(AND(A4343="2020-12", ISNA(MATCH(B4343, _xlfn._xlws.FILTER(B:B, A:A="2021-01"), 0))), "Left", "Ativo")</f>
        <v>Ativo</v>
      </c>
      <c r="D4343" s="10" t="str" cm="1">
        <f t="array" ref="D4343">IF(AND(A4343="2021-01", ISNA(MATCH(B4343, _xlfn._xlws.FILTER(B:B, A:A="2021-02"), 0))), "Left", "Ativo")</f>
        <v>Ativo</v>
      </c>
      <c r="E4343" s="10" t="str" cm="1">
        <f t="array" ref="E4343">IF(AND(A4343="2021-02", ISNA(MATCH(B4343, _xlfn._xlws.FILTER(B:B, A:A="2021-03"), 0))), "Left", "Ativo")</f>
        <v>Ativo</v>
      </c>
      <c r="F4343" s="12" t="str" cm="1">
        <f t="array" ref="F4343">IF(AND(A4343="2021-03", ISNA(MATCH(B4343, _xlfn._xlws.FILTER(B:B, A:A="2021-04"), 0))), "Left", "Ativo")</f>
        <v>Ativo</v>
      </c>
    </row>
    <row r="4344" spans="1:6" x14ac:dyDescent="0.25">
      <c r="A4344" t="s">
        <v>1532</v>
      </c>
      <c r="B4344" t="s">
        <v>410</v>
      </c>
      <c r="C4344" s="10" t="str" cm="1">
        <f t="array" ref="C4344">IF(AND(A4344="2020-12", ISNA(MATCH(B4344, _xlfn._xlws.FILTER(B:B, A:A="2021-01"), 0))), "Left", "Ativo")</f>
        <v>Ativo</v>
      </c>
      <c r="D4344" s="10" t="str" cm="1">
        <f t="array" ref="D4344">IF(AND(A4344="2021-01", ISNA(MATCH(B4344, _xlfn._xlws.FILTER(B:B, A:A="2021-02"), 0))), "Left", "Ativo")</f>
        <v>Ativo</v>
      </c>
      <c r="E4344" s="10" t="str" cm="1">
        <f t="array" ref="E4344">IF(AND(A4344="2021-02", ISNA(MATCH(B4344, _xlfn._xlws.FILTER(B:B, A:A="2021-03"), 0))), "Left", "Ativo")</f>
        <v>Ativo</v>
      </c>
      <c r="F4344" s="12" t="str" cm="1">
        <f t="array" ref="F4344">IF(AND(A4344="2021-03", ISNA(MATCH(B4344, _xlfn._xlws.FILTER(B:B, A:A="2021-04"), 0))), "Left", "Ativo")</f>
        <v>Ativo</v>
      </c>
    </row>
    <row r="4345" spans="1:6" x14ac:dyDescent="0.25">
      <c r="A4345" t="s">
        <v>1532</v>
      </c>
      <c r="B4345" t="s">
        <v>411</v>
      </c>
      <c r="C4345" s="10" t="str" cm="1">
        <f t="array" ref="C4345">IF(AND(A4345="2020-12", ISNA(MATCH(B4345, _xlfn._xlws.FILTER(B:B, A:A="2021-01"), 0))), "Left", "Ativo")</f>
        <v>Ativo</v>
      </c>
      <c r="D4345" s="10" t="str" cm="1">
        <f t="array" ref="D4345">IF(AND(A4345="2021-01", ISNA(MATCH(B4345, _xlfn._xlws.FILTER(B:B, A:A="2021-02"), 0))), "Left", "Ativo")</f>
        <v>Ativo</v>
      </c>
      <c r="E4345" s="10" t="str" cm="1">
        <f t="array" ref="E4345">IF(AND(A4345="2021-02", ISNA(MATCH(B4345, _xlfn._xlws.FILTER(B:B, A:A="2021-03"), 0))), "Left", "Ativo")</f>
        <v>Ativo</v>
      </c>
      <c r="F4345" s="12" t="str" cm="1">
        <f t="array" ref="F4345">IF(AND(A4345="2021-03", ISNA(MATCH(B4345, _xlfn._xlws.FILTER(B:B, A:A="2021-04"), 0))), "Left", "Ativo")</f>
        <v>Ativo</v>
      </c>
    </row>
    <row r="4346" spans="1:6" x14ac:dyDescent="0.25">
      <c r="A4346" t="s">
        <v>1532</v>
      </c>
      <c r="B4346" t="s">
        <v>412</v>
      </c>
      <c r="C4346" s="10" t="str" cm="1">
        <f t="array" ref="C4346">IF(AND(A4346="2020-12", ISNA(MATCH(B4346, _xlfn._xlws.FILTER(B:B, A:A="2021-01"), 0))), "Left", "Ativo")</f>
        <v>Ativo</v>
      </c>
      <c r="D4346" s="10" t="str" cm="1">
        <f t="array" ref="D4346">IF(AND(A4346="2021-01", ISNA(MATCH(B4346, _xlfn._xlws.FILTER(B:B, A:A="2021-02"), 0))), "Left", "Ativo")</f>
        <v>Ativo</v>
      </c>
      <c r="E4346" s="10" t="str" cm="1">
        <f t="array" ref="E4346">IF(AND(A4346="2021-02", ISNA(MATCH(B4346, _xlfn._xlws.FILTER(B:B, A:A="2021-03"), 0))), "Left", "Ativo")</f>
        <v>Ativo</v>
      </c>
      <c r="F4346" s="12" t="str" cm="1">
        <f t="array" ref="F4346">IF(AND(A4346="2021-03", ISNA(MATCH(B4346, _xlfn._xlws.FILTER(B:B, A:A="2021-04"), 0))), "Left", "Ativo")</f>
        <v>Ativo</v>
      </c>
    </row>
    <row r="4347" spans="1:6" x14ac:dyDescent="0.25">
      <c r="A4347" t="s">
        <v>1532</v>
      </c>
      <c r="B4347" t="s">
        <v>418</v>
      </c>
      <c r="C4347" s="10" t="str" cm="1">
        <f t="array" ref="C4347">IF(AND(A4347="2020-12", ISNA(MATCH(B4347, _xlfn._xlws.FILTER(B:B, A:A="2021-01"), 0))), "Left", "Ativo")</f>
        <v>Ativo</v>
      </c>
      <c r="D4347" s="10" t="str" cm="1">
        <f t="array" ref="D4347">IF(AND(A4347="2021-01", ISNA(MATCH(B4347, _xlfn._xlws.FILTER(B:B, A:A="2021-02"), 0))), "Left", "Ativo")</f>
        <v>Ativo</v>
      </c>
      <c r="E4347" s="10" t="str" cm="1">
        <f t="array" ref="E4347">IF(AND(A4347="2021-02", ISNA(MATCH(B4347, _xlfn._xlws.FILTER(B:B, A:A="2021-03"), 0))), "Left", "Ativo")</f>
        <v>Ativo</v>
      </c>
      <c r="F4347" s="12" t="str" cm="1">
        <f t="array" ref="F4347">IF(AND(A4347="2021-03", ISNA(MATCH(B4347, _xlfn._xlws.FILTER(B:B, A:A="2021-04"), 0))), "Left", "Ativo")</f>
        <v>Ativo</v>
      </c>
    </row>
    <row r="4348" spans="1:6" x14ac:dyDescent="0.25">
      <c r="A4348" t="s">
        <v>1532</v>
      </c>
      <c r="B4348" t="s">
        <v>419</v>
      </c>
      <c r="C4348" s="10" t="str" cm="1">
        <f t="array" ref="C4348">IF(AND(A4348="2020-12", ISNA(MATCH(B4348, _xlfn._xlws.FILTER(B:B, A:A="2021-01"), 0))), "Left", "Ativo")</f>
        <v>Ativo</v>
      </c>
      <c r="D4348" s="10" t="str" cm="1">
        <f t="array" ref="D4348">IF(AND(A4348="2021-01", ISNA(MATCH(B4348, _xlfn._xlws.FILTER(B:B, A:A="2021-02"), 0))), "Left", "Ativo")</f>
        <v>Ativo</v>
      </c>
      <c r="E4348" s="10" t="str" cm="1">
        <f t="array" ref="E4348">IF(AND(A4348="2021-02", ISNA(MATCH(B4348, _xlfn._xlws.FILTER(B:B, A:A="2021-03"), 0))), "Left", "Ativo")</f>
        <v>Ativo</v>
      </c>
      <c r="F4348" s="12" t="str" cm="1">
        <f t="array" ref="F4348">IF(AND(A4348="2021-03", ISNA(MATCH(B4348, _xlfn._xlws.FILTER(B:B, A:A="2021-04"), 0))), "Left", "Ativo")</f>
        <v>Ativo</v>
      </c>
    </row>
    <row r="4349" spans="1:6" x14ac:dyDescent="0.25">
      <c r="A4349" t="s">
        <v>1532</v>
      </c>
      <c r="B4349" t="s">
        <v>420</v>
      </c>
      <c r="C4349" s="10" t="str" cm="1">
        <f t="array" ref="C4349">IF(AND(A4349="2020-12", ISNA(MATCH(B4349, _xlfn._xlws.FILTER(B:B, A:A="2021-01"), 0))), "Left", "Ativo")</f>
        <v>Ativo</v>
      </c>
      <c r="D4349" s="10" t="str" cm="1">
        <f t="array" ref="D4349">IF(AND(A4349="2021-01", ISNA(MATCH(B4349, _xlfn._xlws.FILTER(B:B, A:A="2021-02"), 0))), "Left", "Ativo")</f>
        <v>Ativo</v>
      </c>
      <c r="E4349" s="10" t="str" cm="1">
        <f t="array" ref="E4349">IF(AND(A4349="2021-02", ISNA(MATCH(B4349, _xlfn._xlws.FILTER(B:B, A:A="2021-03"), 0))), "Left", "Ativo")</f>
        <v>Ativo</v>
      </c>
      <c r="F4349" s="12" t="str" cm="1">
        <f t="array" ref="F4349">IF(AND(A4349="2021-03", ISNA(MATCH(B4349, _xlfn._xlws.FILTER(B:B, A:A="2021-04"), 0))), "Left", "Ativo")</f>
        <v>Ativo</v>
      </c>
    </row>
    <row r="4350" spans="1:6" x14ac:dyDescent="0.25">
      <c r="A4350" t="s">
        <v>1532</v>
      </c>
      <c r="B4350" t="s">
        <v>421</v>
      </c>
      <c r="C4350" s="10" t="str" cm="1">
        <f t="array" ref="C4350">IF(AND(A4350="2020-12", ISNA(MATCH(B4350, _xlfn._xlws.FILTER(B:B, A:A="2021-01"), 0))), "Left", "Ativo")</f>
        <v>Ativo</v>
      </c>
      <c r="D4350" s="10" t="str" cm="1">
        <f t="array" ref="D4350">IF(AND(A4350="2021-01", ISNA(MATCH(B4350, _xlfn._xlws.FILTER(B:B, A:A="2021-02"), 0))), "Left", "Ativo")</f>
        <v>Ativo</v>
      </c>
      <c r="E4350" s="10" t="str" cm="1">
        <f t="array" ref="E4350">IF(AND(A4350="2021-02", ISNA(MATCH(B4350, _xlfn._xlws.FILTER(B:B, A:A="2021-03"), 0))), "Left", "Ativo")</f>
        <v>Ativo</v>
      </c>
      <c r="F4350" s="12" t="str" cm="1">
        <f t="array" ref="F4350">IF(AND(A4350="2021-03", ISNA(MATCH(B4350, _xlfn._xlws.FILTER(B:B, A:A="2021-04"), 0))), "Left", "Ativo")</f>
        <v>Ativo</v>
      </c>
    </row>
    <row r="4351" spans="1:6" x14ac:dyDescent="0.25">
      <c r="A4351" t="s">
        <v>1532</v>
      </c>
      <c r="B4351" t="s">
        <v>422</v>
      </c>
      <c r="C4351" s="10" t="str" cm="1">
        <f t="array" ref="C4351">IF(AND(A4351="2020-12", ISNA(MATCH(B4351, _xlfn._xlws.FILTER(B:B, A:A="2021-01"), 0))), "Left", "Ativo")</f>
        <v>Ativo</v>
      </c>
      <c r="D4351" s="10" t="str" cm="1">
        <f t="array" ref="D4351">IF(AND(A4351="2021-01", ISNA(MATCH(B4351, _xlfn._xlws.FILTER(B:B, A:A="2021-02"), 0))), "Left", "Ativo")</f>
        <v>Ativo</v>
      </c>
      <c r="E4351" s="10" t="str" cm="1">
        <f t="array" ref="E4351">IF(AND(A4351="2021-02", ISNA(MATCH(B4351, _xlfn._xlws.FILTER(B:B, A:A="2021-03"), 0))), "Left", "Ativo")</f>
        <v>Ativo</v>
      </c>
      <c r="F4351" s="12" t="str" cm="1">
        <f t="array" ref="F4351">IF(AND(A4351="2021-03", ISNA(MATCH(B4351, _xlfn._xlws.FILTER(B:B, A:A="2021-04"), 0))), "Left", "Ativo")</f>
        <v>Ativo</v>
      </c>
    </row>
    <row r="4352" spans="1:6" x14ac:dyDescent="0.25">
      <c r="A4352" t="s">
        <v>1532</v>
      </c>
      <c r="B4352" t="s">
        <v>423</v>
      </c>
      <c r="C4352" s="10" t="str" cm="1">
        <f t="array" ref="C4352">IF(AND(A4352="2020-12", ISNA(MATCH(B4352, _xlfn._xlws.FILTER(B:B, A:A="2021-01"), 0))), "Left", "Ativo")</f>
        <v>Ativo</v>
      </c>
      <c r="D4352" s="10" t="str" cm="1">
        <f t="array" ref="D4352">IF(AND(A4352="2021-01", ISNA(MATCH(B4352, _xlfn._xlws.FILTER(B:B, A:A="2021-02"), 0))), "Left", "Ativo")</f>
        <v>Ativo</v>
      </c>
      <c r="E4352" s="10" t="str" cm="1">
        <f t="array" ref="E4352">IF(AND(A4352="2021-02", ISNA(MATCH(B4352, _xlfn._xlws.FILTER(B:B, A:A="2021-03"), 0))), "Left", "Ativo")</f>
        <v>Ativo</v>
      </c>
      <c r="F4352" s="12" t="str" cm="1">
        <f t="array" ref="F4352">IF(AND(A4352="2021-03", ISNA(MATCH(B4352, _xlfn._xlws.FILTER(B:B, A:A="2021-04"), 0))), "Left", "Ativo")</f>
        <v>Ativo</v>
      </c>
    </row>
    <row r="4353" spans="1:6" x14ac:dyDescent="0.25">
      <c r="A4353" t="s">
        <v>1532</v>
      </c>
      <c r="B4353" t="s">
        <v>424</v>
      </c>
      <c r="C4353" s="10" t="str" cm="1">
        <f t="array" ref="C4353">IF(AND(A4353="2020-12", ISNA(MATCH(B4353, _xlfn._xlws.FILTER(B:B, A:A="2021-01"), 0))), "Left", "Ativo")</f>
        <v>Ativo</v>
      </c>
      <c r="D4353" s="10" t="str" cm="1">
        <f t="array" ref="D4353">IF(AND(A4353="2021-01", ISNA(MATCH(B4353, _xlfn._xlws.FILTER(B:B, A:A="2021-02"), 0))), "Left", "Ativo")</f>
        <v>Ativo</v>
      </c>
      <c r="E4353" s="10" t="str" cm="1">
        <f t="array" ref="E4353">IF(AND(A4353="2021-02", ISNA(MATCH(B4353, _xlfn._xlws.FILTER(B:B, A:A="2021-03"), 0))), "Left", "Ativo")</f>
        <v>Ativo</v>
      </c>
      <c r="F4353" s="12" t="str" cm="1">
        <f t="array" ref="F4353">IF(AND(A4353="2021-03", ISNA(MATCH(B4353, _xlfn._xlws.FILTER(B:B, A:A="2021-04"), 0))), "Left", "Ativo")</f>
        <v>Ativo</v>
      </c>
    </row>
    <row r="4354" spans="1:6" x14ac:dyDescent="0.25">
      <c r="A4354" t="s">
        <v>1532</v>
      </c>
      <c r="B4354" t="s">
        <v>427</v>
      </c>
      <c r="C4354" s="10" t="str" cm="1">
        <f t="array" ref="C4354">IF(AND(A4354="2020-12", ISNA(MATCH(B4354, _xlfn._xlws.FILTER(B:B, A:A="2021-01"), 0))), "Left", "Ativo")</f>
        <v>Ativo</v>
      </c>
      <c r="D4354" s="10" t="str" cm="1">
        <f t="array" ref="D4354">IF(AND(A4354="2021-01", ISNA(MATCH(B4354, _xlfn._xlws.FILTER(B:B, A:A="2021-02"), 0))), "Left", "Ativo")</f>
        <v>Ativo</v>
      </c>
      <c r="E4354" s="10" t="str" cm="1">
        <f t="array" ref="E4354">IF(AND(A4354="2021-02", ISNA(MATCH(B4354, _xlfn._xlws.FILTER(B:B, A:A="2021-03"), 0))), "Left", "Ativo")</f>
        <v>Ativo</v>
      </c>
      <c r="F4354" s="12" t="str" cm="1">
        <f t="array" ref="F4354">IF(AND(A4354="2021-03", ISNA(MATCH(B4354, _xlfn._xlws.FILTER(B:B, A:A="2021-04"), 0))), "Left", "Ativo")</f>
        <v>Ativo</v>
      </c>
    </row>
    <row r="4355" spans="1:6" x14ac:dyDescent="0.25">
      <c r="A4355" t="s">
        <v>1532</v>
      </c>
      <c r="B4355" t="s">
        <v>428</v>
      </c>
      <c r="C4355" s="10" t="str" cm="1">
        <f t="array" ref="C4355">IF(AND(A4355="2020-12", ISNA(MATCH(B4355, _xlfn._xlws.FILTER(B:B, A:A="2021-01"), 0))), "Left", "Ativo")</f>
        <v>Ativo</v>
      </c>
      <c r="D4355" s="10" t="str" cm="1">
        <f t="array" ref="D4355">IF(AND(A4355="2021-01", ISNA(MATCH(B4355, _xlfn._xlws.FILTER(B:B, A:A="2021-02"), 0))), "Left", "Ativo")</f>
        <v>Ativo</v>
      </c>
      <c r="E4355" s="10" t="str" cm="1">
        <f t="array" ref="E4355">IF(AND(A4355="2021-02", ISNA(MATCH(B4355, _xlfn._xlws.FILTER(B:B, A:A="2021-03"), 0))), "Left", "Ativo")</f>
        <v>Ativo</v>
      </c>
      <c r="F4355" s="12" t="str" cm="1">
        <f t="array" ref="F4355">IF(AND(A4355="2021-03", ISNA(MATCH(B4355, _xlfn._xlws.FILTER(B:B, A:A="2021-04"), 0))), "Left", "Ativo")</f>
        <v>Ativo</v>
      </c>
    </row>
    <row r="4356" spans="1:6" x14ac:dyDescent="0.25">
      <c r="A4356" t="s">
        <v>1532</v>
      </c>
      <c r="B4356" t="s">
        <v>429</v>
      </c>
      <c r="C4356" s="10" t="str" cm="1">
        <f t="array" ref="C4356">IF(AND(A4356="2020-12", ISNA(MATCH(B4356, _xlfn._xlws.FILTER(B:B, A:A="2021-01"), 0))), "Left", "Ativo")</f>
        <v>Ativo</v>
      </c>
      <c r="D4356" s="10" t="str" cm="1">
        <f t="array" ref="D4356">IF(AND(A4356="2021-01", ISNA(MATCH(B4356, _xlfn._xlws.FILTER(B:B, A:A="2021-02"), 0))), "Left", "Ativo")</f>
        <v>Ativo</v>
      </c>
      <c r="E4356" s="10" t="str" cm="1">
        <f t="array" ref="E4356">IF(AND(A4356="2021-02", ISNA(MATCH(B4356, _xlfn._xlws.FILTER(B:B, A:A="2021-03"), 0))), "Left", "Ativo")</f>
        <v>Ativo</v>
      </c>
      <c r="F4356" s="12" t="str" cm="1">
        <f t="array" ref="F4356">IF(AND(A4356="2021-03", ISNA(MATCH(B4356, _xlfn._xlws.FILTER(B:B, A:A="2021-04"), 0))), "Left", "Ativo")</f>
        <v>Ativo</v>
      </c>
    </row>
    <row r="4357" spans="1:6" x14ac:dyDescent="0.25">
      <c r="A4357" t="s">
        <v>1532</v>
      </c>
      <c r="B4357" t="s">
        <v>430</v>
      </c>
      <c r="C4357" s="10" t="str" cm="1">
        <f t="array" ref="C4357">IF(AND(A4357="2020-12", ISNA(MATCH(B4357, _xlfn._xlws.FILTER(B:B, A:A="2021-01"), 0))), "Left", "Ativo")</f>
        <v>Ativo</v>
      </c>
      <c r="D4357" s="10" t="str" cm="1">
        <f t="array" ref="D4357">IF(AND(A4357="2021-01", ISNA(MATCH(B4357, _xlfn._xlws.FILTER(B:B, A:A="2021-02"), 0))), "Left", "Ativo")</f>
        <v>Ativo</v>
      </c>
      <c r="E4357" s="10" t="str" cm="1">
        <f t="array" ref="E4357">IF(AND(A4357="2021-02", ISNA(MATCH(B4357, _xlfn._xlws.FILTER(B:B, A:A="2021-03"), 0))), "Left", "Ativo")</f>
        <v>Ativo</v>
      </c>
      <c r="F4357" s="12" t="str" cm="1">
        <f t="array" ref="F4357">IF(AND(A4357="2021-03", ISNA(MATCH(B4357, _xlfn._xlws.FILTER(B:B, A:A="2021-04"), 0))), "Left", "Ativo")</f>
        <v>Ativo</v>
      </c>
    </row>
    <row r="4358" spans="1:6" x14ac:dyDescent="0.25">
      <c r="A4358" t="s">
        <v>1532</v>
      </c>
      <c r="B4358" t="s">
        <v>431</v>
      </c>
      <c r="C4358" s="10" t="str" cm="1">
        <f t="array" ref="C4358">IF(AND(A4358="2020-12", ISNA(MATCH(B4358, _xlfn._xlws.FILTER(B:B, A:A="2021-01"), 0))), "Left", "Ativo")</f>
        <v>Ativo</v>
      </c>
      <c r="D4358" s="10" t="str" cm="1">
        <f t="array" ref="D4358">IF(AND(A4358="2021-01", ISNA(MATCH(B4358, _xlfn._xlws.FILTER(B:B, A:A="2021-02"), 0))), "Left", "Ativo")</f>
        <v>Ativo</v>
      </c>
      <c r="E4358" s="10" t="str" cm="1">
        <f t="array" ref="E4358">IF(AND(A4358="2021-02", ISNA(MATCH(B4358, _xlfn._xlws.FILTER(B:B, A:A="2021-03"), 0))), "Left", "Ativo")</f>
        <v>Ativo</v>
      </c>
      <c r="F4358" s="12" t="str" cm="1">
        <f t="array" ref="F4358">IF(AND(A4358="2021-03", ISNA(MATCH(B4358, _xlfn._xlws.FILTER(B:B, A:A="2021-04"), 0))), "Left", "Ativo")</f>
        <v>Ativo</v>
      </c>
    </row>
    <row r="4359" spans="1:6" x14ac:dyDescent="0.25">
      <c r="A4359" t="s">
        <v>1532</v>
      </c>
      <c r="B4359" t="s">
        <v>432</v>
      </c>
      <c r="C4359" s="10" t="str" cm="1">
        <f t="array" ref="C4359">IF(AND(A4359="2020-12", ISNA(MATCH(B4359, _xlfn._xlws.FILTER(B:B, A:A="2021-01"), 0))), "Left", "Ativo")</f>
        <v>Ativo</v>
      </c>
      <c r="D4359" s="10" t="str" cm="1">
        <f t="array" ref="D4359">IF(AND(A4359="2021-01", ISNA(MATCH(B4359, _xlfn._xlws.FILTER(B:B, A:A="2021-02"), 0))), "Left", "Ativo")</f>
        <v>Ativo</v>
      </c>
      <c r="E4359" s="10" t="str" cm="1">
        <f t="array" ref="E4359">IF(AND(A4359="2021-02", ISNA(MATCH(B4359, _xlfn._xlws.FILTER(B:B, A:A="2021-03"), 0))), "Left", "Ativo")</f>
        <v>Ativo</v>
      </c>
      <c r="F4359" s="12" t="str" cm="1">
        <f t="array" ref="F4359">IF(AND(A4359="2021-03", ISNA(MATCH(B4359, _xlfn._xlws.FILTER(B:B, A:A="2021-04"), 0))), "Left", "Ativo")</f>
        <v>Ativo</v>
      </c>
    </row>
    <row r="4360" spans="1:6" x14ac:dyDescent="0.25">
      <c r="A4360" t="s">
        <v>1532</v>
      </c>
      <c r="B4360" t="s">
        <v>433</v>
      </c>
      <c r="C4360" s="10" t="str" cm="1">
        <f t="array" ref="C4360">IF(AND(A4360="2020-12", ISNA(MATCH(B4360, _xlfn._xlws.FILTER(B:B, A:A="2021-01"), 0))), "Left", "Ativo")</f>
        <v>Ativo</v>
      </c>
      <c r="D4360" s="10" t="str" cm="1">
        <f t="array" ref="D4360">IF(AND(A4360="2021-01", ISNA(MATCH(B4360, _xlfn._xlws.FILTER(B:B, A:A="2021-02"), 0))), "Left", "Ativo")</f>
        <v>Ativo</v>
      </c>
      <c r="E4360" s="10" t="str" cm="1">
        <f t="array" ref="E4360">IF(AND(A4360="2021-02", ISNA(MATCH(B4360, _xlfn._xlws.FILTER(B:B, A:A="2021-03"), 0))), "Left", "Ativo")</f>
        <v>Ativo</v>
      </c>
      <c r="F4360" s="12" t="str" cm="1">
        <f t="array" ref="F4360">IF(AND(A4360="2021-03", ISNA(MATCH(B4360, _xlfn._xlws.FILTER(B:B, A:A="2021-04"), 0))), "Left", "Ativo")</f>
        <v>Ativo</v>
      </c>
    </row>
    <row r="4361" spans="1:6" x14ac:dyDescent="0.25">
      <c r="A4361" t="s">
        <v>1532</v>
      </c>
      <c r="B4361" t="s">
        <v>434</v>
      </c>
      <c r="C4361" s="10" t="str" cm="1">
        <f t="array" ref="C4361">IF(AND(A4361="2020-12", ISNA(MATCH(B4361, _xlfn._xlws.FILTER(B:B, A:A="2021-01"), 0))), "Left", "Ativo")</f>
        <v>Ativo</v>
      </c>
      <c r="D4361" s="10" t="str" cm="1">
        <f t="array" ref="D4361">IF(AND(A4361="2021-01", ISNA(MATCH(B4361, _xlfn._xlws.FILTER(B:B, A:A="2021-02"), 0))), "Left", "Ativo")</f>
        <v>Ativo</v>
      </c>
      <c r="E4361" s="10" t="str" cm="1">
        <f t="array" ref="E4361">IF(AND(A4361="2021-02", ISNA(MATCH(B4361, _xlfn._xlws.FILTER(B:B, A:A="2021-03"), 0))), "Left", "Ativo")</f>
        <v>Ativo</v>
      </c>
      <c r="F4361" s="12" t="str" cm="1">
        <f t="array" ref="F4361">IF(AND(A4361="2021-03", ISNA(MATCH(B4361, _xlfn._xlws.FILTER(B:B, A:A="2021-04"), 0))), "Left", "Ativo")</f>
        <v>Ativo</v>
      </c>
    </row>
    <row r="4362" spans="1:6" x14ac:dyDescent="0.25">
      <c r="A4362" t="s">
        <v>1532</v>
      </c>
      <c r="B4362" t="s">
        <v>435</v>
      </c>
      <c r="C4362" s="10" t="str" cm="1">
        <f t="array" ref="C4362">IF(AND(A4362="2020-12", ISNA(MATCH(B4362, _xlfn._xlws.FILTER(B:B, A:A="2021-01"), 0))), "Left", "Ativo")</f>
        <v>Ativo</v>
      </c>
      <c r="D4362" s="10" t="str" cm="1">
        <f t="array" ref="D4362">IF(AND(A4362="2021-01", ISNA(MATCH(B4362, _xlfn._xlws.FILTER(B:B, A:A="2021-02"), 0))), "Left", "Ativo")</f>
        <v>Ativo</v>
      </c>
      <c r="E4362" s="10" t="str" cm="1">
        <f t="array" ref="E4362">IF(AND(A4362="2021-02", ISNA(MATCH(B4362, _xlfn._xlws.FILTER(B:B, A:A="2021-03"), 0))), "Left", "Ativo")</f>
        <v>Ativo</v>
      </c>
      <c r="F4362" s="12" t="str" cm="1">
        <f t="array" ref="F4362">IF(AND(A4362="2021-03", ISNA(MATCH(B4362, _xlfn._xlws.FILTER(B:B, A:A="2021-04"), 0))), "Left", "Ativo")</f>
        <v>Ativo</v>
      </c>
    </row>
    <row r="4363" spans="1:6" x14ac:dyDescent="0.25">
      <c r="A4363" t="s">
        <v>1532</v>
      </c>
      <c r="B4363" t="s">
        <v>436</v>
      </c>
      <c r="C4363" s="10" t="str" cm="1">
        <f t="array" ref="C4363">IF(AND(A4363="2020-12", ISNA(MATCH(B4363, _xlfn._xlws.FILTER(B:B, A:A="2021-01"), 0))), "Left", "Ativo")</f>
        <v>Ativo</v>
      </c>
      <c r="D4363" s="10" t="str" cm="1">
        <f t="array" ref="D4363">IF(AND(A4363="2021-01", ISNA(MATCH(B4363, _xlfn._xlws.FILTER(B:B, A:A="2021-02"), 0))), "Left", "Ativo")</f>
        <v>Ativo</v>
      </c>
      <c r="E4363" s="10" t="str" cm="1">
        <f t="array" ref="E4363">IF(AND(A4363="2021-02", ISNA(MATCH(B4363, _xlfn._xlws.FILTER(B:B, A:A="2021-03"), 0))), "Left", "Ativo")</f>
        <v>Ativo</v>
      </c>
      <c r="F4363" s="12" t="str" cm="1">
        <f t="array" ref="F4363">IF(AND(A4363="2021-03", ISNA(MATCH(B4363, _xlfn._xlws.FILTER(B:B, A:A="2021-04"), 0))), "Left", "Ativo")</f>
        <v>Ativo</v>
      </c>
    </row>
    <row r="4364" spans="1:6" x14ac:dyDescent="0.25">
      <c r="A4364" t="s">
        <v>1532</v>
      </c>
      <c r="B4364" t="s">
        <v>437</v>
      </c>
      <c r="C4364" s="10" t="str" cm="1">
        <f t="array" ref="C4364">IF(AND(A4364="2020-12", ISNA(MATCH(B4364, _xlfn._xlws.FILTER(B:B, A:A="2021-01"), 0))), "Left", "Ativo")</f>
        <v>Ativo</v>
      </c>
      <c r="D4364" s="10" t="str" cm="1">
        <f t="array" ref="D4364">IF(AND(A4364="2021-01", ISNA(MATCH(B4364, _xlfn._xlws.FILTER(B:B, A:A="2021-02"), 0))), "Left", "Ativo")</f>
        <v>Ativo</v>
      </c>
      <c r="E4364" s="10" t="str" cm="1">
        <f t="array" ref="E4364">IF(AND(A4364="2021-02", ISNA(MATCH(B4364, _xlfn._xlws.FILTER(B:B, A:A="2021-03"), 0))), "Left", "Ativo")</f>
        <v>Ativo</v>
      </c>
      <c r="F4364" s="12" t="str" cm="1">
        <f t="array" ref="F4364">IF(AND(A4364="2021-03", ISNA(MATCH(B4364, _xlfn._xlws.FILTER(B:B, A:A="2021-04"), 0))), "Left", "Ativo")</f>
        <v>Ativo</v>
      </c>
    </row>
    <row r="4365" spans="1:6" x14ac:dyDescent="0.25">
      <c r="A4365" t="s">
        <v>1532</v>
      </c>
      <c r="B4365" t="s">
        <v>438</v>
      </c>
      <c r="C4365" s="10" t="str" cm="1">
        <f t="array" ref="C4365">IF(AND(A4365="2020-12", ISNA(MATCH(B4365, _xlfn._xlws.FILTER(B:B, A:A="2021-01"), 0))), "Left", "Ativo")</f>
        <v>Ativo</v>
      </c>
      <c r="D4365" s="10" t="str" cm="1">
        <f t="array" ref="D4365">IF(AND(A4365="2021-01", ISNA(MATCH(B4365, _xlfn._xlws.FILTER(B:B, A:A="2021-02"), 0))), "Left", "Ativo")</f>
        <v>Ativo</v>
      </c>
      <c r="E4365" s="10" t="str" cm="1">
        <f t="array" ref="E4365">IF(AND(A4365="2021-02", ISNA(MATCH(B4365, _xlfn._xlws.FILTER(B:B, A:A="2021-03"), 0))), "Left", "Ativo")</f>
        <v>Ativo</v>
      </c>
      <c r="F4365" s="12" t="str" cm="1">
        <f t="array" ref="F4365">IF(AND(A4365="2021-03", ISNA(MATCH(B4365, _xlfn._xlws.FILTER(B:B, A:A="2021-04"), 0))), "Left", "Ativo")</f>
        <v>Ativo</v>
      </c>
    </row>
    <row r="4366" spans="1:6" x14ac:dyDescent="0.25">
      <c r="A4366" t="s">
        <v>1532</v>
      </c>
      <c r="B4366" t="s">
        <v>439</v>
      </c>
      <c r="C4366" s="10" t="str" cm="1">
        <f t="array" ref="C4366">IF(AND(A4366="2020-12", ISNA(MATCH(B4366, _xlfn._xlws.FILTER(B:B, A:A="2021-01"), 0))), "Left", "Ativo")</f>
        <v>Ativo</v>
      </c>
      <c r="D4366" s="10" t="str" cm="1">
        <f t="array" ref="D4366">IF(AND(A4366="2021-01", ISNA(MATCH(B4366, _xlfn._xlws.FILTER(B:B, A:A="2021-02"), 0))), "Left", "Ativo")</f>
        <v>Ativo</v>
      </c>
      <c r="E4366" s="10" t="str" cm="1">
        <f t="array" ref="E4366">IF(AND(A4366="2021-02", ISNA(MATCH(B4366, _xlfn._xlws.FILTER(B:B, A:A="2021-03"), 0))), "Left", "Ativo")</f>
        <v>Ativo</v>
      </c>
      <c r="F4366" s="12" t="str" cm="1">
        <f t="array" ref="F4366">IF(AND(A4366="2021-03", ISNA(MATCH(B4366, _xlfn._xlws.FILTER(B:B, A:A="2021-04"), 0))), "Left", "Ativo")</f>
        <v>Ativo</v>
      </c>
    </row>
    <row r="4367" spans="1:6" x14ac:dyDescent="0.25">
      <c r="A4367" t="s">
        <v>1532</v>
      </c>
      <c r="B4367" t="s">
        <v>440</v>
      </c>
      <c r="C4367" s="10" t="str" cm="1">
        <f t="array" ref="C4367">IF(AND(A4367="2020-12", ISNA(MATCH(B4367, _xlfn._xlws.FILTER(B:B, A:A="2021-01"), 0))), "Left", "Ativo")</f>
        <v>Ativo</v>
      </c>
      <c r="D4367" s="10" t="str" cm="1">
        <f t="array" ref="D4367">IF(AND(A4367="2021-01", ISNA(MATCH(B4367, _xlfn._xlws.FILTER(B:B, A:A="2021-02"), 0))), "Left", "Ativo")</f>
        <v>Ativo</v>
      </c>
      <c r="E4367" s="10" t="str" cm="1">
        <f t="array" ref="E4367">IF(AND(A4367="2021-02", ISNA(MATCH(B4367, _xlfn._xlws.FILTER(B:B, A:A="2021-03"), 0))), "Left", "Ativo")</f>
        <v>Ativo</v>
      </c>
      <c r="F4367" s="12" t="str" cm="1">
        <f t="array" ref="F4367">IF(AND(A4367="2021-03", ISNA(MATCH(B4367, _xlfn._xlws.FILTER(B:B, A:A="2021-04"), 0))), "Left", "Ativo")</f>
        <v>Ativo</v>
      </c>
    </row>
    <row r="4368" spans="1:6" x14ac:dyDescent="0.25">
      <c r="A4368" t="s">
        <v>1532</v>
      </c>
      <c r="B4368" t="s">
        <v>441</v>
      </c>
      <c r="C4368" s="10" t="str" cm="1">
        <f t="array" ref="C4368">IF(AND(A4368="2020-12", ISNA(MATCH(B4368, _xlfn._xlws.FILTER(B:B, A:A="2021-01"), 0))), "Left", "Ativo")</f>
        <v>Ativo</v>
      </c>
      <c r="D4368" s="10" t="str" cm="1">
        <f t="array" ref="D4368">IF(AND(A4368="2021-01", ISNA(MATCH(B4368, _xlfn._xlws.FILTER(B:B, A:A="2021-02"), 0))), "Left", "Ativo")</f>
        <v>Ativo</v>
      </c>
      <c r="E4368" s="10" t="str" cm="1">
        <f t="array" ref="E4368">IF(AND(A4368="2021-02", ISNA(MATCH(B4368, _xlfn._xlws.FILTER(B:B, A:A="2021-03"), 0))), "Left", "Ativo")</f>
        <v>Ativo</v>
      </c>
      <c r="F4368" s="12" t="str" cm="1">
        <f t="array" ref="F4368">IF(AND(A4368="2021-03", ISNA(MATCH(B4368, _xlfn._xlws.FILTER(B:B, A:A="2021-04"), 0))), "Left", "Ativo")</f>
        <v>Ativo</v>
      </c>
    </row>
    <row r="4369" spans="1:6" x14ac:dyDescent="0.25">
      <c r="A4369" t="s">
        <v>1532</v>
      </c>
      <c r="B4369" t="s">
        <v>442</v>
      </c>
      <c r="C4369" s="10" t="str" cm="1">
        <f t="array" ref="C4369">IF(AND(A4369="2020-12", ISNA(MATCH(B4369, _xlfn._xlws.FILTER(B:B, A:A="2021-01"), 0))), "Left", "Ativo")</f>
        <v>Ativo</v>
      </c>
      <c r="D4369" s="10" t="str" cm="1">
        <f t="array" ref="D4369">IF(AND(A4369="2021-01", ISNA(MATCH(B4369, _xlfn._xlws.FILTER(B:B, A:A="2021-02"), 0))), "Left", "Ativo")</f>
        <v>Ativo</v>
      </c>
      <c r="E4369" s="10" t="str" cm="1">
        <f t="array" ref="E4369">IF(AND(A4369="2021-02", ISNA(MATCH(B4369, _xlfn._xlws.FILTER(B:B, A:A="2021-03"), 0))), "Left", "Ativo")</f>
        <v>Ativo</v>
      </c>
      <c r="F4369" s="12" t="str" cm="1">
        <f t="array" ref="F4369">IF(AND(A4369="2021-03", ISNA(MATCH(B4369, _xlfn._xlws.FILTER(B:B, A:A="2021-04"), 0))), "Left", "Ativo")</f>
        <v>Ativo</v>
      </c>
    </row>
    <row r="4370" spans="1:6" x14ac:dyDescent="0.25">
      <c r="A4370" t="s">
        <v>1532</v>
      </c>
      <c r="B4370" t="s">
        <v>443</v>
      </c>
      <c r="C4370" s="10" t="str" cm="1">
        <f t="array" ref="C4370">IF(AND(A4370="2020-12", ISNA(MATCH(B4370, _xlfn._xlws.FILTER(B:B, A:A="2021-01"), 0))), "Left", "Ativo")</f>
        <v>Ativo</v>
      </c>
      <c r="D4370" s="10" t="str" cm="1">
        <f t="array" ref="D4370">IF(AND(A4370="2021-01", ISNA(MATCH(B4370, _xlfn._xlws.FILTER(B:B, A:A="2021-02"), 0))), "Left", "Ativo")</f>
        <v>Ativo</v>
      </c>
      <c r="E4370" s="10" t="str" cm="1">
        <f t="array" ref="E4370">IF(AND(A4370="2021-02", ISNA(MATCH(B4370, _xlfn._xlws.FILTER(B:B, A:A="2021-03"), 0))), "Left", "Ativo")</f>
        <v>Ativo</v>
      </c>
      <c r="F4370" s="12" t="str" cm="1">
        <f t="array" ref="F4370">IF(AND(A4370="2021-03", ISNA(MATCH(B4370, _xlfn._xlws.FILTER(B:B, A:A="2021-04"), 0))), "Left", "Ativo")</f>
        <v>Ativo</v>
      </c>
    </row>
    <row r="4371" spans="1:6" x14ac:dyDescent="0.25">
      <c r="A4371" t="s">
        <v>1532</v>
      </c>
      <c r="B4371" t="s">
        <v>444</v>
      </c>
      <c r="C4371" s="10" t="str" cm="1">
        <f t="array" ref="C4371">IF(AND(A4371="2020-12", ISNA(MATCH(B4371, _xlfn._xlws.FILTER(B:B, A:A="2021-01"), 0))), "Left", "Ativo")</f>
        <v>Ativo</v>
      </c>
      <c r="D4371" s="10" t="str" cm="1">
        <f t="array" ref="D4371">IF(AND(A4371="2021-01", ISNA(MATCH(B4371, _xlfn._xlws.FILTER(B:B, A:A="2021-02"), 0))), "Left", "Ativo")</f>
        <v>Ativo</v>
      </c>
      <c r="E4371" s="10" t="str" cm="1">
        <f t="array" ref="E4371">IF(AND(A4371="2021-02", ISNA(MATCH(B4371, _xlfn._xlws.FILTER(B:B, A:A="2021-03"), 0))), "Left", "Ativo")</f>
        <v>Ativo</v>
      </c>
      <c r="F4371" s="12" t="str" cm="1">
        <f t="array" ref="F4371">IF(AND(A4371="2021-03", ISNA(MATCH(B4371, _xlfn._xlws.FILTER(B:B, A:A="2021-04"), 0))), "Left", "Ativo")</f>
        <v>Ativo</v>
      </c>
    </row>
    <row r="4372" spans="1:6" x14ac:dyDescent="0.25">
      <c r="A4372" t="s">
        <v>1532</v>
      </c>
      <c r="B4372" t="s">
        <v>445</v>
      </c>
      <c r="C4372" s="10" t="str" cm="1">
        <f t="array" ref="C4372">IF(AND(A4372="2020-12", ISNA(MATCH(B4372, _xlfn._xlws.FILTER(B:B, A:A="2021-01"), 0))), "Left", "Ativo")</f>
        <v>Ativo</v>
      </c>
      <c r="D4372" s="10" t="str" cm="1">
        <f t="array" ref="D4372">IF(AND(A4372="2021-01", ISNA(MATCH(B4372, _xlfn._xlws.FILTER(B:B, A:A="2021-02"), 0))), "Left", "Ativo")</f>
        <v>Ativo</v>
      </c>
      <c r="E4372" s="10" t="str" cm="1">
        <f t="array" ref="E4372">IF(AND(A4372="2021-02", ISNA(MATCH(B4372, _xlfn._xlws.FILTER(B:B, A:A="2021-03"), 0))), "Left", "Ativo")</f>
        <v>Ativo</v>
      </c>
      <c r="F4372" s="12" t="str" cm="1">
        <f t="array" ref="F4372">IF(AND(A4372="2021-03", ISNA(MATCH(B4372, _xlfn._xlws.FILTER(B:B, A:A="2021-04"), 0))), "Left", "Ativo")</f>
        <v>Ativo</v>
      </c>
    </row>
    <row r="4373" spans="1:6" x14ac:dyDescent="0.25">
      <c r="A4373" t="s">
        <v>1532</v>
      </c>
      <c r="B4373" t="s">
        <v>446</v>
      </c>
      <c r="C4373" s="10" t="str" cm="1">
        <f t="array" ref="C4373">IF(AND(A4373="2020-12", ISNA(MATCH(B4373, _xlfn._xlws.FILTER(B:B, A:A="2021-01"), 0))), "Left", "Ativo")</f>
        <v>Ativo</v>
      </c>
      <c r="D4373" s="10" t="str" cm="1">
        <f t="array" ref="D4373">IF(AND(A4373="2021-01", ISNA(MATCH(B4373, _xlfn._xlws.FILTER(B:B, A:A="2021-02"), 0))), "Left", "Ativo")</f>
        <v>Ativo</v>
      </c>
      <c r="E4373" s="10" t="str" cm="1">
        <f t="array" ref="E4373">IF(AND(A4373="2021-02", ISNA(MATCH(B4373, _xlfn._xlws.FILTER(B:B, A:A="2021-03"), 0))), "Left", "Ativo")</f>
        <v>Ativo</v>
      </c>
      <c r="F4373" s="12" t="str" cm="1">
        <f t="array" ref="F4373">IF(AND(A4373="2021-03", ISNA(MATCH(B4373, _xlfn._xlws.FILTER(B:B, A:A="2021-04"), 0))), "Left", "Ativo")</f>
        <v>Ativo</v>
      </c>
    </row>
    <row r="4374" spans="1:6" x14ac:dyDescent="0.25">
      <c r="A4374" t="s">
        <v>1532</v>
      </c>
      <c r="B4374" t="s">
        <v>447</v>
      </c>
      <c r="C4374" s="10" t="str" cm="1">
        <f t="array" ref="C4374">IF(AND(A4374="2020-12", ISNA(MATCH(B4374, _xlfn._xlws.FILTER(B:B, A:A="2021-01"), 0))), "Left", "Ativo")</f>
        <v>Ativo</v>
      </c>
      <c r="D4374" s="10" t="str" cm="1">
        <f t="array" ref="D4374">IF(AND(A4374="2021-01", ISNA(MATCH(B4374, _xlfn._xlws.FILTER(B:B, A:A="2021-02"), 0))), "Left", "Ativo")</f>
        <v>Ativo</v>
      </c>
      <c r="E4374" s="10" t="str" cm="1">
        <f t="array" ref="E4374">IF(AND(A4374="2021-02", ISNA(MATCH(B4374, _xlfn._xlws.FILTER(B:B, A:A="2021-03"), 0))), "Left", "Ativo")</f>
        <v>Ativo</v>
      </c>
      <c r="F4374" s="12" t="str" cm="1">
        <f t="array" ref="F4374">IF(AND(A4374="2021-03", ISNA(MATCH(B4374, _xlfn._xlws.FILTER(B:B, A:A="2021-04"), 0))), "Left", "Ativo")</f>
        <v>Ativo</v>
      </c>
    </row>
    <row r="4375" spans="1:6" x14ac:dyDescent="0.25">
      <c r="A4375" t="s">
        <v>1532</v>
      </c>
      <c r="B4375" t="s">
        <v>448</v>
      </c>
      <c r="C4375" s="10" t="str" cm="1">
        <f t="array" ref="C4375">IF(AND(A4375="2020-12", ISNA(MATCH(B4375, _xlfn._xlws.FILTER(B:B, A:A="2021-01"), 0))), "Left", "Ativo")</f>
        <v>Ativo</v>
      </c>
      <c r="D4375" s="10" t="str" cm="1">
        <f t="array" ref="D4375">IF(AND(A4375="2021-01", ISNA(MATCH(B4375, _xlfn._xlws.FILTER(B:B, A:A="2021-02"), 0))), "Left", "Ativo")</f>
        <v>Ativo</v>
      </c>
      <c r="E4375" s="10" t="str" cm="1">
        <f t="array" ref="E4375">IF(AND(A4375="2021-02", ISNA(MATCH(B4375, _xlfn._xlws.FILTER(B:B, A:A="2021-03"), 0))), "Left", "Ativo")</f>
        <v>Ativo</v>
      </c>
      <c r="F4375" s="12" t="str" cm="1">
        <f t="array" ref="F4375">IF(AND(A4375="2021-03", ISNA(MATCH(B4375, _xlfn._xlws.FILTER(B:B, A:A="2021-04"), 0))), "Left", "Ativo")</f>
        <v>Ativo</v>
      </c>
    </row>
    <row r="4376" spans="1:6" x14ac:dyDescent="0.25">
      <c r="A4376" t="s">
        <v>1532</v>
      </c>
      <c r="B4376" t="s">
        <v>449</v>
      </c>
      <c r="C4376" s="10" t="str" cm="1">
        <f t="array" ref="C4376">IF(AND(A4376="2020-12", ISNA(MATCH(B4376, _xlfn._xlws.FILTER(B:B, A:A="2021-01"), 0))), "Left", "Ativo")</f>
        <v>Ativo</v>
      </c>
      <c r="D4376" s="10" t="str" cm="1">
        <f t="array" ref="D4376">IF(AND(A4376="2021-01", ISNA(MATCH(B4376, _xlfn._xlws.FILTER(B:B, A:A="2021-02"), 0))), "Left", "Ativo")</f>
        <v>Ativo</v>
      </c>
      <c r="E4376" s="10" t="str" cm="1">
        <f t="array" ref="E4376">IF(AND(A4376="2021-02", ISNA(MATCH(B4376, _xlfn._xlws.FILTER(B:B, A:A="2021-03"), 0))), "Left", "Ativo")</f>
        <v>Ativo</v>
      </c>
      <c r="F4376" s="12" t="str" cm="1">
        <f t="array" ref="F4376">IF(AND(A4376="2021-03", ISNA(MATCH(B4376, _xlfn._xlws.FILTER(B:B, A:A="2021-04"), 0))), "Left", "Ativo")</f>
        <v>Ativo</v>
      </c>
    </row>
    <row r="4377" spans="1:6" x14ac:dyDescent="0.25">
      <c r="A4377" t="s">
        <v>1532</v>
      </c>
      <c r="B4377" t="s">
        <v>450</v>
      </c>
      <c r="C4377" s="10" t="str" cm="1">
        <f t="array" ref="C4377">IF(AND(A4377="2020-12", ISNA(MATCH(B4377, _xlfn._xlws.FILTER(B:B, A:A="2021-01"), 0))), "Left", "Ativo")</f>
        <v>Ativo</v>
      </c>
      <c r="D4377" s="10" t="str" cm="1">
        <f t="array" ref="D4377">IF(AND(A4377="2021-01", ISNA(MATCH(B4377, _xlfn._xlws.FILTER(B:B, A:A="2021-02"), 0))), "Left", "Ativo")</f>
        <v>Ativo</v>
      </c>
      <c r="E4377" s="10" t="str" cm="1">
        <f t="array" ref="E4377">IF(AND(A4377="2021-02", ISNA(MATCH(B4377, _xlfn._xlws.FILTER(B:B, A:A="2021-03"), 0))), "Left", "Ativo")</f>
        <v>Ativo</v>
      </c>
      <c r="F4377" s="12" t="str" cm="1">
        <f t="array" ref="F4377">IF(AND(A4377="2021-03", ISNA(MATCH(B4377, _xlfn._xlws.FILTER(B:B, A:A="2021-04"), 0))), "Left", "Ativo")</f>
        <v>Ativo</v>
      </c>
    </row>
    <row r="4378" spans="1:6" x14ac:dyDescent="0.25">
      <c r="A4378" t="s">
        <v>1532</v>
      </c>
      <c r="B4378" t="s">
        <v>451</v>
      </c>
      <c r="C4378" s="10" t="str" cm="1">
        <f t="array" ref="C4378">IF(AND(A4378="2020-12", ISNA(MATCH(B4378, _xlfn._xlws.FILTER(B:B, A:A="2021-01"), 0))), "Left", "Ativo")</f>
        <v>Ativo</v>
      </c>
      <c r="D4378" s="10" t="str" cm="1">
        <f t="array" ref="D4378">IF(AND(A4378="2021-01", ISNA(MATCH(B4378, _xlfn._xlws.FILTER(B:B, A:A="2021-02"), 0))), "Left", "Ativo")</f>
        <v>Ativo</v>
      </c>
      <c r="E4378" s="10" t="str" cm="1">
        <f t="array" ref="E4378">IF(AND(A4378="2021-02", ISNA(MATCH(B4378, _xlfn._xlws.FILTER(B:B, A:A="2021-03"), 0))), "Left", "Ativo")</f>
        <v>Ativo</v>
      </c>
      <c r="F4378" s="12" t="str" cm="1">
        <f t="array" ref="F4378">IF(AND(A4378="2021-03", ISNA(MATCH(B4378, _xlfn._xlws.FILTER(B:B, A:A="2021-04"), 0))), "Left", "Ativo")</f>
        <v>Ativo</v>
      </c>
    </row>
    <row r="4379" spans="1:6" x14ac:dyDescent="0.25">
      <c r="A4379" t="s">
        <v>1532</v>
      </c>
      <c r="B4379" t="s">
        <v>452</v>
      </c>
      <c r="C4379" s="10" t="str" cm="1">
        <f t="array" ref="C4379">IF(AND(A4379="2020-12", ISNA(MATCH(B4379, _xlfn._xlws.FILTER(B:B, A:A="2021-01"), 0))), "Left", "Ativo")</f>
        <v>Ativo</v>
      </c>
      <c r="D4379" s="10" t="str" cm="1">
        <f t="array" ref="D4379">IF(AND(A4379="2021-01", ISNA(MATCH(B4379, _xlfn._xlws.FILTER(B:B, A:A="2021-02"), 0))), "Left", "Ativo")</f>
        <v>Ativo</v>
      </c>
      <c r="E4379" s="10" t="str" cm="1">
        <f t="array" ref="E4379">IF(AND(A4379="2021-02", ISNA(MATCH(B4379, _xlfn._xlws.FILTER(B:B, A:A="2021-03"), 0))), "Left", "Ativo")</f>
        <v>Ativo</v>
      </c>
      <c r="F4379" s="12" t="str" cm="1">
        <f t="array" ref="F4379">IF(AND(A4379="2021-03", ISNA(MATCH(B4379, _xlfn._xlws.FILTER(B:B, A:A="2021-04"), 0))), "Left", "Ativo")</f>
        <v>Ativo</v>
      </c>
    </row>
    <row r="4380" spans="1:6" x14ac:dyDescent="0.25">
      <c r="A4380" t="s">
        <v>1532</v>
      </c>
      <c r="B4380" t="s">
        <v>453</v>
      </c>
      <c r="C4380" s="10" t="str" cm="1">
        <f t="array" ref="C4380">IF(AND(A4380="2020-12", ISNA(MATCH(B4380, _xlfn._xlws.FILTER(B:B, A:A="2021-01"), 0))), "Left", "Ativo")</f>
        <v>Ativo</v>
      </c>
      <c r="D4380" s="10" t="str" cm="1">
        <f t="array" ref="D4380">IF(AND(A4380="2021-01", ISNA(MATCH(B4380, _xlfn._xlws.FILTER(B:B, A:A="2021-02"), 0))), "Left", "Ativo")</f>
        <v>Ativo</v>
      </c>
      <c r="E4380" s="10" t="str" cm="1">
        <f t="array" ref="E4380">IF(AND(A4380="2021-02", ISNA(MATCH(B4380, _xlfn._xlws.FILTER(B:B, A:A="2021-03"), 0))), "Left", "Ativo")</f>
        <v>Ativo</v>
      </c>
      <c r="F4380" s="12" t="str" cm="1">
        <f t="array" ref="F4380">IF(AND(A4380="2021-03", ISNA(MATCH(B4380, _xlfn._xlws.FILTER(B:B, A:A="2021-04"), 0))), "Left", "Ativo")</f>
        <v>Ativo</v>
      </c>
    </row>
    <row r="4381" spans="1:6" x14ac:dyDescent="0.25">
      <c r="A4381" t="s">
        <v>1532</v>
      </c>
      <c r="B4381" t="s">
        <v>454</v>
      </c>
      <c r="C4381" s="10" t="str" cm="1">
        <f t="array" ref="C4381">IF(AND(A4381="2020-12", ISNA(MATCH(B4381, _xlfn._xlws.FILTER(B:B, A:A="2021-01"), 0))), "Left", "Ativo")</f>
        <v>Ativo</v>
      </c>
      <c r="D4381" s="10" t="str" cm="1">
        <f t="array" ref="D4381">IF(AND(A4381="2021-01", ISNA(MATCH(B4381, _xlfn._xlws.FILTER(B:B, A:A="2021-02"), 0))), "Left", "Ativo")</f>
        <v>Ativo</v>
      </c>
      <c r="E4381" s="10" t="str" cm="1">
        <f t="array" ref="E4381">IF(AND(A4381="2021-02", ISNA(MATCH(B4381, _xlfn._xlws.FILTER(B:B, A:A="2021-03"), 0))), "Left", "Ativo")</f>
        <v>Ativo</v>
      </c>
      <c r="F4381" s="12" t="str" cm="1">
        <f t="array" ref="F4381">IF(AND(A4381="2021-03", ISNA(MATCH(B4381, _xlfn._xlws.FILTER(B:B, A:A="2021-04"), 0))), "Left", "Ativo")</f>
        <v>Ativo</v>
      </c>
    </row>
    <row r="4382" spans="1:6" x14ac:dyDescent="0.25">
      <c r="A4382" t="s">
        <v>1532</v>
      </c>
      <c r="B4382" t="s">
        <v>455</v>
      </c>
      <c r="C4382" s="10" t="str" cm="1">
        <f t="array" ref="C4382">IF(AND(A4382="2020-12", ISNA(MATCH(B4382, _xlfn._xlws.FILTER(B:B, A:A="2021-01"), 0))), "Left", "Ativo")</f>
        <v>Ativo</v>
      </c>
      <c r="D4382" s="10" t="str" cm="1">
        <f t="array" ref="D4382">IF(AND(A4382="2021-01", ISNA(MATCH(B4382, _xlfn._xlws.FILTER(B:B, A:A="2021-02"), 0))), "Left", "Ativo")</f>
        <v>Ativo</v>
      </c>
      <c r="E4382" s="10" t="str" cm="1">
        <f t="array" ref="E4382">IF(AND(A4382="2021-02", ISNA(MATCH(B4382, _xlfn._xlws.FILTER(B:B, A:A="2021-03"), 0))), "Left", "Ativo")</f>
        <v>Ativo</v>
      </c>
      <c r="F4382" s="12" t="str" cm="1">
        <f t="array" ref="F4382">IF(AND(A4382="2021-03", ISNA(MATCH(B4382, _xlfn._xlws.FILTER(B:B, A:A="2021-04"), 0))), "Left", "Ativo")</f>
        <v>Ativo</v>
      </c>
    </row>
    <row r="4383" spans="1:6" x14ac:dyDescent="0.25">
      <c r="A4383" t="s">
        <v>1532</v>
      </c>
      <c r="B4383" t="s">
        <v>458</v>
      </c>
      <c r="C4383" s="10" t="str" cm="1">
        <f t="array" ref="C4383">IF(AND(A4383="2020-12", ISNA(MATCH(B4383, _xlfn._xlws.FILTER(B:B, A:A="2021-01"), 0))), "Left", "Ativo")</f>
        <v>Ativo</v>
      </c>
      <c r="D4383" s="10" t="str" cm="1">
        <f t="array" ref="D4383">IF(AND(A4383="2021-01", ISNA(MATCH(B4383, _xlfn._xlws.FILTER(B:B, A:A="2021-02"), 0))), "Left", "Ativo")</f>
        <v>Ativo</v>
      </c>
      <c r="E4383" s="10" t="str" cm="1">
        <f t="array" ref="E4383">IF(AND(A4383="2021-02", ISNA(MATCH(B4383, _xlfn._xlws.FILTER(B:B, A:A="2021-03"), 0))), "Left", "Ativo")</f>
        <v>Ativo</v>
      </c>
      <c r="F4383" s="12" t="str" cm="1">
        <f t="array" ref="F4383">IF(AND(A4383="2021-03", ISNA(MATCH(B4383, _xlfn._xlws.FILTER(B:B, A:A="2021-04"), 0))), "Left", "Ativo")</f>
        <v>Ativo</v>
      </c>
    </row>
    <row r="4384" spans="1:6" x14ac:dyDescent="0.25">
      <c r="A4384" t="s">
        <v>1532</v>
      </c>
      <c r="B4384" t="s">
        <v>459</v>
      </c>
      <c r="C4384" s="10" t="str" cm="1">
        <f t="array" ref="C4384">IF(AND(A4384="2020-12", ISNA(MATCH(B4384, _xlfn._xlws.FILTER(B:B, A:A="2021-01"), 0))), "Left", "Ativo")</f>
        <v>Ativo</v>
      </c>
      <c r="D4384" s="10" t="str" cm="1">
        <f t="array" ref="D4384">IF(AND(A4384="2021-01", ISNA(MATCH(B4384, _xlfn._xlws.FILTER(B:B, A:A="2021-02"), 0))), "Left", "Ativo")</f>
        <v>Ativo</v>
      </c>
      <c r="E4384" s="10" t="str" cm="1">
        <f t="array" ref="E4384">IF(AND(A4384="2021-02", ISNA(MATCH(B4384, _xlfn._xlws.FILTER(B:B, A:A="2021-03"), 0))), "Left", "Ativo")</f>
        <v>Ativo</v>
      </c>
      <c r="F4384" s="12" t="str" cm="1">
        <f t="array" ref="F4384">IF(AND(A4384="2021-03", ISNA(MATCH(B4384, _xlfn._xlws.FILTER(B:B, A:A="2021-04"), 0))), "Left", "Ativo")</f>
        <v>Ativo</v>
      </c>
    </row>
    <row r="4385" spans="1:6" x14ac:dyDescent="0.25">
      <c r="A4385" t="s">
        <v>1532</v>
      </c>
      <c r="B4385" t="s">
        <v>461</v>
      </c>
      <c r="C4385" s="10" t="str" cm="1">
        <f t="array" ref="C4385">IF(AND(A4385="2020-12", ISNA(MATCH(B4385, _xlfn._xlws.FILTER(B:B, A:A="2021-01"), 0))), "Left", "Ativo")</f>
        <v>Ativo</v>
      </c>
      <c r="D4385" s="10" t="str" cm="1">
        <f t="array" ref="D4385">IF(AND(A4385="2021-01", ISNA(MATCH(B4385, _xlfn._xlws.FILTER(B:B, A:A="2021-02"), 0))), "Left", "Ativo")</f>
        <v>Ativo</v>
      </c>
      <c r="E4385" s="10" t="str" cm="1">
        <f t="array" ref="E4385">IF(AND(A4385="2021-02", ISNA(MATCH(B4385, _xlfn._xlws.FILTER(B:B, A:A="2021-03"), 0))), "Left", "Ativo")</f>
        <v>Ativo</v>
      </c>
      <c r="F4385" s="12" t="str" cm="1">
        <f t="array" ref="F4385">IF(AND(A4385="2021-03", ISNA(MATCH(B4385, _xlfn._xlws.FILTER(B:B, A:A="2021-04"), 0))), "Left", "Ativo")</f>
        <v>Ativo</v>
      </c>
    </row>
    <row r="4386" spans="1:6" x14ac:dyDescent="0.25">
      <c r="A4386" t="s">
        <v>1532</v>
      </c>
      <c r="B4386" t="s">
        <v>462</v>
      </c>
      <c r="C4386" s="10" t="str" cm="1">
        <f t="array" ref="C4386">IF(AND(A4386="2020-12", ISNA(MATCH(B4386, _xlfn._xlws.FILTER(B:B, A:A="2021-01"), 0))), "Left", "Ativo")</f>
        <v>Ativo</v>
      </c>
      <c r="D4386" s="10" t="str" cm="1">
        <f t="array" ref="D4386">IF(AND(A4386="2021-01", ISNA(MATCH(B4386, _xlfn._xlws.FILTER(B:B, A:A="2021-02"), 0))), "Left", "Ativo")</f>
        <v>Ativo</v>
      </c>
      <c r="E4386" s="10" t="str" cm="1">
        <f t="array" ref="E4386">IF(AND(A4386="2021-02", ISNA(MATCH(B4386, _xlfn._xlws.FILTER(B:B, A:A="2021-03"), 0))), "Left", "Ativo")</f>
        <v>Ativo</v>
      </c>
      <c r="F4386" s="12" t="str" cm="1">
        <f t="array" ref="F4386">IF(AND(A4386="2021-03", ISNA(MATCH(B4386, _xlfn._xlws.FILTER(B:B, A:A="2021-04"), 0))), "Left", "Ativo")</f>
        <v>Ativo</v>
      </c>
    </row>
    <row r="4387" spans="1:6" x14ac:dyDescent="0.25">
      <c r="A4387" t="s">
        <v>1532</v>
      </c>
      <c r="B4387" t="s">
        <v>463</v>
      </c>
      <c r="C4387" s="10" t="str" cm="1">
        <f t="array" ref="C4387">IF(AND(A4387="2020-12", ISNA(MATCH(B4387, _xlfn._xlws.FILTER(B:B, A:A="2021-01"), 0))), "Left", "Ativo")</f>
        <v>Ativo</v>
      </c>
      <c r="D4387" s="10" t="str" cm="1">
        <f t="array" ref="D4387">IF(AND(A4387="2021-01", ISNA(MATCH(B4387, _xlfn._xlws.FILTER(B:B, A:A="2021-02"), 0))), "Left", "Ativo")</f>
        <v>Ativo</v>
      </c>
      <c r="E4387" s="10" t="str" cm="1">
        <f t="array" ref="E4387">IF(AND(A4387="2021-02", ISNA(MATCH(B4387, _xlfn._xlws.FILTER(B:B, A:A="2021-03"), 0))), "Left", "Ativo")</f>
        <v>Ativo</v>
      </c>
      <c r="F4387" s="12" t="str" cm="1">
        <f t="array" ref="F4387">IF(AND(A4387="2021-03", ISNA(MATCH(B4387, _xlfn._xlws.FILTER(B:B, A:A="2021-04"), 0))), "Left", "Ativo")</f>
        <v>Ativo</v>
      </c>
    </row>
    <row r="4388" spans="1:6" x14ac:dyDescent="0.25">
      <c r="A4388" t="s">
        <v>1532</v>
      </c>
      <c r="B4388" t="s">
        <v>464</v>
      </c>
      <c r="C4388" s="10" t="str" cm="1">
        <f t="array" ref="C4388">IF(AND(A4388="2020-12", ISNA(MATCH(B4388, _xlfn._xlws.FILTER(B:B, A:A="2021-01"), 0))), "Left", "Ativo")</f>
        <v>Ativo</v>
      </c>
      <c r="D4388" s="10" t="str" cm="1">
        <f t="array" ref="D4388">IF(AND(A4388="2021-01", ISNA(MATCH(B4388, _xlfn._xlws.FILTER(B:B, A:A="2021-02"), 0))), "Left", "Ativo")</f>
        <v>Ativo</v>
      </c>
      <c r="E4388" s="10" t="str" cm="1">
        <f t="array" ref="E4388">IF(AND(A4388="2021-02", ISNA(MATCH(B4388, _xlfn._xlws.FILTER(B:B, A:A="2021-03"), 0))), "Left", "Ativo")</f>
        <v>Ativo</v>
      </c>
      <c r="F4388" s="12" t="str" cm="1">
        <f t="array" ref="F4388">IF(AND(A4388="2021-03", ISNA(MATCH(B4388, _xlfn._xlws.FILTER(B:B, A:A="2021-04"), 0))), "Left", "Ativo")</f>
        <v>Ativo</v>
      </c>
    </row>
    <row r="4389" spans="1:6" x14ac:dyDescent="0.25">
      <c r="A4389" t="s">
        <v>1532</v>
      </c>
      <c r="B4389" t="s">
        <v>465</v>
      </c>
      <c r="C4389" s="10" t="str" cm="1">
        <f t="array" ref="C4389">IF(AND(A4389="2020-12", ISNA(MATCH(B4389, _xlfn._xlws.FILTER(B:B, A:A="2021-01"), 0))), "Left", "Ativo")</f>
        <v>Ativo</v>
      </c>
      <c r="D4389" s="10" t="str" cm="1">
        <f t="array" ref="D4389">IF(AND(A4389="2021-01", ISNA(MATCH(B4389, _xlfn._xlws.FILTER(B:B, A:A="2021-02"), 0))), "Left", "Ativo")</f>
        <v>Ativo</v>
      </c>
      <c r="E4389" s="10" t="str" cm="1">
        <f t="array" ref="E4389">IF(AND(A4389="2021-02", ISNA(MATCH(B4389, _xlfn._xlws.FILTER(B:B, A:A="2021-03"), 0))), "Left", "Ativo")</f>
        <v>Ativo</v>
      </c>
      <c r="F4389" s="12" t="str" cm="1">
        <f t="array" ref="F4389">IF(AND(A4389="2021-03", ISNA(MATCH(B4389, _xlfn._xlws.FILTER(B:B, A:A="2021-04"), 0))), "Left", "Ativo")</f>
        <v>Ativo</v>
      </c>
    </row>
    <row r="4390" spans="1:6" x14ac:dyDescent="0.25">
      <c r="A4390" t="s">
        <v>1532</v>
      </c>
      <c r="B4390" t="s">
        <v>466</v>
      </c>
      <c r="C4390" s="10" t="str" cm="1">
        <f t="array" ref="C4390">IF(AND(A4390="2020-12", ISNA(MATCH(B4390, _xlfn._xlws.FILTER(B:B, A:A="2021-01"), 0))), "Left", "Ativo")</f>
        <v>Ativo</v>
      </c>
      <c r="D4390" s="10" t="str" cm="1">
        <f t="array" ref="D4390">IF(AND(A4390="2021-01", ISNA(MATCH(B4390, _xlfn._xlws.FILTER(B:B, A:A="2021-02"), 0))), "Left", "Ativo")</f>
        <v>Ativo</v>
      </c>
      <c r="E4390" s="10" t="str" cm="1">
        <f t="array" ref="E4390">IF(AND(A4390="2021-02", ISNA(MATCH(B4390, _xlfn._xlws.FILTER(B:B, A:A="2021-03"), 0))), "Left", "Ativo")</f>
        <v>Ativo</v>
      </c>
      <c r="F4390" s="12" t="str" cm="1">
        <f t="array" ref="F4390">IF(AND(A4390="2021-03", ISNA(MATCH(B4390, _xlfn._xlws.FILTER(B:B, A:A="2021-04"), 0))), "Left", "Ativo")</f>
        <v>Ativo</v>
      </c>
    </row>
    <row r="4391" spans="1:6" x14ac:dyDescent="0.25">
      <c r="A4391" t="s">
        <v>1532</v>
      </c>
      <c r="B4391" t="s">
        <v>467</v>
      </c>
      <c r="C4391" s="10" t="str" cm="1">
        <f t="array" ref="C4391">IF(AND(A4391="2020-12", ISNA(MATCH(B4391, _xlfn._xlws.FILTER(B:B, A:A="2021-01"), 0))), "Left", "Ativo")</f>
        <v>Ativo</v>
      </c>
      <c r="D4391" s="10" t="str" cm="1">
        <f t="array" ref="D4391">IF(AND(A4391="2021-01", ISNA(MATCH(B4391, _xlfn._xlws.FILTER(B:B, A:A="2021-02"), 0))), "Left", "Ativo")</f>
        <v>Ativo</v>
      </c>
      <c r="E4391" s="10" t="str" cm="1">
        <f t="array" ref="E4391">IF(AND(A4391="2021-02", ISNA(MATCH(B4391, _xlfn._xlws.FILTER(B:B, A:A="2021-03"), 0))), "Left", "Ativo")</f>
        <v>Ativo</v>
      </c>
      <c r="F4391" s="12" t="str" cm="1">
        <f t="array" ref="F4391">IF(AND(A4391="2021-03", ISNA(MATCH(B4391, _xlfn._xlws.FILTER(B:B, A:A="2021-04"), 0))), "Left", "Ativo")</f>
        <v>Ativo</v>
      </c>
    </row>
    <row r="4392" spans="1:6" x14ac:dyDescent="0.25">
      <c r="A4392" t="s">
        <v>1532</v>
      </c>
      <c r="B4392" t="s">
        <v>468</v>
      </c>
      <c r="C4392" s="10" t="str" cm="1">
        <f t="array" ref="C4392">IF(AND(A4392="2020-12", ISNA(MATCH(B4392, _xlfn._xlws.FILTER(B:B, A:A="2021-01"), 0))), "Left", "Ativo")</f>
        <v>Ativo</v>
      </c>
      <c r="D4392" s="10" t="str" cm="1">
        <f t="array" ref="D4392">IF(AND(A4392="2021-01", ISNA(MATCH(B4392, _xlfn._xlws.FILTER(B:B, A:A="2021-02"), 0))), "Left", "Ativo")</f>
        <v>Ativo</v>
      </c>
      <c r="E4392" s="10" t="str" cm="1">
        <f t="array" ref="E4392">IF(AND(A4392="2021-02", ISNA(MATCH(B4392, _xlfn._xlws.FILTER(B:B, A:A="2021-03"), 0))), "Left", "Ativo")</f>
        <v>Ativo</v>
      </c>
      <c r="F4392" s="12" t="str" cm="1">
        <f t="array" ref="F4392">IF(AND(A4392="2021-03", ISNA(MATCH(B4392, _xlfn._xlws.FILTER(B:B, A:A="2021-04"), 0))), "Left", "Ativo")</f>
        <v>Ativo</v>
      </c>
    </row>
    <row r="4393" spans="1:6" x14ac:dyDescent="0.25">
      <c r="A4393" t="s">
        <v>1532</v>
      </c>
      <c r="B4393" t="s">
        <v>469</v>
      </c>
      <c r="C4393" s="10" t="str" cm="1">
        <f t="array" ref="C4393">IF(AND(A4393="2020-12", ISNA(MATCH(B4393, _xlfn._xlws.FILTER(B:B, A:A="2021-01"), 0))), "Left", "Ativo")</f>
        <v>Ativo</v>
      </c>
      <c r="D4393" s="10" t="str" cm="1">
        <f t="array" ref="D4393">IF(AND(A4393="2021-01", ISNA(MATCH(B4393, _xlfn._xlws.FILTER(B:B, A:A="2021-02"), 0))), "Left", "Ativo")</f>
        <v>Ativo</v>
      </c>
      <c r="E4393" s="10" t="str" cm="1">
        <f t="array" ref="E4393">IF(AND(A4393="2021-02", ISNA(MATCH(B4393, _xlfn._xlws.FILTER(B:B, A:A="2021-03"), 0))), "Left", "Ativo")</f>
        <v>Ativo</v>
      </c>
      <c r="F4393" s="12" t="str" cm="1">
        <f t="array" ref="F4393">IF(AND(A4393="2021-03", ISNA(MATCH(B4393, _xlfn._xlws.FILTER(B:B, A:A="2021-04"), 0))), "Left", "Ativo")</f>
        <v>Ativo</v>
      </c>
    </row>
    <row r="4394" spans="1:6" x14ac:dyDescent="0.25">
      <c r="A4394" t="s">
        <v>1532</v>
      </c>
      <c r="B4394" t="s">
        <v>470</v>
      </c>
      <c r="C4394" s="10" t="str" cm="1">
        <f t="array" ref="C4394">IF(AND(A4394="2020-12", ISNA(MATCH(B4394, _xlfn._xlws.FILTER(B:B, A:A="2021-01"), 0))), "Left", "Ativo")</f>
        <v>Ativo</v>
      </c>
      <c r="D4394" s="10" t="str" cm="1">
        <f t="array" ref="D4394">IF(AND(A4394="2021-01", ISNA(MATCH(B4394, _xlfn._xlws.FILTER(B:B, A:A="2021-02"), 0))), "Left", "Ativo")</f>
        <v>Ativo</v>
      </c>
      <c r="E4394" s="10" t="str" cm="1">
        <f t="array" ref="E4394">IF(AND(A4394="2021-02", ISNA(MATCH(B4394, _xlfn._xlws.FILTER(B:B, A:A="2021-03"), 0))), "Left", "Ativo")</f>
        <v>Ativo</v>
      </c>
      <c r="F4394" s="12" t="str" cm="1">
        <f t="array" ref="F4394">IF(AND(A4394="2021-03", ISNA(MATCH(B4394, _xlfn._xlws.FILTER(B:B, A:A="2021-04"), 0))), "Left", "Ativo")</f>
        <v>Ativo</v>
      </c>
    </row>
    <row r="4395" spans="1:6" x14ac:dyDescent="0.25">
      <c r="A4395" t="s">
        <v>1532</v>
      </c>
      <c r="B4395" t="s">
        <v>471</v>
      </c>
      <c r="C4395" s="10" t="str" cm="1">
        <f t="array" ref="C4395">IF(AND(A4395="2020-12", ISNA(MATCH(B4395, _xlfn._xlws.FILTER(B:B, A:A="2021-01"), 0))), "Left", "Ativo")</f>
        <v>Ativo</v>
      </c>
      <c r="D4395" s="10" t="str" cm="1">
        <f t="array" ref="D4395">IF(AND(A4395="2021-01", ISNA(MATCH(B4395, _xlfn._xlws.FILTER(B:B, A:A="2021-02"), 0))), "Left", "Ativo")</f>
        <v>Ativo</v>
      </c>
      <c r="E4395" s="10" t="str" cm="1">
        <f t="array" ref="E4395">IF(AND(A4395="2021-02", ISNA(MATCH(B4395, _xlfn._xlws.FILTER(B:B, A:A="2021-03"), 0))), "Left", "Ativo")</f>
        <v>Ativo</v>
      </c>
      <c r="F4395" s="12" t="str" cm="1">
        <f t="array" ref="F4395">IF(AND(A4395="2021-03", ISNA(MATCH(B4395, _xlfn._xlws.FILTER(B:B, A:A="2021-04"), 0))), "Left", "Ativo")</f>
        <v>Ativo</v>
      </c>
    </row>
    <row r="4396" spans="1:6" x14ac:dyDescent="0.25">
      <c r="A4396" t="s">
        <v>1532</v>
      </c>
      <c r="B4396" t="s">
        <v>472</v>
      </c>
      <c r="C4396" s="10" t="str" cm="1">
        <f t="array" ref="C4396">IF(AND(A4396="2020-12", ISNA(MATCH(B4396, _xlfn._xlws.FILTER(B:B, A:A="2021-01"), 0))), "Left", "Ativo")</f>
        <v>Ativo</v>
      </c>
      <c r="D4396" s="10" t="str" cm="1">
        <f t="array" ref="D4396">IF(AND(A4396="2021-01", ISNA(MATCH(B4396, _xlfn._xlws.FILTER(B:B, A:A="2021-02"), 0))), "Left", "Ativo")</f>
        <v>Ativo</v>
      </c>
      <c r="E4396" s="10" t="str" cm="1">
        <f t="array" ref="E4396">IF(AND(A4396="2021-02", ISNA(MATCH(B4396, _xlfn._xlws.FILTER(B:B, A:A="2021-03"), 0))), "Left", "Ativo")</f>
        <v>Ativo</v>
      </c>
      <c r="F4396" s="12" t="str" cm="1">
        <f t="array" ref="F4396">IF(AND(A4396="2021-03", ISNA(MATCH(B4396, _xlfn._xlws.FILTER(B:B, A:A="2021-04"), 0))), "Left", "Ativo")</f>
        <v>Ativo</v>
      </c>
    </row>
    <row r="4397" spans="1:6" x14ac:dyDescent="0.25">
      <c r="A4397" t="s">
        <v>1532</v>
      </c>
      <c r="B4397" t="s">
        <v>473</v>
      </c>
      <c r="C4397" s="10" t="str" cm="1">
        <f t="array" ref="C4397">IF(AND(A4397="2020-12", ISNA(MATCH(B4397, _xlfn._xlws.FILTER(B:B, A:A="2021-01"), 0))), "Left", "Ativo")</f>
        <v>Ativo</v>
      </c>
      <c r="D4397" s="10" t="str" cm="1">
        <f t="array" ref="D4397">IF(AND(A4397="2021-01", ISNA(MATCH(B4397, _xlfn._xlws.FILTER(B:B, A:A="2021-02"), 0))), "Left", "Ativo")</f>
        <v>Ativo</v>
      </c>
      <c r="E4397" s="10" t="str" cm="1">
        <f t="array" ref="E4397">IF(AND(A4397="2021-02", ISNA(MATCH(B4397, _xlfn._xlws.FILTER(B:B, A:A="2021-03"), 0))), "Left", "Ativo")</f>
        <v>Ativo</v>
      </c>
      <c r="F4397" s="12" t="str" cm="1">
        <f t="array" ref="F4397">IF(AND(A4397="2021-03", ISNA(MATCH(B4397, _xlfn._xlws.FILTER(B:B, A:A="2021-04"), 0))), "Left", "Ativo")</f>
        <v>Ativo</v>
      </c>
    </row>
    <row r="4398" spans="1:6" x14ac:dyDescent="0.25">
      <c r="A4398" t="s">
        <v>1532</v>
      </c>
      <c r="B4398" t="s">
        <v>474</v>
      </c>
      <c r="C4398" s="10" t="str" cm="1">
        <f t="array" ref="C4398">IF(AND(A4398="2020-12", ISNA(MATCH(B4398, _xlfn._xlws.FILTER(B:B, A:A="2021-01"), 0))), "Left", "Ativo")</f>
        <v>Ativo</v>
      </c>
      <c r="D4398" s="10" t="str" cm="1">
        <f t="array" ref="D4398">IF(AND(A4398="2021-01", ISNA(MATCH(B4398, _xlfn._xlws.FILTER(B:B, A:A="2021-02"), 0))), "Left", "Ativo")</f>
        <v>Ativo</v>
      </c>
      <c r="E4398" s="10" t="str" cm="1">
        <f t="array" ref="E4398">IF(AND(A4398="2021-02", ISNA(MATCH(B4398, _xlfn._xlws.FILTER(B:B, A:A="2021-03"), 0))), "Left", "Ativo")</f>
        <v>Ativo</v>
      </c>
      <c r="F4398" s="12" t="str" cm="1">
        <f t="array" ref="F4398">IF(AND(A4398="2021-03", ISNA(MATCH(B4398, _xlfn._xlws.FILTER(B:B, A:A="2021-04"), 0))), "Left", "Ativo")</f>
        <v>Ativo</v>
      </c>
    </row>
    <row r="4399" spans="1:6" x14ac:dyDescent="0.25">
      <c r="A4399" t="s">
        <v>1532</v>
      </c>
      <c r="B4399" t="s">
        <v>475</v>
      </c>
      <c r="C4399" s="10" t="str" cm="1">
        <f t="array" ref="C4399">IF(AND(A4399="2020-12", ISNA(MATCH(B4399, _xlfn._xlws.FILTER(B:B, A:A="2021-01"), 0))), "Left", "Ativo")</f>
        <v>Ativo</v>
      </c>
      <c r="D4399" s="10" t="str" cm="1">
        <f t="array" ref="D4399">IF(AND(A4399="2021-01", ISNA(MATCH(B4399, _xlfn._xlws.FILTER(B:B, A:A="2021-02"), 0))), "Left", "Ativo")</f>
        <v>Ativo</v>
      </c>
      <c r="E4399" s="10" t="str" cm="1">
        <f t="array" ref="E4399">IF(AND(A4399="2021-02", ISNA(MATCH(B4399, _xlfn._xlws.FILTER(B:B, A:A="2021-03"), 0))), "Left", "Ativo")</f>
        <v>Ativo</v>
      </c>
      <c r="F4399" s="12" t="str" cm="1">
        <f t="array" ref="F4399">IF(AND(A4399="2021-03", ISNA(MATCH(B4399, _xlfn._xlws.FILTER(B:B, A:A="2021-04"), 0))), "Left", "Ativo")</f>
        <v>Ativo</v>
      </c>
    </row>
    <row r="4400" spans="1:6" x14ac:dyDescent="0.25">
      <c r="A4400" t="s">
        <v>1532</v>
      </c>
      <c r="B4400" t="s">
        <v>476</v>
      </c>
      <c r="C4400" s="10" t="str" cm="1">
        <f t="array" ref="C4400">IF(AND(A4400="2020-12", ISNA(MATCH(B4400, _xlfn._xlws.FILTER(B:B, A:A="2021-01"), 0))), "Left", "Ativo")</f>
        <v>Ativo</v>
      </c>
      <c r="D4400" s="10" t="str" cm="1">
        <f t="array" ref="D4400">IF(AND(A4400="2021-01", ISNA(MATCH(B4400, _xlfn._xlws.FILTER(B:B, A:A="2021-02"), 0))), "Left", "Ativo")</f>
        <v>Ativo</v>
      </c>
      <c r="E4400" s="10" t="str" cm="1">
        <f t="array" ref="E4400">IF(AND(A4400="2021-02", ISNA(MATCH(B4400, _xlfn._xlws.FILTER(B:B, A:A="2021-03"), 0))), "Left", "Ativo")</f>
        <v>Ativo</v>
      </c>
      <c r="F4400" s="12" t="str" cm="1">
        <f t="array" ref="F4400">IF(AND(A4400="2021-03", ISNA(MATCH(B4400, _xlfn._xlws.FILTER(B:B, A:A="2021-04"), 0))), "Left", "Ativo")</f>
        <v>Ativo</v>
      </c>
    </row>
    <row r="4401" spans="1:6" x14ac:dyDescent="0.25">
      <c r="A4401" t="s">
        <v>1532</v>
      </c>
      <c r="B4401" t="s">
        <v>477</v>
      </c>
      <c r="C4401" s="10" t="str" cm="1">
        <f t="array" ref="C4401">IF(AND(A4401="2020-12", ISNA(MATCH(B4401, _xlfn._xlws.FILTER(B:B, A:A="2021-01"), 0))), "Left", "Ativo")</f>
        <v>Ativo</v>
      </c>
      <c r="D4401" s="10" t="str" cm="1">
        <f t="array" ref="D4401">IF(AND(A4401="2021-01", ISNA(MATCH(B4401, _xlfn._xlws.FILTER(B:B, A:A="2021-02"), 0))), "Left", "Ativo")</f>
        <v>Ativo</v>
      </c>
      <c r="E4401" s="10" t="str" cm="1">
        <f t="array" ref="E4401">IF(AND(A4401="2021-02", ISNA(MATCH(B4401, _xlfn._xlws.FILTER(B:B, A:A="2021-03"), 0))), "Left", "Ativo")</f>
        <v>Ativo</v>
      </c>
      <c r="F4401" s="12" t="str" cm="1">
        <f t="array" ref="F4401">IF(AND(A4401="2021-03", ISNA(MATCH(B4401, _xlfn._xlws.FILTER(B:B, A:A="2021-04"), 0))), "Left", "Ativo")</f>
        <v>Ativo</v>
      </c>
    </row>
    <row r="4402" spans="1:6" x14ac:dyDescent="0.25">
      <c r="A4402" t="s">
        <v>1532</v>
      </c>
      <c r="B4402" t="s">
        <v>478</v>
      </c>
      <c r="C4402" s="10" t="str" cm="1">
        <f t="array" ref="C4402">IF(AND(A4402="2020-12", ISNA(MATCH(B4402, _xlfn._xlws.FILTER(B:B, A:A="2021-01"), 0))), "Left", "Ativo")</f>
        <v>Ativo</v>
      </c>
      <c r="D4402" s="10" t="str" cm="1">
        <f t="array" ref="D4402">IF(AND(A4402="2021-01", ISNA(MATCH(B4402, _xlfn._xlws.FILTER(B:B, A:A="2021-02"), 0))), "Left", "Ativo")</f>
        <v>Ativo</v>
      </c>
      <c r="E4402" s="10" t="str" cm="1">
        <f t="array" ref="E4402">IF(AND(A4402="2021-02", ISNA(MATCH(B4402, _xlfn._xlws.FILTER(B:B, A:A="2021-03"), 0))), "Left", "Ativo")</f>
        <v>Ativo</v>
      </c>
      <c r="F4402" s="12" t="str" cm="1">
        <f t="array" ref="F4402">IF(AND(A4402="2021-03", ISNA(MATCH(B4402, _xlfn._xlws.FILTER(B:B, A:A="2021-04"), 0))), "Left", "Ativo")</f>
        <v>Ativo</v>
      </c>
    </row>
    <row r="4403" spans="1:6" x14ac:dyDescent="0.25">
      <c r="A4403" t="s">
        <v>1532</v>
      </c>
      <c r="B4403" t="s">
        <v>479</v>
      </c>
      <c r="C4403" s="10" t="str" cm="1">
        <f t="array" ref="C4403">IF(AND(A4403="2020-12", ISNA(MATCH(B4403, _xlfn._xlws.FILTER(B:B, A:A="2021-01"), 0))), "Left", "Ativo")</f>
        <v>Ativo</v>
      </c>
      <c r="D4403" s="10" t="str" cm="1">
        <f t="array" ref="D4403">IF(AND(A4403="2021-01", ISNA(MATCH(B4403, _xlfn._xlws.FILTER(B:B, A:A="2021-02"), 0))), "Left", "Ativo")</f>
        <v>Ativo</v>
      </c>
      <c r="E4403" s="10" t="str" cm="1">
        <f t="array" ref="E4403">IF(AND(A4403="2021-02", ISNA(MATCH(B4403, _xlfn._xlws.FILTER(B:B, A:A="2021-03"), 0))), "Left", "Ativo")</f>
        <v>Ativo</v>
      </c>
      <c r="F4403" s="12" t="str" cm="1">
        <f t="array" ref="F4403">IF(AND(A4403="2021-03", ISNA(MATCH(B4403, _xlfn._xlws.FILTER(B:B, A:A="2021-04"), 0))), "Left", "Ativo")</f>
        <v>Ativo</v>
      </c>
    </row>
    <row r="4404" spans="1:6" x14ac:dyDescent="0.25">
      <c r="A4404" t="s">
        <v>1532</v>
      </c>
      <c r="B4404" t="s">
        <v>480</v>
      </c>
      <c r="C4404" s="10" t="str" cm="1">
        <f t="array" ref="C4404">IF(AND(A4404="2020-12", ISNA(MATCH(B4404, _xlfn._xlws.FILTER(B:B, A:A="2021-01"), 0))), "Left", "Ativo")</f>
        <v>Ativo</v>
      </c>
      <c r="D4404" s="10" t="str" cm="1">
        <f t="array" ref="D4404">IF(AND(A4404="2021-01", ISNA(MATCH(B4404, _xlfn._xlws.FILTER(B:B, A:A="2021-02"), 0))), "Left", "Ativo")</f>
        <v>Ativo</v>
      </c>
      <c r="E4404" s="10" t="str" cm="1">
        <f t="array" ref="E4404">IF(AND(A4404="2021-02", ISNA(MATCH(B4404, _xlfn._xlws.FILTER(B:B, A:A="2021-03"), 0))), "Left", "Ativo")</f>
        <v>Ativo</v>
      </c>
      <c r="F4404" s="12" t="str" cm="1">
        <f t="array" ref="F4404">IF(AND(A4404="2021-03", ISNA(MATCH(B4404, _xlfn._xlws.FILTER(B:B, A:A="2021-04"), 0))), "Left", "Ativo")</f>
        <v>Ativo</v>
      </c>
    </row>
    <row r="4405" spans="1:6" x14ac:dyDescent="0.25">
      <c r="A4405" t="s">
        <v>1532</v>
      </c>
      <c r="B4405" t="s">
        <v>481</v>
      </c>
      <c r="C4405" s="10" t="str" cm="1">
        <f t="array" ref="C4405">IF(AND(A4405="2020-12", ISNA(MATCH(B4405, _xlfn._xlws.FILTER(B:B, A:A="2021-01"), 0))), "Left", "Ativo")</f>
        <v>Ativo</v>
      </c>
      <c r="D4405" s="10" t="str" cm="1">
        <f t="array" ref="D4405">IF(AND(A4405="2021-01", ISNA(MATCH(B4405, _xlfn._xlws.FILTER(B:B, A:A="2021-02"), 0))), "Left", "Ativo")</f>
        <v>Ativo</v>
      </c>
      <c r="E4405" s="10" t="str" cm="1">
        <f t="array" ref="E4405">IF(AND(A4405="2021-02", ISNA(MATCH(B4405, _xlfn._xlws.FILTER(B:B, A:A="2021-03"), 0))), "Left", "Ativo")</f>
        <v>Ativo</v>
      </c>
      <c r="F4405" s="12" t="str" cm="1">
        <f t="array" ref="F4405">IF(AND(A4405="2021-03", ISNA(MATCH(B4405, _xlfn._xlws.FILTER(B:B, A:A="2021-04"), 0))), "Left", "Ativo")</f>
        <v>Ativo</v>
      </c>
    </row>
    <row r="4406" spans="1:6" x14ac:dyDescent="0.25">
      <c r="A4406" t="s">
        <v>1532</v>
      </c>
      <c r="B4406" t="s">
        <v>482</v>
      </c>
      <c r="C4406" s="10" t="str" cm="1">
        <f t="array" ref="C4406">IF(AND(A4406="2020-12", ISNA(MATCH(B4406, _xlfn._xlws.FILTER(B:B, A:A="2021-01"), 0))), "Left", "Ativo")</f>
        <v>Ativo</v>
      </c>
      <c r="D4406" s="10" t="str" cm="1">
        <f t="array" ref="D4406">IF(AND(A4406="2021-01", ISNA(MATCH(B4406, _xlfn._xlws.FILTER(B:B, A:A="2021-02"), 0))), "Left", "Ativo")</f>
        <v>Ativo</v>
      </c>
      <c r="E4406" s="10" t="str" cm="1">
        <f t="array" ref="E4406">IF(AND(A4406="2021-02", ISNA(MATCH(B4406, _xlfn._xlws.FILTER(B:B, A:A="2021-03"), 0))), "Left", "Ativo")</f>
        <v>Ativo</v>
      </c>
      <c r="F4406" s="12" t="str" cm="1">
        <f t="array" ref="F4406">IF(AND(A4406="2021-03", ISNA(MATCH(B4406, _xlfn._xlws.FILTER(B:B, A:A="2021-04"), 0))), "Left", "Ativo")</f>
        <v>Ativo</v>
      </c>
    </row>
    <row r="4407" spans="1:6" x14ac:dyDescent="0.25">
      <c r="A4407" t="s">
        <v>1532</v>
      </c>
      <c r="B4407" t="s">
        <v>483</v>
      </c>
      <c r="C4407" s="10" t="str" cm="1">
        <f t="array" ref="C4407">IF(AND(A4407="2020-12", ISNA(MATCH(B4407, _xlfn._xlws.FILTER(B:B, A:A="2021-01"), 0))), "Left", "Ativo")</f>
        <v>Ativo</v>
      </c>
      <c r="D4407" s="10" t="str" cm="1">
        <f t="array" ref="D4407">IF(AND(A4407="2021-01", ISNA(MATCH(B4407, _xlfn._xlws.FILTER(B:B, A:A="2021-02"), 0))), "Left", "Ativo")</f>
        <v>Ativo</v>
      </c>
      <c r="E4407" s="10" t="str" cm="1">
        <f t="array" ref="E4407">IF(AND(A4407="2021-02", ISNA(MATCH(B4407, _xlfn._xlws.FILTER(B:B, A:A="2021-03"), 0))), "Left", "Ativo")</f>
        <v>Ativo</v>
      </c>
      <c r="F4407" s="12" t="str" cm="1">
        <f t="array" ref="F4407">IF(AND(A4407="2021-03", ISNA(MATCH(B4407, _xlfn._xlws.FILTER(B:B, A:A="2021-04"), 0))), "Left", "Ativo")</f>
        <v>Ativo</v>
      </c>
    </row>
    <row r="4408" spans="1:6" x14ac:dyDescent="0.25">
      <c r="A4408" t="s">
        <v>1532</v>
      </c>
      <c r="B4408" t="s">
        <v>484</v>
      </c>
      <c r="C4408" s="10" t="str" cm="1">
        <f t="array" ref="C4408">IF(AND(A4408="2020-12", ISNA(MATCH(B4408, _xlfn._xlws.FILTER(B:B, A:A="2021-01"), 0))), "Left", "Ativo")</f>
        <v>Ativo</v>
      </c>
      <c r="D4408" s="10" t="str" cm="1">
        <f t="array" ref="D4408">IF(AND(A4408="2021-01", ISNA(MATCH(B4408, _xlfn._xlws.FILTER(B:B, A:A="2021-02"), 0))), "Left", "Ativo")</f>
        <v>Ativo</v>
      </c>
      <c r="E4408" s="10" t="str" cm="1">
        <f t="array" ref="E4408">IF(AND(A4408="2021-02", ISNA(MATCH(B4408, _xlfn._xlws.FILTER(B:B, A:A="2021-03"), 0))), "Left", "Ativo")</f>
        <v>Ativo</v>
      </c>
      <c r="F4408" s="12" t="str" cm="1">
        <f t="array" ref="F4408">IF(AND(A4408="2021-03", ISNA(MATCH(B4408, _xlfn._xlws.FILTER(B:B, A:A="2021-04"), 0))), "Left", "Ativo")</f>
        <v>Ativo</v>
      </c>
    </row>
    <row r="4409" spans="1:6" x14ac:dyDescent="0.25">
      <c r="A4409" t="s">
        <v>1532</v>
      </c>
      <c r="B4409" t="s">
        <v>485</v>
      </c>
      <c r="C4409" s="10" t="str" cm="1">
        <f t="array" ref="C4409">IF(AND(A4409="2020-12", ISNA(MATCH(B4409, _xlfn._xlws.FILTER(B:B, A:A="2021-01"), 0))), "Left", "Ativo")</f>
        <v>Ativo</v>
      </c>
      <c r="D4409" s="10" t="str" cm="1">
        <f t="array" ref="D4409">IF(AND(A4409="2021-01", ISNA(MATCH(B4409, _xlfn._xlws.FILTER(B:B, A:A="2021-02"), 0))), "Left", "Ativo")</f>
        <v>Ativo</v>
      </c>
      <c r="E4409" s="10" t="str" cm="1">
        <f t="array" ref="E4409">IF(AND(A4409="2021-02", ISNA(MATCH(B4409, _xlfn._xlws.FILTER(B:B, A:A="2021-03"), 0))), "Left", "Ativo")</f>
        <v>Ativo</v>
      </c>
      <c r="F4409" s="12" t="str" cm="1">
        <f t="array" ref="F4409">IF(AND(A4409="2021-03", ISNA(MATCH(B4409, _xlfn._xlws.FILTER(B:B, A:A="2021-04"), 0))), "Left", "Ativo")</f>
        <v>Ativo</v>
      </c>
    </row>
    <row r="4410" spans="1:6" x14ac:dyDescent="0.25">
      <c r="A4410" t="s">
        <v>1532</v>
      </c>
      <c r="B4410" t="s">
        <v>486</v>
      </c>
      <c r="C4410" s="10" t="str" cm="1">
        <f t="array" ref="C4410">IF(AND(A4410="2020-12", ISNA(MATCH(B4410, _xlfn._xlws.FILTER(B:B, A:A="2021-01"), 0))), "Left", "Ativo")</f>
        <v>Ativo</v>
      </c>
      <c r="D4410" s="10" t="str" cm="1">
        <f t="array" ref="D4410">IF(AND(A4410="2021-01", ISNA(MATCH(B4410, _xlfn._xlws.FILTER(B:B, A:A="2021-02"), 0))), "Left", "Ativo")</f>
        <v>Ativo</v>
      </c>
      <c r="E4410" s="10" t="str" cm="1">
        <f t="array" ref="E4410">IF(AND(A4410="2021-02", ISNA(MATCH(B4410, _xlfn._xlws.FILTER(B:B, A:A="2021-03"), 0))), "Left", "Ativo")</f>
        <v>Ativo</v>
      </c>
      <c r="F4410" s="12" t="str" cm="1">
        <f t="array" ref="F4410">IF(AND(A4410="2021-03", ISNA(MATCH(B4410, _xlfn._xlws.FILTER(B:B, A:A="2021-04"), 0))), "Left", "Ativo")</f>
        <v>Ativo</v>
      </c>
    </row>
    <row r="4411" spans="1:6" x14ac:dyDescent="0.25">
      <c r="A4411" t="s">
        <v>1532</v>
      </c>
      <c r="B4411" t="s">
        <v>487</v>
      </c>
      <c r="C4411" s="10" t="str" cm="1">
        <f t="array" ref="C4411">IF(AND(A4411="2020-12", ISNA(MATCH(B4411, _xlfn._xlws.FILTER(B:B, A:A="2021-01"), 0))), "Left", "Ativo")</f>
        <v>Ativo</v>
      </c>
      <c r="D4411" s="10" t="str" cm="1">
        <f t="array" ref="D4411">IF(AND(A4411="2021-01", ISNA(MATCH(B4411, _xlfn._xlws.FILTER(B:B, A:A="2021-02"), 0))), "Left", "Ativo")</f>
        <v>Ativo</v>
      </c>
      <c r="E4411" s="10" t="str" cm="1">
        <f t="array" ref="E4411">IF(AND(A4411="2021-02", ISNA(MATCH(B4411, _xlfn._xlws.FILTER(B:B, A:A="2021-03"), 0))), "Left", "Ativo")</f>
        <v>Ativo</v>
      </c>
      <c r="F4411" s="12" t="str" cm="1">
        <f t="array" ref="F4411">IF(AND(A4411="2021-03", ISNA(MATCH(B4411, _xlfn._xlws.FILTER(B:B, A:A="2021-04"), 0))), "Left", "Ativo")</f>
        <v>Ativo</v>
      </c>
    </row>
    <row r="4412" spans="1:6" x14ac:dyDescent="0.25">
      <c r="A4412" t="s">
        <v>1532</v>
      </c>
      <c r="B4412" t="s">
        <v>488</v>
      </c>
      <c r="C4412" s="10" t="str" cm="1">
        <f t="array" ref="C4412">IF(AND(A4412="2020-12", ISNA(MATCH(B4412, _xlfn._xlws.FILTER(B:B, A:A="2021-01"), 0))), "Left", "Ativo")</f>
        <v>Ativo</v>
      </c>
      <c r="D4412" s="10" t="str" cm="1">
        <f t="array" ref="D4412">IF(AND(A4412="2021-01", ISNA(MATCH(B4412, _xlfn._xlws.FILTER(B:B, A:A="2021-02"), 0))), "Left", "Ativo")</f>
        <v>Ativo</v>
      </c>
      <c r="E4412" s="10" t="str" cm="1">
        <f t="array" ref="E4412">IF(AND(A4412="2021-02", ISNA(MATCH(B4412, _xlfn._xlws.FILTER(B:B, A:A="2021-03"), 0))), "Left", "Ativo")</f>
        <v>Ativo</v>
      </c>
      <c r="F4412" s="12" t="str" cm="1">
        <f t="array" ref="F4412">IF(AND(A4412="2021-03", ISNA(MATCH(B4412, _xlfn._xlws.FILTER(B:B, A:A="2021-04"), 0))), "Left", "Ativo")</f>
        <v>Ativo</v>
      </c>
    </row>
    <row r="4413" spans="1:6" x14ac:dyDescent="0.25">
      <c r="A4413" t="s">
        <v>1532</v>
      </c>
      <c r="B4413" t="s">
        <v>490</v>
      </c>
      <c r="C4413" s="10" t="str" cm="1">
        <f t="array" ref="C4413">IF(AND(A4413="2020-12", ISNA(MATCH(B4413, _xlfn._xlws.FILTER(B:B, A:A="2021-01"), 0))), "Left", "Ativo")</f>
        <v>Ativo</v>
      </c>
      <c r="D4413" s="10" t="str" cm="1">
        <f t="array" ref="D4413">IF(AND(A4413="2021-01", ISNA(MATCH(B4413, _xlfn._xlws.FILTER(B:B, A:A="2021-02"), 0))), "Left", "Ativo")</f>
        <v>Ativo</v>
      </c>
      <c r="E4413" s="10" t="str" cm="1">
        <f t="array" ref="E4413">IF(AND(A4413="2021-02", ISNA(MATCH(B4413, _xlfn._xlws.FILTER(B:B, A:A="2021-03"), 0))), "Left", "Ativo")</f>
        <v>Ativo</v>
      </c>
      <c r="F4413" s="12" t="str" cm="1">
        <f t="array" ref="F4413">IF(AND(A4413="2021-03", ISNA(MATCH(B4413, _xlfn._xlws.FILTER(B:B, A:A="2021-04"), 0))), "Left", "Ativo")</f>
        <v>Ativo</v>
      </c>
    </row>
    <row r="4414" spans="1:6" x14ac:dyDescent="0.25">
      <c r="A4414" t="s">
        <v>1532</v>
      </c>
      <c r="B4414" t="s">
        <v>491</v>
      </c>
      <c r="C4414" s="10" t="str" cm="1">
        <f t="array" ref="C4414">IF(AND(A4414="2020-12", ISNA(MATCH(B4414, _xlfn._xlws.FILTER(B:B, A:A="2021-01"), 0))), "Left", "Ativo")</f>
        <v>Ativo</v>
      </c>
      <c r="D4414" s="10" t="str" cm="1">
        <f t="array" ref="D4414">IF(AND(A4414="2021-01", ISNA(MATCH(B4414, _xlfn._xlws.FILTER(B:B, A:A="2021-02"), 0))), "Left", "Ativo")</f>
        <v>Ativo</v>
      </c>
      <c r="E4414" s="10" t="str" cm="1">
        <f t="array" ref="E4414">IF(AND(A4414="2021-02", ISNA(MATCH(B4414, _xlfn._xlws.FILTER(B:B, A:A="2021-03"), 0))), "Left", "Ativo")</f>
        <v>Ativo</v>
      </c>
      <c r="F4414" s="12" t="str" cm="1">
        <f t="array" ref="F4414">IF(AND(A4414="2021-03", ISNA(MATCH(B4414, _xlfn._xlws.FILTER(B:B, A:A="2021-04"), 0))), "Left", "Ativo")</f>
        <v>Ativo</v>
      </c>
    </row>
    <row r="4415" spans="1:6" x14ac:dyDescent="0.25">
      <c r="A4415" t="s">
        <v>1532</v>
      </c>
      <c r="B4415" t="s">
        <v>493</v>
      </c>
      <c r="C4415" s="10" t="str" cm="1">
        <f t="array" ref="C4415">IF(AND(A4415="2020-12", ISNA(MATCH(B4415, _xlfn._xlws.FILTER(B:B, A:A="2021-01"), 0))), "Left", "Ativo")</f>
        <v>Ativo</v>
      </c>
      <c r="D4415" s="10" t="str" cm="1">
        <f t="array" ref="D4415">IF(AND(A4415="2021-01", ISNA(MATCH(B4415, _xlfn._xlws.FILTER(B:B, A:A="2021-02"), 0))), "Left", "Ativo")</f>
        <v>Ativo</v>
      </c>
      <c r="E4415" s="10" t="str" cm="1">
        <f t="array" ref="E4415">IF(AND(A4415="2021-02", ISNA(MATCH(B4415, _xlfn._xlws.FILTER(B:B, A:A="2021-03"), 0))), "Left", "Ativo")</f>
        <v>Ativo</v>
      </c>
      <c r="F4415" s="12" t="str" cm="1">
        <f t="array" ref="F4415">IF(AND(A4415="2021-03", ISNA(MATCH(B4415, _xlfn._xlws.FILTER(B:B, A:A="2021-04"), 0))), "Left", "Ativo")</f>
        <v>Ativo</v>
      </c>
    </row>
    <row r="4416" spans="1:6" x14ac:dyDescent="0.25">
      <c r="A4416" t="s">
        <v>1532</v>
      </c>
      <c r="B4416" t="s">
        <v>494</v>
      </c>
      <c r="C4416" s="10" t="str" cm="1">
        <f t="array" ref="C4416">IF(AND(A4416="2020-12", ISNA(MATCH(B4416, _xlfn._xlws.FILTER(B:B, A:A="2021-01"), 0))), "Left", "Ativo")</f>
        <v>Ativo</v>
      </c>
      <c r="D4416" s="10" t="str" cm="1">
        <f t="array" ref="D4416">IF(AND(A4416="2021-01", ISNA(MATCH(B4416, _xlfn._xlws.FILTER(B:B, A:A="2021-02"), 0))), "Left", "Ativo")</f>
        <v>Ativo</v>
      </c>
      <c r="E4416" s="10" t="str" cm="1">
        <f t="array" ref="E4416">IF(AND(A4416="2021-02", ISNA(MATCH(B4416, _xlfn._xlws.FILTER(B:B, A:A="2021-03"), 0))), "Left", "Ativo")</f>
        <v>Ativo</v>
      </c>
      <c r="F4416" s="12" t="str" cm="1">
        <f t="array" ref="F4416">IF(AND(A4416="2021-03", ISNA(MATCH(B4416, _xlfn._xlws.FILTER(B:B, A:A="2021-04"), 0))), "Left", "Ativo")</f>
        <v>Ativo</v>
      </c>
    </row>
    <row r="4417" spans="1:6" x14ac:dyDescent="0.25">
      <c r="A4417" t="s">
        <v>1532</v>
      </c>
      <c r="B4417" t="s">
        <v>495</v>
      </c>
      <c r="C4417" s="10" t="str" cm="1">
        <f t="array" ref="C4417">IF(AND(A4417="2020-12", ISNA(MATCH(B4417, _xlfn._xlws.FILTER(B:B, A:A="2021-01"), 0))), "Left", "Ativo")</f>
        <v>Ativo</v>
      </c>
      <c r="D4417" s="10" t="str" cm="1">
        <f t="array" ref="D4417">IF(AND(A4417="2021-01", ISNA(MATCH(B4417, _xlfn._xlws.FILTER(B:B, A:A="2021-02"), 0))), "Left", "Ativo")</f>
        <v>Ativo</v>
      </c>
      <c r="E4417" s="10" t="str" cm="1">
        <f t="array" ref="E4417">IF(AND(A4417="2021-02", ISNA(MATCH(B4417, _xlfn._xlws.FILTER(B:B, A:A="2021-03"), 0))), "Left", "Ativo")</f>
        <v>Ativo</v>
      </c>
      <c r="F4417" s="12" t="str" cm="1">
        <f t="array" ref="F4417">IF(AND(A4417="2021-03", ISNA(MATCH(B4417, _xlfn._xlws.FILTER(B:B, A:A="2021-04"), 0))), "Left", "Ativo")</f>
        <v>Ativo</v>
      </c>
    </row>
    <row r="4418" spans="1:6" x14ac:dyDescent="0.25">
      <c r="A4418" t="s">
        <v>1532</v>
      </c>
      <c r="B4418" t="s">
        <v>496</v>
      </c>
      <c r="C4418" s="10" t="str" cm="1">
        <f t="array" ref="C4418">IF(AND(A4418="2020-12", ISNA(MATCH(B4418, _xlfn._xlws.FILTER(B:B, A:A="2021-01"), 0))), "Left", "Ativo")</f>
        <v>Ativo</v>
      </c>
      <c r="D4418" s="10" t="str" cm="1">
        <f t="array" ref="D4418">IF(AND(A4418="2021-01", ISNA(MATCH(B4418, _xlfn._xlws.FILTER(B:B, A:A="2021-02"), 0))), "Left", "Ativo")</f>
        <v>Ativo</v>
      </c>
      <c r="E4418" s="10" t="str" cm="1">
        <f t="array" ref="E4418">IF(AND(A4418="2021-02", ISNA(MATCH(B4418, _xlfn._xlws.FILTER(B:B, A:A="2021-03"), 0))), "Left", "Ativo")</f>
        <v>Ativo</v>
      </c>
      <c r="F4418" s="12" t="str" cm="1">
        <f t="array" ref="F4418">IF(AND(A4418="2021-03", ISNA(MATCH(B4418, _xlfn._xlws.FILTER(B:B, A:A="2021-04"), 0))), "Left", "Ativo")</f>
        <v>Ativo</v>
      </c>
    </row>
    <row r="4419" spans="1:6" x14ac:dyDescent="0.25">
      <c r="A4419" t="s">
        <v>1532</v>
      </c>
      <c r="B4419" t="s">
        <v>497</v>
      </c>
      <c r="C4419" s="10" t="str" cm="1">
        <f t="array" ref="C4419">IF(AND(A4419="2020-12", ISNA(MATCH(B4419, _xlfn._xlws.FILTER(B:B, A:A="2021-01"), 0))), "Left", "Ativo")</f>
        <v>Ativo</v>
      </c>
      <c r="D4419" s="10" t="str" cm="1">
        <f t="array" ref="D4419">IF(AND(A4419="2021-01", ISNA(MATCH(B4419, _xlfn._xlws.FILTER(B:B, A:A="2021-02"), 0))), "Left", "Ativo")</f>
        <v>Ativo</v>
      </c>
      <c r="E4419" s="10" t="str" cm="1">
        <f t="array" ref="E4419">IF(AND(A4419="2021-02", ISNA(MATCH(B4419, _xlfn._xlws.FILTER(B:B, A:A="2021-03"), 0))), "Left", "Ativo")</f>
        <v>Ativo</v>
      </c>
      <c r="F4419" s="12" t="str" cm="1">
        <f t="array" ref="F4419">IF(AND(A4419="2021-03", ISNA(MATCH(B4419, _xlfn._xlws.FILTER(B:B, A:A="2021-04"), 0))), "Left", "Ativo")</f>
        <v>Ativo</v>
      </c>
    </row>
    <row r="4420" spans="1:6" x14ac:dyDescent="0.25">
      <c r="A4420" t="s">
        <v>1532</v>
      </c>
      <c r="B4420" t="s">
        <v>498</v>
      </c>
      <c r="C4420" s="10" t="str" cm="1">
        <f t="array" ref="C4420">IF(AND(A4420="2020-12", ISNA(MATCH(B4420, _xlfn._xlws.FILTER(B:B, A:A="2021-01"), 0))), "Left", "Ativo")</f>
        <v>Ativo</v>
      </c>
      <c r="D4420" s="10" t="str" cm="1">
        <f t="array" ref="D4420">IF(AND(A4420="2021-01", ISNA(MATCH(B4420, _xlfn._xlws.FILTER(B:B, A:A="2021-02"), 0))), "Left", "Ativo")</f>
        <v>Ativo</v>
      </c>
      <c r="E4420" s="10" t="str" cm="1">
        <f t="array" ref="E4420">IF(AND(A4420="2021-02", ISNA(MATCH(B4420, _xlfn._xlws.FILTER(B:B, A:A="2021-03"), 0))), "Left", "Ativo")</f>
        <v>Ativo</v>
      </c>
      <c r="F4420" s="12" t="str" cm="1">
        <f t="array" ref="F4420">IF(AND(A4420="2021-03", ISNA(MATCH(B4420, _xlfn._xlws.FILTER(B:B, A:A="2021-04"), 0))), "Left", "Ativo")</f>
        <v>Ativo</v>
      </c>
    </row>
    <row r="4421" spans="1:6" x14ac:dyDescent="0.25">
      <c r="A4421" t="s">
        <v>1532</v>
      </c>
      <c r="B4421" t="s">
        <v>499</v>
      </c>
      <c r="C4421" s="10" t="str" cm="1">
        <f t="array" ref="C4421">IF(AND(A4421="2020-12", ISNA(MATCH(B4421, _xlfn._xlws.FILTER(B:B, A:A="2021-01"), 0))), "Left", "Ativo")</f>
        <v>Ativo</v>
      </c>
      <c r="D4421" s="10" t="str" cm="1">
        <f t="array" ref="D4421">IF(AND(A4421="2021-01", ISNA(MATCH(B4421, _xlfn._xlws.FILTER(B:B, A:A="2021-02"), 0))), "Left", "Ativo")</f>
        <v>Ativo</v>
      </c>
      <c r="E4421" s="10" t="str" cm="1">
        <f t="array" ref="E4421">IF(AND(A4421="2021-02", ISNA(MATCH(B4421, _xlfn._xlws.FILTER(B:B, A:A="2021-03"), 0))), "Left", "Ativo")</f>
        <v>Ativo</v>
      </c>
      <c r="F4421" s="12" t="str" cm="1">
        <f t="array" ref="F4421">IF(AND(A4421="2021-03", ISNA(MATCH(B4421, _xlfn._xlws.FILTER(B:B, A:A="2021-04"), 0))), "Left", "Ativo")</f>
        <v>Ativo</v>
      </c>
    </row>
    <row r="4422" spans="1:6" x14ac:dyDescent="0.25">
      <c r="A4422" t="s">
        <v>1532</v>
      </c>
      <c r="B4422" t="s">
        <v>500</v>
      </c>
      <c r="C4422" s="10" t="str" cm="1">
        <f t="array" ref="C4422">IF(AND(A4422="2020-12", ISNA(MATCH(B4422, _xlfn._xlws.FILTER(B:B, A:A="2021-01"), 0))), "Left", "Ativo")</f>
        <v>Ativo</v>
      </c>
      <c r="D4422" s="10" t="str" cm="1">
        <f t="array" ref="D4422">IF(AND(A4422="2021-01", ISNA(MATCH(B4422, _xlfn._xlws.FILTER(B:B, A:A="2021-02"), 0))), "Left", "Ativo")</f>
        <v>Ativo</v>
      </c>
      <c r="E4422" s="10" t="str" cm="1">
        <f t="array" ref="E4422">IF(AND(A4422="2021-02", ISNA(MATCH(B4422, _xlfn._xlws.FILTER(B:B, A:A="2021-03"), 0))), "Left", "Ativo")</f>
        <v>Ativo</v>
      </c>
      <c r="F4422" s="12" t="str" cm="1">
        <f t="array" ref="F4422">IF(AND(A4422="2021-03", ISNA(MATCH(B4422, _xlfn._xlws.FILTER(B:B, A:A="2021-04"), 0))), "Left", "Ativo")</f>
        <v>Ativo</v>
      </c>
    </row>
    <row r="4423" spans="1:6" x14ac:dyDescent="0.25">
      <c r="A4423" t="s">
        <v>1532</v>
      </c>
      <c r="B4423" t="s">
        <v>501</v>
      </c>
      <c r="C4423" s="10" t="str" cm="1">
        <f t="array" ref="C4423">IF(AND(A4423="2020-12", ISNA(MATCH(B4423, _xlfn._xlws.FILTER(B:B, A:A="2021-01"), 0))), "Left", "Ativo")</f>
        <v>Ativo</v>
      </c>
      <c r="D4423" s="10" t="str" cm="1">
        <f t="array" ref="D4423">IF(AND(A4423="2021-01", ISNA(MATCH(B4423, _xlfn._xlws.FILTER(B:B, A:A="2021-02"), 0))), "Left", "Ativo")</f>
        <v>Ativo</v>
      </c>
      <c r="E4423" s="10" t="str" cm="1">
        <f t="array" ref="E4423">IF(AND(A4423="2021-02", ISNA(MATCH(B4423, _xlfn._xlws.FILTER(B:B, A:A="2021-03"), 0))), "Left", "Ativo")</f>
        <v>Ativo</v>
      </c>
      <c r="F4423" s="12" t="str" cm="1">
        <f t="array" ref="F4423">IF(AND(A4423="2021-03", ISNA(MATCH(B4423, _xlfn._xlws.FILTER(B:B, A:A="2021-04"), 0))), "Left", "Ativo")</f>
        <v>Ativo</v>
      </c>
    </row>
    <row r="4424" spans="1:6" x14ac:dyDescent="0.25">
      <c r="A4424" t="s">
        <v>1532</v>
      </c>
      <c r="B4424" t="s">
        <v>502</v>
      </c>
      <c r="C4424" s="10" t="str" cm="1">
        <f t="array" ref="C4424">IF(AND(A4424="2020-12", ISNA(MATCH(B4424, _xlfn._xlws.FILTER(B:B, A:A="2021-01"), 0))), "Left", "Ativo")</f>
        <v>Ativo</v>
      </c>
      <c r="D4424" s="10" t="str" cm="1">
        <f t="array" ref="D4424">IF(AND(A4424="2021-01", ISNA(MATCH(B4424, _xlfn._xlws.FILTER(B:B, A:A="2021-02"), 0))), "Left", "Ativo")</f>
        <v>Ativo</v>
      </c>
      <c r="E4424" s="10" t="str" cm="1">
        <f t="array" ref="E4424">IF(AND(A4424="2021-02", ISNA(MATCH(B4424, _xlfn._xlws.FILTER(B:B, A:A="2021-03"), 0))), "Left", "Ativo")</f>
        <v>Ativo</v>
      </c>
      <c r="F4424" s="12" t="str" cm="1">
        <f t="array" ref="F4424">IF(AND(A4424="2021-03", ISNA(MATCH(B4424, _xlfn._xlws.FILTER(B:B, A:A="2021-04"), 0))), "Left", "Ativo")</f>
        <v>Ativo</v>
      </c>
    </row>
    <row r="4425" spans="1:6" x14ac:dyDescent="0.25">
      <c r="A4425" t="s">
        <v>1532</v>
      </c>
      <c r="B4425" t="s">
        <v>503</v>
      </c>
      <c r="C4425" s="10" t="str" cm="1">
        <f t="array" ref="C4425">IF(AND(A4425="2020-12", ISNA(MATCH(B4425, _xlfn._xlws.FILTER(B:B, A:A="2021-01"), 0))), "Left", "Ativo")</f>
        <v>Ativo</v>
      </c>
      <c r="D4425" s="10" t="str" cm="1">
        <f t="array" ref="D4425">IF(AND(A4425="2021-01", ISNA(MATCH(B4425, _xlfn._xlws.FILTER(B:B, A:A="2021-02"), 0))), "Left", "Ativo")</f>
        <v>Ativo</v>
      </c>
      <c r="E4425" s="10" t="str" cm="1">
        <f t="array" ref="E4425">IF(AND(A4425="2021-02", ISNA(MATCH(B4425, _xlfn._xlws.FILTER(B:B, A:A="2021-03"), 0))), "Left", "Ativo")</f>
        <v>Ativo</v>
      </c>
      <c r="F4425" s="12" t="str" cm="1">
        <f t="array" ref="F4425">IF(AND(A4425="2021-03", ISNA(MATCH(B4425, _xlfn._xlws.FILTER(B:B, A:A="2021-04"), 0))), "Left", "Ativo")</f>
        <v>Ativo</v>
      </c>
    </row>
    <row r="4426" spans="1:6" x14ac:dyDescent="0.25">
      <c r="A4426" t="s">
        <v>1532</v>
      </c>
      <c r="B4426" t="s">
        <v>504</v>
      </c>
      <c r="C4426" s="10" t="str" cm="1">
        <f t="array" ref="C4426">IF(AND(A4426="2020-12", ISNA(MATCH(B4426, _xlfn._xlws.FILTER(B:B, A:A="2021-01"), 0))), "Left", "Ativo")</f>
        <v>Ativo</v>
      </c>
      <c r="D4426" s="10" t="str" cm="1">
        <f t="array" ref="D4426">IF(AND(A4426="2021-01", ISNA(MATCH(B4426, _xlfn._xlws.FILTER(B:B, A:A="2021-02"), 0))), "Left", "Ativo")</f>
        <v>Ativo</v>
      </c>
      <c r="E4426" s="10" t="str" cm="1">
        <f t="array" ref="E4426">IF(AND(A4426="2021-02", ISNA(MATCH(B4426, _xlfn._xlws.FILTER(B:B, A:A="2021-03"), 0))), "Left", "Ativo")</f>
        <v>Ativo</v>
      </c>
      <c r="F4426" s="12" t="str" cm="1">
        <f t="array" ref="F4426">IF(AND(A4426="2021-03", ISNA(MATCH(B4426, _xlfn._xlws.FILTER(B:B, A:A="2021-04"), 0))), "Left", "Ativo")</f>
        <v>Ativo</v>
      </c>
    </row>
    <row r="4427" spans="1:6" x14ac:dyDescent="0.25">
      <c r="A4427" t="s">
        <v>1532</v>
      </c>
      <c r="B4427" t="s">
        <v>505</v>
      </c>
      <c r="C4427" s="10" t="str" cm="1">
        <f t="array" ref="C4427">IF(AND(A4427="2020-12", ISNA(MATCH(B4427, _xlfn._xlws.FILTER(B:B, A:A="2021-01"), 0))), "Left", "Ativo")</f>
        <v>Ativo</v>
      </c>
      <c r="D4427" s="10" t="str" cm="1">
        <f t="array" ref="D4427">IF(AND(A4427="2021-01", ISNA(MATCH(B4427, _xlfn._xlws.FILTER(B:B, A:A="2021-02"), 0))), "Left", "Ativo")</f>
        <v>Ativo</v>
      </c>
      <c r="E4427" s="10" t="str" cm="1">
        <f t="array" ref="E4427">IF(AND(A4427="2021-02", ISNA(MATCH(B4427, _xlfn._xlws.FILTER(B:B, A:A="2021-03"), 0))), "Left", "Ativo")</f>
        <v>Ativo</v>
      </c>
      <c r="F4427" s="12" t="str" cm="1">
        <f t="array" ref="F4427">IF(AND(A4427="2021-03", ISNA(MATCH(B4427, _xlfn._xlws.FILTER(B:B, A:A="2021-04"), 0))), "Left", "Ativo")</f>
        <v>Ativo</v>
      </c>
    </row>
    <row r="4428" spans="1:6" x14ac:dyDescent="0.25">
      <c r="A4428" t="s">
        <v>1532</v>
      </c>
      <c r="B4428" t="s">
        <v>506</v>
      </c>
      <c r="C4428" s="10" t="str" cm="1">
        <f t="array" ref="C4428">IF(AND(A4428="2020-12", ISNA(MATCH(B4428, _xlfn._xlws.FILTER(B:B, A:A="2021-01"), 0))), "Left", "Ativo")</f>
        <v>Ativo</v>
      </c>
      <c r="D4428" s="10" t="str" cm="1">
        <f t="array" ref="D4428">IF(AND(A4428="2021-01", ISNA(MATCH(B4428, _xlfn._xlws.FILTER(B:B, A:A="2021-02"), 0))), "Left", "Ativo")</f>
        <v>Ativo</v>
      </c>
      <c r="E4428" s="10" t="str" cm="1">
        <f t="array" ref="E4428">IF(AND(A4428="2021-02", ISNA(MATCH(B4428, _xlfn._xlws.FILTER(B:B, A:A="2021-03"), 0))), "Left", "Ativo")</f>
        <v>Ativo</v>
      </c>
      <c r="F4428" s="12" t="str" cm="1">
        <f t="array" ref="F4428">IF(AND(A4428="2021-03", ISNA(MATCH(B4428, _xlfn._xlws.FILTER(B:B, A:A="2021-04"), 0))), "Left", "Ativo")</f>
        <v>Ativo</v>
      </c>
    </row>
    <row r="4429" spans="1:6" x14ac:dyDescent="0.25">
      <c r="A4429" t="s">
        <v>1532</v>
      </c>
      <c r="B4429" t="s">
        <v>507</v>
      </c>
      <c r="C4429" s="10" t="str" cm="1">
        <f t="array" ref="C4429">IF(AND(A4429="2020-12", ISNA(MATCH(B4429, _xlfn._xlws.FILTER(B:B, A:A="2021-01"), 0))), "Left", "Ativo")</f>
        <v>Ativo</v>
      </c>
      <c r="D4429" s="10" t="str" cm="1">
        <f t="array" ref="D4429">IF(AND(A4429="2021-01", ISNA(MATCH(B4429, _xlfn._xlws.FILTER(B:B, A:A="2021-02"), 0))), "Left", "Ativo")</f>
        <v>Ativo</v>
      </c>
      <c r="E4429" s="10" t="str" cm="1">
        <f t="array" ref="E4429">IF(AND(A4429="2021-02", ISNA(MATCH(B4429, _xlfn._xlws.FILTER(B:B, A:A="2021-03"), 0))), "Left", "Ativo")</f>
        <v>Ativo</v>
      </c>
      <c r="F4429" s="12" t="str" cm="1">
        <f t="array" ref="F4429">IF(AND(A4429="2021-03", ISNA(MATCH(B4429, _xlfn._xlws.FILTER(B:B, A:A="2021-04"), 0))), "Left", "Ativo")</f>
        <v>Ativo</v>
      </c>
    </row>
    <row r="4430" spans="1:6" x14ac:dyDescent="0.25">
      <c r="A4430" t="s">
        <v>1532</v>
      </c>
      <c r="B4430" t="s">
        <v>508</v>
      </c>
      <c r="C4430" s="10" t="str" cm="1">
        <f t="array" ref="C4430">IF(AND(A4430="2020-12", ISNA(MATCH(B4430, _xlfn._xlws.FILTER(B:B, A:A="2021-01"), 0))), "Left", "Ativo")</f>
        <v>Ativo</v>
      </c>
      <c r="D4430" s="10" t="str" cm="1">
        <f t="array" ref="D4430">IF(AND(A4430="2021-01", ISNA(MATCH(B4430, _xlfn._xlws.FILTER(B:B, A:A="2021-02"), 0))), "Left", "Ativo")</f>
        <v>Ativo</v>
      </c>
      <c r="E4430" s="10" t="str" cm="1">
        <f t="array" ref="E4430">IF(AND(A4430="2021-02", ISNA(MATCH(B4430, _xlfn._xlws.FILTER(B:B, A:A="2021-03"), 0))), "Left", "Ativo")</f>
        <v>Ativo</v>
      </c>
      <c r="F4430" s="12" t="str" cm="1">
        <f t="array" ref="F4430">IF(AND(A4430="2021-03", ISNA(MATCH(B4430, _xlfn._xlws.FILTER(B:B, A:A="2021-04"), 0))), "Left", "Ativo")</f>
        <v>Ativo</v>
      </c>
    </row>
    <row r="4431" spans="1:6" x14ac:dyDescent="0.25">
      <c r="A4431" t="s">
        <v>1532</v>
      </c>
      <c r="B4431" t="s">
        <v>509</v>
      </c>
      <c r="C4431" s="10" t="str" cm="1">
        <f t="array" ref="C4431">IF(AND(A4431="2020-12", ISNA(MATCH(B4431, _xlfn._xlws.FILTER(B:B, A:A="2021-01"), 0))), "Left", "Ativo")</f>
        <v>Ativo</v>
      </c>
      <c r="D4431" s="10" t="str" cm="1">
        <f t="array" ref="D4431">IF(AND(A4431="2021-01", ISNA(MATCH(B4431, _xlfn._xlws.FILTER(B:B, A:A="2021-02"), 0))), "Left", "Ativo")</f>
        <v>Ativo</v>
      </c>
      <c r="E4431" s="10" t="str" cm="1">
        <f t="array" ref="E4431">IF(AND(A4431="2021-02", ISNA(MATCH(B4431, _xlfn._xlws.FILTER(B:B, A:A="2021-03"), 0))), "Left", "Ativo")</f>
        <v>Ativo</v>
      </c>
      <c r="F4431" s="12" t="str" cm="1">
        <f t="array" ref="F4431">IF(AND(A4431="2021-03", ISNA(MATCH(B4431, _xlfn._xlws.FILTER(B:B, A:A="2021-04"), 0))), "Left", "Ativo")</f>
        <v>Ativo</v>
      </c>
    </row>
    <row r="4432" spans="1:6" x14ac:dyDescent="0.25">
      <c r="A4432" t="s">
        <v>1532</v>
      </c>
      <c r="B4432" t="s">
        <v>510</v>
      </c>
      <c r="C4432" s="10" t="str" cm="1">
        <f t="array" ref="C4432">IF(AND(A4432="2020-12", ISNA(MATCH(B4432, _xlfn._xlws.FILTER(B:B, A:A="2021-01"), 0))), "Left", "Ativo")</f>
        <v>Ativo</v>
      </c>
      <c r="D4432" s="10" t="str" cm="1">
        <f t="array" ref="D4432">IF(AND(A4432="2021-01", ISNA(MATCH(B4432, _xlfn._xlws.FILTER(B:B, A:A="2021-02"), 0))), "Left", "Ativo")</f>
        <v>Ativo</v>
      </c>
      <c r="E4432" s="10" t="str" cm="1">
        <f t="array" ref="E4432">IF(AND(A4432="2021-02", ISNA(MATCH(B4432, _xlfn._xlws.FILTER(B:B, A:A="2021-03"), 0))), "Left", "Ativo")</f>
        <v>Ativo</v>
      </c>
      <c r="F4432" s="12" t="str" cm="1">
        <f t="array" ref="F4432">IF(AND(A4432="2021-03", ISNA(MATCH(B4432, _xlfn._xlws.FILTER(B:B, A:A="2021-04"), 0))), "Left", "Ativo")</f>
        <v>Ativo</v>
      </c>
    </row>
    <row r="4433" spans="1:6" x14ac:dyDescent="0.25">
      <c r="A4433" t="s">
        <v>1532</v>
      </c>
      <c r="B4433" t="s">
        <v>511</v>
      </c>
      <c r="C4433" s="10" t="str" cm="1">
        <f t="array" ref="C4433">IF(AND(A4433="2020-12", ISNA(MATCH(B4433, _xlfn._xlws.FILTER(B:B, A:A="2021-01"), 0))), "Left", "Ativo")</f>
        <v>Ativo</v>
      </c>
      <c r="D4433" s="10" t="str" cm="1">
        <f t="array" ref="D4433">IF(AND(A4433="2021-01", ISNA(MATCH(B4433, _xlfn._xlws.FILTER(B:B, A:A="2021-02"), 0))), "Left", "Ativo")</f>
        <v>Ativo</v>
      </c>
      <c r="E4433" s="10" t="str" cm="1">
        <f t="array" ref="E4433">IF(AND(A4433="2021-02", ISNA(MATCH(B4433, _xlfn._xlws.FILTER(B:B, A:A="2021-03"), 0))), "Left", "Ativo")</f>
        <v>Ativo</v>
      </c>
      <c r="F4433" s="12" t="str" cm="1">
        <f t="array" ref="F4433">IF(AND(A4433="2021-03", ISNA(MATCH(B4433, _xlfn._xlws.FILTER(B:B, A:A="2021-04"), 0))), "Left", "Ativo")</f>
        <v>Ativo</v>
      </c>
    </row>
    <row r="4434" spans="1:6" x14ac:dyDescent="0.25">
      <c r="A4434" t="s">
        <v>1532</v>
      </c>
      <c r="B4434" t="s">
        <v>512</v>
      </c>
      <c r="C4434" s="10" t="str" cm="1">
        <f t="array" ref="C4434">IF(AND(A4434="2020-12", ISNA(MATCH(B4434, _xlfn._xlws.FILTER(B:B, A:A="2021-01"), 0))), "Left", "Ativo")</f>
        <v>Ativo</v>
      </c>
      <c r="D4434" s="10" t="str" cm="1">
        <f t="array" ref="D4434">IF(AND(A4434="2021-01", ISNA(MATCH(B4434, _xlfn._xlws.FILTER(B:B, A:A="2021-02"), 0))), "Left", "Ativo")</f>
        <v>Ativo</v>
      </c>
      <c r="E4434" s="10" t="str" cm="1">
        <f t="array" ref="E4434">IF(AND(A4434="2021-02", ISNA(MATCH(B4434, _xlfn._xlws.FILTER(B:B, A:A="2021-03"), 0))), "Left", "Ativo")</f>
        <v>Ativo</v>
      </c>
      <c r="F4434" s="12" t="str" cm="1">
        <f t="array" ref="F4434">IF(AND(A4434="2021-03", ISNA(MATCH(B4434, _xlfn._xlws.FILTER(B:B, A:A="2021-04"), 0))), "Left", "Ativo")</f>
        <v>Ativo</v>
      </c>
    </row>
    <row r="4435" spans="1:6" x14ac:dyDescent="0.25">
      <c r="A4435" t="s">
        <v>1532</v>
      </c>
      <c r="B4435" t="s">
        <v>513</v>
      </c>
      <c r="C4435" s="10" t="str" cm="1">
        <f t="array" ref="C4435">IF(AND(A4435="2020-12", ISNA(MATCH(B4435, _xlfn._xlws.FILTER(B:B, A:A="2021-01"), 0))), "Left", "Ativo")</f>
        <v>Ativo</v>
      </c>
      <c r="D4435" s="10" t="str" cm="1">
        <f t="array" ref="D4435">IF(AND(A4435="2021-01", ISNA(MATCH(B4435, _xlfn._xlws.FILTER(B:B, A:A="2021-02"), 0))), "Left", "Ativo")</f>
        <v>Ativo</v>
      </c>
      <c r="E4435" s="10" t="str" cm="1">
        <f t="array" ref="E4435">IF(AND(A4435="2021-02", ISNA(MATCH(B4435, _xlfn._xlws.FILTER(B:B, A:A="2021-03"), 0))), "Left", "Ativo")</f>
        <v>Ativo</v>
      </c>
      <c r="F4435" s="12" t="str" cm="1">
        <f t="array" ref="F4435">IF(AND(A4435="2021-03", ISNA(MATCH(B4435, _xlfn._xlws.FILTER(B:B, A:A="2021-04"), 0))), "Left", "Ativo")</f>
        <v>Ativo</v>
      </c>
    </row>
    <row r="4436" spans="1:6" x14ac:dyDescent="0.25">
      <c r="A4436" t="s">
        <v>1532</v>
      </c>
      <c r="B4436" t="s">
        <v>514</v>
      </c>
      <c r="C4436" s="10" t="str" cm="1">
        <f t="array" ref="C4436">IF(AND(A4436="2020-12", ISNA(MATCH(B4436, _xlfn._xlws.FILTER(B:B, A:A="2021-01"), 0))), "Left", "Ativo")</f>
        <v>Ativo</v>
      </c>
      <c r="D4436" s="10" t="str" cm="1">
        <f t="array" ref="D4436">IF(AND(A4436="2021-01", ISNA(MATCH(B4436, _xlfn._xlws.FILTER(B:B, A:A="2021-02"), 0))), "Left", "Ativo")</f>
        <v>Ativo</v>
      </c>
      <c r="E4436" s="10" t="str" cm="1">
        <f t="array" ref="E4436">IF(AND(A4436="2021-02", ISNA(MATCH(B4436, _xlfn._xlws.FILTER(B:B, A:A="2021-03"), 0))), "Left", "Ativo")</f>
        <v>Ativo</v>
      </c>
      <c r="F4436" s="12" t="str" cm="1">
        <f t="array" ref="F4436">IF(AND(A4436="2021-03", ISNA(MATCH(B4436, _xlfn._xlws.FILTER(B:B, A:A="2021-04"), 0))), "Left", "Ativo")</f>
        <v>Ativo</v>
      </c>
    </row>
    <row r="4437" spans="1:6" x14ac:dyDescent="0.25">
      <c r="A4437" t="s">
        <v>1532</v>
      </c>
      <c r="B4437" t="s">
        <v>515</v>
      </c>
      <c r="C4437" s="10" t="str" cm="1">
        <f t="array" ref="C4437">IF(AND(A4437="2020-12", ISNA(MATCH(B4437, _xlfn._xlws.FILTER(B:B, A:A="2021-01"), 0))), "Left", "Ativo")</f>
        <v>Ativo</v>
      </c>
      <c r="D4437" s="10" t="str" cm="1">
        <f t="array" ref="D4437">IF(AND(A4437="2021-01", ISNA(MATCH(B4437, _xlfn._xlws.FILTER(B:B, A:A="2021-02"), 0))), "Left", "Ativo")</f>
        <v>Ativo</v>
      </c>
      <c r="E4437" s="10" t="str" cm="1">
        <f t="array" ref="E4437">IF(AND(A4437="2021-02", ISNA(MATCH(B4437, _xlfn._xlws.FILTER(B:B, A:A="2021-03"), 0))), "Left", "Ativo")</f>
        <v>Ativo</v>
      </c>
      <c r="F4437" s="12" t="str" cm="1">
        <f t="array" ref="F4437">IF(AND(A4437="2021-03", ISNA(MATCH(B4437, _xlfn._xlws.FILTER(B:B, A:A="2021-04"), 0))), "Left", "Ativo")</f>
        <v>Ativo</v>
      </c>
    </row>
    <row r="4438" spans="1:6" x14ac:dyDescent="0.25">
      <c r="A4438" t="s">
        <v>1532</v>
      </c>
      <c r="B4438" t="s">
        <v>516</v>
      </c>
      <c r="C4438" s="10" t="str" cm="1">
        <f t="array" ref="C4438">IF(AND(A4438="2020-12", ISNA(MATCH(B4438, _xlfn._xlws.FILTER(B:B, A:A="2021-01"), 0))), "Left", "Ativo")</f>
        <v>Ativo</v>
      </c>
      <c r="D4438" s="10" t="str" cm="1">
        <f t="array" ref="D4438">IF(AND(A4438="2021-01", ISNA(MATCH(B4438, _xlfn._xlws.FILTER(B:B, A:A="2021-02"), 0))), "Left", "Ativo")</f>
        <v>Ativo</v>
      </c>
      <c r="E4438" s="10" t="str" cm="1">
        <f t="array" ref="E4438">IF(AND(A4438="2021-02", ISNA(MATCH(B4438, _xlfn._xlws.FILTER(B:B, A:A="2021-03"), 0))), "Left", "Ativo")</f>
        <v>Ativo</v>
      </c>
      <c r="F4438" s="12" t="str" cm="1">
        <f t="array" ref="F4438">IF(AND(A4438="2021-03", ISNA(MATCH(B4438, _xlfn._xlws.FILTER(B:B, A:A="2021-04"), 0))), "Left", "Ativo")</f>
        <v>Ativo</v>
      </c>
    </row>
    <row r="4439" spans="1:6" x14ac:dyDescent="0.25">
      <c r="A4439" t="s">
        <v>1532</v>
      </c>
      <c r="B4439" t="s">
        <v>517</v>
      </c>
      <c r="C4439" s="10" t="str" cm="1">
        <f t="array" ref="C4439">IF(AND(A4439="2020-12", ISNA(MATCH(B4439, _xlfn._xlws.FILTER(B:B, A:A="2021-01"), 0))), "Left", "Ativo")</f>
        <v>Ativo</v>
      </c>
      <c r="D4439" s="10" t="str" cm="1">
        <f t="array" ref="D4439">IF(AND(A4439="2021-01", ISNA(MATCH(B4439, _xlfn._xlws.FILTER(B:B, A:A="2021-02"), 0))), "Left", "Ativo")</f>
        <v>Ativo</v>
      </c>
      <c r="E4439" s="10" t="str" cm="1">
        <f t="array" ref="E4439">IF(AND(A4439="2021-02", ISNA(MATCH(B4439, _xlfn._xlws.FILTER(B:B, A:A="2021-03"), 0))), "Left", "Ativo")</f>
        <v>Ativo</v>
      </c>
      <c r="F4439" s="12" t="str" cm="1">
        <f t="array" ref="F4439">IF(AND(A4439="2021-03", ISNA(MATCH(B4439, _xlfn._xlws.FILTER(B:B, A:A="2021-04"), 0))), "Left", "Ativo")</f>
        <v>Ativo</v>
      </c>
    </row>
    <row r="4440" spans="1:6" x14ac:dyDescent="0.25">
      <c r="A4440" t="s">
        <v>1532</v>
      </c>
      <c r="B4440" t="s">
        <v>518</v>
      </c>
      <c r="C4440" s="10" t="str" cm="1">
        <f t="array" ref="C4440">IF(AND(A4440="2020-12", ISNA(MATCH(B4440, _xlfn._xlws.FILTER(B:B, A:A="2021-01"), 0))), "Left", "Ativo")</f>
        <v>Ativo</v>
      </c>
      <c r="D4440" s="10" t="str" cm="1">
        <f t="array" ref="D4440">IF(AND(A4440="2021-01", ISNA(MATCH(B4440, _xlfn._xlws.FILTER(B:B, A:A="2021-02"), 0))), "Left", "Ativo")</f>
        <v>Ativo</v>
      </c>
      <c r="E4440" s="10" t="str" cm="1">
        <f t="array" ref="E4440">IF(AND(A4440="2021-02", ISNA(MATCH(B4440, _xlfn._xlws.FILTER(B:B, A:A="2021-03"), 0))), "Left", "Ativo")</f>
        <v>Ativo</v>
      </c>
      <c r="F4440" s="12" t="str" cm="1">
        <f t="array" ref="F4440">IF(AND(A4440="2021-03", ISNA(MATCH(B4440, _xlfn._xlws.FILTER(B:B, A:A="2021-04"), 0))), "Left", "Ativo")</f>
        <v>Ativo</v>
      </c>
    </row>
    <row r="4441" spans="1:6" x14ac:dyDescent="0.25">
      <c r="A4441" t="s">
        <v>1532</v>
      </c>
      <c r="B4441" t="s">
        <v>519</v>
      </c>
      <c r="C4441" s="10" t="str" cm="1">
        <f t="array" ref="C4441">IF(AND(A4441="2020-12", ISNA(MATCH(B4441, _xlfn._xlws.FILTER(B:B, A:A="2021-01"), 0))), "Left", "Ativo")</f>
        <v>Ativo</v>
      </c>
      <c r="D4441" s="10" t="str" cm="1">
        <f t="array" ref="D4441">IF(AND(A4441="2021-01", ISNA(MATCH(B4441, _xlfn._xlws.FILTER(B:B, A:A="2021-02"), 0))), "Left", "Ativo")</f>
        <v>Ativo</v>
      </c>
      <c r="E4441" s="10" t="str" cm="1">
        <f t="array" ref="E4441">IF(AND(A4441="2021-02", ISNA(MATCH(B4441, _xlfn._xlws.FILTER(B:B, A:A="2021-03"), 0))), "Left", "Ativo")</f>
        <v>Ativo</v>
      </c>
      <c r="F4441" s="12" t="str" cm="1">
        <f t="array" ref="F4441">IF(AND(A4441="2021-03", ISNA(MATCH(B4441, _xlfn._xlws.FILTER(B:B, A:A="2021-04"), 0))), "Left", "Ativo")</f>
        <v>Ativo</v>
      </c>
    </row>
    <row r="4442" spans="1:6" x14ac:dyDescent="0.25">
      <c r="A4442" t="s">
        <v>1532</v>
      </c>
      <c r="B4442" t="s">
        <v>520</v>
      </c>
      <c r="C4442" s="10" t="str" cm="1">
        <f t="array" ref="C4442">IF(AND(A4442="2020-12", ISNA(MATCH(B4442, _xlfn._xlws.FILTER(B:B, A:A="2021-01"), 0))), "Left", "Ativo")</f>
        <v>Ativo</v>
      </c>
      <c r="D4442" s="10" t="str" cm="1">
        <f t="array" ref="D4442">IF(AND(A4442="2021-01", ISNA(MATCH(B4442, _xlfn._xlws.FILTER(B:B, A:A="2021-02"), 0))), "Left", "Ativo")</f>
        <v>Ativo</v>
      </c>
      <c r="E4442" s="10" t="str" cm="1">
        <f t="array" ref="E4442">IF(AND(A4442="2021-02", ISNA(MATCH(B4442, _xlfn._xlws.FILTER(B:B, A:A="2021-03"), 0))), "Left", "Ativo")</f>
        <v>Ativo</v>
      </c>
      <c r="F4442" s="12" t="str" cm="1">
        <f t="array" ref="F4442">IF(AND(A4442="2021-03", ISNA(MATCH(B4442, _xlfn._xlws.FILTER(B:B, A:A="2021-04"), 0))), "Left", "Ativo")</f>
        <v>Ativo</v>
      </c>
    </row>
    <row r="4443" spans="1:6" x14ac:dyDescent="0.25">
      <c r="A4443" t="s">
        <v>1532</v>
      </c>
      <c r="B4443" t="s">
        <v>521</v>
      </c>
      <c r="C4443" s="10" t="str" cm="1">
        <f t="array" ref="C4443">IF(AND(A4443="2020-12", ISNA(MATCH(B4443, _xlfn._xlws.FILTER(B:B, A:A="2021-01"), 0))), "Left", "Ativo")</f>
        <v>Ativo</v>
      </c>
      <c r="D4443" s="10" t="str" cm="1">
        <f t="array" ref="D4443">IF(AND(A4443="2021-01", ISNA(MATCH(B4443, _xlfn._xlws.FILTER(B:B, A:A="2021-02"), 0))), "Left", "Ativo")</f>
        <v>Ativo</v>
      </c>
      <c r="E4443" s="10" t="str" cm="1">
        <f t="array" ref="E4443">IF(AND(A4443="2021-02", ISNA(MATCH(B4443, _xlfn._xlws.FILTER(B:B, A:A="2021-03"), 0))), "Left", "Ativo")</f>
        <v>Ativo</v>
      </c>
      <c r="F4443" s="12" t="str" cm="1">
        <f t="array" ref="F4443">IF(AND(A4443="2021-03", ISNA(MATCH(B4443, _xlfn._xlws.FILTER(B:B, A:A="2021-04"), 0))), "Left", "Ativo")</f>
        <v>Ativo</v>
      </c>
    </row>
    <row r="4444" spans="1:6" x14ac:dyDescent="0.25">
      <c r="A4444" t="s">
        <v>1532</v>
      </c>
      <c r="B4444" t="s">
        <v>522</v>
      </c>
      <c r="C4444" s="10" t="str" cm="1">
        <f t="array" ref="C4444">IF(AND(A4444="2020-12", ISNA(MATCH(B4444, _xlfn._xlws.FILTER(B:B, A:A="2021-01"), 0))), "Left", "Ativo")</f>
        <v>Ativo</v>
      </c>
      <c r="D4444" s="10" t="str" cm="1">
        <f t="array" ref="D4444">IF(AND(A4444="2021-01", ISNA(MATCH(B4444, _xlfn._xlws.FILTER(B:B, A:A="2021-02"), 0))), "Left", "Ativo")</f>
        <v>Ativo</v>
      </c>
      <c r="E4444" s="10" t="str" cm="1">
        <f t="array" ref="E4444">IF(AND(A4444="2021-02", ISNA(MATCH(B4444, _xlfn._xlws.FILTER(B:B, A:A="2021-03"), 0))), "Left", "Ativo")</f>
        <v>Ativo</v>
      </c>
      <c r="F4444" s="12" t="str" cm="1">
        <f t="array" ref="F4444">IF(AND(A4444="2021-03", ISNA(MATCH(B4444, _xlfn._xlws.FILTER(B:B, A:A="2021-04"), 0))), "Left", "Ativo")</f>
        <v>Ativo</v>
      </c>
    </row>
    <row r="4445" spans="1:6" x14ac:dyDescent="0.25">
      <c r="A4445" t="s">
        <v>1532</v>
      </c>
      <c r="B4445" t="s">
        <v>523</v>
      </c>
      <c r="C4445" s="10" t="str" cm="1">
        <f t="array" ref="C4445">IF(AND(A4445="2020-12", ISNA(MATCH(B4445, _xlfn._xlws.FILTER(B:B, A:A="2021-01"), 0))), "Left", "Ativo")</f>
        <v>Ativo</v>
      </c>
      <c r="D4445" s="10" t="str" cm="1">
        <f t="array" ref="D4445">IF(AND(A4445="2021-01", ISNA(MATCH(B4445, _xlfn._xlws.FILTER(B:B, A:A="2021-02"), 0))), "Left", "Ativo")</f>
        <v>Ativo</v>
      </c>
      <c r="E4445" s="10" t="str" cm="1">
        <f t="array" ref="E4445">IF(AND(A4445="2021-02", ISNA(MATCH(B4445, _xlfn._xlws.FILTER(B:B, A:A="2021-03"), 0))), "Left", "Ativo")</f>
        <v>Ativo</v>
      </c>
      <c r="F4445" s="12" t="str" cm="1">
        <f t="array" ref="F4445">IF(AND(A4445="2021-03", ISNA(MATCH(B4445, _xlfn._xlws.FILTER(B:B, A:A="2021-04"), 0))), "Left", "Ativo")</f>
        <v>Ativo</v>
      </c>
    </row>
    <row r="4446" spans="1:6" x14ac:dyDescent="0.25">
      <c r="A4446" t="s">
        <v>1532</v>
      </c>
      <c r="B4446" t="s">
        <v>524</v>
      </c>
      <c r="C4446" s="10" t="str" cm="1">
        <f t="array" ref="C4446">IF(AND(A4446="2020-12", ISNA(MATCH(B4446, _xlfn._xlws.FILTER(B:B, A:A="2021-01"), 0))), "Left", "Ativo")</f>
        <v>Ativo</v>
      </c>
      <c r="D4446" s="10" t="str" cm="1">
        <f t="array" ref="D4446">IF(AND(A4446="2021-01", ISNA(MATCH(B4446, _xlfn._xlws.FILTER(B:B, A:A="2021-02"), 0))), "Left", "Ativo")</f>
        <v>Ativo</v>
      </c>
      <c r="E4446" s="10" t="str" cm="1">
        <f t="array" ref="E4446">IF(AND(A4446="2021-02", ISNA(MATCH(B4446, _xlfn._xlws.FILTER(B:B, A:A="2021-03"), 0))), "Left", "Ativo")</f>
        <v>Ativo</v>
      </c>
      <c r="F4446" s="12" t="str" cm="1">
        <f t="array" ref="F4446">IF(AND(A4446="2021-03", ISNA(MATCH(B4446, _xlfn._xlws.FILTER(B:B, A:A="2021-04"), 0))), "Left", "Ativo")</f>
        <v>Ativo</v>
      </c>
    </row>
    <row r="4447" spans="1:6" x14ac:dyDescent="0.25">
      <c r="A4447" t="s">
        <v>1532</v>
      </c>
      <c r="B4447" t="s">
        <v>525</v>
      </c>
      <c r="C4447" s="10" t="str" cm="1">
        <f t="array" ref="C4447">IF(AND(A4447="2020-12", ISNA(MATCH(B4447, _xlfn._xlws.FILTER(B:B, A:A="2021-01"), 0))), "Left", "Ativo")</f>
        <v>Ativo</v>
      </c>
      <c r="D4447" s="10" t="str" cm="1">
        <f t="array" ref="D4447">IF(AND(A4447="2021-01", ISNA(MATCH(B4447, _xlfn._xlws.FILTER(B:B, A:A="2021-02"), 0))), "Left", "Ativo")</f>
        <v>Ativo</v>
      </c>
      <c r="E4447" s="10" t="str" cm="1">
        <f t="array" ref="E4447">IF(AND(A4447="2021-02", ISNA(MATCH(B4447, _xlfn._xlws.FILTER(B:B, A:A="2021-03"), 0))), "Left", "Ativo")</f>
        <v>Ativo</v>
      </c>
      <c r="F4447" s="12" t="str" cm="1">
        <f t="array" ref="F4447">IF(AND(A4447="2021-03", ISNA(MATCH(B4447, _xlfn._xlws.FILTER(B:B, A:A="2021-04"), 0))), "Left", "Ativo")</f>
        <v>Ativo</v>
      </c>
    </row>
    <row r="4448" spans="1:6" x14ac:dyDescent="0.25">
      <c r="A4448" t="s">
        <v>1532</v>
      </c>
      <c r="B4448" t="s">
        <v>526</v>
      </c>
      <c r="C4448" s="10" t="str" cm="1">
        <f t="array" ref="C4448">IF(AND(A4448="2020-12", ISNA(MATCH(B4448, _xlfn._xlws.FILTER(B:B, A:A="2021-01"), 0))), "Left", "Ativo")</f>
        <v>Ativo</v>
      </c>
      <c r="D4448" s="10" t="str" cm="1">
        <f t="array" ref="D4448">IF(AND(A4448="2021-01", ISNA(MATCH(B4448, _xlfn._xlws.FILTER(B:B, A:A="2021-02"), 0))), "Left", "Ativo")</f>
        <v>Ativo</v>
      </c>
      <c r="E4448" s="10" t="str" cm="1">
        <f t="array" ref="E4448">IF(AND(A4448="2021-02", ISNA(MATCH(B4448, _xlfn._xlws.FILTER(B:B, A:A="2021-03"), 0))), "Left", "Ativo")</f>
        <v>Ativo</v>
      </c>
      <c r="F4448" s="12" t="str" cm="1">
        <f t="array" ref="F4448">IF(AND(A4448="2021-03", ISNA(MATCH(B4448, _xlfn._xlws.FILTER(B:B, A:A="2021-04"), 0))), "Left", "Ativo")</f>
        <v>Ativo</v>
      </c>
    </row>
    <row r="4449" spans="1:6" x14ac:dyDescent="0.25">
      <c r="A4449" t="s">
        <v>1532</v>
      </c>
      <c r="B4449" t="s">
        <v>527</v>
      </c>
      <c r="C4449" s="10" t="str" cm="1">
        <f t="array" ref="C4449">IF(AND(A4449="2020-12", ISNA(MATCH(B4449, _xlfn._xlws.FILTER(B:B, A:A="2021-01"), 0))), "Left", "Ativo")</f>
        <v>Ativo</v>
      </c>
      <c r="D4449" s="10" t="str" cm="1">
        <f t="array" ref="D4449">IF(AND(A4449="2021-01", ISNA(MATCH(B4449, _xlfn._xlws.FILTER(B:B, A:A="2021-02"), 0))), "Left", "Ativo")</f>
        <v>Ativo</v>
      </c>
      <c r="E4449" s="10" t="str" cm="1">
        <f t="array" ref="E4449">IF(AND(A4449="2021-02", ISNA(MATCH(B4449, _xlfn._xlws.FILTER(B:B, A:A="2021-03"), 0))), "Left", "Ativo")</f>
        <v>Ativo</v>
      </c>
      <c r="F4449" s="12" t="str" cm="1">
        <f t="array" ref="F4449">IF(AND(A4449="2021-03", ISNA(MATCH(B4449, _xlfn._xlws.FILTER(B:B, A:A="2021-04"), 0))), "Left", "Ativo")</f>
        <v>Ativo</v>
      </c>
    </row>
    <row r="4450" spans="1:6" x14ac:dyDescent="0.25">
      <c r="A4450" t="s">
        <v>1532</v>
      </c>
      <c r="B4450" t="s">
        <v>528</v>
      </c>
      <c r="C4450" s="10" t="str" cm="1">
        <f t="array" ref="C4450">IF(AND(A4450="2020-12", ISNA(MATCH(B4450, _xlfn._xlws.FILTER(B:B, A:A="2021-01"), 0))), "Left", "Ativo")</f>
        <v>Ativo</v>
      </c>
      <c r="D4450" s="10" t="str" cm="1">
        <f t="array" ref="D4450">IF(AND(A4450="2021-01", ISNA(MATCH(B4450, _xlfn._xlws.FILTER(B:B, A:A="2021-02"), 0))), "Left", "Ativo")</f>
        <v>Ativo</v>
      </c>
      <c r="E4450" s="10" t="str" cm="1">
        <f t="array" ref="E4450">IF(AND(A4450="2021-02", ISNA(MATCH(B4450, _xlfn._xlws.FILTER(B:B, A:A="2021-03"), 0))), "Left", "Ativo")</f>
        <v>Ativo</v>
      </c>
      <c r="F4450" s="12" t="str" cm="1">
        <f t="array" ref="F4450">IF(AND(A4450="2021-03", ISNA(MATCH(B4450, _xlfn._xlws.FILTER(B:B, A:A="2021-04"), 0))), "Left", "Ativo")</f>
        <v>Ativo</v>
      </c>
    </row>
    <row r="4451" spans="1:6" x14ac:dyDescent="0.25">
      <c r="A4451" t="s">
        <v>1532</v>
      </c>
      <c r="B4451" t="s">
        <v>529</v>
      </c>
      <c r="C4451" s="10" t="str" cm="1">
        <f t="array" ref="C4451">IF(AND(A4451="2020-12", ISNA(MATCH(B4451, _xlfn._xlws.FILTER(B:B, A:A="2021-01"), 0))), "Left", "Ativo")</f>
        <v>Ativo</v>
      </c>
      <c r="D4451" s="10" t="str" cm="1">
        <f t="array" ref="D4451">IF(AND(A4451="2021-01", ISNA(MATCH(B4451, _xlfn._xlws.FILTER(B:B, A:A="2021-02"), 0))), "Left", "Ativo")</f>
        <v>Ativo</v>
      </c>
      <c r="E4451" s="10" t="str" cm="1">
        <f t="array" ref="E4451">IF(AND(A4451="2021-02", ISNA(MATCH(B4451, _xlfn._xlws.FILTER(B:B, A:A="2021-03"), 0))), "Left", "Ativo")</f>
        <v>Ativo</v>
      </c>
      <c r="F4451" s="12" t="str" cm="1">
        <f t="array" ref="F4451">IF(AND(A4451="2021-03", ISNA(MATCH(B4451, _xlfn._xlws.FILTER(B:B, A:A="2021-04"), 0))), "Left", "Ativo")</f>
        <v>Ativo</v>
      </c>
    </row>
    <row r="4452" spans="1:6" x14ac:dyDescent="0.25">
      <c r="A4452" t="s">
        <v>1532</v>
      </c>
      <c r="B4452" t="s">
        <v>530</v>
      </c>
      <c r="C4452" s="10" t="str" cm="1">
        <f t="array" ref="C4452">IF(AND(A4452="2020-12", ISNA(MATCH(B4452, _xlfn._xlws.FILTER(B:B, A:A="2021-01"), 0))), "Left", "Ativo")</f>
        <v>Ativo</v>
      </c>
      <c r="D4452" s="10" t="str" cm="1">
        <f t="array" ref="D4452">IF(AND(A4452="2021-01", ISNA(MATCH(B4452, _xlfn._xlws.FILTER(B:B, A:A="2021-02"), 0))), "Left", "Ativo")</f>
        <v>Ativo</v>
      </c>
      <c r="E4452" s="10" t="str" cm="1">
        <f t="array" ref="E4452">IF(AND(A4452="2021-02", ISNA(MATCH(B4452, _xlfn._xlws.FILTER(B:B, A:A="2021-03"), 0))), "Left", "Ativo")</f>
        <v>Ativo</v>
      </c>
      <c r="F4452" s="12" t="str" cm="1">
        <f t="array" ref="F4452">IF(AND(A4452="2021-03", ISNA(MATCH(B4452, _xlfn._xlws.FILTER(B:B, A:A="2021-04"), 0))), "Left", "Ativo")</f>
        <v>Ativo</v>
      </c>
    </row>
    <row r="4453" spans="1:6" x14ac:dyDescent="0.25">
      <c r="A4453" t="s">
        <v>1532</v>
      </c>
      <c r="B4453" t="s">
        <v>531</v>
      </c>
      <c r="C4453" s="10" t="str" cm="1">
        <f t="array" ref="C4453">IF(AND(A4453="2020-12", ISNA(MATCH(B4453, _xlfn._xlws.FILTER(B:B, A:A="2021-01"), 0))), "Left", "Ativo")</f>
        <v>Ativo</v>
      </c>
      <c r="D4453" s="10" t="str" cm="1">
        <f t="array" ref="D4453">IF(AND(A4453="2021-01", ISNA(MATCH(B4453, _xlfn._xlws.FILTER(B:B, A:A="2021-02"), 0))), "Left", "Ativo")</f>
        <v>Ativo</v>
      </c>
      <c r="E4453" s="10" t="str" cm="1">
        <f t="array" ref="E4453">IF(AND(A4453="2021-02", ISNA(MATCH(B4453, _xlfn._xlws.FILTER(B:B, A:A="2021-03"), 0))), "Left", "Ativo")</f>
        <v>Ativo</v>
      </c>
      <c r="F4453" s="12" t="str" cm="1">
        <f t="array" ref="F4453">IF(AND(A4453="2021-03", ISNA(MATCH(B4453, _xlfn._xlws.FILTER(B:B, A:A="2021-04"), 0))), "Left", "Ativo")</f>
        <v>Ativo</v>
      </c>
    </row>
    <row r="4454" spans="1:6" x14ac:dyDescent="0.25">
      <c r="A4454" t="s">
        <v>1532</v>
      </c>
      <c r="B4454" t="s">
        <v>532</v>
      </c>
      <c r="C4454" s="10" t="str" cm="1">
        <f t="array" ref="C4454">IF(AND(A4454="2020-12", ISNA(MATCH(B4454, _xlfn._xlws.FILTER(B:B, A:A="2021-01"), 0))), "Left", "Ativo")</f>
        <v>Ativo</v>
      </c>
      <c r="D4454" s="10" t="str" cm="1">
        <f t="array" ref="D4454">IF(AND(A4454="2021-01", ISNA(MATCH(B4454, _xlfn._xlws.FILTER(B:B, A:A="2021-02"), 0))), "Left", "Ativo")</f>
        <v>Ativo</v>
      </c>
      <c r="E4454" s="10" t="str" cm="1">
        <f t="array" ref="E4454">IF(AND(A4454="2021-02", ISNA(MATCH(B4454, _xlfn._xlws.FILTER(B:B, A:A="2021-03"), 0))), "Left", "Ativo")</f>
        <v>Ativo</v>
      </c>
      <c r="F4454" s="12" t="str" cm="1">
        <f t="array" ref="F4454">IF(AND(A4454="2021-03", ISNA(MATCH(B4454, _xlfn._xlws.FILTER(B:B, A:A="2021-04"), 0))), "Left", "Ativo")</f>
        <v>Ativo</v>
      </c>
    </row>
    <row r="4455" spans="1:6" x14ac:dyDescent="0.25">
      <c r="A4455" t="s">
        <v>1532</v>
      </c>
      <c r="B4455" t="s">
        <v>533</v>
      </c>
      <c r="C4455" s="10" t="str" cm="1">
        <f t="array" ref="C4455">IF(AND(A4455="2020-12", ISNA(MATCH(B4455, _xlfn._xlws.FILTER(B:B, A:A="2021-01"), 0))), "Left", "Ativo")</f>
        <v>Ativo</v>
      </c>
      <c r="D4455" s="10" t="str" cm="1">
        <f t="array" ref="D4455">IF(AND(A4455="2021-01", ISNA(MATCH(B4455, _xlfn._xlws.FILTER(B:B, A:A="2021-02"), 0))), "Left", "Ativo")</f>
        <v>Ativo</v>
      </c>
      <c r="E4455" s="10" t="str" cm="1">
        <f t="array" ref="E4455">IF(AND(A4455="2021-02", ISNA(MATCH(B4455, _xlfn._xlws.FILTER(B:B, A:A="2021-03"), 0))), "Left", "Ativo")</f>
        <v>Ativo</v>
      </c>
      <c r="F4455" s="12" t="str" cm="1">
        <f t="array" ref="F4455">IF(AND(A4455="2021-03", ISNA(MATCH(B4455, _xlfn._xlws.FILTER(B:B, A:A="2021-04"), 0))), "Left", "Ativo")</f>
        <v>Ativo</v>
      </c>
    </row>
    <row r="4456" spans="1:6" x14ac:dyDescent="0.25">
      <c r="A4456" t="s">
        <v>1532</v>
      </c>
      <c r="B4456" t="s">
        <v>534</v>
      </c>
      <c r="C4456" s="10" t="str" cm="1">
        <f t="array" ref="C4456">IF(AND(A4456="2020-12", ISNA(MATCH(B4456, _xlfn._xlws.FILTER(B:B, A:A="2021-01"), 0))), "Left", "Ativo")</f>
        <v>Ativo</v>
      </c>
      <c r="D4456" s="10" t="str" cm="1">
        <f t="array" ref="D4456">IF(AND(A4456="2021-01", ISNA(MATCH(B4456, _xlfn._xlws.FILTER(B:B, A:A="2021-02"), 0))), "Left", "Ativo")</f>
        <v>Ativo</v>
      </c>
      <c r="E4456" s="10" t="str" cm="1">
        <f t="array" ref="E4456">IF(AND(A4456="2021-02", ISNA(MATCH(B4456, _xlfn._xlws.FILTER(B:B, A:A="2021-03"), 0))), "Left", "Ativo")</f>
        <v>Ativo</v>
      </c>
      <c r="F4456" s="12" t="str" cm="1">
        <f t="array" ref="F4456">IF(AND(A4456="2021-03", ISNA(MATCH(B4456, _xlfn._xlws.FILTER(B:B, A:A="2021-04"), 0))), "Left", "Ativo")</f>
        <v>Ativo</v>
      </c>
    </row>
    <row r="4457" spans="1:6" x14ac:dyDescent="0.25">
      <c r="A4457" t="s">
        <v>1532</v>
      </c>
      <c r="B4457" t="s">
        <v>535</v>
      </c>
      <c r="C4457" s="10" t="str" cm="1">
        <f t="array" ref="C4457">IF(AND(A4457="2020-12", ISNA(MATCH(B4457, _xlfn._xlws.FILTER(B:B, A:A="2021-01"), 0))), "Left", "Ativo")</f>
        <v>Ativo</v>
      </c>
      <c r="D4457" s="10" t="str" cm="1">
        <f t="array" ref="D4457">IF(AND(A4457="2021-01", ISNA(MATCH(B4457, _xlfn._xlws.FILTER(B:B, A:A="2021-02"), 0))), "Left", "Ativo")</f>
        <v>Ativo</v>
      </c>
      <c r="E4457" s="10" t="str" cm="1">
        <f t="array" ref="E4457">IF(AND(A4457="2021-02", ISNA(MATCH(B4457, _xlfn._xlws.FILTER(B:B, A:A="2021-03"), 0))), "Left", "Ativo")</f>
        <v>Ativo</v>
      </c>
      <c r="F4457" s="12" t="str" cm="1">
        <f t="array" ref="F4457">IF(AND(A4457="2021-03", ISNA(MATCH(B4457, _xlfn._xlws.FILTER(B:B, A:A="2021-04"), 0))), "Left", "Ativo")</f>
        <v>Ativo</v>
      </c>
    </row>
    <row r="4458" spans="1:6" x14ac:dyDescent="0.25">
      <c r="A4458" t="s">
        <v>1532</v>
      </c>
      <c r="B4458" t="s">
        <v>536</v>
      </c>
      <c r="C4458" s="10" t="str" cm="1">
        <f t="array" ref="C4458">IF(AND(A4458="2020-12", ISNA(MATCH(B4458, _xlfn._xlws.FILTER(B:B, A:A="2021-01"), 0))), "Left", "Ativo")</f>
        <v>Ativo</v>
      </c>
      <c r="D4458" s="10" t="str" cm="1">
        <f t="array" ref="D4458">IF(AND(A4458="2021-01", ISNA(MATCH(B4458, _xlfn._xlws.FILTER(B:B, A:A="2021-02"), 0))), "Left", "Ativo")</f>
        <v>Ativo</v>
      </c>
      <c r="E4458" s="10" t="str" cm="1">
        <f t="array" ref="E4458">IF(AND(A4458="2021-02", ISNA(MATCH(B4458, _xlfn._xlws.FILTER(B:B, A:A="2021-03"), 0))), "Left", "Ativo")</f>
        <v>Ativo</v>
      </c>
      <c r="F4458" s="12" t="str" cm="1">
        <f t="array" ref="F4458">IF(AND(A4458="2021-03", ISNA(MATCH(B4458, _xlfn._xlws.FILTER(B:B, A:A="2021-04"), 0))), "Left", "Ativo")</f>
        <v>Ativo</v>
      </c>
    </row>
    <row r="4459" spans="1:6" x14ac:dyDescent="0.25">
      <c r="A4459" t="s">
        <v>1532</v>
      </c>
      <c r="B4459" t="s">
        <v>537</v>
      </c>
      <c r="C4459" s="10" t="str" cm="1">
        <f t="array" ref="C4459">IF(AND(A4459="2020-12", ISNA(MATCH(B4459, _xlfn._xlws.FILTER(B:B, A:A="2021-01"), 0))), "Left", "Ativo")</f>
        <v>Ativo</v>
      </c>
      <c r="D4459" s="10" t="str" cm="1">
        <f t="array" ref="D4459">IF(AND(A4459="2021-01", ISNA(MATCH(B4459, _xlfn._xlws.FILTER(B:B, A:A="2021-02"), 0))), "Left", "Ativo")</f>
        <v>Ativo</v>
      </c>
      <c r="E4459" s="10" t="str" cm="1">
        <f t="array" ref="E4459">IF(AND(A4459="2021-02", ISNA(MATCH(B4459, _xlfn._xlws.FILTER(B:B, A:A="2021-03"), 0))), "Left", "Ativo")</f>
        <v>Ativo</v>
      </c>
      <c r="F4459" s="12" t="str" cm="1">
        <f t="array" ref="F4459">IF(AND(A4459="2021-03", ISNA(MATCH(B4459, _xlfn._xlws.FILTER(B:B, A:A="2021-04"), 0))), "Left", "Ativo")</f>
        <v>Ativo</v>
      </c>
    </row>
    <row r="4460" spans="1:6" x14ac:dyDescent="0.25">
      <c r="A4460" t="s">
        <v>1532</v>
      </c>
      <c r="B4460" t="s">
        <v>538</v>
      </c>
      <c r="C4460" s="10" t="str" cm="1">
        <f t="array" ref="C4460">IF(AND(A4460="2020-12", ISNA(MATCH(B4460, _xlfn._xlws.FILTER(B:B, A:A="2021-01"), 0))), "Left", "Ativo")</f>
        <v>Ativo</v>
      </c>
      <c r="D4460" s="10" t="str" cm="1">
        <f t="array" ref="D4460">IF(AND(A4460="2021-01", ISNA(MATCH(B4460, _xlfn._xlws.FILTER(B:B, A:A="2021-02"), 0))), "Left", "Ativo")</f>
        <v>Ativo</v>
      </c>
      <c r="E4460" s="10" t="str" cm="1">
        <f t="array" ref="E4460">IF(AND(A4460="2021-02", ISNA(MATCH(B4460, _xlfn._xlws.FILTER(B:B, A:A="2021-03"), 0))), "Left", "Ativo")</f>
        <v>Ativo</v>
      </c>
      <c r="F4460" s="12" t="str" cm="1">
        <f t="array" ref="F4460">IF(AND(A4460="2021-03", ISNA(MATCH(B4460, _xlfn._xlws.FILTER(B:B, A:A="2021-04"), 0))), "Left", "Ativo")</f>
        <v>Ativo</v>
      </c>
    </row>
    <row r="4461" spans="1:6" x14ac:dyDescent="0.25">
      <c r="A4461" t="s">
        <v>1532</v>
      </c>
      <c r="B4461" t="s">
        <v>539</v>
      </c>
      <c r="C4461" s="10" t="str" cm="1">
        <f t="array" ref="C4461">IF(AND(A4461="2020-12", ISNA(MATCH(B4461, _xlfn._xlws.FILTER(B:B, A:A="2021-01"), 0))), "Left", "Ativo")</f>
        <v>Ativo</v>
      </c>
      <c r="D4461" s="10" t="str" cm="1">
        <f t="array" ref="D4461">IF(AND(A4461="2021-01", ISNA(MATCH(B4461, _xlfn._xlws.FILTER(B:B, A:A="2021-02"), 0))), "Left", "Ativo")</f>
        <v>Ativo</v>
      </c>
      <c r="E4461" s="10" t="str" cm="1">
        <f t="array" ref="E4461">IF(AND(A4461="2021-02", ISNA(MATCH(B4461, _xlfn._xlws.FILTER(B:B, A:A="2021-03"), 0))), "Left", "Ativo")</f>
        <v>Ativo</v>
      </c>
      <c r="F4461" s="12" t="str" cm="1">
        <f t="array" ref="F4461">IF(AND(A4461="2021-03", ISNA(MATCH(B4461, _xlfn._xlws.FILTER(B:B, A:A="2021-04"), 0))), "Left", "Ativo")</f>
        <v>Ativo</v>
      </c>
    </row>
    <row r="4462" spans="1:6" x14ac:dyDescent="0.25">
      <c r="A4462" t="s">
        <v>1532</v>
      </c>
      <c r="B4462" t="s">
        <v>540</v>
      </c>
      <c r="C4462" s="10" t="str" cm="1">
        <f t="array" ref="C4462">IF(AND(A4462="2020-12", ISNA(MATCH(B4462, _xlfn._xlws.FILTER(B:B, A:A="2021-01"), 0))), "Left", "Ativo")</f>
        <v>Ativo</v>
      </c>
      <c r="D4462" s="10" t="str" cm="1">
        <f t="array" ref="D4462">IF(AND(A4462="2021-01", ISNA(MATCH(B4462, _xlfn._xlws.FILTER(B:B, A:A="2021-02"), 0))), "Left", "Ativo")</f>
        <v>Ativo</v>
      </c>
      <c r="E4462" s="10" t="str" cm="1">
        <f t="array" ref="E4462">IF(AND(A4462="2021-02", ISNA(MATCH(B4462, _xlfn._xlws.FILTER(B:B, A:A="2021-03"), 0))), "Left", "Ativo")</f>
        <v>Ativo</v>
      </c>
      <c r="F4462" s="12" t="str" cm="1">
        <f t="array" ref="F4462">IF(AND(A4462="2021-03", ISNA(MATCH(B4462, _xlfn._xlws.FILTER(B:B, A:A="2021-04"), 0))), "Left", "Ativo")</f>
        <v>Ativo</v>
      </c>
    </row>
    <row r="4463" spans="1:6" x14ac:dyDescent="0.25">
      <c r="A4463" t="s">
        <v>1532</v>
      </c>
      <c r="B4463" t="s">
        <v>541</v>
      </c>
      <c r="C4463" s="10" t="str" cm="1">
        <f t="array" ref="C4463">IF(AND(A4463="2020-12", ISNA(MATCH(B4463, _xlfn._xlws.FILTER(B:B, A:A="2021-01"), 0))), "Left", "Ativo")</f>
        <v>Ativo</v>
      </c>
      <c r="D4463" s="10" t="str" cm="1">
        <f t="array" ref="D4463">IF(AND(A4463="2021-01", ISNA(MATCH(B4463, _xlfn._xlws.FILTER(B:B, A:A="2021-02"), 0))), "Left", "Ativo")</f>
        <v>Ativo</v>
      </c>
      <c r="E4463" s="10" t="str" cm="1">
        <f t="array" ref="E4463">IF(AND(A4463="2021-02", ISNA(MATCH(B4463, _xlfn._xlws.FILTER(B:B, A:A="2021-03"), 0))), "Left", "Ativo")</f>
        <v>Ativo</v>
      </c>
      <c r="F4463" s="12" t="str" cm="1">
        <f t="array" ref="F4463">IF(AND(A4463="2021-03", ISNA(MATCH(B4463, _xlfn._xlws.FILTER(B:B, A:A="2021-04"), 0))), "Left", "Ativo")</f>
        <v>Ativo</v>
      </c>
    </row>
    <row r="4464" spans="1:6" x14ac:dyDescent="0.25">
      <c r="A4464" t="s">
        <v>1532</v>
      </c>
      <c r="B4464" t="s">
        <v>542</v>
      </c>
      <c r="C4464" s="10" t="str" cm="1">
        <f t="array" ref="C4464">IF(AND(A4464="2020-12", ISNA(MATCH(B4464, _xlfn._xlws.FILTER(B:B, A:A="2021-01"), 0))), "Left", "Ativo")</f>
        <v>Ativo</v>
      </c>
      <c r="D4464" s="10" t="str" cm="1">
        <f t="array" ref="D4464">IF(AND(A4464="2021-01", ISNA(MATCH(B4464, _xlfn._xlws.FILTER(B:B, A:A="2021-02"), 0))), "Left", "Ativo")</f>
        <v>Ativo</v>
      </c>
      <c r="E4464" s="10" t="str" cm="1">
        <f t="array" ref="E4464">IF(AND(A4464="2021-02", ISNA(MATCH(B4464, _xlfn._xlws.FILTER(B:B, A:A="2021-03"), 0))), "Left", "Ativo")</f>
        <v>Ativo</v>
      </c>
      <c r="F4464" s="12" t="str" cm="1">
        <f t="array" ref="F4464">IF(AND(A4464="2021-03", ISNA(MATCH(B4464, _xlfn._xlws.FILTER(B:B, A:A="2021-04"), 0))), "Left", "Ativo")</f>
        <v>Ativo</v>
      </c>
    </row>
    <row r="4465" spans="1:6" x14ac:dyDescent="0.25">
      <c r="A4465" t="s">
        <v>1532</v>
      </c>
      <c r="B4465" t="s">
        <v>543</v>
      </c>
      <c r="C4465" s="10" t="str" cm="1">
        <f t="array" ref="C4465">IF(AND(A4465="2020-12", ISNA(MATCH(B4465, _xlfn._xlws.FILTER(B:B, A:A="2021-01"), 0))), "Left", "Ativo")</f>
        <v>Ativo</v>
      </c>
      <c r="D4465" s="10" t="str" cm="1">
        <f t="array" ref="D4465">IF(AND(A4465="2021-01", ISNA(MATCH(B4465, _xlfn._xlws.FILTER(B:B, A:A="2021-02"), 0))), "Left", "Ativo")</f>
        <v>Ativo</v>
      </c>
      <c r="E4465" s="10" t="str" cm="1">
        <f t="array" ref="E4465">IF(AND(A4465="2021-02", ISNA(MATCH(B4465, _xlfn._xlws.FILTER(B:B, A:A="2021-03"), 0))), "Left", "Ativo")</f>
        <v>Ativo</v>
      </c>
      <c r="F4465" s="12" t="str" cm="1">
        <f t="array" ref="F4465">IF(AND(A4465="2021-03", ISNA(MATCH(B4465, _xlfn._xlws.FILTER(B:B, A:A="2021-04"), 0))), "Left", "Ativo")</f>
        <v>Ativo</v>
      </c>
    </row>
    <row r="4466" spans="1:6" x14ac:dyDescent="0.25">
      <c r="A4466" t="s">
        <v>1532</v>
      </c>
      <c r="B4466" t="s">
        <v>544</v>
      </c>
      <c r="C4466" s="10" t="str" cm="1">
        <f t="array" ref="C4466">IF(AND(A4466="2020-12", ISNA(MATCH(B4466, _xlfn._xlws.FILTER(B:B, A:A="2021-01"), 0))), "Left", "Ativo")</f>
        <v>Ativo</v>
      </c>
      <c r="D4466" s="10" t="str" cm="1">
        <f t="array" ref="D4466">IF(AND(A4466="2021-01", ISNA(MATCH(B4466, _xlfn._xlws.FILTER(B:B, A:A="2021-02"), 0))), "Left", "Ativo")</f>
        <v>Ativo</v>
      </c>
      <c r="E4466" s="10" t="str" cm="1">
        <f t="array" ref="E4466">IF(AND(A4466="2021-02", ISNA(MATCH(B4466, _xlfn._xlws.FILTER(B:B, A:A="2021-03"), 0))), "Left", "Ativo")</f>
        <v>Ativo</v>
      </c>
      <c r="F4466" s="12" t="str" cm="1">
        <f t="array" ref="F4466">IF(AND(A4466="2021-03", ISNA(MATCH(B4466, _xlfn._xlws.FILTER(B:B, A:A="2021-04"), 0))), "Left", "Ativo")</f>
        <v>Ativo</v>
      </c>
    </row>
    <row r="4467" spans="1:6" x14ac:dyDescent="0.25">
      <c r="A4467" t="s">
        <v>1532</v>
      </c>
      <c r="B4467" t="s">
        <v>545</v>
      </c>
      <c r="C4467" s="10" t="str" cm="1">
        <f t="array" ref="C4467">IF(AND(A4467="2020-12", ISNA(MATCH(B4467, _xlfn._xlws.FILTER(B:B, A:A="2021-01"), 0))), "Left", "Ativo")</f>
        <v>Ativo</v>
      </c>
      <c r="D4467" s="10" t="str" cm="1">
        <f t="array" ref="D4467">IF(AND(A4467="2021-01", ISNA(MATCH(B4467, _xlfn._xlws.FILTER(B:B, A:A="2021-02"), 0))), "Left", "Ativo")</f>
        <v>Ativo</v>
      </c>
      <c r="E4467" s="10" t="str" cm="1">
        <f t="array" ref="E4467">IF(AND(A4467="2021-02", ISNA(MATCH(B4467, _xlfn._xlws.FILTER(B:B, A:A="2021-03"), 0))), "Left", "Ativo")</f>
        <v>Ativo</v>
      </c>
      <c r="F4467" s="12" t="str" cm="1">
        <f t="array" ref="F4467">IF(AND(A4467="2021-03", ISNA(MATCH(B4467, _xlfn._xlws.FILTER(B:B, A:A="2021-04"), 0))), "Left", "Ativo")</f>
        <v>Ativo</v>
      </c>
    </row>
    <row r="4468" spans="1:6" x14ac:dyDescent="0.25">
      <c r="A4468" t="s">
        <v>1532</v>
      </c>
      <c r="B4468" t="s">
        <v>546</v>
      </c>
      <c r="C4468" s="10" t="str" cm="1">
        <f t="array" ref="C4468">IF(AND(A4468="2020-12", ISNA(MATCH(B4468, _xlfn._xlws.FILTER(B:B, A:A="2021-01"), 0))), "Left", "Ativo")</f>
        <v>Ativo</v>
      </c>
      <c r="D4468" s="10" t="str" cm="1">
        <f t="array" ref="D4468">IF(AND(A4468="2021-01", ISNA(MATCH(B4468, _xlfn._xlws.FILTER(B:B, A:A="2021-02"), 0))), "Left", "Ativo")</f>
        <v>Ativo</v>
      </c>
      <c r="E4468" s="10" t="str" cm="1">
        <f t="array" ref="E4468">IF(AND(A4468="2021-02", ISNA(MATCH(B4468, _xlfn._xlws.FILTER(B:B, A:A="2021-03"), 0))), "Left", "Ativo")</f>
        <v>Ativo</v>
      </c>
      <c r="F4468" s="12" t="str" cm="1">
        <f t="array" ref="F4468">IF(AND(A4468="2021-03", ISNA(MATCH(B4468, _xlfn._xlws.FILTER(B:B, A:A="2021-04"), 0))), "Left", "Ativo")</f>
        <v>Ativo</v>
      </c>
    </row>
    <row r="4469" spans="1:6" x14ac:dyDescent="0.25">
      <c r="A4469" t="s">
        <v>1532</v>
      </c>
      <c r="B4469" t="s">
        <v>547</v>
      </c>
      <c r="C4469" s="10" t="str" cm="1">
        <f t="array" ref="C4469">IF(AND(A4469="2020-12", ISNA(MATCH(B4469, _xlfn._xlws.FILTER(B:B, A:A="2021-01"), 0))), "Left", "Ativo")</f>
        <v>Ativo</v>
      </c>
      <c r="D4469" s="10" t="str" cm="1">
        <f t="array" ref="D4469">IF(AND(A4469="2021-01", ISNA(MATCH(B4469, _xlfn._xlws.FILTER(B:B, A:A="2021-02"), 0))), "Left", "Ativo")</f>
        <v>Ativo</v>
      </c>
      <c r="E4469" s="10" t="str" cm="1">
        <f t="array" ref="E4469">IF(AND(A4469="2021-02", ISNA(MATCH(B4469, _xlfn._xlws.FILTER(B:B, A:A="2021-03"), 0))), "Left", "Ativo")</f>
        <v>Ativo</v>
      </c>
      <c r="F4469" s="12" t="str" cm="1">
        <f t="array" ref="F4469">IF(AND(A4469="2021-03", ISNA(MATCH(B4469, _xlfn._xlws.FILTER(B:B, A:A="2021-04"), 0))), "Left", "Ativo")</f>
        <v>Ativo</v>
      </c>
    </row>
    <row r="4470" spans="1:6" x14ac:dyDescent="0.25">
      <c r="A4470" t="s">
        <v>1532</v>
      </c>
      <c r="B4470" t="s">
        <v>548</v>
      </c>
      <c r="C4470" s="10" t="str" cm="1">
        <f t="array" ref="C4470">IF(AND(A4470="2020-12", ISNA(MATCH(B4470, _xlfn._xlws.FILTER(B:B, A:A="2021-01"), 0))), "Left", "Ativo")</f>
        <v>Ativo</v>
      </c>
      <c r="D4470" s="10" t="str" cm="1">
        <f t="array" ref="D4470">IF(AND(A4470="2021-01", ISNA(MATCH(B4470, _xlfn._xlws.FILTER(B:B, A:A="2021-02"), 0))), "Left", "Ativo")</f>
        <v>Ativo</v>
      </c>
      <c r="E4470" s="10" t="str" cm="1">
        <f t="array" ref="E4470">IF(AND(A4470="2021-02", ISNA(MATCH(B4470, _xlfn._xlws.FILTER(B:B, A:A="2021-03"), 0))), "Left", "Ativo")</f>
        <v>Ativo</v>
      </c>
      <c r="F4470" s="12" t="str" cm="1">
        <f t="array" ref="F4470">IF(AND(A4470="2021-03", ISNA(MATCH(B4470, _xlfn._xlws.FILTER(B:B, A:A="2021-04"), 0))), "Left", "Ativo")</f>
        <v>Ativo</v>
      </c>
    </row>
    <row r="4471" spans="1:6" x14ac:dyDescent="0.25">
      <c r="A4471" t="s">
        <v>1532</v>
      </c>
      <c r="B4471" t="s">
        <v>549</v>
      </c>
      <c r="C4471" s="10" t="str" cm="1">
        <f t="array" ref="C4471">IF(AND(A4471="2020-12", ISNA(MATCH(B4471, _xlfn._xlws.FILTER(B:B, A:A="2021-01"), 0))), "Left", "Ativo")</f>
        <v>Ativo</v>
      </c>
      <c r="D4471" s="10" t="str" cm="1">
        <f t="array" ref="D4471">IF(AND(A4471="2021-01", ISNA(MATCH(B4471, _xlfn._xlws.FILTER(B:B, A:A="2021-02"), 0))), "Left", "Ativo")</f>
        <v>Ativo</v>
      </c>
      <c r="E4471" s="10" t="str" cm="1">
        <f t="array" ref="E4471">IF(AND(A4471="2021-02", ISNA(MATCH(B4471, _xlfn._xlws.FILTER(B:B, A:A="2021-03"), 0))), "Left", "Ativo")</f>
        <v>Ativo</v>
      </c>
      <c r="F4471" s="12" t="str" cm="1">
        <f t="array" ref="F4471">IF(AND(A4471="2021-03", ISNA(MATCH(B4471, _xlfn._xlws.FILTER(B:B, A:A="2021-04"), 0))), "Left", "Ativo")</f>
        <v>Ativo</v>
      </c>
    </row>
    <row r="4472" spans="1:6" x14ac:dyDescent="0.25">
      <c r="A4472" t="s">
        <v>1532</v>
      </c>
      <c r="B4472" t="s">
        <v>550</v>
      </c>
      <c r="C4472" s="10" t="str" cm="1">
        <f t="array" ref="C4472">IF(AND(A4472="2020-12", ISNA(MATCH(B4472, _xlfn._xlws.FILTER(B:B, A:A="2021-01"), 0))), "Left", "Ativo")</f>
        <v>Ativo</v>
      </c>
      <c r="D4472" s="10" t="str" cm="1">
        <f t="array" ref="D4472">IF(AND(A4472="2021-01", ISNA(MATCH(B4472, _xlfn._xlws.FILTER(B:B, A:A="2021-02"), 0))), "Left", "Ativo")</f>
        <v>Ativo</v>
      </c>
      <c r="E4472" s="10" t="str" cm="1">
        <f t="array" ref="E4472">IF(AND(A4472="2021-02", ISNA(MATCH(B4472, _xlfn._xlws.FILTER(B:B, A:A="2021-03"), 0))), "Left", "Ativo")</f>
        <v>Ativo</v>
      </c>
      <c r="F4472" s="12" t="str" cm="1">
        <f t="array" ref="F4472">IF(AND(A4472="2021-03", ISNA(MATCH(B4472, _xlfn._xlws.FILTER(B:B, A:A="2021-04"), 0))), "Left", "Ativo")</f>
        <v>Ativo</v>
      </c>
    </row>
    <row r="4473" spans="1:6" x14ac:dyDescent="0.25">
      <c r="A4473" t="s">
        <v>1532</v>
      </c>
      <c r="B4473" t="s">
        <v>551</v>
      </c>
      <c r="C4473" s="10" t="str" cm="1">
        <f t="array" ref="C4473">IF(AND(A4473="2020-12", ISNA(MATCH(B4473, _xlfn._xlws.FILTER(B:B, A:A="2021-01"), 0))), "Left", "Ativo")</f>
        <v>Ativo</v>
      </c>
      <c r="D4473" s="10" t="str" cm="1">
        <f t="array" ref="D4473">IF(AND(A4473="2021-01", ISNA(MATCH(B4473, _xlfn._xlws.FILTER(B:B, A:A="2021-02"), 0))), "Left", "Ativo")</f>
        <v>Ativo</v>
      </c>
      <c r="E4473" s="10" t="str" cm="1">
        <f t="array" ref="E4473">IF(AND(A4473="2021-02", ISNA(MATCH(B4473, _xlfn._xlws.FILTER(B:B, A:A="2021-03"), 0))), "Left", "Ativo")</f>
        <v>Ativo</v>
      </c>
      <c r="F4473" s="12" t="str" cm="1">
        <f t="array" ref="F4473">IF(AND(A4473="2021-03", ISNA(MATCH(B4473, _xlfn._xlws.FILTER(B:B, A:A="2021-04"), 0))), "Left", "Ativo")</f>
        <v>Ativo</v>
      </c>
    </row>
    <row r="4474" spans="1:6" x14ac:dyDescent="0.25">
      <c r="A4474" t="s">
        <v>1532</v>
      </c>
      <c r="B4474" t="s">
        <v>552</v>
      </c>
      <c r="C4474" s="10" t="str" cm="1">
        <f t="array" ref="C4474">IF(AND(A4474="2020-12", ISNA(MATCH(B4474, _xlfn._xlws.FILTER(B:B, A:A="2021-01"), 0))), "Left", "Ativo")</f>
        <v>Ativo</v>
      </c>
      <c r="D4474" s="10" t="str" cm="1">
        <f t="array" ref="D4474">IF(AND(A4474="2021-01", ISNA(MATCH(B4474, _xlfn._xlws.FILTER(B:B, A:A="2021-02"), 0))), "Left", "Ativo")</f>
        <v>Ativo</v>
      </c>
      <c r="E4474" s="10" t="str" cm="1">
        <f t="array" ref="E4474">IF(AND(A4474="2021-02", ISNA(MATCH(B4474, _xlfn._xlws.FILTER(B:B, A:A="2021-03"), 0))), "Left", "Ativo")</f>
        <v>Ativo</v>
      </c>
      <c r="F4474" s="12" t="str" cm="1">
        <f t="array" ref="F4474">IF(AND(A4474="2021-03", ISNA(MATCH(B4474, _xlfn._xlws.FILTER(B:B, A:A="2021-04"), 0))), "Left", "Ativo")</f>
        <v>Ativo</v>
      </c>
    </row>
    <row r="4475" spans="1:6" x14ac:dyDescent="0.25">
      <c r="A4475" t="s">
        <v>1532</v>
      </c>
      <c r="B4475" t="s">
        <v>553</v>
      </c>
      <c r="C4475" s="10" t="str" cm="1">
        <f t="array" ref="C4475">IF(AND(A4475="2020-12", ISNA(MATCH(B4475, _xlfn._xlws.FILTER(B:B, A:A="2021-01"), 0))), "Left", "Ativo")</f>
        <v>Ativo</v>
      </c>
      <c r="D4475" s="10" t="str" cm="1">
        <f t="array" ref="D4475">IF(AND(A4475="2021-01", ISNA(MATCH(B4475, _xlfn._xlws.FILTER(B:B, A:A="2021-02"), 0))), "Left", "Ativo")</f>
        <v>Ativo</v>
      </c>
      <c r="E4475" s="10" t="str" cm="1">
        <f t="array" ref="E4475">IF(AND(A4475="2021-02", ISNA(MATCH(B4475, _xlfn._xlws.FILTER(B:B, A:A="2021-03"), 0))), "Left", "Ativo")</f>
        <v>Ativo</v>
      </c>
      <c r="F4475" s="12" t="str" cm="1">
        <f t="array" ref="F4475">IF(AND(A4475="2021-03", ISNA(MATCH(B4475, _xlfn._xlws.FILTER(B:B, A:A="2021-04"), 0))), "Left", "Ativo")</f>
        <v>Ativo</v>
      </c>
    </row>
    <row r="4476" spans="1:6" x14ac:dyDescent="0.25">
      <c r="A4476" t="s">
        <v>1532</v>
      </c>
      <c r="B4476" t="s">
        <v>554</v>
      </c>
      <c r="C4476" s="10" t="str" cm="1">
        <f t="array" ref="C4476">IF(AND(A4476="2020-12", ISNA(MATCH(B4476, _xlfn._xlws.FILTER(B:B, A:A="2021-01"), 0))), "Left", "Ativo")</f>
        <v>Ativo</v>
      </c>
      <c r="D4476" s="10" t="str" cm="1">
        <f t="array" ref="D4476">IF(AND(A4476="2021-01", ISNA(MATCH(B4476, _xlfn._xlws.FILTER(B:B, A:A="2021-02"), 0))), "Left", "Ativo")</f>
        <v>Ativo</v>
      </c>
      <c r="E4476" s="10" t="str" cm="1">
        <f t="array" ref="E4476">IF(AND(A4476="2021-02", ISNA(MATCH(B4476, _xlfn._xlws.FILTER(B:B, A:A="2021-03"), 0))), "Left", "Ativo")</f>
        <v>Ativo</v>
      </c>
      <c r="F4476" s="12" t="str" cm="1">
        <f t="array" ref="F4476">IF(AND(A4476="2021-03", ISNA(MATCH(B4476, _xlfn._xlws.FILTER(B:B, A:A="2021-04"), 0))), "Left", "Ativo")</f>
        <v>Ativo</v>
      </c>
    </row>
    <row r="4477" spans="1:6" x14ac:dyDescent="0.25">
      <c r="A4477" t="s">
        <v>1532</v>
      </c>
      <c r="B4477" t="s">
        <v>555</v>
      </c>
      <c r="C4477" s="10" t="str" cm="1">
        <f t="array" ref="C4477">IF(AND(A4477="2020-12", ISNA(MATCH(B4477, _xlfn._xlws.FILTER(B:B, A:A="2021-01"), 0))), "Left", "Ativo")</f>
        <v>Ativo</v>
      </c>
      <c r="D4477" s="10" t="str" cm="1">
        <f t="array" ref="D4477">IF(AND(A4477="2021-01", ISNA(MATCH(B4477, _xlfn._xlws.FILTER(B:B, A:A="2021-02"), 0))), "Left", "Ativo")</f>
        <v>Ativo</v>
      </c>
      <c r="E4477" s="10" t="str" cm="1">
        <f t="array" ref="E4477">IF(AND(A4477="2021-02", ISNA(MATCH(B4477, _xlfn._xlws.FILTER(B:B, A:A="2021-03"), 0))), "Left", "Ativo")</f>
        <v>Ativo</v>
      </c>
      <c r="F4477" s="12" t="str" cm="1">
        <f t="array" ref="F4477">IF(AND(A4477="2021-03", ISNA(MATCH(B4477, _xlfn._xlws.FILTER(B:B, A:A="2021-04"), 0))), "Left", "Ativo")</f>
        <v>Ativo</v>
      </c>
    </row>
    <row r="4478" spans="1:6" x14ac:dyDescent="0.25">
      <c r="A4478" t="s">
        <v>1532</v>
      </c>
      <c r="B4478" t="s">
        <v>556</v>
      </c>
      <c r="C4478" s="10" t="str" cm="1">
        <f t="array" ref="C4478">IF(AND(A4478="2020-12", ISNA(MATCH(B4478, _xlfn._xlws.FILTER(B:B, A:A="2021-01"), 0))), "Left", "Ativo")</f>
        <v>Ativo</v>
      </c>
      <c r="D4478" s="10" t="str" cm="1">
        <f t="array" ref="D4478">IF(AND(A4478="2021-01", ISNA(MATCH(B4478, _xlfn._xlws.FILTER(B:B, A:A="2021-02"), 0))), "Left", "Ativo")</f>
        <v>Ativo</v>
      </c>
      <c r="E4478" s="10" t="str" cm="1">
        <f t="array" ref="E4478">IF(AND(A4478="2021-02", ISNA(MATCH(B4478, _xlfn._xlws.FILTER(B:B, A:A="2021-03"), 0))), "Left", "Ativo")</f>
        <v>Ativo</v>
      </c>
      <c r="F4478" s="12" t="str" cm="1">
        <f t="array" ref="F4478">IF(AND(A4478="2021-03", ISNA(MATCH(B4478, _xlfn._xlws.FILTER(B:B, A:A="2021-04"), 0))), "Left", "Ativo")</f>
        <v>Ativo</v>
      </c>
    </row>
    <row r="4479" spans="1:6" x14ac:dyDescent="0.25">
      <c r="A4479" t="s">
        <v>1532</v>
      </c>
      <c r="B4479" t="s">
        <v>557</v>
      </c>
      <c r="C4479" s="10" t="str" cm="1">
        <f t="array" ref="C4479">IF(AND(A4479="2020-12", ISNA(MATCH(B4479, _xlfn._xlws.FILTER(B:B, A:A="2021-01"), 0))), "Left", "Ativo")</f>
        <v>Ativo</v>
      </c>
      <c r="D4479" s="10" t="str" cm="1">
        <f t="array" ref="D4479">IF(AND(A4479="2021-01", ISNA(MATCH(B4479, _xlfn._xlws.FILTER(B:B, A:A="2021-02"), 0))), "Left", "Ativo")</f>
        <v>Ativo</v>
      </c>
      <c r="E4479" s="10" t="str" cm="1">
        <f t="array" ref="E4479">IF(AND(A4479="2021-02", ISNA(MATCH(B4479, _xlfn._xlws.FILTER(B:B, A:A="2021-03"), 0))), "Left", "Ativo")</f>
        <v>Ativo</v>
      </c>
      <c r="F4479" s="12" t="str" cm="1">
        <f t="array" ref="F4479">IF(AND(A4479="2021-03", ISNA(MATCH(B4479, _xlfn._xlws.FILTER(B:B, A:A="2021-04"), 0))), "Left", "Ativo")</f>
        <v>Ativo</v>
      </c>
    </row>
    <row r="4480" spans="1:6" x14ac:dyDescent="0.25">
      <c r="A4480" t="s">
        <v>1532</v>
      </c>
      <c r="B4480" t="s">
        <v>558</v>
      </c>
      <c r="C4480" s="10" t="str" cm="1">
        <f t="array" ref="C4480">IF(AND(A4480="2020-12", ISNA(MATCH(B4480, _xlfn._xlws.FILTER(B:B, A:A="2021-01"), 0))), "Left", "Ativo")</f>
        <v>Ativo</v>
      </c>
      <c r="D4480" s="10" t="str" cm="1">
        <f t="array" ref="D4480">IF(AND(A4480="2021-01", ISNA(MATCH(B4480, _xlfn._xlws.FILTER(B:B, A:A="2021-02"), 0))), "Left", "Ativo")</f>
        <v>Ativo</v>
      </c>
      <c r="E4480" s="10" t="str" cm="1">
        <f t="array" ref="E4480">IF(AND(A4480="2021-02", ISNA(MATCH(B4480, _xlfn._xlws.FILTER(B:B, A:A="2021-03"), 0))), "Left", "Ativo")</f>
        <v>Ativo</v>
      </c>
      <c r="F4480" s="12" t="str" cm="1">
        <f t="array" ref="F4480">IF(AND(A4480="2021-03", ISNA(MATCH(B4480, _xlfn._xlws.FILTER(B:B, A:A="2021-04"), 0))), "Left", "Ativo")</f>
        <v>Ativo</v>
      </c>
    </row>
    <row r="4481" spans="1:6" x14ac:dyDescent="0.25">
      <c r="A4481" t="s">
        <v>1532</v>
      </c>
      <c r="B4481" t="s">
        <v>559</v>
      </c>
      <c r="C4481" s="10" t="str" cm="1">
        <f t="array" ref="C4481">IF(AND(A4481="2020-12", ISNA(MATCH(B4481, _xlfn._xlws.FILTER(B:B, A:A="2021-01"), 0))), "Left", "Ativo")</f>
        <v>Ativo</v>
      </c>
      <c r="D4481" s="10" t="str" cm="1">
        <f t="array" ref="D4481">IF(AND(A4481="2021-01", ISNA(MATCH(B4481, _xlfn._xlws.FILTER(B:B, A:A="2021-02"), 0))), "Left", "Ativo")</f>
        <v>Ativo</v>
      </c>
      <c r="E4481" s="10" t="str" cm="1">
        <f t="array" ref="E4481">IF(AND(A4481="2021-02", ISNA(MATCH(B4481, _xlfn._xlws.FILTER(B:B, A:A="2021-03"), 0))), "Left", "Ativo")</f>
        <v>Ativo</v>
      </c>
      <c r="F4481" s="12" t="str" cm="1">
        <f t="array" ref="F4481">IF(AND(A4481="2021-03", ISNA(MATCH(B4481, _xlfn._xlws.FILTER(B:B, A:A="2021-04"), 0))), "Left", "Ativo")</f>
        <v>Ativo</v>
      </c>
    </row>
    <row r="4482" spans="1:6" x14ac:dyDescent="0.25">
      <c r="A4482" t="s">
        <v>1532</v>
      </c>
      <c r="B4482" t="s">
        <v>560</v>
      </c>
      <c r="C4482" s="10" t="str" cm="1">
        <f t="array" ref="C4482">IF(AND(A4482="2020-12", ISNA(MATCH(B4482, _xlfn._xlws.FILTER(B:B, A:A="2021-01"), 0))), "Left", "Ativo")</f>
        <v>Ativo</v>
      </c>
      <c r="D4482" s="10" t="str" cm="1">
        <f t="array" ref="D4482">IF(AND(A4482="2021-01", ISNA(MATCH(B4482, _xlfn._xlws.FILTER(B:B, A:A="2021-02"), 0))), "Left", "Ativo")</f>
        <v>Ativo</v>
      </c>
      <c r="E4482" s="10" t="str" cm="1">
        <f t="array" ref="E4482">IF(AND(A4482="2021-02", ISNA(MATCH(B4482, _xlfn._xlws.FILTER(B:B, A:A="2021-03"), 0))), "Left", "Ativo")</f>
        <v>Ativo</v>
      </c>
      <c r="F4482" s="12" t="str" cm="1">
        <f t="array" ref="F4482">IF(AND(A4482="2021-03", ISNA(MATCH(B4482, _xlfn._xlws.FILTER(B:B, A:A="2021-04"), 0))), "Left", "Ativo")</f>
        <v>Ativo</v>
      </c>
    </row>
    <row r="4483" spans="1:6" x14ac:dyDescent="0.25">
      <c r="A4483" t="s">
        <v>1532</v>
      </c>
      <c r="B4483" t="s">
        <v>561</v>
      </c>
      <c r="C4483" s="10" t="str" cm="1">
        <f t="array" ref="C4483">IF(AND(A4483="2020-12", ISNA(MATCH(B4483, _xlfn._xlws.FILTER(B:B, A:A="2021-01"), 0))), "Left", "Ativo")</f>
        <v>Ativo</v>
      </c>
      <c r="D4483" s="10" t="str" cm="1">
        <f t="array" ref="D4483">IF(AND(A4483="2021-01", ISNA(MATCH(B4483, _xlfn._xlws.FILTER(B:B, A:A="2021-02"), 0))), "Left", "Ativo")</f>
        <v>Ativo</v>
      </c>
      <c r="E4483" s="10" t="str" cm="1">
        <f t="array" ref="E4483">IF(AND(A4483="2021-02", ISNA(MATCH(B4483, _xlfn._xlws.FILTER(B:B, A:A="2021-03"), 0))), "Left", "Ativo")</f>
        <v>Ativo</v>
      </c>
      <c r="F4483" s="12" t="str" cm="1">
        <f t="array" ref="F4483">IF(AND(A4483="2021-03", ISNA(MATCH(B4483, _xlfn._xlws.FILTER(B:B, A:A="2021-04"), 0))), "Left", "Ativo")</f>
        <v>Ativo</v>
      </c>
    </row>
    <row r="4484" spans="1:6" x14ac:dyDescent="0.25">
      <c r="A4484" t="s">
        <v>1532</v>
      </c>
      <c r="B4484" t="s">
        <v>562</v>
      </c>
      <c r="C4484" s="10" t="str" cm="1">
        <f t="array" ref="C4484">IF(AND(A4484="2020-12", ISNA(MATCH(B4484, _xlfn._xlws.FILTER(B:B, A:A="2021-01"), 0))), "Left", "Ativo")</f>
        <v>Ativo</v>
      </c>
      <c r="D4484" s="10" t="str" cm="1">
        <f t="array" ref="D4484">IF(AND(A4484="2021-01", ISNA(MATCH(B4484, _xlfn._xlws.FILTER(B:B, A:A="2021-02"), 0))), "Left", "Ativo")</f>
        <v>Ativo</v>
      </c>
      <c r="E4484" s="10" t="str" cm="1">
        <f t="array" ref="E4484">IF(AND(A4484="2021-02", ISNA(MATCH(B4484, _xlfn._xlws.FILTER(B:B, A:A="2021-03"), 0))), "Left", "Ativo")</f>
        <v>Ativo</v>
      </c>
      <c r="F4484" s="12" t="str" cm="1">
        <f t="array" ref="F4484">IF(AND(A4484="2021-03", ISNA(MATCH(B4484, _xlfn._xlws.FILTER(B:B, A:A="2021-04"), 0))), "Left", "Ativo")</f>
        <v>Ativo</v>
      </c>
    </row>
    <row r="4485" spans="1:6" x14ac:dyDescent="0.25">
      <c r="A4485" t="s">
        <v>1532</v>
      </c>
      <c r="B4485" t="s">
        <v>563</v>
      </c>
      <c r="C4485" s="10" t="str" cm="1">
        <f t="array" ref="C4485">IF(AND(A4485="2020-12", ISNA(MATCH(B4485, _xlfn._xlws.FILTER(B:B, A:A="2021-01"), 0))), "Left", "Ativo")</f>
        <v>Ativo</v>
      </c>
      <c r="D4485" s="10" t="str" cm="1">
        <f t="array" ref="D4485">IF(AND(A4485="2021-01", ISNA(MATCH(B4485, _xlfn._xlws.FILTER(B:B, A:A="2021-02"), 0))), "Left", "Ativo")</f>
        <v>Ativo</v>
      </c>
      <c r="E4485" s="10" t="str" cm="1">
        <f t="array" ref="E4485">IF(AND(A4485="2021-02", ISNA(MATCH(B4485, _xlfn._xlws.FILTER(B:B, A:A="2021-03"), 0))), "Left", "Ativo")</f>
        <v>Ativo</v>
      </c>
      <c r="F4485" s="12" t="str" cm="1">
        <f t="array" ref="F4485">IF(AND(A4485="2021-03", ISNA(MATCH(B4485, _xlfn._xlws.FILTER(B:B, A:A="2021-04"), 0))), "Left", "Ativo")</f>
        <v>Ativo</v>
      </c>
    </row>
    <row r="4486" spans="1:6" x14ac:dyDescent="0.25">
      <c r="A4486" t="s">
        <v>1532</v>
      </c>
      <c r="B4486" t="s">
        <v>564</v>
      </c>
      <c r="C4486" s="10" t="str" cm="1">
        <f t="array" ref="C4486">IF(AND(A4486="2020-12", ISNA(MATCH(B4486, _xlfn._xlws.FILTER(B:B, A:A="2021-01"), 0))), "Left", "Ativo")</f>
        <v>Ativo</v>
      </c>
      <c r="D4486" s="10" t="str" cm="1">
        <f t="array" ref="D4486">IF(AND(A4486="2021-01", ISNA(MATCH(B4486, _xlfn._xlws.FILTER(B:B, A:A="2021-02"), 0))), "Left", "Ativo")</f>
        <v>Ativo</v>
      </c>
      <c r="E4486" s="10" t="str" cm="1">
        <f t="array" ref="E4486">IF(AND(A4486="2021-02", ISNA(MATCH(B4486, _xlfn._xlws.FILTER(B:B, A:A="2021-03"), 0))), "Left", "Ativo")</f>
        <v>Ativo</v>
      </c>
      <c r="F4486" s="12" t="str" cm="1">
        <f t="array" ref="F4486">IF(AND(A4486="2021-03", ISNA(MATCH(B4486, _xlfn._xlws.FILTER(B:B, A:A="2021-04"), 0))), "Left", "Ativo")</f>
        <v>Ativo</v>
      </c>
    </row>
    <row r="4487" spans="1:6" x14ac:dyDescent="0.25">
      <c r="A4487" t="s">
        <v>1532</v>
      </c>
      <c r="B4487" t="s">
        <v>1028</v>
      </c>
      <c r="C4487" s="10" t="str" cm="1">
        <f t="array" ref="C4487">IF(AND(A4487="2020-12", ISNA(MATCH(B4487, _xlfn._xlws.FILTER(B:B, A:A="2021-01"), 0))), "Left", "Ativo")</f>
        <v>Ativo</v>
      </c>
      <c r="D4487" s="10" t="str" cm="1">
        <f t="array" ref="D4487">IF(AND(A4487="2021-01", ISNA(MATCH(B4487, _xlfn._xlws.FILTER(B:B, A:A="2021-02"), 0))), "Left", "Ativo")</f>
        <v>Ativo</v>
      </c>
      <c r="E4487" s="10" t="str" cm="1">
        <f t="array" ref="E4487">IF(AND(A4487="2021-02", ISNA(MATCH(B4487, _xlfn._xlws.FILTER(B:B, A:A="2021-03"), 0))), "Left", "Ativo")</f>
        <v>Ativo</v>
      </c>
      <c r="F4487" s="12" t="str" cm="1">
        <f t="array" ref="F4487">IF(AND(A4487="2021-03", ISNA(MATCH(B4487, _xlfn._xlws.FILTER(B:B, A:A="2021-04"), 0))), "Left", "Ativo")</f>
        <v>Ativo</v>
      </c>
    </row>
    <row r="4488" spans="1:6" x14ac:dyDescent="0.25">
      <c r="A4488" t="s">
        <v>1532</v>
      </c>
      <c r="B4488" t="s">
        <v>1029</v>
      </c>
      <c r="C4488" s="10" t="str" cm="1">
        <f t="array" ref="C4488">IF(AND(A4488="2020-12", ISNA(MATCH(B4488, _xlfn._xlws.FILTER(B:B, A:A="2021-01"), 0))), "Left", "Ativo")</f>
        <v>Ativo</v>
      </c>
      <c r="D4488" s="10" t="str" cm="1">
        <f t="array" ref="D4488">IF(AND(A4488="2021-01", ISNA(MATCH(B4488, _xlfn._xlws.FILTER(B:B, A:A="2021-02"), 0))), "Left", "Ativo")</f>
        <v>Ativo</v>
      </c>
      <c r="E4488" s="10" t="str" cm="1">
        <f t="array" ref="E4488">IF(AND(A4488="2021-02", ISNA(MATCH(B4488, _xlfn._xlws.FILTER(B:B, A:A="2021-03"), 0))), "Left", "Ativo")</f>
        <v>Ativo</v>
      </c>
      <c r="F4488" s="12" t="str" cm="1">
        <f t="array" ref="F4488">IF(AND(A4488="2021-03", ISNA(MATCH(B4488, _xlfn._xlws.FILTER(B:B, A:A="2021-04"), 0))), "Left", "Ativo")</f>
        <v>Ativo</v>
      </c>
    </row>
    <row r="4489" spans="1:6" x14ac:dyDescent="0.25">
      <c r="A4489" t="s">
        <v>1532</v>
      </c>
      <c r="B4489" t="s">
        <v>1030</v>
      </c>
      <c r="C4489" s="10" t="str" cm="1">
        <f t="array" ref="C4489">IF(AND(A4489="2020-12", ISNA(MATCH(B4489, _xlfn._xlws.FILTER(B:B, A:A="2021-01"), 0))), "Left", "Ativo")</f>
        <v>Ativo</v>
      </c>
      <c r="D4489" s="10" t="str" cm="1">
        <f t="array" ref="D4489">IF(AND(A4489="2021-01", ISNA(MATCH(B4489, _xlfn._xlws.FILTER(B:B, A:A="2021-02"), 0))), "Left", "Ativo")</f>
        <v>Ativo</v>
      </c>
      <c r="E4489" s="10" t="str" cm="1">
        <f t="array" ref="E4489">IF(AND(A4489="2021-02", ISNA(MATCH(B4489, _xlfn._xlws.FILTER(B:B, A:A="2021-03"), 0))), "Left", "Ativo")</f>
        <v>Ativo</v>
      </c>
      <c r="F4489" s="12" t="str" cm="1">
        <f t="array" ref="F4489">IF(AND(A4489="2021-03", ISNA(MATCH(B4489, _xlfn._xlws.FILTER(B:B, A:A="2021-04"), 0))), "Left", "Ativo")</f>
        <v>Ativo</v>
      </c>
    </row>
    <row r="4490" spans="1:6" x14ac:dyDescent="0.25">
      <c r="A4490" t="s">
        <v>1532</v>
      </c>
      <c r="B4490" t="s">
        <v>1031</v>
      </c>
      <c r="C4490" s="10" t="str" cm="1">
        <f t="array" ref="C4490">IF(AND(A4490="2020-12", ISNA(MATCH(B4490, _xlfn._xlws.FILTER(B:B, A:A="2021-01"), 0))), "Left", "Ativo")</f>
        <v>Ativo</v>
      </c>
      <c r="D4490" s="10" t="str" cm="1">
        <f t="array" ref="D4490">IF(AND(A4490="2021-01", ISNA(MATCH(B4490, _xlfn._xlws.FILTER(B:B, A:A="2021-02"), 0))), "Left", "Ativo")</f>
        <v>Ativo</v>
      </c>
      <c r="E4490" s="10" t="str" cm="1">
        <f t="array" ref="E4490">IF(AND(A4490="2021-02", ISNA(MATCH(B4490, _xlfn._xlws.FILTER(B:B, A:A="2021-03"), 0))), "Left", "Ativo")</f>
        <v>Ativo</v>
      </c>
      <c r="F4490" s="12" t="str" cm="1">
        <f t="array" ref="F4490">IF(AND(A4490="2021-03", ISNA(MATCH(B4490, _xlfn._xlws.FILTER(B:B, A:A="2021-04"), 0))), "Left", "Ativo")</f>
        <v>Ativo</v>
      </c>
    </row>
    <row r="4491" spans="1:6" x14ac:dyDescent="0.25">
      <c r="A4491" t="s">
        <v>1532</v>
      </c>
      <c r="B4491" t="s">
        <v>1032</v>
      </c>
      <c r="C4491" s="10" t="str" cm="1">
        <f t="array" ref="C4491">IF(AND(A4491="2020-12", ISNA(MATCH(B4491, _xlfn._xlws.FILTER(B:B, A:A="2021-01"), 0))), "Left", "Ativo")</f>
        <v>Ativo</v>
      </c>
      <c r="D4491" s="10" t="str" cm="1">
        <f t="array" ref="D4491">IF(AND(A4491="2021-01", ISNA(MATCH(B4491, _xlfn._xlws.FILTER(B:B, A:A="2021-02"), 0))), "Left", "Ativo")</f>
        <v>Ativo</v>
      </c>
      <c r="E4491" s="10" t="str" cm="1">
        <f t="array" ref="E4491">IF(AND(A4491="2021-02", ISNA(MATCH(B4491, _xlfn._xlws.FILTER(B:B, A:A="2021-03"), 0))), "Left", "Ativo")</f>
        <v>Ativo</v>
      </c>
      <c r="F4491" s="12" t="str" cm="1">
        <f t="array" ref="F4491">IF(AND(A4491="2021-03", ISNA(MATCH(B4491, _xlfn._xlws.FILTER(B:B, A:A="2021-04"), 0))), "Left", "Ativo")</f>
        <v>Ativo</v>
      </c>
    </row>
    <row r="4492" spans="1:6" x14ac:dyDescent="0.25">
      <c r="A4492" t="s">
        <v>1532</v>
      </c>
      <c r="B4492" t="s">
        <v>1033</v>
      </c>
      <c r="C4492" s="10" t="str" cm="1">
        <f t="array" ref="C4492">IF(AND(A4492="2020-12", ISNA(MATCH(B4492, _xlfn._xlws.FILTER(B:B, A:A="2021-01"), 0))), "Left", "Ativo")</f>
        <v>Ativo</v>
      </c>
      <c r="D4492" s="10" t="str" cm="1">
        <f t="array" ref="D4492">IF(AND(A4492="2021-01", ISNA(MATCH(B4492, _xlfn._xlws.FILTER(B:B, A:A="2021-02"), 0))), "Left", "Ativo")</f>
        <v>Ativo</v>
      </c>
      <c r="E4492" s="10" t="str" cm="1">
        <f t="array" ref="E4492">IF(AND(A4492="2021-02", ISNA(MATCH(B4492, _xlfn._xlws.FILTER(B:B, A:A="2021-03"), 0))), "Left", "Ativo")</f>
        <v>Ativo</v>
      </c>
      <c r="F4492" s="12" t="str" cm="1">
        <f t="array" ref="F4492">IF(AND(A4492="2021-03", ISNA(MATCH(B4492, _xlfn._xlws.FILTER(B:B, A:A="2021-04"), 0))), "Left", "Ativo")</f>
        <v>Ativo</v>
      </c>
    </row>
    <row r="4493" spans="1:6" x14ac:dyDescent="0.25">
      <c r="A4493" t="s">
        <v>1532</v>
      </c>
      <c r="B4493" t="s">
        <v>1034</v>
      </c>
      <c r="C4493" s="10" t="str" cm="1">
        <f t="array" ref="C4493">IF(AND(A4493="2020-12", ISNA(MATCH(B4493, _xlfn._xlws.FILTER(B:B, A:A="2021-01"), 0))), "Left", "Ativo")</f>
        <v>Ativo</v>
      </c>
      <c r="D4493" s="10" t="str" cm="1">
        <f t="array" ref="D4493">IF(AND(A4493="2021-01", ISNA(MATCH(B4493, _xlfn._xlws.FILTER(B:B, A:A="2021-02"), 0))), "Left", "Ativo")</f>
        <v>Ativo</v>
      </c>
      <c r="E4493" s="10" t="str" cm="1">
        <f t="array" ref="E4493">IF(AND(A4493="2021-02", ISNA(MATCH(B4493, _xlfn._xlws.FILTER(B:B, A:A="2021-03"), 0))), "Left", "Ativo")</f>
        <v>Ativo</v>
      </c>
      <c r="F4493" s="12" t="str" cm="1">
        <f t="array" ref="F4493">IF(AND(A4493="2021-03", ISNA(MATCH(B4493, _xlfn._xlws.FILTER(B:B, A:A="2021-04"), 0))), "Left", "Ativo")</f>
        <v>Ativo</v>
      </c>
    </row>
    <row r="4494" spans="1:6" x14ac:dyDescent="0.25">
      <c r="A4494" t="s">
        <v>1532</v>
      </c>
      <c r="B4494" t="s">
        <v>1035</v>
      </c>
      <c r="C4494" s="10" t="str" cm="1">
        <f t="array" ref="C4494">IF(AND(A4494="2020-12", ISNA(MATCH(B4494, _xlfn._xlws.FILTER(B:B, A:A="2021-01"), 0))), "Left", "Ativo")</f>
        <v>Ativo</v>
      </c>
      <c r="D4494" s="10" t="str" cm="1">
        <f t="array" ref="D4494">IF(AND(A4494="2021-01", ISNA(MATCH(B4494, _xlfn._xlws.FILTER(B:B, A:A="2021-02"), 0))), "Left", "Ativo")</f>
        <v>Ativo</v>
      </c>
      <c r="E4494" s="10" t="str" cm="1">
        <f t="array" ref="E4494">IF(AND(A4494="2021-02", ISNA(MATCH(B4494, _xlfn._xlws.FILTER(B:B, A:A="2021-03"), 0))), "Left", "Ativo")</f>
        <v>Ativo</v>
      </c>
      <c r="F4494" s="12" t="str" cm="1">
        <f t="array" ref="F4494">IF(AND(A4494="2021-03", ISNA(MATCH(B4494, _xlfn._xlws.FILTER(B:B, A:A="2021-04"), 0))), "Left", "Ativo")</f>
        <v>Ativo</v>
      </c>
    </row>
    <row r="4495" spans="1:6" x14ac:dyDescent="0.25">
      <c r="A4495" t="s">
        <v>1532</v>
      </c>
      <c r="B4495" t="s">
        <v>1036</v>
      </c>
      <c r="C4495" s="10" t="str" cm="1">
        <f t="array" ref="C4495">IF(AND(A4495="2020-12", ISNA(MATCH(B4495, _xlfn._xlws.FILTER(B:B, A:A="2021-01"), 0))), "Left", "Ativo")</f>
        <v>Ativo</v>
      </c>
      <c r="D4495" s="10" t="str" cm="1">
        <f t="array" ref="D4495">IF(AND(A4495="2021-01", ISNA(MATCH(B4495, _xlfn._xlws.FILTER(B:B, A:A="2021-02"), 0))), "Left", "Ativo")</f>
        <v>Ativo</v>
      </c>
      <c r="E4495" s="10" t="str" cm="1">
        <f t="array" ref="E4495">IF(AND(A4495="2021-02", ISNA(MATCH(B4495, _xlfn._xlws.FILTER(B:B, A:A="2021-03"), 0))), "Left", "Ativo")</f>
        <v>Ativo</v>
      </c>
      <c r="F4495" s="12" t="str" cm="1">
        <f t="array" ref="F4495">IF(AND(A4495="2021-03", ISNA(MATCH(B4495, _xlfn._xlws.FILTER(B:B, A:A="2021-04"), 0))), "Left", "Ativo")</f>
        <v>Ativo</v>
      </c>
    </row>
    <row r="4496" spans="1:6" x14ac:dyDescent="0.25">
      <c r="A4496" t="s">
        <v>1532</v>
      </c>
      <c r="B4496" t="s">
        <v>1037</v>
      </c>
      <c r="C4496" s="10" t="str" cm="1">
        <f t="array" ref="C4496">IF(AND(A4496="2020-12", ISNA(MATCH(B4496, _xlfn._xlws.FILTER(B:B, A:A="2021-01"), 0))), "Left", "Ativo")</f>
        <v>Ativo</v>
      </c>
      <c r="D4496" s="10" t="str" cm="1">
        <f t="array" ref="D4496">IF(AND(A4496="2021-01", ISNA(MATCH(B4496, _xlfn._xlws.FILTER(B:B, A:A="2021-02"), 0))), "Left", "Ativo")</f>
        <v>Ativo</v>
      </c>
      <c r="E4496" s="10" t="str" cm="1">
        <f t="array" ref="E4496">IF(AND(A4496="2021-02", ISNA(MATCH(B4496, _xlfn._xlws.FILTER(B:B, A:A="2021-03"), 0))), "Left", "Ativo")</f>
        <v>Ativo</v>
      </c>
      <c r="F4496" s="12" t="str" cm="1">
        <f t="array" ref="F4496">IF(AND(A4496="2021-03", ISNA(MATCH(B4496, _xlfn._xlws.FILTER(B:B, A:A="2021-04"), 0))), "Left", "Ativo")</f>
        <v>Ativo</v>
      </c>
    </row>
    <row r="4497" spans="1:6" x14ac:dyDescent="0.25">
      <c r="A4497" t="s">
        <v>1532</v>
      </c>
      <c r="B4497" t="s">
        <v>1038</v>
      </c>
      <c r="C4497" s="10" t="str" cm="1">
        <f t="array" ref="C4497">IF(AND(A4497="2020-12", ISNA(MATCH(B4497, _xlfn._xlws.FILTER(B:B, A:A="2021-01"), 0))), "Left", "Ativo")</f>
        <v>Ativo</v>
      </c>
      <c r="D4497" s="10" t="str" cm="1">
        <f t="array" ref="D4497">IF(AND(A4497="2021-01", ISNA(MATCH(B4497, _xlfn._xlws.FILTER(B:B, A:A="2021-02"), 0))), "Left", "Ativo")</f>
        <v>Ativo</v>
      </c>
      <c r="E4497" s="10" t="str" cm="1">
        <f t="array" ref="E4497">IF(AND(A4497="2021-02", ISNA(MATCH(B4497, _xlfn._xlws.FILTER(B:B, A:A="2021-03"), 0))), "Left", "Ativo")</f>
        <v>Ativo</v>
      </c>
      <c r="F4497" s="12" t="str" cm="1">
        <f t="array" ref="F4497">IF(AND(A4497="2021-03", ISNA(MATCH(B4497, _xlfn._xlws.FILTER(B:B, A:A="2021-04"), 0))), "Left", "Ativo")</f>
        <v>Ativo</v>
      </c>
    </row>
    <row r="4498" spans="1:6" x14ac:dyDescent="0.25">
      <c r="A4498" t="s">
        <v>1532</v>
      </c>
      <c r="B4498" t="s">
        <v>1039</v>
      </c>
      <c r="C4498" s="10" t="str" cm="1">
        <f t="array" ref="C4498">IF(AND(A4498="2020-12", ISNA(MATCH(B4498, _xlfn._xlws.FILTER(B:B, A:A="2021-01"), 0))), "Left", "Ativo")</f>
        <v>Ativo</v>
      </c>
      <c r="D4498" s="10" t="str" cm="1">
        <f t="array" ref="D4498">IF(AND(A4498="2021-01", ISNA(MATCH(B4498, _xlfn._xlws.FILTER(B:B, A:A="2021-02"), 0))), "Left", "Ativo")</f>
        <v>Ativo</v>
      </c>
      <c r="E4498" s="10" t="str" cm="1">
        <f t="array" ref="E4498">IF(AND(A4498="2021-02", ISNA(MATCH(B4498, _xlfn._xlws.FILTER(B:B, A:A="2021-03"), 0))), "Left", "Ativo")</f>
        <v>Ativo</v>
      </c>
      <c r="F4498" s="12" t="str" cm="1">
        <f t="array" ref="F4498">IF(AND(A4498="2021-03", ISNA(MATCH(B4498, _xlfn._xlws.FILTER(B:B, A:A="2021-04"), 0))), "Left", "Ativo")</f>
        <v>Ativo</v>
      </c>
    </row>
    <row r="4499" spans="1:6" x14ac:dyDescent="0.25">
      <c r="A4499" t="s">
        <v>1532</v>
      </c>
      <c r="B4499" t="s">
        <v>1040</v>
      </c>
      <c r="C4499" s="10" t="str" cm="1">
        <f t="array" ref="C4499">IF(AND(A4499="2020-12", ISNA(MATCH(B4499, _xlfn._xlws.FILTER(B:B, A:A="2021-01"), 0))), "Left", "Ativo")</f>
        <v>Ativo</v>
      </c>
      <c r="D4499" s="10" t="str" cm="1">
        <f t="array" ref="D4499">IF(AND(A4499="2021-01", ISNA(MATCH(B4499, _xlfn._xlws.FILTER(B:B, A:A="2021-02"), 0))), "Left", "Ativo")</f>
        <v>Ativo</v>
      </c>
      <c r="E4499" s="10" t="str" cm="1">
        <f t="array" ref="E4499">IF(AND(A4499="2021-02", ISNA(MATCH(B4499, _xlfn._xlws.FILTER(B:B, A:A="2021-03"), 0))), "Left", "Ativo")</f>
        <v>Ativo</v>
      </c>
      <c r="F4499" s="12" t="str" cm="1">
        <f t="array" ref="F4499">IF(AND(A4499="2021-03", ISNA(MATCH(B4499, _xlfn._xlws.FILTER(B:B, A:A="2021-04"), 0))), "Left", "Ativo")</f>
        <v>Ativo</v>
      </c>
    </row>
    <row r="4500" spans="1:6" x14ac:dyDescent="0.25">
      <c r="A4500" t="s">
        <v>1532</v>
      </c>
      <c r="B4500" t="s">
        <v>1041</v>
      </c>
      <c r="C4500" s="10" t="str" cm="1">
        <f t="array" ref="C4500">IF(AND(A4500="2020-12", ISNA(MATCH(B4500, _xlfn._xlws.FILTER(B:B, A:A="2021-01"), 0))), "Left", "Ativo")</f>
        <v>Ativo</v>
      </c>
      <c r="D4500" s="10" t="str" cm="1">
        <f t="array" ref="D4500">IF(AND(A4500="2021-01", ISNA(MATCH(B4500, _xlfn._xlws.FILTER(B:B, A:A="2021-02"), 0))), "Left", "Ativo")</f>
        <v>Ativo</v>
      </c>
      <c r="E4500" s="10" t="str" cm="1">
        <f t="array" ref="E4500">IF(AND(A4500="2021-02", ISNA(MATCH(B4500, _xlfn._xlws.FILTER(B:B, A:A="2021-03"), 0))), "Left", "Ativo")</f>
        <v>Ativo</v>
      </c>
      <c r="F4500" s="12" t="str" cm="1">
        <f t="array" ref="F4500">IF(AND(A4500="2021-03", ISNA(MATCH(B4500, _xlfn._xlws.FILTER(B:B, A:A="2021-04"), 0))), "Left", "Ativo")</f>
        <v>Ativo</v>
      </c>
    </row>
    <row r="4501" spans="1:6" x14ac:dyDescent="0.25">
      <c r="A4501" t="s">
        <v>1532</v>
      </c>
      <c r="B4501" t="s">
        <v>1042</v>
      </c>
      <c r="C4501" s="10" t="str" cm="1">
        <f t="array" ref="C4501">IF(AND(A4501="2020-12", ISNA(MATCH(B4501, _xlfn._xlws.FILTER(B:B, A:A="2021-01"), 0))), "Left", "Ativo")</f>
        <v>Ativo</v>
      </c>
      <c r="D4501" s="10" t="str" cm="1">
        <f t="array" ref="D4501">IF(AND(A4501="2021-01", ISNA(MATCH(B4501, _xlfn._xlws.FILTER(B:B, A:A="2021-02"), 0))), "Left", "Ativo")</f>
        <v>Ativo</v>
      </c>
      <c r="E4501" s="10" t="str" cm="1">
        <f t="array" ref="E4501">IF(AND(A4501="2021-02", ISNA(MATCH(B4501, _xlfn._xlws.FILTER(B:B, A:A="2021-03"), 0))), "Left", "Ativo")</f>
        <v>Ativo</v>
      </c>
      <c r="F4501" s="12" t="str" cm="1">
        <f t="array" ref="F4501">IF(AND(A4501="2021-03", ISNA(MATCH(B4501, _xlfn._xlws.FILTER(B:B, A:A="2021-04"), 0))), "Left", "Ativo")</f>
        <v>Ativo</v>
      </c>
    </row>
    <row r="4502" spans="1:6" x14ac:dyDescent="0.25">
      <c r="A4502" t="s">
        <v>1532</v>
      </c>
      <c r="B4502" t="s">
        <v>1043</v>
      </c>
      <c r="C4502" s="10" t="str" cm="1">
        <f t="array" ref="C4502">IF(AND(A4502="2020-12", ISNA(MATCH(B4502, _xlfn._xlws.FILTER(B:B, A:A="2021-01"), 0))), "Left", "Ativo")</f>
        <v>Ativo</v>
      </c>
      <c r="D4502" s="10" t="str" cm="1">
        <f t="array" ref="D4502">IF(AND(A4502="2021-01", ISNA(MATCH(B4502, _xlfn._xlws.FILTER(B:B, A:A="2021-02"), 0))), "Left", "Ativo")</f>
        <v>Ativo</v>
      </c>
      <c r="E4502" s="10" t="str" cm="1">
        <f t="array" ref="E4502">IF(AND(A4502="2021-02", ISNA(MATCH(B4502, _xlfn._xlws.FILTER(B:B, A:A="2021-03"), 0))), "Left", "Ativo")</f>
        <v>Ativo</v>
      </c>
      <c r="F4502" s="12" t="str" cm="1">
        <f t="array" ref="F4502">IF(AND(A4502="2021-03", ISNA(MATCH(B4502, _xlfn._xlws.FILTER(B:B, A:A="2021-04"), 0))), "Left", "Ativo")</f>
        <v>Ativo</v>
      </c>
    </row>
    <row r="4503" spans="1:6" x14ac:dyDescent="0.25">
      <c r="A4503" t="s">
        <v>1532</v>
      </c>
      <c r="B4503" t="s">
        <v>1044</v>
      </c>
      <c r="C4503" s="10" t="str" cm="1">
        <f t="array" ref="C4503">IF(AND(A4503="2020-12", ISNA(MATCH(B4503, _xlfn._xlws.FILTER(B:B, A:A="2021-01"), 0))), "Left", "Ativo")</f>
        <v>Ativo</v>
      </c>
      <c r="D4503" s="10" t="str" cm="1">
        <f t="array" ref="D4503">IF(AND(A4503="2021-01", ISNA(MATCH(B4503, _xlfn._xlws.FILTER(B:B, A:A="2021-02"), 0))), "Left", "Ativo")</f>
        <v>Ativo</v>
      </c>
      <c r="E4503" s="10" t="str" cm="1">
        <f t="array" ref="E4503">IF(AND(A4503="2021-02", ISNA(MATCH(B4503, _xlfn._xlws.FILTER(B:B, A:A="2021-03"), 0))), "Left", "Ativo")</f>
        <v>Ativo</v>
      </c>
      <c r="F4503" s="12" t="str" cm="1">
        <f t="array" ref="F4503">IF(AND(A4503="2021-03", ISNA(MATCH(B4503, _xlfn._xlws.FILTER(B:B, A:A="2021-04"), 0))), "Left", "Ativo")</f>
        <v>Ativo</v>
      </c>
    </row>
    <row r="4504" spans="1:6" x14ac:dyDescent="0.25">
      <c r="A4504" t="s">
        <v>1532</v>
      </c>
      <c r="B4504" t="s">
        <v>1045</v>
      </c>
      <c r="C4504" s="10" t="str" cm="1">
        <f t="array" ref="C4504">IF(AND(A4504="2020-12", ISNA(MATCH(B4504, _xlfn._xlws.FILTER(B:B, A:A="2021-01"), 0))), "Left", "Ativo")</f>
        <v>Ativo</v>
      </c>
      <c r="D4504" s="10" t="str" cm="1">
        <f t="array" ref="D4504">IF(AND(A4504="2021-01", ISNA(MATCH(B4504, _xlfn._xlws.FILTER(B:B, A:A="2021-02"), 0))), "Left", "Ativo")</f>
        <v>Ativo</v>
      </c>
      <c r="E4504" s="10" t="str" cm="1">
        <f t="array" ref="E4504">IF(AND(A4504="2021-02", ISNA(MATCH(B4504, _xlfn._xlws.FILTER(B:B, A:A="2021-03"), 0))), "Left", "Ativo")</f>
        <v>Ativo</v>
      </c>
      <c r="F4504" s="12" t="str" cm="1">
        <f t="array" ref="F4504">IF(AND(A4504="2021-03", ISNA(MATCH(B4504, _xlfn._xlws.FILTER(B:B, A:A="2021-04"), 0))), "Left", "Ativo")</f>
        <v>Ativo</v>
      </c>
    </row>
    <row r="4505" spans="1:6" x14ac:dyDescent="0.25">
      <c r="A4505" t="s">
        <v>1532</v>
      </c>
      <c r="B4505" t="s">
        <v>1046</v>
      </c>
      <c r="C4505" s="10" t="str" cm="1">
        <f t="array" ref="C4505">IF(AND(A4505="2020-12", ISNA(MATCH(B4505, _xlfn._xlws.FILTER(B:B, A:A="2021-01"), 0))), "Left", "Ativo")</f>
        <v>Ativo</v>
      </c>
      <c r="D4505" s="10" t="str" cm="1">
        <f t="array" ref="D4505">IF(AND(A4505="2021-01", ISNA(MATCH(B4505, _xlfn._xlws.FILTER(B:B, A:A="2021-02"), 0))), "Left", "Ativo")</f>
        <v>Ativo</v>
      </c>
      <c r="E4505" s="10" t="str" cm="1">
        <f t="array" ref="E4505">IF(AND(A4505="2021-02", ISNA(MATCH(B4505, _xlfn._xlws.FILTER(B:B, A:A="2021-03"), 0))), "Left", "Ativo")</f>
        <v>Ativo</v>
      </c>
      <c r="F4505" s="12" t="str" cm="1">
        <f t="array" ref="F4505">IF(AND(A4505="2021-03", ISNA(MATCH(B4505, _xlfn._xlws.FILTER(B:B, A:A="2021-04"), 0))), "Left", "Ativo")</f>
        <v>Ativo</v>
      </c>
    </row>
    <row r="4506" spans="1:6" x14ac:dyDescent="0.25">
      <c r="A4506" t="s">
        <v>1532</v>
      </c>
      <c r="B4506" t="s">
        <v>1047</v>
      </c>
      <c r="C4506" s="10" t="str" cm="1">
        <f t="array" ref="C4506">IF(AND(A4506="2020-12", ISNA(MATCH(B4506, _xlfn._xlws.FILTER(B:B, A:A="2021-01"), 0))), "Left", "Ativo")</f>
        <v>Ativo</v>
      </c>
      <c r="D4506" s="10" t="str" cm="1">
        <f t="array" ref="D4506">IF(AND(A4506="2021-01", ISNA(MATCH(B4506, _xlfn._xlws.FILTER(B:B, A:A="2021-02"), 0))), "Left", "Ativo")</f>
        <v>Ativo</v>
      </c>
      <c r="E4506" s="10" t="str" cm="1">
        <f t="array" ref="E4506">IF(AND(A4506="2021-02", ISNA(MATCH(B4506, _xlfn._xlws.FILTER(B:B, A:A="2021-03"), 0))), "Left", "Ativo")</f>
        <v>Ativo</v>
      </c>
      <c r="F4506" s="12" t="str" cm="1">
        <f t="array" ref="F4506">IF(AND(A4506="2021-03", ISNA(MATCH(B4506, _xlfn._xlws.FILTER(B:B, A:A="2021-04"), 0))), "Left", "Ativo")</f>
        <v>Ativo</v>
      </c>
    </row>
    <row r="4507" spans="1:6" x14ac:dyDescent="0.25">
      <c r="A4507" t="s">
        <v>1532</v>
      </c>
      <c r="B4507" t="s">
        <v>1048</v>
      </c>
      <c r="C4507" s="10" t="str" cm="1">
        <f t="array" ref="C4507">IF(AND(A4507="2020-12", ISNA(MATCH(B4507, _xlfn._xlws.FILTER(B:B, A:A="2021-01"), 0))), "Left", "Ativo")</f>
        <v>Ativo</v>
      </c>
      <c r="D4507" s="10" t="str" cm="1">
        <f t="array" ref="D4507">IF(AND(A4507="2021-01", ISNA(MATCH(B4507, _xlfn._xlws.FILTER(B:B, A:A="2021-02"), 0))), "Left", "Ativo")</f>
        <v>Ativo</v>
      </c>
      <c r="E4507" s="10" t="str" cm="1">
        <f t="array" ref="E4507">IF(AND(A4507="2021-02", ISNA(MATCH(B4507, _xlfn._xlws.FILTER(B:B, A:A="2021-03"), 0))), "Left", "Ativo")</f>
        <v>Ativo</v>
      </c>
      <c r="F4507" s="12" t="str" cm="1">
        <f t="array" ref="F4507">IF(AND(A4507="2021-03", ISNA(MATCH(B4507, _xlfn._xlws.FILTER(B:B, A:A="2021-04"), 0))), "Left", "Ativo")</f>
        <v>Ativo</v>
      </c>
    </row>
    <row r="4508" spans="1:6" x14ac:dyDescent="0.25">
      <c r="A4508" t="s">
        <v>1532</v>
      </c>
      <c r="B4508" t="s">
        <v>1121</v>
      </c>
      <c r="C4508" s="10" t="str" cm="1">
        <f t="array" ref="C4508">IF(AND(A4508="2020-12", ISNA(MATCH(B4508, _xlfn._xlws.FILTER(B:B, A:A="2021-01"), 0))), "Left", "Ativo")</f>
        <v>Ativo</v>
      </c>
      <c r="D4508" s="10" t="str" cm="1">
        <f t="array" ref="D4508">IF(AND(A4508="2021-01", ISNA(MATCH(B4508, _xlfn._xlws.FILTER(B:B, A:A="2021-02"), 0))), "Left", "Ativo")</f>
        <v>Ativo</v>
      </c>
      <c r="E4508" s="10" t="str" cm="1">
        <f t="array" ref="E4508">IF(AND(A4508="2021-02", ISNA(MATCH(B4508, _xlfn._xlws.FILTER(B:B, A:A="2021-03"), 0))), "Left", "Ativo")</f>
        <v>Ativo</v>
      </c>
      <c r="F4508" s="12" t="str" cm="1">
        <f t="array" ref="F4508">IF(AND(A4508="2021-03", ISNA(MATCH(B4508, _xlfn._xlws.FILTER(B:B, A:A="2021-04"), 0))), "Left", "Ativo")</f>
        <v>Ativo</v>
      </c>
    </row>
    <row r="4509" spans="1:6" x14ac:dyDescent="0.25">
      <c r="A4509" t="s">
        <v>1532</v>
      </c>
      <c r="B4509" t="s">
        <v>1122</v>
      </c>
      <c r="C4509" s="10" t="str" cm="1">
        <f t="array" ref="C4509">IF(AND(A4509="2020-12", ISNA(MATCH(B4509, _xlfn._xlws.FILTER(B:B, A:A="2021-01"), 0))), "Left", "Ativo")</f>
        <v>Ativo</v>
      </c>
      <c r="D4509" s="10" t="str" cm="1">
        <f t="array" ref="D4509">IF(AND(A4509="2021-01", ISNA(MATCH(B4509, _xlfn._xlws.FILTER(B:B, A:A="2021-02"), 0))), "Left", "Ativo")</f>
        <v>Ativo</v>
      </c>
      <c r="E4509" s="10" t="str" cm="1">
        <f t="array" ref="E4509">IF(AND(A4509="2021-02", ISNA(MATCH(B4509, _xlfn._xlws.FILTER(B:B, A:A="2021-03"), 0))), "Left", "Ativo")</f>
        <v>Ativo</v>
      </c>
      <c r="F4509" s="12" t="str" cm="1">
        <f t="array" ref="F4509">IF(AND(A4509="2021-03", ISNA(MATCH(B4509, _xlfn._xlws.FILTER(B:B, A:A="2021-04"), 0))), "Left", "Ativo")</f>
        <v>Ativo</v>
      </c>
    </row>
    <row r="4510" spans="1:6" x14ac:dyDescent="0.25">
      <c r="A4510" t="s">
        <v>1532</v>
      </c>
      <c r="B4510" t="s">
        <v>1123</v>
      </c>
      <c r="C4510" s="10" t="str" cm="1">
        <f t="array" ref="C4510">IF(AND(A4510="2020-12", ISNA(MATCH(B4510, _xlfn._xlws.FILTER(B:B, A:A="2021-01"), 0))), "Left", "Ativo")</f>
        <v>Ativo</v>
      </c>
      <c r="D4510" s="10" t="str" cm="1">
        <f t="array" ref="D4510">IF(AND(A4510="2021-01", ISNA(MATCH(B4510, _xlfn._xlws.FILTER(B:B, A:A="2021-02"), 0))), "Left", "Ativo")</f>
        <v>Ativo</v>
      </c>
      <c r="E4510" s="10" t="str" cm="1">
        <f t="array" ref="E4510">IF(AND(A4510="2021-02", ISNA(MATCH(B4510, _xlfn._xlws.FILTER(B:B, A:A="2021-03"), 0))), "Left", "Ativo")</f>
        <v>Ativo</v>
      </c>
      <c r="F4510" s="12" t="str" cm="1">
        <f t="array" ref="F4510">IF(AND(A4510="2021-03", ISNA(MATCH(B4510, _xlfn._xlws.FILTER(B:B, A:A="2021-04"), 0))), "Left", "Ativo")</f>
        <v>Ativo</v>
      </c>
    </row>
    <row r="4511" spans="1:6" x14ac:dyDescent="0.25">
      <c r="A4511" t="s">
        <v>1532</v>
      </c>
      <c r="B4511" t="s">
        <v>1124</v>
      </c>
      <c r="C4511" s="10" t="str" cm="1">
        <f t="array" ref="C4511">IF(AND(A4511="2020-12", ISNA(MATCH(B4511, _xlfn._xlws.FILTER(B:B, A:A="2021-01"), 0))), "Left", "Ativo")</f>
        <v>Ativo</v>
      </c>
      <c r="D4511" s="10" t="str" cm="1">
        <f t="array" ref="D4511">IF(AND(A4511="2021-01", ISNA(MATCH(B4511, _xlfn._xlws.FILTER(B:B, A:A="2021-02"), 0))), "Left", "Ativo")</f>
        <v>Ativo</v>
      </c>
      <c r="E4511" s="10" t="str" cm="1">
        <f t="array" ref="E4511">IF(AND(A4511="2021-02", ISNA(MATCH(B4511, _xlfn._xlws.FILTER(B:B, A:A="2021-03"), 0))), "Left", "Ativo")</f>
        <v>Ativo</v>
      </c>
      <c r="F4511" s="12" t="str" cm="1">
        <f t="array" ref="F4511">IF(AND(A4511="2021-03", ISNA(MATCH(B4511, _xlfn._xlws.FILTER(B:B, A:A="2021-04"), 0))), "Left", "Ativo")</f>
        <v>Ativo</v>
      </c>
    </row>
    <row r="4512" spans="1:6" x14ac:dyDescent="0.25">
      <c r="A4512" t="s">
        <v>1532</v>
      </c>
      <c r="B4512" t="s">
        <v>1125</v>
      </c>
      <c r="C4512" s="10" t="str" cm="1">
        <f t="array" ref="C4512">IF(AND(A4512="2020-12", ISNA(MATCH(B4512, _xlfn._xlws.FILTER(B:B, A:A="2021-01"), 0))), "Left", "Ativo")</f>
        <v>Ativo</v>
      </c>
      <c r="D4512" s="10" t="str" cm="1">
        <f t="array" ref="D4512">IF(AND(A4512="2021-01", ISNA(MATCH(B4512, _xlfn._xlws.FILTER(B:B, A:A="2021-02"), 0))), "Left", "Ativo")</f>
        <v>Ativo</v>
      </c>
      <c r="E4512" s="10" t="str" cm="1">
        <f t="array" ref="E4512">IF(AND(A4512="2021-02", ISNA(MATCH(B4512, _xlfn._xlws.FILTER(B:B, A:A="2021-03"), 0))), "Left", "Ativo")</f>
        <v>Ativo</v>
      </c>
      <c r="F4512" s="12" t="str" cm="1">
        <f t="array" ref="F4512">IF(AND(A4512="2021-03", ISNA(MATCH(B4512, _xlfn._xlws.FILTER(B:B, A:A="2021-04"), 0))), "Left", "Ativo")</f>
        <v>Ativo</v>
      </c>
    </row>
    <row r="4513" spans="1:6" x14ac:dyDescent="0.25">
      <c r="A4513" t="s">
        <v>1532</v>
      </c>
      <c r="B4513" t="s">
        <v>1126</v>
      </c>
      <c r="C4513" s="10" t="str" cm="1">
        <f t="array" ref="C4513">IF(AND(A4513="2020-12", ISNA(MATCH(B4513, _xlfn._xlws.FILTER(B:B, A:A="2021-01"), 0))), "Left", "Ativo")</f>
        <v>Ativo</v>
      </c>
      <c r="D4513" s="10" t="str" cm="1">
        <f t="array" ref="D4513">IF(AND(A4513="2021-01", ISNA(MATCH(B4513, _xlfn._xlws.FILTER(B:B, A:A="2021-02"), 0))), "Left", "Ativo")</f>
        <v>Ativo</v>
      </c>
      <c r="E4513" s="10" t="str" cm="1">
        <f t="array" ref="E4513">IF(AND(A4513="2021-02", ISNA(MATCH(B4513, _xlfn._xlws.FILTER(B:B, A:A="2021-03"), 0))), "Left", "Ativo")</f>
        <v>Ativo</v>
      </c>
      <c r="F4513" s="12" t="str" cm="1">
        <f t="array" ref="F4513">IF(AND(A4513="2021-03", ISNA(MATCH(B4513, _xlfn._xlws.FILTER(B:B, A:A="2021-04"), 0))), "Left", "Ativo")</f>
        <v>Ativo</v>
      </c>
    </row>
    <row r="4514" spans="1:6" x14ac:dyDescent="0.25">
      <c r="A4514" t="s">
        <v>1532</v>
      </c>
      <c r="B4514" t="s">
        <v>1127</v>
      </c>
      <c r="C4514" s="10" t="str" cm="1">
        <f t="array" ref="C4514">IF(AND(A4514="2020-12", ISNA(MATCH(B4514, _xlfn._xlws.FILTER(B:B, A:A="2021-01"), 0))), "Left", "Ativo")</f>
        <v>Ativo</v>
      </c>
      <c r="D4514" s="10" t="str" cm="1">
        <f t="array" ref="D4514">IF(AND(A4514="2021-01", ISNA(MATCH(B4514, _xlfn._xlws.FILTER(B:B, A:A="2021-02"), 0))), "Left", "Ativo")</f>
        <v>Ativo</v>
      </c>
      <c r="E4514" s="10" t="str" cm="1">
        <f t="array" ref="E4514">IF(AND(A4514="2021-02", ISNA(MATCH(B4514, _xlfn._xlws.FILTER(B:B, A:A="2021-03"), 0))), "Left", "Ativo")</f>
        <v>Ativo</v>
      </c>
      <c r="F4514" s="12" t="str" cm="1">
        <f t="array" ref="F4514">IF(AND(A4514="2021-03", ISNA(MATCH(B4514, _xlfn._xlws.FILTER(B:B, A:A="2021-04"), 0))), "Left", "Ativo")</f>
        <v>Ativo</v>
      </c>
    </row>
    <row r="4515" spans="1:6" x14ac:dyDescent="0.25">
      <c r="A4515" t="s">
        <v>1532</v>
      </c>
      <c r="B4515" t="s">
        <v>1130</v>
      </c>
      <c r="C4515" s="10" t="str" cm="1">
        <f t="array" ref="C4515">IF(AND(A4515="2020-12", ISNA(MATCH(B4515, _xlfn._xlws.FILTER(B:B, A:A="2021-01"), 0))), "Left", "Ativo")</f>
        <v>Ativo</v>
      </c>
      <c r="D4515" s="10" t="str" cm="1">
        <f t="array" ref="D4515">IF(AND(A4515="2021-01", ISNA(MATCH(B4515, _xlfn._xlws.FILTER(B:B, A:A="2021-02"), 0))), "Left", "Ativo")</f>
        <v>Ativo</v>
      </c>
      <c r="E4515" s="10" t="str" cm="1">
        <f t="array" ref="E4515">IF(AND(A4515="2021-02", ISNA(MATCH(B4515, _xlfn._xlws.FILTER(B:B, A:A="2021-03"), 0))), "Left", "Ativo")</f>
        <v>Ativo</v>
      </c>
      <c r="F4515" s="12" t="str" cm="1">
        <f t="array" ref="F4515">IF(AND(A4515="2021-03", ISNA(MATCH(B4515, _xlfn._xlws.FILTER(B:B, A:A="2021-04"), 0))), "Left", "Ativo")</f>
        <v>Ativo</v>
      </c>
    </row>
    <row r="4516" spans="1:6" x14ac:dyDescent="0.25">
      <c r="A4516" t="s">
        <v>1532</v>
      </c>
      <c r="B4516" t="s">
        <v>1131</v>
      </c>
      <c r="C4516" s="10" t="str" cm="1">
        <f t="array" ref="C4516">IF(AND(A4516="2020-12", ISNA(MATCH(B4516, _xlfn._xlws.FILTER(B:B, A:A="2021-01"), 0))), "Left", "Ativo")</f>
        <v>Ativo</v>
      </c>
      <c r="D4516" s="10" t="str" cm="1">
        <f t="array" ref="D4516">IF(AND(A4516="2021-01", ISNA(MATCH(B4516, _xlfn._xlws.FILTER(B:B, A:A="2021-02"), 0))), "Left", "Ativo")</f>
        <v>Ativo</v>
      </c>
      <c r="E4516" s="10" t="str" cm="1">
        <f t="array" ref="E4516">IF(AND(A4516="2021-02", ISNA(MATCH(B4516, _xlfn._xlws.FILTER(B:B, A:A="2021-03"), 0))), "Left", "Ativo")</f>
        <v>Ativo</v>
      </c>
      <c r="F4516" s="12" t="str" cm="1">
        <f t="array" ref="F4516">IF(AND(A4516="2021-03", ISNA(MATCH(B4516, _xlfn._xlws.FILTER(B:B, A:A="2021-04"), 0))), "Left", "Ativo")</f>
        <v>Ativo</v>
      </c>
    </row>
    <row r="4517" spans="1:6" x14ac:dyDescent="0.25">
      <c r="A4517" t="s">
        <v>1532</v>
      </c>
      <c r="B4517" t="s">
        <v>1132</v>
      </c>
      <c r="C4517" s="10" t="str" cm="1">
        <f t="array" ref="C4517">IF(AND(A4517="2020-12", ISNA(MATCH(B4517, _xlfn._xlws.FILTER(B:B, A:A="2021-01"), 0))), "Left", "Ativo")</f>
        <v>Ativo</v>
      </c>
      <c r="D4517" s="10" t="str" cm="1">
        <f t="array" ref="D4517">IF(AND(A4517="2021-01", ISNA(MATCH(B4517, _xlfn._xlws.FILTER(B:B, A:A="2021-02"), 0))), "Left", "Ativo")</f>
        <v>Ativo</v>
      </c>
      <c r="E4517" s="10" t="str" cm="1">
        <f t="array" ref="E4517">IF(AND(A4517="2021-02", ISNA(MATCH(B4517, _xlfn._xlws.FILTER(B:B, A:A="2021-03"), 0))), "Left", "Ativo")</f>
        <v>Ativo</v>
      </c>
      <c r="F4517" s="12" t="str" cm="1">
        <f t="array" ref="F4517">IF(AND(A4517="2021-03", ISNA(MATCH(B4517, _xlfn._xlws.FILTER(B:B, A:A="2021-04"), 0))), "Left", "Ativo")</f>
        <v>Ativo</v>
      </c>
    </row>
    <row r="4518" spans="1:6" x14ac:dyDescent="0.25">
      <c r="A4518" t="s">
        <v>1532</v>
      </c>
      <c r="B4518" t="s">
        <v>1183</v>
      </c>
      <c r="C4518" s="10" t="str" cm="1">
        <f t="array" ref="C4518">IF(AND(A4518="2020-12", ISNA(MATCH(B4518, _xlfn._xlws.FILTER(B:B, A:A="2021-01"), 0))), "Left", "Ativo")</f>
        <v>Ativo</v>
      </c>
      <c r="D4518" s="10" t="str" cm="1">
        <f t="array" ref="D4518">IF(AND(A4518="2021-01", ISNA(MATCH(B4518, _xlfn._xlws.FILTER(B:B, A:A="2021-02"), 0))), "Left", "Ativo")</f>
        <v>Ativo</v>
      </c>
      <c r="E4518" s="10" t="str" cm="1">
        <f t="array" ref="E4518">IF(AND(A4518="2021-02", ISNA(MATCH(B4518, _xlfn._xlws.FILTER(B:B, A:A="2021-03"), 0))), "Left", "Ativo")</f>
        <v>Ativo</v>
      </c>
      <c r="F4518" s="12" t="str" cm="1">
        <f t="array" ref="F4518">IF(AND(A4518="2021-03", ISNA(MATCH(B4518, _xlfn._xlws.FILTER(B:B, A:A="2021-04"), 0))), "Left", "Ativo")</f>
        <v>Ativo</v>
      </c>
    </row>
    <row r="4519" spans="1:6" x14ac:dyDescent="0.25">
      <c r="A4519" t="s">
        <v>1532</v>
      </c>
      <c r="B4519" t="s">
        <v>1184</v>
      </c>
      <c r="C4519" s="10" t="str" cm="1">
        <f t="array" ref="C4519">IF(AND(A4519="2020-12", ISNA(MATCH(B4519, _xlfn._xlws.FILTER(B:B, A:A="2021-01"), 0))), "Left", "Ativo")</f>
        <v>Ativo</v>
      </c>
      <c r="D4519" s="10" t="str" cm="1">
        <f t="array" ref="D4519">IF(AND(A4519="2021-01", ISNA(MATCH(B4519, _xlfn._xlws.FILTER(B:B, A:A="2021-02"), 0))), "Left", "Ativo")</f>
        <v>Ativo</v>
      </c>
      <c r="E4519" s="10" t="str" cm="1">
        <f t="array" ref="E4519">IF(AND(A4519="2021-02", ISNA(MATCH(B4519, _xlfn._xlws.FILTER(B:B, A:A="2021-03"), 0))), "Left", "Ativo")</f>
        <v>Ativo</v>
      </c>
      <c r="F4519" s="12" t="str" cm="1">
        <f t="array" ref="F4519">IF(AND(A4519="2021-03", ISNA(MATCH(B4519, _xlfn._xlws.FILTER(B:B, A:A="2021-04"), 0))), "Left", "Ativo")</f>
        <v>Ativo</v>
      </c>
    </row>
    <row r="4520" spans="1:6" x14ac:dyDescent="0.25">
      <c r="A4520" t="s">
        <v>1532</v>
      </c>
      <c r="B4520" t="s">
        <v>1185</v>
      </c>
      <c r="C4520" s="10" t="str" cm="1">
        <f t="array" ref="C4520">IF(AND(A4520="2020-12", ISNA(MATCH(B4520, _xlfn._xlws.FILTER(B:B, A:A="2021-01"), 0))), "Left", "Ativo")</f>
        <v>Ativo</v>
      </c>
      <c r="D4520" s="10" t="str" cm="1">
        <f t="array" ref="D4520">IF(AND(A4520="2021-01", ISNA(MATCH(B4520, _xlfn._xlws.FILTER(B:B, A:A="2021-02"), 0))), "Left", "Ativo")</f>
        <v>Ativo</v>
      </c>
      <c r="E4520" s="10" t="str" cm="1">
        <f t="array" ref="E4520">IF(AND(A4520="2021-02", ISNA(MATCH(B4520, _xlfn._xlws.FILTER(B:B, A:A="2021-03"), 0))), "Left", "Ativo")</f>
        <v>Ativo</v>
      </c>
      <c r="F4520" s="12" t="str" cm="1">
        <f t="array" ref="F4520">IF(AND(A4520="2021-03", ISNA(MATCH(B4520, _xlfn._xlws.FILTER(B:B, A:A="2021-04"), 0))), "Left", "Ativo")</f>
        <v>Ativo</v>
      </c>
    </row>
    <row r="4521" spans="1:6" x14ac:dyDescent="0.25">
      <c r="A4521" t="s">
        <v>1532</v>
      </c>
      <c r="B4521" t="s">
        <v>1186</v>
      </c>
      <c r="C4521" s="10" t="str" cm="1">
        <f t="array" ref="C4521">IF(AND(A4521="2020-12", ISNA(MATCH(B4521, _xlfn._xlws.FILTER(B:B, A:A="2021-01"), 0))), "Left", "Ativo")</f>
        <v>Ativo</v>
      </c>
      <c r="D4521" s="10" t="str" cm="1">
        <f t="array" ref="D4521">IF(AND(A4521="2021-01", ISNA(MATCH(B4521, _xlfn._xlws.FILTER(B:B, A:A="2021-02"), 0))), "Left", "Ativo")</f>
        <v>Ativo</v>
      </c>
      <c r="E4521" s="10" t="str" cm="1">
        <f t="array" ref="E4521">IF(AND(A4521="2021-02", ISNA(MATCH(B4521, _xlfn._xlws.FILTER(B:B, A:A="2021-03"), 0))), "Left", "Ativo")</f>
        <v>Ativo</v>
      </c>
      <c r="F4521" s="12" t="str" cm="1">
        <f t="array" ref="F4521">IF(AND(A4521="2021-03", ISNA(MATCH(B4521, _xlfn._xlws.FILTER(B:B, A:A="2021-04"), 0))), "Left", "Ativo")</f>
        <v>Ativo</v>
      </c>
    </row>
    <row r="4522" spans="1:6" x14ac:dyDescent="0.25">
      <c r="A4522" t="s">
        <v>1532</v>
      </c>
      <c r="B4522" t="s">
        <v>1187</v>
      </c>
      <c r="C4522" s="10" t="str" cm="1">
        <f t="array" ref="C4522">IF(AND(A4522="2020-12", ISNA(MATCH(B4522, _xlfn._xlws.FILTER(B:B, A:A="2021-01"), 0))), "Left", "Ativo")</f>
        <v>Ativo</v>
      </c>
      <c r="D4522" s="10" t="str" cm="1">
        <f t="array" ref="D4522">IF(AND(A4522="2021-01", ISNA(MATCH(B4522, _xlfn._xlws.FILTER(B:B, A:A="2021-02"), 0))), "Left", "Ativo")</f>
        <v>Ativo</v>
      </c>
      <c r="E4522" s="10" t="str" cm="1">
        <f t="array" ref="E4522">IF(AND(A4522="2021-02", ISNA(MATCH(B4522, _xlfn._xlws.FILTER(B:B, A:A="2021-03"), 0))), "Left", "Ativo")</f>
        <v>Ativo</v>
      </c>
      <c r="F4522" s="12" t="str" cm="1">
        <f t="array" ref="F4522">IF(AND(A4522="2021-03", ISNA(MATCH(B4522, _xlfn._xlws.FILTER(B:B, A:A="2021-04"), 0))), "Left", "Ativo")</f>
        <v>Ativo</v>
      </c>
    </row>
    <row r="4523" spans="1:6" x14ac:dyDescent="0.25">
      <c r="A4523" t="s">
        <v>1532</v>
      </c>
      <c r="B4523" t="s">
        <v>1188</v>
      </c>
      <c r="C4523" s="10" t="str" cm="1">
        <f t="array" ref="C4523">IF(AND(A4523="2020-12", ISNA(MATCH(B4523, _xlfn._xlws.FILTER(B:B, A:A="2021-01"), 0))), "Left", "Ativo")</f>
        <v>Ativo</v>
      </c>
      <c r="D4523" s="10" t="str" cm="1">
        <f t="array" ref="D4523">IF(AND(A4523="2021-01", ISNA(MATCH(B4523, _xlfn._xlws.FILTER(B:B, A:A="2021-02"), 0))), "Left", "Ativo")</f>
        <v>Ativo</v>
      </c>
      <c r="E4523" s="10" t="str" cm="1">
        <f t="array" ref="E4523">IF(AND(A4523="2021-02", ISNA(MATCH(B4523, _xlfn._xlws.FILTER(B:B, A:A="2021-03"), 0))), "Left", "Ativo")</f>
        <v>Ativo</v>
      </c>
      <c r="F4523" s="12" t="str" cm="1">
        <f t="array" ref="F4523">IF(AND(A4523="2021-03", ISNA(MATCH(B4523, _xlfn._xlws.FILTER(B:B, A:A="2021-04"), 0))), "Left", "Ativo")</f>
        <v>Ativo</v>
      </c>
    </row>
    <row r="4524" spans="1:6" x14ac:dyDescent="0.25">
      <c r="A4524" t="s">
        <v>1532</v>
      </c>
      <c r="B4524" t="s">
        <v>1189</v>
      </c>
      <c r="C4524" s="10" t="str" cm="1">
        <f t="array" ref="C4524">IF(AND(A4524="2020-12", ISNA(MATCH(B4524, _xlfn._xlws.FILTER(B:B, A:A="2021-01"), 0))), "Left", "Ativo")</f>
        <v>Ativo</v>
      </c>
      <c r="D4524" s="10" t="str" cm="1">
        <f t="array" ref="D4524">IF(AND(A4524="2021-01", ISNA(MATCH(B4524, _xlfn._xlws.FILTER(B:B, A:A="2021-02"), 0))), "Left", "Ativo")</f>
        <v>Ativo</v>
      </c>
      <c r="E4524" s="10" t="str" cm="1">
        <f t="array" ref="E4524">IF(AND(A4524="2021-02", ISNA(MATCH(B4524, _xlfn._xlws.FILTER(B:B, A:A="2021-03"), 0))), "Left", "Ativo")</f>
        <v>Ativo</v>
      </c>
      <c r="F4524" s="12" t="str" cm="1">
        <f t="array" ref="F4524">IF(AND(A4524="2021-03", ISNA(MATCH(B4524, _xlfn._xlws.FILTER(B:B, A:A="2021-04"), 0))), "Left", "Ativo")</f>
        <v>Ativo</v>
      </c>
    </row>
    <row r="4525" spans="1:6" x14ac:dyDescent="0.25">
      <c r="A4525" t="s">
        <v>1532</v>
      </c>
      <c r="B4525" t="s">
        <v>1190</v>
      </c>
      <c r="C4525" s="10" t="str" cm="1">
        <f t="array" ref="C4525">IF(AND(A4525="2020-12", ISNA(MATCH(B4525, _xlfn._xlws.FILTER(B:B, A:A="2021-01"), 0))), "Left", "Ativo")</f>
        <v>Ativo</v>
      </c>
      <c r="D4525" s="10" t="str" cm="1">
        <f t="array" ref="D4525">IF(AND(A4525="2021-01", ISNA(MATCH(B4525, _xlfn._xlws.FILTER(B:B, A:A="2021-02"), 0))), "Left", "Ativo")</f>
        <v>Ativo</v>
      </c>
      <c r="E4525" s="10" t="str" cm="1">
        <f t="array" ref="E4525">IF(AND(A4525="2021-02", ISNA(MATCH(B4525, _xlfn._xlws.FILTER(B:B, A:A="2021-03"), 0))), "Left", "Ativo")</f>
        <v>Ativo</v>
      </c>
      <c r="F4525" s="12" t="str" cm="1">
        <f t="array" ref="F4525">IF(AND(A4525="2021-03", ISNA(MATCH(B4525, _xlfn._xlws.FILTER(B:B, A:A="2021-04"), 0))), "Left", "Ativo")</f>
        <v>Ativo</v>
      </c>
    </row>
    <row r="4526" spans="1:6" x14ac:dyDescent="0.25">
      <c r="A4526" t="s">
        <v>1532</v>
      </c>
      <c r="B4526" t="s">
        <v>1191</v>
      </c>
      <c r="C4526" s="10" t="str" cm="1">
        <f t="array" ref="C4526">IF(AND(A4526="2020-12", ISNA(MATCH(B4526, _xlfn._xlws.FILTER(B:B, A:A="2021-01"), 0))), "Left", "Ativo")</f>
        <v>Ativo</v>
      </c>
      <c r="D4526" s="10" t="str" cm="1">
        <f t="array" ref="D4526">IF(AND(A4526="2021-01", ISNA(MATCH(B4526, _xlfn._xlws.FILTER(B:B, A:A="2021-02"), 0))), "Left", "Ativo")</f>
        <v>Ativo</v>
      </c>
      <c r="E4526" s="10" t="str" cm="1">
        <f t="array" ref="E4526">IF(AND(A4526="2021-02", ISNA(MATCH(B4526, _xlfn._xlws.FILTER(B:B, A:A="2021-03"), 0))), "Left", "Ativo")</f>
        <v>Ativo</v>
      </c>
      <c r="F4526" s="12" t="str" cm="1">
        <f t="array" ref="F4526">IF(AND(A4526="2021-03", ISNA(MATCH(B4526, _xlfn._xlws.FILTER(B:B, A:A="2021-04"), 0))), "Left", "Ativo")</f>
        <v>Ativo</v>
      </c>
    </row>
    <row r="4527" spans="1:6" x14ac:dyDescent="0.25">
      <c r="A4527" t="s">
        <v>1532</v>
      </c>
      <c r="B4527" t="s">
        <v>1192</v>
      </c>
      <c r="C4527" s="10" t="str" cm="1">
        <f t="array" ref="C4527">IF(AND(A4527="2020-12", ISNA(MATCH(B4527, _xlfn._xlws.FILTER(B:B, A:A="2021-01"), 0))), "Left", "Ativo")</f>
        <v>Ativo</v>
      </c>
      <c r="D4527" s="10" t="str" cm="1">
        <f t="array" ref="D4527">IF(AND(A4527="2021-01", ISNA(MATCH(B4527, _xlfn._xlws.FILTER(B:B, A:A="2021-02"), 0))), "Left", "Ativo")</f>
        <v>Ativo</v>
      </c>
      <c r="E4527" s="10" t="str" cm="1">
        <f t="array" ref="E4527">IF(AND(A4527="2021-02", ISNA(MATCH(B4527, _xlfn._xlws.FILTER(B:B, A:A="2021-03"), 0))), "Left", "Ativo")</f>
        <v>Ativo</v>
      </c>
      <c r="F4527" s="12" t="str" cm="1">
        <f t="array" ref="F4527">IF(AND(A4527="2021-03", ISNA(MATCH(B4527, _xlfn._xlws.FILTER(B:B, A:A="2021-04"), 0))), "Left", "Ativo")</f>
        <v>Ativo</v>
      </c>
    </row>
    <row r="4528" spans="1:6" x14ac:dyDescent="0.25">
      <c r="A4528" t="s">
        <v>1532</v>
      </c>
      <c r="B4528" t="s">
        <v>1193</v>
      </c>
      <c r="C4528" s="10" t="str" cm="1">
        <f t="array" ref="C4528">IF(AND(A4528="2020-12", ISNA(MATCH(B4528, _xlfn._xlws.FILTER(B:B, A:A="2021-01"), 0))), "Left", "Ativo")</f>
        <v>Ativo</v>
      </c>
      <c r="D4528" s="10" t="str" cm="1">
        <f t="array" ref="D4528">IF(AND(A4528="2021-01", ISNA(MATCH(B4528, _xlfn._xlws.FILTER(B:B, A:A="2021-02"), 0))), "Left", "Ativo")</f>
        <v>Ativo</v>
      </c>
      <c r="E4528" s="10" t="str" cm="1">
        <f t="array" ref="E4528">IF(AND(A4528="2021-02", ISNA(MATCH(B4528, _xlfn._xlws.FILTER(B:B, A:A="2021-03"), 0))), "Left", "Ativo")</f>
        <v>Ativo</v>
      </c>
      <c r="F4528" s="12" t="str" cm="1">
        <f t="array" ref="F4528">IF(AND(A4528="2021-03", ISNA(MATCH(B4528, _xlfn._xlws.FILTER(B:B, A:A="2021-04"), 0))), "Left", "Ativo")</f>
        <v>Ativo</v>
      </c>
    </row>
    <row r="4529" spans="1:6" x14ac:dyDescent="0.25">
      <c r="A4529" t="s">
        <v>1532</v>
      </c>
      <c r="B4529" t="s">
        <v>575</v>
      </c>
      <c r="C4529" s="10" t="str" cm="1">
        <f t="array" ref="C4529">IF(AND(A4529="2020-12", ISNA(MATCH(B4529, _xlfn._xlws.FILTER(B:B, A:A="2021-01"), 0))), "Left", "Ativo")</f>
        <v>Ativo</v>
      </c>
      <c r="D4529" s="10" t="str" cm="1">
        <f t="array" ref="D4529">IF(AND(A4529="2021-01", ISNA(MATCH(B4529, _xlfn._xlws.FILTER(B:B, A:A="2021-02"), 0))), "Left", "Ativo")</f>
        <v>Ativo</v>
      </c>
      <c r="E4529" s="10" t="str" cm="1">
        <f t="array" ref="E4529">IF(AND(A4529="2021-02", ISNA(MATCH(B4529, _xlfn._xlws.FILTER(B:B, A:A="2021-03"), 0))), "Left", "Ativo")</f>
        <v>Ativo</v>
      </c>
      <c r="F4529" s="12" t="str" cm="1">
        <f t="array" ref="F4529">IF(AND(A4529="2021-03", ISNA(MATCH(B4529, _xlfn._xlws.FILTER(B:B, A:A="2021-04"), 0))), "Left", "Ativo")</f>
        <v>Ativo</v>
      </c>
    </row>
    <row r="4530" spans="1:6" x14ac:dyDescent="0.25">
      <c r="A4530" t="s">
        <v>1532</v>
      </c>
      <c r="B4530" t="s">
        <v>576</v>
      </c>
      <c r="C4530" s="10" t="str" cm="1">
        <f t="array" ref="C4530">IF(AND(A4530="2020-12", ISNA(MATCH(B4530, _xlfn._xlws.FILTER(B:B, A:A="2021-01"), 0))), "Left", "Ativo")</f>
        <v>Ativo</v>
      </c>
      <c r="D4530" s="10" t="str" cm="1">
        <f t="array" ref="D4530">IF(AND(A4530="2021-01", ISNA(MATCH(B4530, _xlfn._xlws.FILTER(B:B, A:A="2021-02"), 0))), "Left", "Ativo")</f>
        <v>Ativo</v>
      </c>
      <c r="E4530" s="10" t="str" cm="1">
        <f t="array" ref="E4530">IF(AND(A4530="2021-02", ISNA(MATCH(B4530, _xlfn._xlws.FILTER(B:B, A:A="2021-03"), 0))), "Left", "Ativo")</f>
        <v>Ativo</v>
      </c>
      <c r="F4530" s="12" t="str" cm="1">
        <f t="array" ref="F4530">IF(AND(A4530="2021-03", ISNA(MATCH(B4530, _xlfn._xlws.FILTER(B:B, A:A="2021-04"), 0))), "Left", "Ativo")</f>
        <v>Ativo</v>
      </c>
    </row>
    <row r="4531" spans="1:6" x14ac:dyDescent="0.25">
      <c r="A4531" t="s">
        <v>1532</v>
      </c>
      <c r="B4531" t="s">
        <v>577</v>
      </c>
      <c r="C4531" s="10" t="str" cm="1">
        <f t="array" ref="C4531">IF(AND(A4531="2020-12", ISNA(MATCH(B4531, _xlfn._xlws.FILTER(B:B, A:A="2021-01"), 0))), "Left", "Ativo")</f>
        <v>Ativo</v>
      </c>
      <c r="D4531" s="10" t="str" cm="1">
        <f t="array" ref="D4531">IF(AND(A4531="2021-01", ISNA(MATCH(B4531, _xlfn._xlws.FILTER(B:B, A:A="2021-02"), 0))), "Left", "Ativo")</f>
        <v>Ativo</v>
      </c>
      <c r="E4531" s="10" t="str" cm="1">
        <f t="array" ref="E4531">IF(AND(A4531="2021-02", ISNA(MATCH(B4531, _xlfn._xlws.FILTER(B:B, A:A="2021-03"), 0))), "Left", "Ativo")</f>
        <v>Ativo</v>
      </c>
      <c r="F4531" s="12" t="str" cm="1">
        <f t="array" ref="F4531">IF(AND(A4531="2021-03", ISNA(MATCH(B4531, _xlfn._xlws.FILTER(B:B, A:A="2021-04"), 0))), "Left", "Ativo")</f>
        <v>Ativo</v>
      </c>
    </row>
    <row r="4532" spans="1:6" x14ac:dyDescent="0.25">
      <c r="A4532" t="s">
        <v>1532</v>
      </c>
      <c r="B4532" t="s">
        <v>582</v>
      </c>
      <c r="C4532" s="10" t="str" cm="1">
        <f t="array" ref="C4532">IF(AND(A4532="2020-12", ISNA(MATCH(B4532, _xlfn._xlws.FILTER(B:B, A:A="2021-01"), 0))), "Left", "Ativo")</f>
        <v>Ativo</v>
      </c>
      <c r="D4532" s="10" t="str" cm="1">
        <f t="array" ref="D4532">IF(AND(A4532="2021-01", ISNA(MATCH(B4532, _xlfn._xlws.FILTER(B:B, A:A="2021-02"), 0))), "Left", "Ativo")</f>
        <v>Ativo</v>
      </c>
      <c r="E4532" s="10" t="str" cm="1">
        <f t="array" ref="E4532">IF(AND(A4532="2021-02", ISNA(MATCH(B4532, _xlfn._xlws.FILTER(B:B, A:A="2021-03"), 0))), "Left", "Ativo")</f>
        <v>Ativo</v>
      </c>
      <c r="F4532" s="12" t="str" cm="1">
        <f t="array" ref="F4532">IF(AND(A4532="2021-03", ISNA(MATCH(B4532, _xlfn._xlws.FILTER(B:B, A:A="2021-04"), 0))), "Left", "Ativo")</f>
        <v>Ativo</v>
      </c>
    </row>
    <row r="4533" spans="1:6" x14ac:dyDescent="0.25">
      <c r="A4533" t="s">
        <v>1532</v>
      </c>
      <c r="B4533" t="s">
        <v>583</v>
      </c>
      <c r="C4533" s="10" t="str" cm="1">
        <f t="array" ref="C4533">IF(AND(A4533="2020-12", ISNA(MATCH(B4533, _xlfn._xlws.FILTER(B:B, A:A="2021-01"), 0))), "Left", "Ativo")</f>
        <v>Ativo</v>
      </c>
      <c r="D4533" s="10" t="str" cm="1">
        <f t="array" ref="D4533">IF(AND(A4533="2021-01", ISNA(MATCH(B4533, _xlfn._xlws.FILTER(B:B, A:A="2021-02"), 0))), "Left", "Ativo")</f>
        <v>Ativo</v>
      </c>
      <c r="E4533" s="10" t="str" cm="1">
        <f t="array" ref="E4533">IF(AND(A4533="2021-02", ISNA(MATCH(B4533, _xlfn._xlws.FILTER(B:B, A:A="2021-03"), 0))), "Left", "Ativo")</f>
        <v>Ativo</v>
      </c>
      <c r="F4533" s="12" t="str" cm="1">
        <f t="array" ref="F4533">IF(AND(A4533="2021-03", ISNA(MATCH(B4533, _xlfn._xlws.FILTER(B:B, A:A="2021-04"), 0))), "Left", "Ativo")</f>
        <v>Ativo</v>
      </c>
    </row>
    <row r="4534" spans="1:6" x14ac:dyDescent="0.25">
      <c r="A4534" t="s">
        <v>1532</v>
      </c>
      <c r="B4534" t="s">
        <v>584</v>
      </c>
      <c r="C4534" s="10" t="str" cm="1">
        <f t="array" ref="C4534">IF(AND(A4534="2020-12", ISNA(MATCH(B4534, _xlfn._xlws.FILTER(B:B, A:A="2021-01"), 0))), "Left", "Ativo")</f>
        <v>Ativo</v>
      </c>
      <c r="D4534" s="10" t="str" cm="1">
        <f t="array" ref="D4534">IF(AND(A4534="2021-01", ISNA(MATCH(B4534, _xlfn._xlws.FILTER(B:B, A:A="2021-02"), 0))), "Left", "Ativo")</f>
        <v>Ativo</v>
      </c>
      <c r="E4534" s="10" t="str" cm="1">
        <f t="array" ref="E4534">IF(AND(A4534="2021-02", ISNA(MATCH(B4534, _xlfn._xlws.FILTER(B:B, A:A="2021-03"), 0))), "Left", "Ativo")</f>
        <v>Ativo</v>
      </c>
      <c r="F4534" s="12" t="str" cm="1">
        <f t="array" ref="F4534">IF(AND(A4534="2021-03", ISNA(MATCH(B4534, _xlfn._xlws.FILTER(B:B, A:A="2021-04"), 0))), "Left", "Ativo")</f>
        <v>Ativo</v>
      </c>
    </row>
    <row r="4535" spans="1:6" x14ac:dyDescent="0.25">
      <c r="A4535" t="s">
        <v>1532</v>
      </c>
      <c r="B4535" t="s">
        <v>585</v>
      </c>
      <c r="C4535" s="10" t="str" cm="1">
        <f t="array" ref="C4535">IF(AND(A4535="2020-12", ISNA(MATCH(B4535, _xlfn._xlws.FILTER(B:B, A:A="2021-01"), 0))), "Left", "Ativo")</f>
        <v>Ativo</v>
      </c>
      <c r="D4535" s="10" t="str" cm="1">
        <f t="array" ref="D4535">IF(AND(A4535="2021-01", ISNA(MATCH(B4535, _xlfn._xlws.FILTER(B:B, A:A="2021-02"), 0))), "Left", "Ativo")</f>
        <v>Ativo</v>
      </c>
      <c r="E4535" s="10" t="str" cm="1">
        <f t="array" ref="E4535">IF(AND(A4535="2021-02", ISNA(MATCH(B4535, _xlfn._xlws.FILTER(B:B, A:A="2021-03"), 0))), "Left", "Ativo")</f>
        <v>Ativo</v>
      </c>
      <c r="F4535" s="12" t="str" cm="1">
        <f t="array" ref="F4535">IF(AND(A4535="2021-03", ISNA(MATCH(B4535, _xlfn._xlws.FILTER(B:B, A:A="2021-04"), 0))), "Left", "Ativo")</f>
        <v>Ativo</v>
      </c>
    </row>
    <row r="4536" spans="1:6" x14ac:dyDescent="0.25">
      <c r="A4536" t="s">
        <v>1532</v>
      </c>
      <c r="B4536" t="s">
        <v>586</v>
      </c>
      <c r="C4536" s="10" t="str" cm="1">
        <f t="array" ref="C4536">IF(AND(A4536="2020-12", ISNA(MATCH(B4536, _xlfn._xlws.FILTER(B:B, A:A="2021-01"), 0))), "Left", "Ativo")</f>
        <v>Ativo</v>
      </c>
      <c r="D4536" s="10" t="str" cm="1">
        <f t="array" ref="D4536">IF(AND(A4536="2021-01", ISNA(MATCH(B4536, _xlfn._xlws.FILTER(B:B, A:A="2021-02"), 0))), "Left", "Ativo")</f>
        <v>Ativo</v>
      </c>
      <c r="E4536" s="10" t="str" cm="1">
        <f t="array" ref="E4536">IF(AND(A4536="2021-02", ISNA(MATCH(B4536, _xlfn._xlws.FILTER(B:B, A:A="2021-03"), 0))), "Left", "Ativo")</f>
        <v>Ativo</v>
      </c>
      <c r="F4536" s="12" t="str" cm="1">
        <f t="array" ref="F4536">IF(AND(A4536="2021-03", ISNA(MATCH(B4536, _xlfn._xlws.FILTER(B:B, A:A="2021-04"), 0))), "Left", "Ativo")</f>
        <v>Ativo</v>
      </c>
    </row>
    <row r="4537" spans="1:6" x14ac:dyDescent="0.25">
      <c r="A4537" t="s">
        <v>1532</v>
      </c>
      <c r="B4537" t="s">
        <v>587</v>
      </c>
      <c r="C4537" s="10" t="str" cm="1">
        <f t="array" ref="C4537">IF(AND(A4537="2020-12", ISNA(MATCH(B4537, _xlfn._xlws.FILTER(B:B, A:A="2021-01"), 0))), "Left", "Ativo")</f>
        <v>Ativo</v>
      </c>
      <c r="D4537" s="10" t="str" cm="1">
        <f t="array" ref="D4537">IF(AND(A4537="2021-01", ISNA(MATCH(B4537, _xlfn._xlws.FILTER(B:B, A:A="2021-02"), 0))), "Left", "Ativo")</f>
        <v>Ativo</v>
      </c>
      <c r="E4537" s="10" t="str" cm="1">
        <f t="array" ref="E4537">IF(AND(A4537="2021-02", ISNA(MATCH(B4537, _xlfn._xlws.FILTER(B:B, A:A="2021-03"), 0))), "Left", "Ativo")</f>
        <v>Ativo</v>
      </c>
      <c r="F4537" s="12" t="str" cm="1">
        <f t="array" ref="F4537">IF(AND(A4537="2021-03", ISNA(MATCH(B4537, _xlfn._xlws.FILTER(B:B, A:A="2021-04"), 0))), "Left", "Ativo")</f>
        <v>Ativo</v>
      </c>
    </row>
    <row r="4538" spans="1:6" x14ac:dyDescent="0.25">
      <c r="A4538" t="s">
        <v>1532</v>
      </c>
      <c r="B4538" t="s">
        <v>588</v>
      </c>
      <c r="C4538" s="10" t="str" cm="1">
        <f t="array" ref="C4538">IF(AND(A4538="2020-12", ISNA(MATCH(B4538, _xlfn._xlws.FILTER(B:B, A:A="2021-01"), 0))), "Left", "Ativo")</f>
        <v>Ativo</v>
      </c>
      <c r="D4538" s="10" t="str" cm="1">
        <f t="array" ref="D4538">IF(AND(A4538="2021-01", ISNA(MATCH(B4538, _xlfn._xlws.FILTER(B:B, A:A="2021-02"), 0))), "Left", "Ativo")</f>
        <v>Ativo</v>
      </c>
      <c r="E4538" s="10" t="str" cm="1">
        <f t="array" ref="E4538">IF(AND(A4538="2021-02", ISNA(MATCH(B4538, _xlfn._xlws.FILTER(B:B, A:A="2021-03"), 0))), "Left", "Ativo")</f>
        <v>Ativo</v>
      </c>
      <c r="F4538" s="12" t="str" cm="1">
        <f t="array" ref="F4538">IF(AND(A4538="2021-03", ISNA(MATCH(B4538, _xlfn._xlws.FILTER(B:B, A:A="2021-04"), 0))), "Left", "Ativo")</f>
        <v>Ativo</v>
      </c>
    </row>
    <row r="4539" spans="1:6" x14ac:dyDescent="0.25">
      <c r="A4539" t="s">
        <v>1532</v>
      </c>
      <c r="B4539" t="s">
        <v>589</v>
      </c>
      <c r="C4539" s="10" t="str" cm="1">
        <f t="array" ref="C4539">IF(AND(A4539="2020-12", ISNA(MATCH(B4539, _xlfn._xlws.FILTER(B:B, A:A="2021-01"), 0))), "Left", "Ativo")</f>
        <v>Ativo</v>
      </c>
      <c r="D4539" s="10" t="str" cm="1">
        <f t="array" ref="D4539">IF(AND(A4539="2021-01", ISNA(MATCH(B4539, _xlfn._xlws.FILTER(B:B, A:A="2021-02"), 0))), "Left", "Ativo")</f>
        <v>Ativo</v>
      </c>
      <c r="E4539" s="10" t="str" cm="1">
        <f t="array" ref="E4539">IF(AND(A4539="2021-02", ISNA(MATCH(B4539, _xlfn._xlws.FILTER(B:B, A:A="2021-03"), 0))), "Left", "Ativo")</f>
        <v>Ativo</v>
      </c>
      <c r="F4539" s="12" t="str" cm="1">
        <f t="array" ref="F4539">IF(AND(A4539="2021-03", ISNA(MATCH(B4539, _xlfn._xlws.FILTER(B:B, A:A="2021-04"), 0))), "Left", "Ativo")</f>
        <v>Ativo</v>
      </c>
    </row>
    <row r="4540" spans="1:6" x14ac:dyDescent="0.25">
      <c r="A4540" t="s">
        <v>1532</v>
      </c>
      <c r="B4540" t="s">
        <v>590</v>
      </c>
      <c r="C4540" s="10" t="str" cm="1">
        <f t="array" ref="C4540">IF(AND(A4540="2020-12", ISNA(MATCH(B4540, _xlfn._xlws.FILTER(B:B, A:A="2021-01"), 0))), "Left", "Ativo")</f>
        <v>Ativo</v>
      </c>
      <c r="D4540" s="10" t="str" cm="1">
        <f t="array" ref="D4540">IF(AND(A4540="2021-01", ISNA(MATCH(B4540, _xlfn._xlws.FILTER(B:B, A:A="2021-02"), 0))), "Left", "Ativo")</f>
        <v>Ativo</v>
      </c>
      <c r="E4540" s="10" t="str" cm="1">
        <f t="array" ref="E4540">IF(AND(A4540="2021-02", ISNA(MATCH(B4540, _xlfn._xlws.FILTER(B:B, A:A="2021-03"), 0))), "Left", "Ativo")</f>
        <v>Ativo</v>
      </c>
      <c r="F4540" s="12" t="str" cm="1">
        <f t="array" ref="F4540">IF(AND(A4540="2021-03", ISNA(MATCH(B4540, _xlfn._xlws.FILTER(B:B, A:A="2021-04"), 0))), "Left", "Ativo")</f>
        <v>Ativo</v>
      </c>
    </row>
    <row r="4541" spans="1:6" x14ac:dyDescent="0.25">
      <c r="A4541" t="s">
        <v>1532</v>
      </c>
      <c r="B4541" t="s">
        <v>591</v>
      </c>
      <c r="C4541" s="10" t="str" cm="1">
        <f t="array" ref="C4541">IF(AND(A4541="2020-12", ISNA(MATCH(B4541, _xlfn._xlws.FILTER(B:B, A:A="2021-01"), 0))), "Left", "Ativo")</f>
        <v>Ativo</v>
      </c>
      <c r="D4541" s="10" t="str" cm="1">
        <f t="array" ref="D4541">IF(AND(A4541="2021-01", ISNA(MATCH(B4541, _xlfn._xlws.FILTER(B:B, A:A="2021-02"), 0))), "Left", "Ativo")</f>
        <v>Ativo</v>
      </c>
      <c r="E4541" s="10" t="str" cm="1">
        <f t="array" ref="E4541">IF(AND(A4541="2021-02", ISNA(MATCH(B4541, _xlfn._xlws.FILTER(B:B, A:A="2021-03"), 0))), "Left", "Ativo")</f>
        <v>Ativo</v>
      </c>
      <c r="F4541" s="12" t="str" cm="1">
        <f t="array" ref="F4541">IF(AND(A4541="2021-03", ISNA(MATCH(B4541, _xlfn._xlws.FILTER(B:B, A:A="2021-04"), 0))), "Left", "Ativo")</f>
        <v>Ativo</v>
      </c>
    </row>
    <row r="4542" spans="1:6" x14ac:dyDescent="0.25">
      <c r="A4542" t="s">
        <v>1532</v>
      </c>
      <c r="B4542" t="s">
        <v>592</v>
      </c>
      <c r="C4542" s="10" t="str" cm="1">
        <f t="array" ref="C4542">IF(AND(A4542="2020-12", ISNA(MATCH(B4542, _xlfn._xlws.FILTER(B:B, A:A="2021-01"), 0))), "Left", "Ativo")</f>
        <v>Ativo</v>
      </c>
      <c r="D4542" s="10" t="str" cm="1">
        <f t="array" ref="D4542">IF(AND(A4542="2021-01", ISNA(MATCH(B4542, _xlfn._xlws.FILTER(B:B, A:A="2021-02"), 0))), "Left", "Ativo")</f>
        <v>Ativo</v>
      </c>
      <c r="E4542" s="10" t="str" cm="1">
        <f t="array" ref="E4542">IF(AND(A4542="2021-02", ISNA(MATCH(B4542, _xlfn._xlws.FILTER(B:B, A:A="2021-03"), 0))), "Left", "Ativo")</f>
        <v>Ativo</v>
      </c>
      <c r="F4542" s="12" t="str" cm="1">
        <f t="array" ref="F4542">IF(AND(A4542="2021-03", ISNA(MATCH(B4542, _xlfn._xlws.FILTER(B:B, A:A="2021-04"), 0))), "Left", "Ativo")</f>
        <v>Ativo</v>
      </c>
    </row>
    <row r="4543" spans="1:6" x14ac:dyDescent="0.25">
      <c r="A4543" t="s">
        <v>1532</v>
      </c>
      <c r="B4543" t="s">
        <v>593</v>
      </c>
      <c r="C4543" s="10" t="str" cm="1">
        <f t="array" ref="C4543">IF(AND(A4543="2020-12", ISNA(MATCH(B4543, _xlfn._xlws.FILTER(B:B, A:A="2021-01"), 0))), "Left", "Ativo")</f>
        <v>Ativo</v>
      </c>
      <c r="D4543" s="10" t="str" cm="1">
        <f t="array" ref="D4543">IF(AND(A4543="2021-01", ISNA(MATCH(B4543, _xlfn._xlws.FILTER(B:B, A:A="2021-02"), 0))), "Left", "Ativo")</f>
        <v>Ativo</v>
      </c>
      <c r="E4543" s="10" t="str" cm="1">
        <f t="array" ref="E4543">IF(AND(A4543="2021-02", ISNA(MATCH(B4543, _xlfn._xlws.FILTER(B:B, A:A="2021-03"), 0))), "Left", "Ativo")</f>
        <v>Ativo</v>
      </c>
      <c r="F4543" s="12" t="str" cm="1">
        <f t="array" ref="F4543">IF(AND(A4543="2021-03", ISNA(MATCH(B4543, _xlfn._xlws.FILTER(B:B, A:A="2021-04"), 0))), "Left", "Ativo")</f>
        <v>Ativo</v>
      </c>
    </row>
    <row r="4544" spans="1:6" x14ac:dyDescent="0.25">
      <c r="A4544" t="s">
        <v>1532</v>
      </c>
      <c r="B4544" t="s">
        <v>594</v>
      </c>
      <c r="C4544" s="10" t="str" cm="1">
        <f t="array" ref="C4544">IF(AND(A4544="2020-12", ISNA(MATCH(B4544, _xlfn._xlws.FILTER(B:B, A:A="2021-01"), 0))), "Left", "Ativo")</f>
        <v>Ativo</v>
      </c>
      <c r="D4544" s="10" t="str" cm="1">
        <f t="array" ref="D4544">IF(AND(A4544="2021-01", ISNA(MATCH(B4544, _xlfn._xlws.FILTER(B:B, A:A="2021-02"), 0))), "Left", "Ativo")</f>
        <v>Ativo</v>
      </c>
      <c r="E4544" s="10" t="str" cm="1">
        <f t="array" ref="E4544">IF(AND(A4544="2021-02", ISNA(MATCH(B4544, _xlfn._xlws.FILTER(B:B, A:A="2021-03"), 0))), "Left", "Ativo")</f>
        <v>Ativo</v>
      </c>
      <c r="F4544" s="12" t="str" cm="1">
        <f t="array" ref="F4544">IF(AND(A4544="2021-03", ISNA(MATCH(B4544, _xlfn._xlws.FILTER(B:B, A:A="2021-04"), 0))), "Left", "Ativo")</f>
        <v>Ativo</v>
      </c>
    </row>
    <row r="4545" spans="1:6" x14ac:dyDescent="0.25">
      <c r="A4545" t="s">
        <v>1532</v>
      </c>
      <c r="B4545" t="s">
        <v>595</v>
      </c>
      <c r="C4545" s="10" t="str" cm="1">
        <f t="array" ref="C4545">IF(AND(A4545="2020-12", ISNA(MATCH(B4545, _xlfn._xlws.FILTER(B:B, A:A="2021-01"), 0))), "Left", "Ativo")</f>
        <v>Ativo</v>
      </c>
      <c r="D4545" s="10" t="str" cm="1">
        <f t="array" ref="D4545">IF(AND(A4545="2021-01", ISNA(MATCH(B4545, _xlfn._xlws.FILTER(B:B, A:A="2021-02"), 0))), "Left", "Ativo")</f>
        <v>Ativo</v>
      </c>
      <c r="E4545" s="10" t="str" cm="1">
        <f t="array" ref="E4545">IF(AND(A4545="2021-02", ISNA(MATCH(B4545, _xlfn._xlws.FILTER(B:B, A:A="2021-03"), 0))), "Left", "Ativo")</f>
        <v>Ativo</v>
      </c>
      <c r="F4545" s="12" t="str" cm="1">
        <f t="array" ref="F4545">IF(AND(A4545="2021-03", ISNA(MATCH(B4545, _xlfn._xlws.FILTER(B:B, A:A="2021-04"), 0))), "Left", "Ativo")</f>
        <v>Ativo</v>
      </c>
    </row>
    <row r="4546" spans="1:6" x14ac:dyDescent="0.25">
      <c r="A4546" t="s">
        <v>1532</v>
      </c>
      <c r="B4546" t="s">
        <v>596</v>
      </c>
      <c r="C4546" s="10" t="str" cm="1">
        <f t="array" ref="C4546">IF(AND(A4546="2020-12", ISNA(MATCH(B4546, _xlfn._xlws.FILTER(B:B, A:A="2021-01"), 0))), "Left", "Ativo")</f>
        <v>Ativo</v>
      </c>
      <c r="D4546" s="10" t="str" cm="1">
        <f t="array" ref="D4546">IF(AND(A4546="2021-01", ISNA(MATCH(B4546, _xlfn._xlws.FILTER(B:B, A:A="2021-02"), 0))), "Left", "Ativo")</f>
        <v>Ativo</v>
      </c>
      <c r="E4546" s="10" t="str" cm="1">
        <f t="array" ref="E4546">IF(AND(A4546="2021-02", ISNA(MATCH(B4546, _xlfn._xlws.FILTER(B:B, A:A="2021-03"), 0))), "Left", "Ativo")</f>
        <v>Ativo</v>
      </c>
      <c r="F4546" s="12" t="str" cm="1">
        <f t="array" ref="F4546">IF(AND(A4546="2021-03", ISNA(MATCH(B4546, _xlfn._xlws.FILTER(B:B, A:A="2021-04"), 0))), "Left", "Ativo")</f>
        <v>Ativo</v>
      </c>
    </row>
    <row r="4547" spans="1:6" x14ac:dyDescent="0.25">
      <c r="A4547" t="s">
        <v>1532</v>
      </c>
      <c r="B4547" t="s">
        <v>597</v>
      </c>
      <c r="C4547" s="10" t="str" cm="1">
        <f t="array" ref="C4547">IF(AND(A4547="2020-12", ISNA(MATCH(B4547, _xlfn._xlws.FILTER(B:B, A:A="2021-01"), 0))), "Left", "Ativo")</f>
        <v>Ativo</v>
      </c>
      <c r="D4547" s="10" t="str" cm="1">
        <f t="array" ref="D4547">IF(AND(A4547="2021-01", ISNA(MATCH(B4547, _xlfn._xlws.FILTER(B:B, A:A="2021-02"), 0))), "Left", "Ativo")</f>
        <v>Ativo</v>
      </c>
      <c r="E4547" s="10" t="str" cm="1">
        <f t="array" ref="E4547">IF(AND(A4547="2021-02", ISNA(MATCH(B4547, _xlfn._xlws.FILTER(B:B, A:A="2021-03"), 0))), "Left", "Ativo")</f>
        <v>Ativo</v>
      </c>
      <c r="F4547" s="12" t="str" cm="1">
        <f t="array" ref="F4547">IF(AND(A4547="2021-03", ISNA(MATCH(B4547, _xlfn._xlws.FILTER(B:B, A:A="2021-04"), 0))), "Left", "Ativo")</f>
        <v>Ativo</v>
      </c>
    </row>
    <row r="4548" spans="1:6" x14ac:dyDescent="0.25">
      <c r="A4548" t="s">
        <v>1532</v>
      </c>
      <c r="B4548" t="s">
        <v>598</v>
      </c>
      <c r="C4548" s="10" t="str" cm="1">
        <f t="array" ref="C4548">IF(AND(A4548="2020-12", ISNA(MATCH(B4548, _xlfn._xlws.FILTER(B:B, A:A="2021-01"), 0))), "Left", "Ativo")</f>
        <v>Ativo</v>
      </c>
      <c r="D4548" s="10" t="str" cm="1">
        <f t="array" ref="D4548">IF(AND(A4548="2021-01", ISNA(MATCH(B4548, _xlfn._xlws.FILTER(B:B, A:A="2021-02"), 0))), "Left", "Ativo")</f>
        <v>Ativo</v>
      </c>
      <c r="E4548" s="10" t="str" cm="1">
        <f t="array" ref="E4548">IF(AND(A4548="2021-02", ISNA(MATCH(B4548, _xlfn._xlws.FILTER(B:B, A:A="2021-03"), 0))), "Left", "Ativo")</f>
        <v>Ativo</v>
      </c>
      <c r="F4548" s="12" t="str" cm="1">
        <f t="array" ref="F4548">IF(AND(A4548="2021-03", ISNA(MATCH(B4548, _xlfn._xlws.FILTER(B:B, A:A="2021-04"), 0))), "Left", "Ativo")</f>
        <v>Ativo</v>
      </c>
    </row>
    <row r="4549" spans="1:6" x14ac:dyDescent="0.25">
      <c r="A4549" t="s">
        <v>1532</v>
      </c>
      <c r="B4549" t="s">
        <v>599</v>
      </c>
      <c r="C4549" s="10" t="str" cm="1">
        <f t="array" ref="C4549">IF(AND(A4549="2020-12", ISNA(MATCH(B4549, _xlfn._xlws.FILTER(B:B, A:A="2021-01"), 0))), "Left", "Ativo")</f>
        <v>Ativo</v>
      </c>
      <c r="D4549" s="10" t="str" cm="1">
        <f t="array" ref="D4549">IF(AND(A4549="2021-01", ISNA(MATCH(B4549, _xlfn._xlws.FILTER(B:B, A:A="2021-02"), 0))), "Left", "Ativo")</f>
        <v>Ativo</v>
      </c>
      <c r="E4549" s="10" t="str" cm="1">
        <f t="array" ref="E4549">IF(AND(A4549="2021-02", ISNA(MATCH(B4549, _xlfn._xlws.FILTER(B:B, A:A="2021-03"), 0))), "Left", "Ativo")</f>
        <v>Ativo</v>
      </c>
      <c r="F4549" s="12" t="str" cm="1">
        <f t="array" ref="F4549">IF(AND(A4549="2021-03", ISNA(MATCH(B4549, _xlfn._xlws.FILTER(B:B, A:A="2021-04"), 0))), "Left", "Ativo")</f>
        <v>Ativo</v>
      </c>
    </row>
    <row r="4550" spans="1:6" x14ac:dyDescent="0.25">
      <c r="A4550" t="s">
        <v>1532</v>
      </c>
      <c r="B4550" t="s">
        <v>600</v>
      </c>
      <c r="C4550" s="10" t="str" cm="1">
        <f t="array" ref="C4550">IF(AND(A4550="2020-12", ISNA(MATCH(B4550, _xlfn._xlws.FILTER(B:B, A:A="2021-01"), 0))), "Left", "Ativo")</f>
        <v>Ativo</v>
      </c>
      <c r="D4550" s="10" t="str" cm="1">
        <f t="array" ref="D4550">IF(AND(A4550="2021-01", ISNA(MATCH(B4550, _xlfn._xlws.FILTER(B:B, A:A="2021-02"), 0))), "Left", "Ativo")</f>
        <v>Ativo</v>
      </c>
      <c r="E4550" s="10" t="str" cm="1">
        <f t="array" ref="E4550">IF(AND(A4550="2021-02", ISNA(MATCH(B4550, _xlfn._xlws.FILTER(B:B, A:A="2021-03"), 0))), "Left", "Ativo")</f>
        <v>Ativo</v>
      </c>
      <c r="F4550" s="12" t="str" cm="1">
        <f t="array" ref="F4550">IF(AND(A4550="2021-03", ISNA(MATCH(B4550, _xlfn._xlws.FILTER(B:B, A:A="2021-04"), 0))), "Left", "Ativo")</f>
        <v>Ativo</v>
      </c>
    </row>
    <row r="4551" spans="1:6" x14ac:dyDescent="0.25">
      <c r="A4551" t="s">
        <v>1532</v>
      </c>
      <c r="B4551" t="s">
        <v>606</v>
      </c>
      <c r="C4551" s="10" t="str" cm="1">
        <f t="array" ref="C4551">IF(AND(A4551="2020-12", ISNA(MATCH(B4551, _xlfn._xlws.FILTER(B:B, A:A="2021-01"), 0))), "Left", "Ativo")</f>
        <v>Ativo</v>
      </c>
      <c r="D4551" s="10" t="str" cm="1">
        <f t="array" ref="D4551">IF(AND(A4551="2021-01", ISNA(MATCH(B4551, _xlfn._xlws.FILTER(B:B, A:A="2021-02"), 0))), "Left", "Ativo")</f>
        <v>Ativo</v>
      </c>
      <c r="E4551" s="10" t="str" cm="1">
        <f t="array" ref="E4551">IF(AND(A4551="2021-02", ISNA(MATCH(B4551, _xlfn._xlws.FILTER(B:B, A:A="2021-03"), 0))), "Left", "Ativo")</f>
        <v>Ativo</v>
      </c>
      <c r="F4551" s="12" t="str" cm="1">
        <f t="array" ref="F4551">IF(AND(A4551="2021-03", ISNA(MATCH(B4551, _xlfn._xlws.FILTER(B:B, A:A="2021-04"), 0))), "Left", "Ativo")</f>
        <v>Ativo</v>
      </c>
    </row>
    <row r="4552" spans="1:6" x14ac:dyDescent="0.25">
      <c r="A4552" t="s">
        <v>1532</v>
      </c>
      <c r="B4552" t="s">
        <v>607</v>
      </c>
      <c r="C4552" s="10" t="str" cm="1">
        <f t="array" ref="C4552">IF(AND(A4552="2020-12", ISNA(MATCH(B4552, _xlfn._xlws.FILTER(B:B, A:A="2021-01"), 0))), "Left", "Ativo")</f>
        <v>Ativo</v>
      </c>
      <c r="D4552" s="10" t="str" cm="1">
        <f t="array" ref="D4552">IF(AND(A4552="2021-01", ISNA(MATCH(B4552, _xlfn._xlws.FILTER(B:B, A:A="2021-02"), 0))), "Left", "Ativo")</f>
        <v>Ativo</v>
      </c>
      <c r="E4552" s="10" t="str" cm="1">
        <f t="array" ref="E4552">IF(AND(A4552="2021-02", ISNA(MATCH(B4552, _xlfn._xlws.FILTER(B:B, A:A="2021-03"), 0))), "Left", "Ativo")</f>
        <v>Ativo</v>
      </c>
      <c r="F4552" s="12" t="str" cm="1">
        <f t="array" ref="F4552">IF(AND(A4552="2021-03", ISNA(MATCH(B4552, _xlfn._xlws.FILTER(B:B, A:A="2021-04"), 0))), "Left", "Ativo")</f>
        <v>Ativo</v>
      </c>
    </row>
    <row r="4553" spans="1:6" x14ac:dyDescent="0.25">
      <c r="A4553" t="s">
        <v>1532</v>
      </c>
      <c r="B4553" t="s">
        <v>608</v>
      </c>
      <c r="C4553" s="10" t="str" cm="1">
        <f t="array" ref="C4553">IF(AND(A4553="2020-12", ISNA(MATCH(B4553, _xlfn._xlws.FILTER(B:B, A:A="2021-01"), 0))), "Left", "Ativo")</f>
        <v>Ativo</v>
      </c>
      <c r="D4553" s="10" t="str" cm="1">
        <f t="array" ref="D4553">IF(AND(A4553="2021-01", ISNA(MATCH(B4553, _xlfn._xlws.FILTER(B:B, A:A="2021-02"), 0))), "Left", "Ativo")</f>
        <v>Ativo</v>
      </c>
      <c r="E4553" s="10" t="str" cm="1">
        <f t="array" ref="E4553">IF(AND(A4553="2021-02", ISNA(MATCH(B4553, _xlfn._xlws.FILTER(B:B, A:A="2021-03"), 0))), "Left", "Ativo")</f>
        <v>Ativo</v>
      </c>
      <c r="F4553" s="12" t="str" cm="1">
        <f t="array" ref="F4553">IF(AND(A4553="2021-03", ISNA(MATCH(B4553, _xlfn._xlws.FILTER(B:B, A:A="2021-04"), 0))), "Left", "Ativo")</f>
        <v>Ativo</v>
      </c>
    </row>
    <row r="4554" spans="1:6" x14ac:dyDescent="0.25">
      <c r="A4554" t="s">
        <v>1532</v>
      </c>
      <c r="B4554" t="s">
        <v>609</v>
      </c>
      <c r="C4554" s="10" t="str" cm="1">
        <f t="array" ref="C4554">IF(AND(A4554="2020-12", ISNA(MATCH(B4554, _xlfn._xlws.FILTER(B:B, A:A="2021-01"), 0))), "Left", "Ativo")</f>
        <v>Ativo</v>
      </c>
      <c r="D4554" s="10" t="str" cm="1">
        <f t="array" ref="D4554">IF(AND(A4554="2021-01", ISNA(MATCH(B4554, _xlfn._xlws.FILTER(B:B, A:A="2021-02"), 0))), "Left", "Ativo")</f>
        <v>Ativo</v>
      </c>
      <c r="E4554" s="10" t="str" cm="1">
        <f t="array" ref="E4554">IF(AND(A4554="2021-02", ISNA(MATCH(B4554, _xlfn._xlws.FILTER(B:B, A:A="2021-03"), 0))), "Left", "Ativo")</f>
        <v>Ativo</v>
      </c>
      <c r="F4554" s="12" t="str" cm="1">
        <f t="array" ref="F4554">IF(AND(A4554="2021-03", ISNA(MATCH(B4554, _xlfn._xlws.FILTER(B:B, A:A="2021-04"), 0))), "Left", "Ativo")</f>
        <v>Ativo</v>
      </c>
    </row>
    <row r="4555" spans="1:6" x14ac:dyDescent="0.25">
      <c r="A4555" t="s">
        <v>1532</v>
      </c>
      <c r="B4555" t="s">
        <v>610</v>
      </c>
      <c r="C4555" s="10" t="str" cm="1">
        <f t="array" ref="C4555">IF(AND(A4555="2020-12", ISNA(MATCH(B4555, _xlfn._xlws.FILTER(B:B, A:A="2021-01"), 0))), "Left", "Ativo")</f>
        <v>Ativo</v>
      </c>
      <c r="D4555" s="10" t="str" cm="1">
        <f t="array" ref="D4555">IF(AND(A4555="2021-01", ISNA(MATCH(B4555, _xlfn._xlws.FILTER(B:B, A:A="2021-02"), 0))), "Left", "Ativo")</f>
        <v>Ativo</v>
      </c>
      <c r="E4555" s="10" t="str" cm="1">
        <f t="array" ref="E4555">IF(AND(A4555="2021-02", ISNA(MATCH(B4555, _xlfn._xlws.FILTER(B:B, A:A="2021-03"), 0))), "Left", "Ativo")</f>
        <v>Ativo</v>
      </c>
      <c r="F4555" s="12" t="str" cm="1">
        <f t="array" ref="F4555">IF(AND(A4555="2021-03", ISNA(MATCH(B4555, _xlfn._xlws.FILTER(B:B, A:A="2021-04"), 0))), "Left", "Ativo")</f>
        <v>Ativo</v>
      </c>
    </row>
    <row r="4556" spans="1:6" x14ac:dyDescent="0.25">
      <c r="A4556" t="s">
        <v>1532</v>
      </c>
      <c r="B4556" t="s">
        <v>611</v>
      </c>
      <c r="C4556" s="10" t="str" cm="1">
        <f t="array" ref="C4556">IF(AND(A4556="2020-12", ISNA(MATCH(B4556, _xlfn._xlws.FILTER(B:B, A:A="2021-01"), 0))), "Left", "Ativo")</f>
        <v>Ativo</v>
      </c>
      <c r="D4556" s="10" t="str" cm="1">
        <f t="array" ref="D4556">IF(AND(A4556="2021-01", ISNA(MATCH(B4556, _xlfn._xlws.FILTER(B:B, A:A="2021-02"), 0))), "Left", "Ativo")</f>
        <v>Ativo</v>
      </c>
      <c r="E4556" s="10" t="str" cm="1">
        <f t="array" ref="E4556">IF(AND(A4556="2021-02", ISNA(MATCH(B4556, _xlfn._xlws.FILTER(B:B, A:A="2021-03"), 0))), "Left", "Ativo")</f>
        <v>Ativo</v>
      </c>
      <c r="F4556" s="12" t="str" cm="1">
        <f t="array" ref="F4556">IF(AND(A4556="2021-03", ISNA(MATCH(B4556, _xlfn._xlws.FILTER(B:B, A:A="2021-04"), 0))), "Left", "Ativo")</f>
        <v>Ativo</v>
      </c>
    </row>
    <row r="4557" spans="1:6" x14ac:dyDescent="0.25">
      <c r="A4557" t="s">
        <v>1532</v>
      </c>
      <c r="B4557" t="s">
        <v>612</v>
      </c>
      <c r="C4557" s="10" t="str" cm="1">
        <f t="array" ref="C4557">IF(AND(A4557="2020-12", ISNA(MATCH(B4557, _xlfn._xlws.FILTER(B:B, A:A="2021-01"), 0))), "Left", "Ativo")</f>
        <v>Ativo</v>
      </c>
      <c r="D4557" s="10" t="str" cm="1">
        <f t="array" ref="D4557">IF(AND(A4557="2021-01", ISNA(MATCH(B4557, _xlfn._xlws.FILTER(B:B, A:A="2021-02"), 0))), "Left", "Ativo")</f>
        <v>Ativo</v>
      </c>
      <c r="E4557" s="10" t="str" cm="1">
        <f t="array" ref="E4557">IF(AND(A4557="2021-02", ISNA(MATCH(B4557, _xlfn._xlws.FILTER(B:B, A:A="2021-03"), 0))), "Left", "Ativo")</f>
        <v>Ativo</v>
      </c>
      <c r="F4557" s="12" t="str" cm="1">
        <f t="array" ref="F4557">IF(AND(A4557="2021-03", ISNA(MATCH(B4557, _xlfn._xlws.FILTER(B:B, A:A="2021-04"), 0))), "Left", "Ativo")</f>
        <v>Ativo</v>
      </c>
    </row>
    <row r="4558" spans="1:6" x14ac:dyDescent="0.25">
      <c r="A4558" t="s">
        <v>1532</v>
      </c>
      <c r="B4558" t="s">
        <v>615</v>
      </c>
      <c r="C4558" s="10" t="str" cm="1">
        <f t="array" ref="C4558">IF(AND(A4558="2020-12", ISNA(MATCH(B4558, _xlfn._xlws.FILTER(B:B, A:A="2021-01"), 0))), "Left", "Ativo")</f>
        <v>Ativo</v>
      </c>
      <c r="D4558" s="10" t="str" cm="1">
        <f t="array" ref="D4558">IF(AND(A4558="2021-01", ISNA(MATCH(B4558, _xlfn._xlws.FILTER(B:B, A:A="2021-02"), 0))), "Left", "Ativo")</f>
        <v>Ativo</v>
      </c>
      <c r="E4558" s="10" t="str" cm="1">
        <f t="array" ref="E4558">IF(AND(A4558="2021-02", ISNA(MATCH(B4558, _xlfn._xlws.FILTER(B:B, A:A="2021-03"), 0))), "Left", "Ativo")</f>
        <v>Ativo</v>
      </c>
      <c r="F4558" s="12" t="str" cm="1">
        <f t="array" ref="F4558">IF(AND(A4558="2021-03", ISNA(MATCH(B4558, _xlfn._xlws.FILTER(B:B, A:A="2021-04"), 0))), "Left", "Ativo")</f>
        <v>Ativo</v>
      </c>
    </row>
    <row r="4559" spans="1:6" x14ac:dyDescent="0.25">
      <c r="A4559" t="s">
        <v>1532</v>
      </c>
      <c r="B4559" t="s">
        <v>616</v>
      </c>
      <c r="C4559" s="10" t="str" cm="1">
        <f t="array" ref="C4559">IF(AND(A4559="2020-12", ISNA(MATCH(B4559, _xlfn._xlws.FILTER(B:B, A:A="2021-01"), 0))), "Left", "Ativo")</f>
        <v>Ativo</v>
      </c>
      <c r="D4559" s="10" t="str" cm="1">
        <f t="array" ref="D4559">IF(AND(A4559="2021-01", ISNA(MATCH(B4559, _xlfn._xlws.FILTER(B:B, A:A="2021-02"), 0))), "Left", "Ativo")</f>
        <v>Ativo</v>
      </c>
      <c r="E4559" s="10" t="str" cm="1">
        <f t="array" ref="E4559">IF(AND(A4559="2021-02", ISNA(MATCH(B4559, _xlfn._xlws.FILTER(B:B, A:A="2021-03"), 0))), "Left", "Ativo")</f>
        <v>Ativo</v>
      </c>
      <c r="F4559" s="12" t="str" cm="1">
        <f t="array" ref="F4559">IF(AND(A4559="2021-03", ISNA(MATCH(B4559, _xlfn._xlws.FILTER(B:B, A:A="2021-04"), 0))), "Left", "Ativo")</f>
        <v>Ativo</v>
      </c>
    </row>
    <row r="4560" spans="1:6" x14ac:dyDescent="0.25">
      <c r="A4560" t="s">
        <v>1532</v>
      </c>
      <c r="B4560" t="s">
        <v>617</v>
      </c>
      <c r="C4560" s="10" t="str" cm="1">
        <f t="array" ref="C4560">IF(AND(A4560="2020-12", ISNA(MATCH(B4560, _xlfn._xlws.FILTER(B:B, A:A="2021-01"), 0))), "Left", "Ativo")</f>
        <v>Ativo</v>
      </c>
      <c r="D4560" s="10" t="str" cm="1">
        <f t="array" ref="D4560">IF(AND(A4560="2021-01", ISNA(MATCH(B4560, _xlfn._xlws.FILTER(B:B, A:A="2021-02"), 0))), "Left", "Ativo")</f>
        <v>Ativo</v>
      </c>
      <c r="E4560" s="10" t="str" cm="1">
        <f t="array" ref="E4560">IF(AND(A4560="2021-02", ISNA(MATCH(B4560, _xlfn._xlws.FILTER(B:B, A:A="2021-03"), 0))), "Left", "Ativo")</f>
        <v>Ativo</v>
      </c>
      <c r="F4560" s="12" t="str" cm="1">
        <f t="array" ref="F4560">IF(AND(A4560="2021-03", ISNA(MATCH(B4560, _xlfn._xlws.FILTER(B:B, A:A="2021-04"), 0))), "Left", "Ativo")</f>
        <v>Ativo</v>
      </c>
    </row>
    <row r="4561" spans="1:6" x14ac:dyDescent="0.25">
      <c r="A4561" t="s">
        <v>1532</v>
      </c>
      <c r="B4561" t="s">
        <v>618</v>
      </c>
      <c r="C4561" s="10" t="str" cm="1">
        <f t="array" ref="C4561">IF(AND(A4561="2020-12", ISNA(MATCH(B4561, _xlfn._xlws.FILTER(B:B, A:A="2021-01"), 0))), "Left", "Ativo")</f>
        <v>Ativo</v>
      </c>
      <c r="D4561" s="10" t="str" cm="1">
        <f t="array" ref="D4561">IF(AND(A4561="2021-01", ISNA(MATCH(B4561, _xlfn._xlws.FILTER(B:B, A:A="2021-02"), 0))), "Left", "Ativo")</f>
        <v>Ativo</v>
      </c>
      <c r="E4561" s="10" t="str" cm="1">
        <f t="array" ref="E4561">IF(AND(A4561="2021-02", ISNA(MATCH(B4561, _xlfn._xlws.FILTER(B:B, A:A="2021-03"), 0))), "Left", "Ativo")</f>
        <v>Ativo</v>
      </c>
      <c r="F4561" s="12" t="str" cm="1">
        <f t="array" ref="F4561">IF(AND(A4561="2021-03", ISNA(MATCH(B4561, _xlfn._xlws.FILTER(B:B, A:A="2021-04"), 0))), "Left", "Ativo")</f>
        <v>Ativo</v>
      </c>
    </row>
    <row r="4562" spans="1:6" x14ac:dyDescent="0.25">
      <c r="A4562" t="s">
        <v>1532</v>
      </c>
      <c r="B4562" t="s">
        <v>619</v>
      </c>
      <c r="C4562" s="10" t="str" cm="1">
        <f t="array" ref="C4562">IF(AND(A4562="2020-12", ISNA(MATCH(B4562, _xlfn._xlws.FILTER(B:B, A:A="2021-01"), 0))), "Left", "Ativo")</f>
        <v>Ativo</v>
      </c>
      <c r="D4562" s="10" t="str" cm="1">
        <f t="array" ref="D4562">IF(AND(A4562="2021-01", ISNA(MATCH(B4562, _xlfn._xlws.FILTER(B:B, A:A="2021-02"), 0))), "Left", "Ativo")</f>
        <v>Ativo</v>
      </c>
      <c r="E4562" s="10" t="str" cm="1">
        <f t="array" ref="E4562">IF(AND(A4562="2021-02", ISNA(MATCH(B4562, _xlfn._xlws.FILTER(B:B, A:A="2021-03"), 0))), "Left", "Ativo")</f>
        <v>Ativo</v>
      </c>
      <c r="F4562" s="12" t="str" cm="1">
        <f t="array" ref="F4562">IF(AND(A4562="2021-03", ISNA(MATCH(B4562, _xlfn._xlws.FILTER(B:B, A:A="2021-04"), 0))), "Left", "Ativo")</f>
        <v>Ativo</v>
      </c>
    </row>
    <row r="4563" spans="1:6" x14ac:dyDescent="0.25">
      <c r="A4563" t="s">
        <v>1532</v>
      </c>
      <c r="B4563" t="s">
        <v>620</v>
      </c>
      <c r="C4563" s="10" t="str" cm="1">
        <f t="array" ref="C4563">IF(AND(A4563="2020-12", ISNA(MATCH(B4563, _xlfn._xlws.FILTER(B:B, A:A="2021-01"), 0))), "Left", "Ativo")</f>
        <v>Ativo</v>
      </c>
      <c r="D4563" s="10" t="str" cm="1">
        <f t="array" ref="D4563">IF(AND(A4563="2021-01", ISNA(MATCH(B4563, _xlfn._xlws.FILTER(B:B, A:A="2021-02"), 0))), "Left", "Ativo")</f>
        <v>Ativo</v>
      </c>
      <c r="E4563" s="10" t="str" cm="1">
        <f t="array" ref="E4563">IF(AND(A4563="2021-02", ISNA(MATCH(B4563, _xlfn._xlws.FILTER(B:B, A:A="2021-03"), 0))), "Left", "Ativo")</f>
        <v>Ativo</v>
      </c>
      <c r="F4563" s="12" t="str" cm="1">
        <f t="array" ref="F4563">IF(AND(A4563="2021-03", ISNA(MATCH(B4563, _xlfn._xlws.FILTER(B:B, A:A="2021-04"), 0))), "Left", "Ativo")</f>
        <v>Ativo</v>
      </c>
    </row>
    <row r="4564" spans="1:6" x14ac:dyDescent="0.25">
      <c r="A4564" t="s">
        <v>1532</v>
      </c>
      <c r="B4564" t="s">
        <v>621</v>
      </c>
      <c r="C4564" s="10" t="str" cm="1">
        <f t="array" ref="C4564">IF(AND(A4564="2020-12", ISNA(MATCH(B4564, _xlfn._xlws.FILTER(B:B, A:A="2021-01"), 0))), "Left", "Ativo")</f>
        <v>Ativo</v>
      </c>
      <c r="D4564" s="10" t="str" cm="1">
        <f t="array" ref="D4564">IF(AND(A4564="2021-01", ISNA(MATCH(B4564, _xlfn._xlws.FILTER(B:B, A:A="2021-02"), 0))), "Left", "Ativo")</f>
        <v>Ativo</v>
      </c>
      <c r="E4564" s="10" t="str" cm="1">
        <f t="array" ref="E4564">IF(AND(A4564="2021-02", ISNA(MATCH(B4564, _xlfn._xlws.FILTER(B:B, A:A="2021-03"), 0))), "Left", "Ativo")</f>
        <v>Ativo</v>
      </c>
      <c r="F4564" s="12" t="str" cm="1">
        <f t="array" ref="F4564">IF(AND(A4564="2021-03", ISNA(MATCH(B4564, _xlfn._xlws.FILTER(B:B, A:A="2021-04"), 0))), "Left", "Ativo")</f>
        <v>Ativo</v>
      </c>
    </row>
    <row r="4565" spans="1:6" x14ac:dyDescent="0.25">
      <c r="A4565" t="s">
        <v>1532</v>
      </c>
      <c r="B4565" t="s">
        <v>622</v>
      </c>
      <c r="C4565" s="10" t="str" cm="1">
        <f t="array" ref="C4565">IF(AND(A4565="2020-12", ISNA(MATCH(B4565, _xlfn._xlws.FILTER(B:B, A:A="2021-01"), 0))), "Left", "Ativo")</f>
        <v>Ativo</v>
      </c>
      <c r="D4565" s="10" t="str" cm="1">
        <f t="array" ref="D4565">IF(AND(A4565="2021-01", ISNA(MATCH(B4565, _xlfn._xlws.FILTER(B:B, A:A="2021-02"), 0))), "Left", "Ativo")</f>
        <v>Ativo</v>
      </c>
      <c r="E4565" s="10" t="str" cm="1">
        <f t="array" ref="E4565">IF(AND(A4565="2021-02", ISNA(MATCH(B4565, _xlfn._xlws.FILTER(B:B, A:A="2021-03"), 0))), "Left", "Ativo")</f>
        <v>Ativo</v>
      </c>
      <c r="F4565" s="12" t="str" cm="1">
        <f t="array" ref="F4565">IF(AND(A4565="2021-03", ISNA(MATCH(B4565, _xlfn._xlws.FILTER(B:B, A:A="2021-04"), 0))), "Left", "Ativo")</f>
        <v>Ativo</v>
      </c>
    </row>
    <row r="4566" spans="1:6" x14ac:dyDescent="0.25">
      <c r="A4566" t="s">
        <v>1532</v>
      </c>
      <c r="B4566" t="s">
        <v>623</v>
      </c>
      <c r="C4566" s="10" t="str" cm="1">
        <f t="array" ref="C4566">IF(AND(A4566="2020-12", ISNA(MATCH(B4566, _xlfn._xlws.FILTER(B:B, A:A="2021-01"), 0))), "Left", "Ativo")</f>
        <v>Ativo</v>
      </c>
      <c r="D4566" s="10" t="str" cm="1">
        <f t="array" ref="D4566">IF(AND(A4566="2021-01", ISNA(MATCH(B4566, _xlfn._xlws.FILTER(B:B, A:A="2021-02"), 0))), "Left", "Ativo")</f>
        <v>Ativo</v>
      </c>
      <c r="E4566" s="10" t="str" cm="1">
        <f t="array" ref="E4566">IF(AND(A4566="2021-02", ISNA(MATCH(B4566, _xlfn._xlws.FILTER(B:B, A:A="2021-03"), 0))), "Left", "Ativo")</f>
        <v>Ativo</v>
      </c>
      <c r="F4566" s="12" t="str" cm="1">
        <f t="array" ref="F4566">IF(AND(A4566="2021-03", ISNA(MATCH(B4566, _xlfn._xlws.FILTER(B:B, A:A="2021-04"), 0))), "Left", "Ativo")</f>
        <v>Ativo</v>
      </c>
    </row>
    <row r="4567" spans="1:6" x14ac:dyDescent="0.25">
      <c r="A4567" t="s">
        <v>1532</v>
      </c>
      <c r="B4567" t="s">
        <v>624</v>
      </c>
      <c r="C4567" s="10" t="str" cm="1">
        <f t="array" ref="C4567">IF(AND(A4567="2020-12", ISNA(MATCH(B4567, _xlfn._xlws.FILTER(B:B, A:A="2021-01"), 0))), "Left", "Ativo")</f>
        <v>Ativo</v>
      </c>
      <c r="D4567" s="10" t="str" cm="1">
        <f t="array" ref="D4567">IF(AND(A4567="2021-01", ISNA(MATCH(B4567, _xlfn._xlws.FILTER(B:B, A:A="2021-02"), 0))), "Left", "Ativo")</f>
        <v>Ativo</v>
      </c>
      <c r="E4567" s="10" t="str" cm="1">
        <f t="array" ref="E4567">IF(AND(A4567="2021-02", ISNA(MATCH(B4567, _xlfn._xlws.FILTER(B:B, A:A="2021-03"), 0))), "Left", "Ativo")</f>
        <v>Ativo</v>
      </c>
      <c r="F4567" s="12" t="str" cm="1">
        <f t="array" ref="F4567">IF(AND(A4567="2021-03", ISNA(MATCH(B4567, _xlfn._xlws.FILTER(B:B, A:A="2021-04"), 0))), "Left", "Ativo")</f>
        <v>Ativo</v>
      </c>
    </row>
    <row r="4568" spans="1:6" x14ac:dyDescent="0.25">
      <c r="A4568" t="s">
        <v>1532</v>
      </c>
      <c r="B4568" t="s">
        <v>625</v>
      </c>
      <c r="C4568" s="10" t="str" cm="1">
        <f t="array" ref="C4568">IF(AND(A4568="2020-12", ISNA(MATCH(B4568, _xlfn._xlws.FILTER(B:B, A:A="2021-01"), 0))), "Left", "Ativo")</f>
        <v>Ativo</v>
      </c>
      <c r="D4568" s="10" t="str" cm="1">
        <f t="array" ref="D4568">IF(AND(A4568="2021-01", ISNA(MATCH(B4568, _xlfn._xlws.FILTER(B:B, A:A="2021-02"), 0))), "Left", "Ativo")</f>
        <v>Ativo</v>
      </c>
      <c r="E4568" s="10" t="str" cm="1">
        <f t="array" ref="E4568">IF(AND(A4568="2021-02", ISNA(MATCH(B4568, _xlfn._xlws.FILTER(B:B, A:A="2021-03"), 0))), "Left", "Ativo")</f>
        <v>Ativo</v>
      </c>
      <c r="F4568" s="12" t="str" cm="1">
        <f t="array" ref="F4568">IF(AND(A4568="2021-03", ISNA(MATCH(B4568, _xlfn._xlws.FILTER(B:B, A:A="2021-04"), 0))), "Left", "Ativo")</f>
        <v>Ativo</v>
      </c>
    </row>
    <row r="4569" spans="1:6" x14ac:dyDescent="0.25">
      <c r="A4569" t="s">
        <v>1532</v>
      </c>
      <c r="B4569" t="s">
        <v>626</v>
      </c>
      <c r="C4569" s="10" t="str" cm="1">
        <f t="array" ref="C4569">IF(AND(A4569="2020-12", ISNA(MATCH(B4569, _xlfn._xlws.FILTER(B:B, A:A="2021-01"), 0))), "Left", "Ativo")</f>
        <v>Ativo</v>
      </c>
      <c r="D4569" s="10" t="str" cm="1">
        <f t="array" ref="D4569">IF(AND(A4569="2021-01", ISNA(MATCH(B4569, _xlfn._xlws.FILTER(B:B, A:A="2021-02"), 0))), "Left", "Ativo")</f>
        <v>Ativo</v>
      </c>
      <c r="E4569" s="10" t="str" cm="1">
        <f t="array" ref="E4569">IF(AND(A4569="2021-02", ISNA(MATCH(B4569, _xlfn._xlws.FILTER(B:B, A:A="2021-03"), 0))), "Left", "Ativo")</f>
        <v>Ativo</v>
      </c>
      <c r="F4569" s="12" t="str" cm="1">
        <f t="array" ref="F4569">IF(AND(A4569="2021-03", ISNA(MATCH(B4569, _xlfn._xlws.FILTER(B:B, A:A="2021-04"), 0))), "Left", "Ativo")</f>
        <v>Ativo</v>
      </c>
    </row>
    <row r="4570" spans="1:6" x14ac:dyDescent="0.25">
      <c r="A4570" t="s">
        <v>1532</v>
      </c>
      <c r="B4570" t="s">
        <v>627</v>
      </c>
      <c r="C4570" s="10" t="str" cm="1">
        <f t="array" ref="C4570">IF(AND(A4570="2020-12", ISNA(MATCH(B4570, _xlfn._xlws.FILTER(B:B, A:A="2021-01"), 0))), "Left", "Ativo")</f>
        <v>Ativo</v>
      </c>
      <c r="D4570" s="10" t="str" cm="1">
        <f t="array" ref="D4570">IF(AND(A4570="2021-01", ISNA(MATCH(B4570, _xlfn._xlws.FILTER(B:B, A:A="2021-02"), 0))), "Left", "Ativo")</f>
        <v>Ativo</v>
      </c>
      <c r="E4570" s="10" t="str" cm="1">
        <f t="array" ref="E4570">IF(AND(A4570="2021-02", ISNA(MATCH(B4570, _xlfn._xlws.FILTER(B:B, A:A="2021-03"), 0))), "Left", "Ativo")</f>
        <v>Ativo</v>
      </c>
      <c r="F4570" s="12" t="str" cm="1">
        <f t="array" ref="F4570">IF(AND(A4570="2021-03", ISNA(MATCH(B4570, _xlfn._xlws.FILTER(B:B, A:A="2021-04"), 0))), "Left", "Ativo")</f>
        <v>Ativo</v>
      </c>
    </row>
    <row r="4571" spans="1:6" x14ac:dyDescent="0.25">
      <c r="A4571" t="s">
        <v>1532</v>
      </c>
      <c r="B4571" t="s">
        <v>628</v>
      </c>
      <c r="C4571" s="10" t="str" cm="1">
        <f t="array" ref="C4571">IF(AND(A4571="2020-12", ISNA(MATCH(B4571, _xlfn._xlws.FILTER(B:B, A:A="2021-01"), 0))), "Left", "Ativo")</f>
        <v>Ativo</v>
      </c>
      <c r="D4571" s="10" t="str" cm="1">
        <f t="array" ref="D4571">IF(AND(A4571="2021-01", ISNA(MATCH(B4571, _xlfn._xlws.FILTER(B:B, A:A="2021-02"), 0))), "Left", "Ativo")</f>
        <v>Ativo</v>
      </c>
      <c r="E4571" s="10" t="str" cm="1">
        <f t="array" ref="E4571">IF(AND(A4571="2021-02", ISNA(MATCH(B4571, _xlfn._xlws.FILTER(B:B, A:A="2021-03"), 0))), "Left", "Ativo")</f>
        <v>Ativo</v>
      </c>
      <c r="F4571" s="12" t="str" cm="1">
        <f t="array" ref="F4571">IF(AND(A4571="2021-03", ISNA(MATCH(B4571, _xlfn._xlws.FILTER(B:B, A:A="2021-04"), 0))), "Left", "Ativo")</f>
        <v>Ativo</v>
      </c>
    </row>
    <row r="4572" spans="1:6" x14ac:dyDescent="0.25">
      <c r="A4572" t="s">
        <v>1532</v>
      </c>
      <c r="B4572" t="s">
        <v>629</v>
      </c>
      <c r="C4572" s="10" t="str" cm="1">
        <f t="array" ref="C4572">IF(AND(A4572="2020-12", ISNA(MATCH(B4572, _xlfn._xlws.FILTER(B:B, A:A="2021-01"), 0))), "Left", "Ativo")</f>
        <v>Ativo</v>
      </c>
      <c r="D4572" s="10" t="str" cm="1">
        <f t="array" ref="D4572">IF(AND(A4572="2021-01", ISNA(MATCH(B4572, _xlfn._xlws.FILTER(B:B, A:A="2021-02"), 0))), "Left", "Ativo")</f>
        <v>Ativo</v>
      </c>
      <c r="E4572" s="10" t="str" cm="1">
        <f t="array" ref="E4572">IF(AND(A4572="2021-02", ISNA(MATCH(B4572, _xlfn._xlws.FILTER(B:B, A:A="2021-03"), 0))), "Left", "Ativo")</f>
        <v>Ativo</v>
      </c>
      <c r="F4572" s="12" t="str" cm="1">
        <f t="array" ref="F4572">IF(AND(A4572="2021-03", ISNA(MATCH(B4572, _xlfn._xlws.FILTER(B:B, A:A="2021-04"), 0))), "Left", "Ativo")</f>
        <v>Ativo</v>
      </c>
    </row>
    <row r="4573" spans="1:6" x14ac:dyDescent="0.25">
      <c r="A4573" t="s">
        <v>1532</v>
      </c>
      <c r="B4573" t="s">
        <v>630</v>
      </c>
      <c r="C4573" s="10" t="str" cm="1">
        <f t="array" ref="C4573">IF(AND(A4573="2020-12", ISNA(MATCH(B4573, _xlfn._xlws.FILTER(B:B, A:A="2021-01"), 0))), "Left", "Ativo")</f>
        <v>Ativo</v>
      </c>
      <c r="D4573" s="10" t="str" cm="1">
        <f t="array" ref="D4573">IF(AND(A4573="2021-01", ISNA(MATCH(B4573, _xlfn._xlws.FILTER(B:B, A:A="2021-02"), 0))), "Left", "Ativo")</f>
        <v>Ativo</v>
      </c>
      <c r="E4573" s="10" t="str" cm="1">
        <f t="array" ref="E4573">IF(AND(A4573="2021-02", ISNA(MATCH(B4573, _xlfn._xlws.FILTER(B:B, A:A="2021-03"), 0))), "Left", "Ativo")</f>
        <v>Ativo</v>
      </c>
      <c r="F4573" s="12" t="str" cm="1">
        <f t="array" ref="F4573">IF(AND(A4573="2021-03", ISNA(MATCH(B4573, _xlfn._xlws.FILTER(B:B, A:A="2021-04"), 0))), "Left", "Ativo")</f>
        <v>Ativo</v>
      </c>
    </row>
    <row r="4574" spans="1:6" x14ac:dyDescent="0.25">
      <c r="A4574" t="s">
        <v>1532</v>
      </c>
      <c r="B4574" t="s">
        <v>631</v>
      </c>
      <c r="C4574" s="10" t="str" cm="1">
        <f t="array" ref="C4574">IF(AND(A4574="2020-12", ISNA(MATCH(B4574, _xlfn._xlws.FILTER(B:B, A:A="2021-01"), 0))), "Left", "Ativo")</f>
        <v>Ativo</v>
      </c>
      <c r="D4574" s="10" t="str" cm="1">
        <f t="array" ref="D4574">IF(AND(A4574="2021-01", ISNA(MATCH(B4574, _xlfn._xlws.FILTER(B:B, A:A="2021-02"), 0))), "Left", "Ativo")</f>
        <v>Ativo</v>
      </c>
      <c r="E4574" s="10" t="str" cm="1">
        <f t="array" ref="E4574">IF(AND(A4574="2021-02", ISNA(MATCH(B4574, _xlfn._xlws.FILTER(B:B, A:A="2021-03"), 0))), "Left", "Ativo")</f>
        <v>Ativo</v>
      </c>
      <c r="F4574" s="12" t="str" cm="1">
        <f t="array" ref="F4574">IF(AND(A4574="2021-03", ISNA(MATCH(B4574, _xlfn._xlws.FILTER(B:B, A:A="2021-04"), 0))), "Left", "Ativo")</f>
        <v>Ativo</v>
      </c>
    </row>
    <row r="4575" spans="1:6" x14ac:dyDescent="0.25">
      <c r="A4575" t="s">
        <v>1532</v>
      </c>
      <c r="B4575" t="s">
        <v>632</v>
      </c>
      <c r="C4575" s="10" t="str" cm="1">
        <f t="array" ref="C4575">IF(AND(A4575="2020-12", ISNA(MATCH(B4575, _xlfn._xlws.FILTER(B:B, A:A="2021-01"), 0))), "Left", "Ativo")</f>
        <v>Ativo</v>
      </c>
      <c r="D4575" s="10" t="str" cm="1">
        <f t="array" ref="D4575">IF(AND(A4575="2021-01", ISNA(MATCH(B4575, _xlfn._xlws.FILTER(B:B, A:A="2021-02"), 0))), "Left", "Ativo")</f>
        <v>Ativo</v>
      </c>
      <c r="E4575" s="10" t="str" cm="1">
        <f t="array" ref="E4575">IF(AND(A4575="2021-02", ISNA(MATCH(B4575, _xlfn._xlws.FILTER(B:B, A:A="2021-03"), 0))), "Left", "Ativo")</f>
        <v>Ativo</v>
      </c>
      <c r="F4575" s="12" t="str" cm="1">
        <f t="array" ref="F4575">IF(AND(A4575="2021-03", ISNA(MATCH(B4575, _xlfn._xlws.FILTER(B:B, A:A="2021-04"), 0))), "Left", "Ativo")</f>
        <v>Ativo</v>
      </c>
    </row>
    <row r="4576" spans="1:6" x14ac:dyDescent="0.25">
      <c r="A4576" t="s">
        <v>1532</v>
      </c>
      <c r="B4576" t="s">
        <v>633</v>
      </c>
      <c r="C4576" s="10" t="str" cm="1">
        <f t="array" ref="C4576">IF(AND(A4576="2020-12", ISNA(MATCH(B4576, _xlfn._xlws.FILTER(B:B, A:A="2021-01"), 0))), "Left", "Ativo")</f>
        <v>Ativo</v>
      </c>
      <c r="D4576" s="10" t="str" cm="1">
        <f t="array" ref="D4576">IF(AND(A4576="2021-01", ISNA(MATCH(B4576, _xlfn._xlws.FILTER(B:B, A:A="2021-02"), 0))), "Left", "Ativo")</f>
        <v>Ativo</v>
      </c>
      <c r="E4576" s="10" t="str" cm="1">
        <f t="array" ref="E4576">IF(AND(A4576="2021-02", ISNA(MATCH(B4576, _xlfn._xlws.FILTER(B:B, A:A="2021-03"), 0))), "Left", "Ativo")</f>
        <v>Ativo</v>
      </c>
      <c r="F4576" s="12" t="str" cm="1">
        <f t="array" ref="F4576">IF(AND(A4576="2021-03", ISNA(MATCH(B4576, _xlfn._xlws.FILTER(B:B, A:A="2021-04"), 0))), "Left", "Ativo")</f>
        <v>Ativo</v>
      </c>
    </row>
    <row r="4577" spans="1:6" x14ac:dyDescent="0.25">
      <c r="A4577" t="s">
        <v>1532</v>
      </c>
      <c r="B4577" t="s">
        <v>634</v>
      </c>
      <c r="C4577" s="10" t="str" cm="1">
        <f t="array" ref="C4577">IF(AND(A4577="2020-12", ISNA(MATCH(B4577, _xlfn._xlws.FILTER(B:B, A:A="2021-01"), 0))), "Left", "Ativo")</f>
        <v>Ativo</v>
      </c>
      <c r="D4577" s="10" t="str" cm="1">
        <f t="array" ref="D4577">IF(AND(A4577="2021-01", ISNA(MATCH(B4577, _xlfn._xlws.FILTER(B:B, A:A="2021-02"), 0))), "Left", "Ativo")</f>
        <v>Ativo</v>
      </c>
      <c r="E4577" s="10" t="str" cm="1">
        <f t="array" ref="E4577">IF(AND(A4577="2021-02", ISNA(MATCH(B4577, _xlfn._xlws.FILTER(B:B, A:A="2021-03"), 0))), "Left", "Ativo")</f>
        <v>Ativo</v>
      </c>
      <c r="F4577" s="12" t="str" cm="1">
        <f t="array" ref="F4577">IF(AND(A4577="2021-03", ISNA(MATCH(B4577, _xlfn._xlws.FILTER(B:B, A:A="2021-04"), 0))), "Left", "Ativo")</f>
        <v>Ativo</v>
      </c>
    </row>
    <row r="4578" spans="1:6" x14ac:dyDescent="0.25">
      <c r="A4578" t="s">
        <v>1532</v>
      </c>
      <c r="B4578" t="s">
        <v>635</v>
      </c>
      <c r="C4578" s="10" t="str" cm="1">
        <f t="array" ref="C4578">IF(AND(A4578="2020-12", ISNA(MATCH(B4578, _xlfn._xlws.FILTER(B:B, A:A="2021-01"), 0))), "Left", "Ativo")</f>
        <v>Ativo</v>
      </c>
      <c r="D4578" s="10" t="str" cm="1">
        <f t="array" ref="D4578">IF(AND(A4578="2021-01", ISNA(MATCH(B4578, _xlfn._xlws.FILTER(B:B, A:A="2021-02"), 0))), "Left", "Ativo")</f>
        <v>Ativo</v>
      </c>
      <c r="E4578" s="10" t="str" cm="1">
        <f t="array" ref="E4578">IF(AND(A4578="2021-02", ISNA(MATCH(B4578, _xlfn._xlws.FILTER(B:B, A:A="2021-03"), 0))), "Left", "Ativo")</f>
        <v>Ativo</v>
      </c>
      <c r="F4578" s="12" t="str" cm="1">
        <f t="array" ref="F4578">IF(AND(A4578="2021-03", ISNA(MATCH(B4578, _xlfn._xlws.FILTER(B:B, A:A="2021-04"), 0))), "Left", "Ativo")</f>
        <v>Ativo</v>
      </c>
    </row>
    <row r="4579" spans="1:6" x14ac:dyDescent="0.25">
      <c r="A4579" t="s">
        <v>1532</v>
      </c>
      <c r="B4579" t="s">
        <v>636</v>
      </c>
      <c r="C4579" s="10" t="str" cm="1">
        <f t="array" ref="C4579">IF(AND(A4579="2020-12", ISNA(MATCH(B4579, _xlfn._xlws.FILTER(B:B, A:A="2021-01"), 0))), "Left", "Ativo")</f>
        <v>Ativo</v>
      </c>
      <c r="D4579" s="10" t="str" cm="1">
        <f t="array" ref="D4579">IF(AND(A4579="2021-01", ISNA(MATCH(B4579, _xlfn._xlws.FILTER(B:B, A:A="2021-02"), 0))), "Left", "Ativo")</f>
        <v>Ativo</v>
      </c>
      <c r="E4579" s="10" t="str" cm="1">
        <f t="array" ref="E4579">IF(AND(A4579="2021-02", ISNA(MATCH(B4579, _xlfn._xlws.FILTER(B:B, A:A="2021-03"), 0))), "Left", "Ativo")</f>
        <v>Ativo</v>
      </c>
      <c r="F4579" s="12" t="str" cm="1">
        <f t="array" ref="F4579">IF(AND(A4579="2021-03", ISNA(MATCH(B4579, _xlfn._xlws.FILTER(B:B, A:A="2021-04"), 0))), "Left", "Ativo")</f>
        <v>Ativo</v>
      </c>
    </row>
    <row r="4580" spans="1:6" x14ac:dyDescent="0.25">
      <c r="A4580" t="s">
        <v>1532</v>
      </c>
      <c r="B4580" t="s">
        <v>637</v>
      </c>
      <c r="C4580" s="10" t="str" cm="1">
        <f t="array" ref="C4580">IF(AND(A4580="2020-12", ISNA(MATCH(B4580, _xlfn._xlws.FILTER(B:B, A:A="2021-01"), 0))), "Left", "Ativo")</f>
        <v>Ativo</v>
      </c>
      <c r="D4580" s="10" t="str" cm="1">
        <f t="array" ref="D4580">IF(AND(A4580="2021-01", ISNA(MATCH(B4580, _xlfn._xlws.FILTER(B:B, A:A="2021-02"), 0))), "Left", "Ativo")</f>
        <v>Ativo</v>
      </c>
      <c r="E4580" s="10" t="str" cm="1">
        <f t="array" ref="E4580">IF(AND(A4580="2021-02", ISNA(MATCH(B4580, _xlfn._xlws.FILTER(B:B, A:A="2021-03"), 0))), "Left", "Ativo")</f>
        <v>Ativo</v>
      </c>
      <c r="F4580" s="12" t="str" cm="1">
        <f t="array" ref="F4580">IF(AND(A4580="2021-03", ISNA(MATCH(B4580, _xlfn._xlws.FILTER(B:B, A:A="2021-04"), 0))), "Left", "Ativo")</f>
        <v>Ativo</v>
      </c>
    </row>
    <row r="4581" spans="1:6" x14ac:dyDescent="0.25">
      <c r="A4581" t="s">
        <v>1532</v>
      </c>
      <c r="B4581" t="s">
        <v>638</v>
      </c>
      <c r="C4581" s="10" t="str" cm="1">
        <f t="array" ref="C4581">IF(AND(A4581="2020-12", ISNA(MATCH(B4581, _xlfn._xlws.FILTER(B:B, A:A="2021-01"), 0))), "Left", "Ativo")</f>
        <v>Ativo</v>
      </c>
      <c r="D4581" s="10" t="str" cm="1">
        <f t="array" ref="D4581">IF(AND(A4581="2021-01", ISNA(MATCH(B4581, _xlfn._xlws.FILTER(B:B, A:A="2021-02"), 0))), "Left", "Ativo")</f>
        <v>Ativo</v>
      </c>
      <c r="E4581" s="10" t="str" cm="1">
        <f t="array" ref="E4581">IF(AND(A4581="2021-02", ISNA(MATCH(B4581, _xlfn._xlws.FILTER(B:B, A:A="2021-03"), 0))), "Left", "Ativo")</f>
        <v>Ativo</v>
      </c>
      <c r="F4581" s="12" t="str" cm="1">
        <f t="array" ref="F4581">IF(AND(A4581="2021-03", ISNA(MATCH(B4581, _xlfn._xlws.FILTER(B:B, A:A="2021-04"), 0))), "Left", "Ativo")</f>
        <v>Ativo</v>
      </c>
    </row>
    <row r="4582" spans="1:6" x14ac:dyDescent="0.25">
      <c r="A4582" t="s">
        <v>1532</v>
      </c>
      <c r="B4582" t="s">
        <v>639</v>
      </c>
      <c r="C4582" s="10" t="str" cm="1">
        <f t="array" ref="C4582">IF(AND(A4582="2020-12", ISNA(MATCH(B4582, _xlfn._xlws.FILTER(B:B, A:A="2021-01"), 0))), "Left", "Ativo")</f>
        <v>Ativo</v>
      </c>
      <c r="D4582" s="10" t="str" cm="1">
        <f t="array" ref="D4582">IF(AND(A4582="2021-01", ISNA(MATCH(B4582, _xlfn._xlws.FILTER(B:B, A:A="2021-02"), 0))), "Left", "Ativo")</f>
        <v>Ativo</v>
      </c>
      <c r="E4582" s="10" t="str" cm="1">
        <f t="array" ref="E4582">IF(AND(A4582="2021-02", ISNA(MATCH(B4582, _xlfn._xlws.FILTER(B:B, A:A="2021-03"), 0))), "Left", "Ativo")</f>
        <v>Ativo</v>
      </c>
      <c r="F4582" s="12" t="str" cm="1">
        <f t="array" ref="F4582">IF(AND(A4582="2021-03", ISNA(MATCH(B4582, _xlfn._xlws.FILTER(B:B, A:A="2021-04"), 0))), "Left", "Ativo")</f>
        <v>Ativo</v>
      </c>
    </row>
    <row r="4583" spans="1:6" x14ac:dyDescent="0.25">
      <c r="A4583" t="s">
        <v>1532</v>
      </c>
      <c r="B4583" t="s">
        <v>640</v>
      </c>
      <c r="C4583" s="10" t="str" cm="1">
        <f t="array" ref="C4583">IF(AND(A4583="2020-12", ISNA(MATCH(B4583, _xlfn._xlws.FILTER(B:B, A:A="2021-01"), 0))), "Left", "Ativo")</f>
        <v>Ativo</v>
      </c>
      <c r="D4583" s="10" t="str" cm="1">
        <f t="array" ref="D4583">IF(AND(A4583="2021-01", ISNA(MATCH(B4583, _xlfn._xlws.FILTER(B:B, A:A="2021-02"), 0))), "Left", "Ativo")</f>
        <v>Ativo</v>
      </c>
      <c r="E4583" s="10" t="str" cm="1">
        <f t="array" ref="E4583">IF(AND(A4583="2021-02", ISNA(MATCH(B4583, _xlfn._xlws.FILTER(B:B, A:A="2021-03"), 0))), "Left", "Ativo")</f>
        <v>Ativo</v>
      </c>
      <c r="F4583" s="12" t="str" cm="1">
        <f t="array" ref="F4583">IF(AND(A4583="2021-03", ISNA(MATCH(B4583, _xlfn._xlws.FILTER(B:B, A:A="2021-04"), 0))), "Left", "Ativo")</f>
        <v>Ativo</v>
      </c>
    </row>
    <row r="4584" spans="1:6" x14ac:dyDescent="0.25">
      <c r="A4584" t="s">
        <v>1532</v>
      </c>
      <c r="B4584" t="s">
        <v>641</v>
      </c>
      <c r="C4584" s="10" t="str" cm="1">
        <f t="array" ref="C4584">IF(AND(A4584="2020-12", ISNA(MATCH(B4584, _xlfn._xlws.FILTER(B:B, A:A="2021-01"), 0))), "Left", "Ativo")</f>
        <v>Ativo</v>
      </c>
      <c r="D4584" s="10" t="str" cm="1">
        <f t="array" ref="D4584">IF(AND(A4584="2021-01", ISNA(MATCH(B4584, _xlfn._xlws.FILTER(B:B, A:A="2021-02"), 0))), "Left", "Ativo")</f>
        <v>Ativo</v>
      </c>
      <c r="E4584" s="10" t="str" cm="1">
        <f t="array" ref="E4584">IF(AND(A4584="2021-02", ISNA(MATCH(B4584, _xlfn._xlws.FILTER(B:B, A:A="2021-03"), 0))), "Left", "Ativo")</f>
        <v>Ativo</v>
      </c>
      <c r="F4584" s="12" t="str" cm="1">
        <f t="array" ref="F4584">IF(AND(A4584="2021-03", ISNA(MATCH(B4584, _xlfn._xlws.FILTER(B:B, A:A="2021-04"), 0))), "Left", "Ativo")</f>
        <v>Ativo</v>
      </c>
    </row>
    <row r="4585" spans="1:6" x14ac:dyDescent="0.25">
      <c r="A4585" t="s">
        <v>1532</v>
      </c>
      <c r="B4585" t="s">
        <v>642</v>
      </c>
      <c r="C4585" s="10" t="str" cm="1">
        <f t="array" ref="C4585">IF(AND(A4585="2020-12", ISNA(MATCH(B4585, _xlfn._xlws.FILTER(B:B, A:A="2021-01"), 0))), "Left", "Ativo")</f>
        <v>Ativo</v>
      </c>
      <c r="D4585" s="10" t="str" cm="1">
        <f t="array" ref="D4585">IF(AND(A4585="2021-01", ISNA(MATCH(B4585, _xlfn._xlws.FILTER(B:B, A:A="2021-02"), 0))), "Left", "Ativo")</f>
        <v>Ativo</v>
      </c>
      <c r="E4585" s="10" t="str" cm="1">
        <f t="array" ref="E4585">IF(AND(A4585="2021-02", ISNA(MATCH(B4585, _xlfn._xlws.FILTER(B:B, A:A="2021-03"), 0))), "Left", "Ativo")</f>
        <v>Ativo</v>
      </c>
      <c r="F4585" s="12" t="str" cm="1">
        <f t="array" ref="F4585">IF(AND(A4585="2021-03", ISNA(MATCH(B4585, _xlfn._xlws.FILTER(B:B, A:A="2021-04"), 0))), "Left", "Ativo")</f>
        <v>Ativo</v>
      </c>
    </row>
    <row r="4586" spans="1:6" x14ac:dyDescent="0.25">
      <c r="A4586" t="s">
        <v>1532</v>
      </c>
      <c r="B4586" t="s">
        <v>643</v>
      </c>
      <c r="C4586" s="10" t="str" cm="1">
        <f t="array" ref="C4586">IF(AND(A4586="2020-12", ISNA(MATCH(B4586, _xlfn._xlws.FILTER(B:B, A:A="2021-01"), 0))), "Left", "Ativo")</f>
        <v>Ativo</v>
      </c>
      <c r="D4586" s="10" t="str" cm="1">
        <f t="array" ref="D4586">IF(AND(A4586="2021-01", ISNA(MATCH(B4586, _xlfn._xlws.FILTER(B:B, A:A="2021-02"), 0))), "Left", "Ativo")</f>
        <v>Ativo</v>
      </c>
      <c r="E4586" s="10" t="str" cm="1">
        <f t="array" ref="E4586">IF(AND(A4586="2021-02", ISNA(MATCH(B4586, _xlfn._xlws.FILTER(B:B, A:A="2021-03"), 0))), "Left", "Ativo")</f>
        <v>Ativo</v>
      </c>
      <c r="F4586" s="12" t="str" cm="1">
        <f t="array" ref="F4586">IF(AND(A4586="2021-03", ISNA(MATCH(B4586, _xlfn._xlws.FILTER(B:B, A:A="2021-04"), 0))), "Left", "Ativo")</f>
        <v>Ativo</v>
      </c>
    </row>
    <row r="4587" spans="1:6" x14ac:dyDescent="0.25">
      <c r="A4587" t="s">
        <v>1532</v>
      </c>
      <c r="B4587" t="s">
        <v>646</v>
      </c>
      <c r="C4587" s="10" t="str" cm="1">
        <f t="array" ref="C4587">IF(AND(A4587="2020-12", ISNA(MATCH(B4587, _xlfn._xlws.FILTER(B:B, A:A="2021-01"), 0))), "Left", "Ativo")</f>
        <v>Ativo</v>
      </c>
      <c r="D4587" s="10" t="str" cm="1">
        <f t="array" ref="D4587">IF(AND(A4587="2021-01", ISNA(MATCH(B4587, _xlfn._xlws.FILTER(B:B, A:A="2021-02"), 0))), "Left", "Ativo")</f>
        <v>Ativo</v>
      </c>
      <c r="E4587" s="10" t="str" cm="1">
        <f t="array" ref="E4587">IF(AND(A4587="2021-02", ISNA(MATCH(B4587, _xlfn._xlws.FILTER(B:B, A:A="2021-03"), 0))), "Left", "Ativo")</f>
        <v>Ativo</v>
      </c>
      <c r="F4587" s="12" t="str" cm="1">
        <f t="array" ref="F4587">IF(AND(A4587="2021-03", ISNA(MATCH(B4587, _xlfn._xlws.FILTER(B:B, A:A="2021-04"), 0))), "Left", "Ativo")</f>
        <v>Ativo</v>
      </c>
    </row>
    <row r="4588" spans="1:6" x14ac:dyDescent="0.25">
      <c r="A4588" t="s">
        <v>1532</v>
      </c>
      <c r="B4588" t="s">
        <v>647</v>
      </c>
      <c r="C4588" s="10" t="str" cm="1">
        <f t="array" ref="C4588">IF(AND(A4588="2020-12", ISNA(MATCH(B4588, _xlfn._xlws.FILTER(B:B, A:A="2021-01"), 0))), "Left", "Ativo")</f>
        <v>Ativo</v>
      </c>
      <c r="D4588" s="10" t="str" cm="1">
        <f t="array" ref="D4588">IF(AND(A4588="2021-01", ISNA(MATCH(B4588, _xlfn._xlws.FILTER(B:B, A:A="2021-02"), 0))), "Left", "Ativo")</f>
        <v>Ativo</v>
      </c>
      <c r="E4588" s="10" t="str" cm="1">
        <f t="array" ref="E4588">IF(AND(A4588="2021-02", ISNA(MATCH(B4588, _xlfn._xlws.FILTER(B:B, A:A="2021-03"), 0))), "Left", "Ativo")</f>
        <v>Ativo</v>
      </c>
      <c r="F4588" s="12" t="str" cm="1">
        <f t="array" ref="F4588">IF(AND(A4588="2021-03", ISNA(MATCH(B4588, _xlfn._xlws.FILTER(B:B, A:A="2021-04"), 0))), "Left", "Ativo")</f>
        <v>Ativo</v>
      </c>
    </row>
    <row r="4589" spans="1:6" x14ac:dyDescent="0.25">
      <c r="A4589" t="s">
        <v>1532</v>
      </c>
      <c r="B4589" t="s">
        <v>649</v>
      </c>
      <c r="C4589" s="10" t="str" cm="1">
        <f t="array" ref="C4589">IF(AND(A4589="2020-12", ISNA(MATCH(B4589, _xlfn._xlws.FILTER(B:B, A:A="2021-01"), 0))), "Left", "Ativo")</f>
        <v>Ativo</v>
      </c>
      <c r="D4589" s="10" t="str" cm="1">
        <f t="array" ref="D4589">IF(AND(A4589="2021-01", ISNA(MATCH(B4589, _xlfn._xlws.FILTER(B:B, A:A="2021-02"), 0))), "Left", "Ativo")</f>
        <v>Ativo</v>
      </c>
      <c r="E4589" s="10" t="str" cm="1">
        <f t="array" ref="E4589">IF(AND(A4589="2021-02", ISNA(MATCH(B4589, _xlfn._xlws.FILTER(B:B, A:A="2021-03"), 0))), "Left", "Ativo")</f>
        <v>Ativo</v>
      </c>
      <c r="F4589" s="12" t="str" cm="1">
        <f t="array" ref="F4589">IF(AND(A4589="2021-03", ISNA(MATCH(B4589, _xlfn._xlws.FILTER(B:B, A:A="2021-04"), 0))), "Left", "Ativo")</f>
        <v>Ativo</v>
      </c>
    </row>
    <row r="4590" spans="1:6" x14ac:dyDescent="0.25">
      <c r="A4590" t="s">
        <v>1532</v>
      </c>
      <c r="B4590" t="s">
        <v>650</v>
      </c>
      <c r="C4590" s="10" t="str" cm="1">
        <f t="array" ref="C4590">IF(AND(A4590="2020-12", ISNA(MATCH(B4590, _xlfn._xlws.FILTER(B:B, A:A="2021-01"), 0))), "Left", "Ativo")</f>
        <v>Ativo</v>
      </c>
      <c r="D4590" s="10" t="str" cm="1">
        <f t="array" ref="D4590">IF(AND(A4590="2021-01", ISNA(MATCH(B4590, _xlfn._xlws.FILTER(B:B, A:A="2021-02"), 0))), "Left", "Ativo")</f>
        <v>Ativo</v>
      </c>
      <c r="E4590" s="10" t="str" cm="1">
        <f t="array" ref="E4590">IF(AND(A4590="2021-02", ISNA(MATCH(B4590, _xlfn._xlws.FILTER(B:B, A:A="2021-03"), 0))), "Left", "Ativo")</f>
        <v>Ativo</v>
      </c>
      <c r="F4590" s="12" t="str" cm="1">
        <f t="array" ref="F4590">IF(AND(A4590="2021-03", ISNA(MATCH(B4590, _xlfn._xlws.FILTER(B:B, A:A="2021-04"), 0))), "Left", "Ativo")</f>
        <v>Ativo</v>
      </c>
    </row>
    <row r="4591" spans="1:6" x14ac:dyDescent="0.25">
      <c r="A4591" t="s">
        <v>1532</v>
      </c>
      <c r="B4591" t="s">
        <v>651</v>
      </c>
      <c r="C4591" s="10" t="str" cm="1">
        <f t="array" ref="C4591">IF(AND(A4591="2020-12", ISNA(MATCH(B4591, _xlfn._xlws.FILTER(B:B, A:A="2021-01"), 0))), "Left", "Ativo")</f>
        <v>Ativo</v>
      </c>
      <c r="D4591" s="10" t="str" cm="1">
        <f t="array" ref="D4591">IF(AND(A4591="2021-01", ISNA(MATCH(B4591, _xlfn._xlws.FILTER(B:B, A:A="2021-02"), 0))), "Left", "Ativo")</f>
        <v>Ativo</v>
      </c>
      <c r="E4591" s="10" t="str" cm="1">
        <f t="array" ref="E4591">IF(AND(A4591="2021-02", ISNA(MATCH(B4591, _xlfn._xlws.FILTER(B:B, A:A="2021-03"), 0))), "Left", "Ativo")</f>
        <v>Ativo</v>
      </c>
      <c r="F4591" s="12" t="str" cm="1">
        <f t="array" ref="F4591">IF(AND(A4591="2021-03", ISNA(MATCH(B4591, _xlfn._xlws.FILTER(B:B, A:A="2021-04"), 0))), "Left", "Ativo")</f>
        <v>Ativo</v>
      </c>
    </row>
    <row r="4592" spans="1:6" x14ac:dyDescent="0.25">
      <c r="A4592" t="s">
        <v>1532</v>
      </c>
      <c r="B4592" t="s">
        <v>652</v>
      </c>
      <c r="C4592" s="10" t="str" cm="1">
        <f t="array" ref="C4592">IF(AND(A4592="2020-12", ISNA(MATCH(B4592, _xlfn._xlws.FILTER(B:B, A:A="2021-01"), 0))), "Left", "Ativo")</f>
        <v>Ativo</v>
      </c>
      <c r="D4592" s="10" t="str" cm="1">
        <f t="array" ref="D4592">IF(AND(A4592="2021-01", ISNA(MATCH(B4592, _xlfn._xlws.FILTER(B:B, A:A="2021-02"), 0))), "Left", "Ativo")</f>
        <v>Ativo</v>
      </c>
      <c r="E4592" s="10" t="str" cm="1">
        <f t="array" ref="E4592">IF(AND(A4592="2021-02", ISNA(MATCH(B4592, _xlfn._xlws.FILTER(B:B, A:A="2021-03"), 0))), "Left", "Ativo")</f>
        <v>Ativo</v>
      </c>
      <c r="F4592" s="12" t="str" cm="1">
        <f t="array" ref="F4592">IF(AND(A4592="2021-03", ISNA(MATCH(B4592, _xlfn._xlws.FILTER(B:B, A:A="2021-04"), 0))), "Left", "Ativo")</f>
        <v>Ativo</v>
      </c>
    </row>
    <row r="4593" spans="1:6" x14ac:dyDescent="0.25">
      <c r="A4593" t="s">
        <v>1532</v>
      </c>
      <c r="B4593" t="s">
        <v>653</v>
      </c>
      <c r="C4593" s="10" t="str" cm="1">
        <f t="array" ref="C4593">IF(AND(A4593="2020-12", ISNA(MATCH(B4593, _xlfn._xlws.FILTER(B:B, A:A="2021-01"), 0))), "Left", "Ativo")</f>
        <v>Ativo</v>
      </c>
      <c r="D4593" s="10" t="str" cm="1">
        <f t="array" ref="D4593">IF(AND(A4593="2021-01", ISNA(MATCH(B4593, _xlfn._xlws.FILTER(B:B, A:A="2021-02"), 0))), "Left", "Ativo")</f>
        <v>Ativo</v>
      </c>
      <c r="E4593" s="10" t="str" cm="1">
        <f t="array" ref="E4593">IF(AND(A4593="2021-02", ISNA(MATCH(B4593, _xlfn._xlws.FILTER(B:B, A:A="2021-03"), 0))), "Left", "Ativo")</f>
        <v>Ativo</v>
      </c>
      <c r="F4593" s="12" t="str" cm="1">
        <f t="array" ref="F4593">IF(AND(A4593="2021-03", ISNA(MATCH(B4593, _xlfn._xlws.FILTER(B:B, A:A="2021-04"), 0))), "Left", "Ativo")</f>
        <v>Ativo</v>
      </c>
    </row>
    <row r="4594" spans="1:6" x14ac:dyDescent="0.25">
      <c r="A4594" t="s">
        <v>1532</v>
      </c>
      <c r="B4594" t="s">
        <v>654</v>
      </c>
      <c r="C4594" s="10" t="str" cm="1">
        <f t="array" ref="C4594">IF(AND(A4594="2020-12", ISNA(MATCH(B4594, _xlfn._xlws.FILTER(B:B, A:A="2021-01"), 0))), "Left", "Ativo")</f>
        <v>Ativo</v>
      </c>
      <c r="D4594" s="10" t="str" cm="1">
        <f t="array" ref="D4594">IF(AND(A4594="2021-01", ISNA(MATCH(B4594, _xlfn._xlws.FILTER(B:B, A:A="2021-02"), 0))), "Left", "Ativo")</f>
        <v>Ativo</v>
      </c>
      <c r="E4594" s="10" t="str" cm="1">
        <f t="array" ref="E4594">IF(AND(A4594="2021-02", ISNA(MATCH(B4594, _xlfn._xlws.FILTER(B:B, A:A="2021-03"), 0))), "Left", "Ativo")</f>
        <v>Ativo</v>
      </c>
      <c r="F4594" s="12" t="str" cm="1">
        <f t="array" ref="F4594">IF(AND(A4594="2021-03", ISNA(MATCH(B4594, _xlfn._xlws.FILTER(B:B, A:A="2021-04"), 0))), "Left", "Ativo")</f>
        <v>Ativo</v>
      </c>
    </row>
    <row r="4595" spans="1:6" x14ac:dyDescent="0.25">
      <c r="A4595" t="s">
        <v>1532</v>
      </c>
      <c r="B4595" t="s">
        <v>655</v>
      </c>
      <c r="C4595" s="10" t="str" cm="1">
        <f t="array" ref="C4595">IF(AND(A4595="2020-12", ISNA(MATCH(B4595, _xlfn._xlws.FILTER(B:B, A:A="2021-01"), 0))), "Left", "Ativo")</f>
        <v>Ativo</v>
      </c>
      <c r="D4595" s="10" t="str" cm="1">
        <f t="array" ref="D4595">IF(AND(A4595="2021-01", ISNA(MATCH(B4595, _xlfn._xlws.FILTER(B:B, A:A="2021-02"), 0))), "Left", "Ativo")</f>
        <v>Ativo</v>
      </c>
      <c r="E4595" s="10" t="str" cm="1">
        <f t="array" ref="E4595">IF(AND(A4595="2021-02", ISNA(MATCH(B4595, _xlfn._xlws.FILTER(B:B, A:A="2021-03"), 0))), "Left", "Ativo")</f>
        <v>Ativo</v>
      </c>
      <c r="F4595" s="12" t="str" cm="1">
        <f t="array" ref="F4595">IF(AND(A4595="2021-03", ISNA(MATCH(B4595, _xlfn._xlws.FILTER(B:B, A:A="2021-04"), 0))), "Left", "Ativo")</f>
        <v>Ativo</v>
      </c>
    </row>
    <row r="4596" spans="1:6" x14ac:dyDescent="0.25">
      <c r="A4596" t="s">
        <v>1532</v>
      </c>
      <c r="B4596" t="s">
        <v>656</v>
      </c>
      <c r="C4596" s="10" t="str" cm="1">
        <f t="array" ref="C4596">IF(AND(A4596="2020-12", ISNA(MATCH(B4596, _xlfn._xlws.FILTER(B:B, A:A="2021-01"), 0))), "Left", "Ativo")</f>
        <v>Ativo</v>
      </c>
      <c r="D4596" s="10" t="str" cm="1">
        <f t="array" ref="D4596">IF(AND(A4596="2021-01", ISNA(MATCH(B4596, _xlfn._xlws.FILTER(B:B, A:A="2021-02"), 0))), "Left", "Ativo")</f>
        <v>Ativo</v>
      </c>
      <c r="E4596" s="10" t="str" cm="1">
        <f t="array" ref="E4596">IF(AND(A4596="2021-02", ISNA(MATCH(B4596, _xlfn._xlws.FILTER(B:B, A:A="2021-03"), 0))), "Left", "Ativo")</f>
        <v>Ativo</v>
      </c>
      <c r="F4596" s="12" t="str" cm="1">
        <f t="array" ref="F4596">IF(AND(A4596="2021-03", ISNA(MATCH(B4596, _xlfn._xlws.FILTER(B:B, A:A="2021-04"), 0))), "Left", "Ativo")</f>
        <v>Ativo</v>
      </c>
    </row>
    <row r="4597" spans="1:6" x14ac:dyDescent="0.25">
      <c r="A4597" t="s">
        <v>1532</v>
      </c>
      <c r="B4597" t="s">
        <v>657</v>
      </c>
      <c r="C4597" s="10" t="str" cm="1">
        <f t="array" ref="C4597">IF(AND(A4597="2020-12", ISNA(MATCH(B4597, _xlfn._xlws.FILTER(B:B, A:A="2021-01"), 0))), "Left", "Ativo")</f>
        <v>Ativo</v>
      </c>
      <c r="D4597" s="10" t="str" cm="1">
        <f t="array" ref="D4597">IF(AND(A4597="2021-01", ISNA(MATCH(B4597, _xlfn._xlws.FILTER(B:B, A:A="2021-02"), 0))), "Left", "Ativo")</f>
        <v>Ativo</v>
      </c>
      <c r="E4597" s="10" t="str" cm="1">
        <f t="array" ref="E4597">IF(AND(A4597="2021-02", ISNA(MATCH(B4597, _xlfn._xlws.FILTER(B:B, A:A="2021-03"), 0))), "Left", "Ativo")</f>
        <v>Ativo</v>
      </c>
      <c r="F4597" s="12" t="str" cm="1">
        <f t="array" ref="F4597">IF(AND(A4597="2021-03", ISNA(MATCH(B4597, _xlfn._xlws.FILTER(B:B, A:A="2021-04"), 0))), "Left", "Ativo")</f>
        <v>Ativo</v>
      </c>
    </row>
    <row r="4598" spans="1:6" x14ac:dyDescent="0.25">
      <c r="A4598" t="s">
        <v>1532</v>
      </c>
      <c r="B4598" t="s">
        <v>658</v>
      </c>
      <c r="C4598" s="10" t="str" cm="1">
        <f t="array" ref="C4598">IF(AND(A4598="2020-12", ISNA(MATCH(B4598, _xlfn._xlws.FILTER(B:B, A:A="2021-01"), 0))), "Left", "Ativo")</f>
        <v>Ativo</v>
      </c>
      <c r="D4598" s="10" t="str" cm="1">
        <f t="array" ref="D4598">IF(AND(A4598="2021-01", ISNA(MATCH(B4598, _xlfn._xlws.FILTER(B:B, A:A="2021-02"), 0))), "Left", "Ativo")</f>
        <v>Ativo</v>
      </c>
      <c r="E4598" s="10" t="str" cm="1">
        <f t="array" ref="E4598">IF(AND(A4598="2021-02", ISNA(MATCH(B4598, _xlfn._xlws.FILTER(B:B, A:A="2021-03"), 0))), "Left", "Ativo")</f>
        <v>Ativo</v>
      </c>
      <c r="F4598" s="12" t="str" cm="1">
        <f t="array" ref="F4598">IF(AND(A4598="2021-03", ISNA(MATCH(B4598, _xlfn._xlws.FILTER(B:B, A:A="2021-04"), 0))), "Left", "Ativo")</f>
        <v>Ativo</v>
      </c>
    </row>
    <row r="4599" spans="1:6" x14ac:dyDescent="0.25">
      <c r="A4599" t="s">
        <v>1532</v>
      </c>
      <c r="B4599" t="s">
        <v>659</v>
      </c>
      <c r="C4599" s="10" t="str" cm="1">
        <f t="array" ref="C4599">IF(AND(A4599="2020-12", ISNA(MATCH(B4599, _xlfn._xlws.FILTER(B:B, A:A="2021-01"), 0))), "Left", "Ativo")</f>
        <v>Ativo</v>
      </c>
      <c r="D4599" s="10" t="str" cm="1">
        <f t="array" ref="D4599">IF(AND(A4599="2021-01", ISNA(MATCH(B4599, _xlfn._xlws.FILTER(B:B, A:A="2021-02"), 0))), "Left", "Ativo")</f>
        <v>Ativo</v>
      </c>
      <c r="E4599" s="10" t="str" cm="1">
        <f t="array" ref="E4599">IF(AND(A4599="2021-02", ISNA(MATCH(B4599, _xlfn._xlws.FILTER(B:B, A:A="2021-03"), 0))), "Left", "Ativo")</f>
        <v>Ativo</v>
      </c>
      <c r="F4599" s="12" t="str" cm="1">
        <f t="array" ref="F4599">IF(AND(A4599="2021-03", ISNA(MATCH(B4599, _xlfn._xlws.FILTER(B:B, A:A="2021-04"), 0))), "Left", "Ativo")</f>
        <v>Ativo</v>
      </c>
    </row>
    <row r="4600" spans="1:6" x14ac:dyDescent="0.25">
      <c r="A4600" t="s">
        <v>1532</v>
      </c>
      <c r="B4600" t="s">
        <v>660</v>
      </c>
      <c r="C4600" s="10" t="str" cm="1">
        <f t="array" ref="C4600">IF(AND(A4600="2020-12", ISNA(MATCH(B4600, _xlfn._xlws.FILTER(B:B, A:A="2021-01"), 0))), "Left", "Ativo")</f>
        <v>Ativo</v>
      </c>
      <c r="D4600" s="10" t="str" cm="1">
        <f t="array" ref="D4600">IF(AND(A4600="2021-01", ISNA(MATCH(B4600, _xlfn._xlws.FILTER(B:B, A:A="2021-02"), 0))), "Left", "Ativo")</f>
        <v>Ativo</v>
      </c>
      <c r="E4600" s="10" t="str" cm="1">
        <f t="array" ref="E4600">IF(AND(A4600="2021-02", ISNA(MATCH(B4600, _xlfn._xlws.FILTER(B:B, A:A="2021-03"), 0))), "Left", "Ativo")</f>
        <v>Ativo</v>
      </c>
      <c r="F4600" s="12" t="str" cm="1">
        <f t="array" ref="F4600">IF(AND(A4600="2021-03", ISNA(MATCH(B4600, _xlfn._xlws.FILTER(B:B, A:A="2021-04"), 0))), "Left", "Ativo")</f>
        <v>Ativo</v>
      </c>
    </row>
    <row r="4601" spans="1:6" x14ac:dyDescent="0.25">
      <c r="A4601" t="s">
        <v>1532</v>
      </c>
      <c r="B4601" t="s">
        <v>661</v>
      </c>
      <c r="C4601" s="10" t="str" cm="1">
        <f t="array" ref="C4601">IF(AND(A4601="2020-12", ISNA(MATCH(B4601, _xlfn._xlws.FILTER(B:B, A:A="2021-01"), 0))), "Left", "Ativo")</f>
        <v>Ativo</v>
      </c>
      <c r="D4601" s="10" t="str" cm="1">
        <f t="array" ref="D4601">IF(AND(A4601="2021-01", ISNA(MATCH(B4601, _xlfn._xlws.FILTER(B:B, A:A="2021-02"), 0))), "Left", "Ativo")</f>
        <v>Ativo</v>
      </c>
      <c r="E4601" s="10" t="str" cm="1">
        <f t="array" ref="E4601">IF(AND(A4601="2021-02", ISNA(MATCH(B4601, _xlfn._xlws.FILTER(B:B, A:A="2021-03"), 0))), "Left", "Ativo")</f>
        <v>Ativo</v>
      </c>
      <c r="F4601" s="12" t="str" cm="1">
        <f t="array" ref="F4601">IF(AND(A4601="2021-03", ISNA(MATCH(B4601, _xlfn._xlws.FILTER(B:B, A:A="2021-04"), 0))), "Left", "Ativo")</f>
        <v>Ativo</v>
      </c>
    </row>
    <row r="4602" spans="1:6" x14ac:dyDescent="0.25">
      <c r="A4602" t="s">
        <v>1532</v>
      </c>
      <c r="B4602" t="s">
        <v>662</v>
      </c>
      <c r="C4602" s="10" t="str" cm="1">
        <f t="array" ref="C4602">IF(AND(A4602="2020-12", ISNA(MATCH(B4602, _xlfn._xlws.FILTER(B:B, A:A="2021-01"), 0))), "Left", "Ativo")</f>
        <v>Ativo</v>
      </c>
      <c r="D4602" s="10" t="str" cm="1">
        <f t="array" ref="D4602">IF(AND(A4602="2021-01", ISNA(MATCH(B4602, _xlfn._xlws.FILTER(B:B, A:A="2021-02"), 0))), "Left", "Ativo")</f>
        <v>Ativo</v>
      </c>
      <c r="E4602" s="10" t="str" cm="1">
        <f t="array" ref="E4602">IF(AND(A4602="2021-02", ISNA(MATCH(B4602, _xlfn._xlws.FILTER(B:B, A:A="2021-03"), 0))), "Left", "Ativo")</f>
        <v>Ativo</v>
      </c>
      <c r="F4602" s="12" t="str" cm="1">
        <f t="array" ref="F4602">IF(AND(A4602="2021-03", ISNA(MATCH(B4602, _xlfn._xlws.FILTER(B:B, A:A="2021-04"), 0))), "Left", "Ativo")</f>
        <v>Ativo</v>
      </c>
    </row>
    <row r="4603" spans="1:6" x14ac:dyDescent="0.25">
      <c r="A4603" t="s">
        <v>1532</v>
      </c>
      <c r="B4603" t="s">
        <v>663</v>
      </c>
      <c r="C4603" s="10" t="str" cm="1">
        <f t="array" ref="C4603">IF(AND(A4603="2020-12", ISNA(MATCH(B4603, _xlfn._xlws.FILTER(B:B, A:A="2021-01"), 0))), "Left", "Ativo")</f>
        <v>Ativo</v>
      </c>
      <c r="D4603" s="10" t="str" cm="1">
        <f t="array" ref="D4603">IF(AND(A4603="2021-01", ISNA(MATCH(B4603, _xlfn._xlws.FILTER(B:B, A:A="2021-02"), 0))), "Left", "Ativo")</f>
        <v>Ativo</v>
      </c>
      <c r="E4603" s="10" t="str" cm="1">
        <f t="array" ref="E4603">IF(AND(A4603="2021-02", ISNA(MATCH(B4603, _xlfn._xlws.FILTER(B:B, A:A="2021-03"), 0))), "Left", "Ativo")</f>
        <v>Ativo</v>
      </c>
      <c r="F4603" s="12" t="str" cm="1">
        <f t="array" ref="F4603">IF(AND(A4603="2021-03", ISNA(MATCH(B4603, _xlfn._xlws.FILTER(B:B, A:A="2021-04"), 0))), "Left", "Ativo")</f>
        <v>Ativo</v>
      </c>
    </row>
    <row r="4604" spans="1:6" x14ac:dyDescent="0.25">
      <c r="A4604" t="s">
        <v>1532</v>
      </c>
      <c r="B4604" t="s">
        <v>664</v>
      </c>
      <c r="C4604" s="10" t="str" cm="1">
        <f t="array" ref="C4604">IF(AND(A4604="2020-12", ISNA(MATCH(B4604, _xlfn._xlws.FILTER(B:B, A:A="2021-01"), 0))), "Left", "Ativo")</f>
        <v>Ativo</v>
      </c>
      <c r="D4604" s="10" t="str" cm="1">
        <f t="array" ref="D4604">IF(AND(A4604="2021-01", ISNA(MATCH(B4604, _xlfn._xlws.FILTER(B:B, A:A="2021-02"), 0))), "Left", "Ativo")</f>
        <v>Ativo</v>
      </c>
      <c r="E4604" s="10" t="str" cm="1">
        <f t="array" ref="E4604">IF(AND(A4604="2021-02", ISNA(MATCH(B4604, _xlfn._xlws.FILTER(B:B, A:A="2021-03"), 0))), "Left", "Ativo")</f>
        <v>Ativo</v>
      </c>
      <c r="F4604" s="12" t="str" cm="1">
        <f t="array" ref="F4604">IF(AND(A4604="2021-03", ISNA(MATCH(B4604, _xlfn._xlws.FILTER(B:B, A:A="2021-04"), 0))), "Left", "Ativo")</f>
        <v>Ativo</v>
      </c>
    </row>
    <row r="4605" spans="1:6" x14ac:dyDescent="0.25">
      <c r="A4605" t="s">
        <v>1532</v>
      </c>
      <c r="B4605" t="s">
        <v>665</v>
      </c>
      <c r="C4605" s="10" t="str" cm="1">
        <f t="array" ref="C4605">IF(AND(A4605="2020-12", ISNA(MATCH(B4605, _xlfn._xlws.FILTER(B:B, A:A="2021-01"), 0))), "Left", "Ativo")</f>
        <v>Ativo</v>
      </c>
      <c r="D4605" s="10" t="str" cm="1">
        <f t="array" ref="D4605">IF(AND(A4605="2021-01", ISNA(MATCH(B4605, _xlfn._xlws.FILTER(B:B, A:A="2021-02"), 0))), "Left", "Ativo")</f>
        <v>Ativo</v>
      </c>
      <c r="E4605" s="10" t="str" cm="1">
        <f t="array" ref="E4605">IF(AND(A4605="2021-02", ISNA(MATCH(B4605, _xlfn._xlws.FILTER(B:B, A:A="2021-03"), 0))), "Left", "Ativo")</f>
        <v>Ativo</v>
      </c>
      <c r="F4605" s="12" t="str" cm="1">
        <f t="array" ref="F4605">IF(AND(A4605="2021-03", ISNA(MATCH(B4605, _xlfn._xlws.FILTER(B:B, A:A="2021-04"), 0))), "Left", "Ativo")</f>
        <v>Ativo</v>
      </c>
    </row>
    <row r="4606" spans="1:6" x14ac:dyDescent="0.25">
      <c r="A4606" t="s">
        <v>1532</v>
      </c>
      <c r="B4606" t="s">
        <v>666</v>
      </c>
      <c r="C4606" s="10" t="str" cm="1">
        <f t="array" ref="C4606">IF(AND(A4606="2020-12", ISNA(MATCH(B4606, _xlfn._xlws.FILTER(B:B, A:A="2021-01"), 0))), "Left", "Ativo")</f>
        <v>Ativo</v>
      </c>
      <c r="D4606" s="10" t="str" cm="1">
        <f t="array" ref="D4606">IF(AND(A4606="2021-01", ISNA(MATCH(B4606, _xlfn._xlws.FILTER(B:B, A:A="2021-02"), 0))), "Left", "Ativo")</f>
        <v>Ativo</v>
      </c>
      <c r="E4606" s="10" t="str" cm="1">
        <f t="array" ref="E4606">IF(AND(A4606="2021-02", ISNA(MATCH(B4606, _xlfn._xlws.FILTER(B:B, A:A="2021-03"), 0))), "Left", "Ativo")</f>
        <v>Ativo</v>
      </c>
      <c r="F4606" s="12" t="str" cm="1">
        <f t="array" ref="F4606">IF(AND(A4606="2021-03", ISNA(MATCH(B4606, _xlfn._xlws.FILTER(B:B, A:A="2021-04"), 0))), "Left", "Ativo")</f>
        <v>Ativo</v>
      </c>
    </row>
    <row r="4607" spans="1:6" x14ac:dyDescent="0.25">
      <c r="A4607" t="s">
        <v>1532</v>
      </c>
      <c r="B4607" t="s">
        <v>667</v>
      </c>
      <c r="C4607" s="10" t="str" cm="1">
        <f t="array" ref="C4607">IF(AND(A4607="2020-12", ISNA(MATCH(B4607, _xlfn._xlws.FILTER(B:B, A:A="2021-01"), 0))), "Left", "Ativo")</f>
        <v>Ativo</v>
      </c>
      <c r="D4607" s="10" t="str" cm="1">
        <f t="array" ref="D4607">IF(AND(A4607="2021-01", ISNA(MATCH(B4607, _xlfn._xlws.FILTER(B:B, A:A="2021-02"), 0))), "Left", "Ativo")</f>
        <v>Ativo</v>
      </c>
      <c r="E4607" s="10" t="str" cm="1">
        <f t="array" ref="E4607">IF(AND(A4607="2021-02", ISNA(MATCH(B4607, _xlfn._xlws.FILTER(B:B, A:A="2021-03"), 0))), "Left", "Ativo")</f>
        <v>Ativo</v>
      </c>
      <c r="F4607" s="12" t="str" cm="1">
        <f t="array" ref="F4607">IF(AND(A4607="2021-03", ISNA(MATCH(B4607, _xlfn._xlws.FILTER(B:B, A:A="2021-04"), 0))), "Left", "Ativo")</f>
        <v>Ativo</v>
      </c>
    </row>
    <row r="4608" spans="1:6" x14ac:dyDescent="0.25">
      <c r="A4608" t="s">
        <v>1532</v>
      </c>
      <c r="B4608" t="s">
        <v>668</v>
      </c>
      <c r="C4608" s="10" t="str" cm="1">
        <f t="array" ref="C4608">IF(AND(A4608="2020-12", ISNA(MATCH(B4608, _xlfn._xlws.FILTER(B:B, A:A="2021-01"), 0))), "Left", "Ativo")</f>
        <v>Ativo</v>
      </c>
      <c r="D4608" s="10" t="str" cm="1">
        <f t="array" ref="D4608">IF(AND(A4608="2021-01", ISNA(MATCH(B4608, _xlfn._xlws.FILTER(B:B, A:A="2021-02"), 0))), "Left", "Ativo")</f>
        <v>Ativo</v>
      </c>
      <c r="E4608" s="10" t="str" cm="1">
        <f t="array" ref="E4608">IF(AND(A4608="2021-02", ISNA(MATCH(B4608, _xlfn._xlws.FILTER(B:B, A:A="2021-03"), 0))), "Left", "Ativo")</f>
        <v>Ativo</v>
      </c>
      <c r="F4608" s="12" t="str" cm="1">
        <f t="array" ref="F4608">IF(AND(A4608="2021-03", ISNA(MATCH(B4608, _xlfn._xlws.FILTER(B:B, A:A="2021-04"), 0))), "Left", "Ativo")</f>
        <v>Ativo</v>
      </c>
    </row>
    <row r="4609" spans="1:6" x14ac:dyDescent="0.25">
      <c r="A4609" t="s">
        <v>1532</v>
      </c>
      <c r="B4609" t="s">
        <v>669</v>
      </c>
      <c r="C4609" s="10" t="str" cm="1">
        <f t="array" ref="C4609">IF(AND(A4609="2020-12", ISNA(MATCH(B4609, _xlfn._xlws.FILTER(B:B, A:A="2021-01"), 0))), "Left", "Ativo")</f>
        <v>Ativo</v>
      </c>
      <c r="D4609" s="10" t="str" cm="1">
        <f t="array" ref="D4609">IF(AND(A4609="2021-01", ISNA(MATCH(B4609, _xlfn._xlws.FILTER(B:B, A:A="2021-02"), 0))), "Left", "Ativo")</f>
        <v>Ativo</v>
      </c>
      <c r="E4609" s="10" t="str" cm="1">
        <f t="array" ref="E4609">IF(AND(A4609="2021-02", ISNA(MATCH(B4609, _xlfn._xlws.FILTER(B:B, A:A="2021-03"), 0))), "Left", "Ativo")</f>
        <v>Ativo</v>
      </c>
      <c r="F4609" s="12" t="str" cm="1">
        <f t="array" ref="F4609">IF(AND(A4609="2021-03", ISNA(MATCH(B4609, _xlfn._xlws.FILTER(B:B, A:A="2021-04"), 0))), "Left", "Ativo")</f>
        <v>Ativo</v>
      </c>
    </row>
    <row r="4610" spans="1:6" x14ac:dyDescent="0.25">
      <c r="A4610" t="s">
        <v>1532</v>
      </c>
      <c r="B4610" t="s">
        <v>670</v>
      </c>
      <c r="C4610" s="10" t="str" cm="1">
        <f t="array" ref="C4610">IF(AND(A4610="2020-12", ISNA(MATCH(B4610, _xlfn._xlws.FILTER(B:B, A:A="2021-01"), 0))), "Left", "Ativo")</f>
        <v>Ativo</v>
      </c>
      <c r="D4610" s="10" t="str" cm="1">
        <f t="array" ref="D4610">IF(AND(A4610="2021-01", ISNA(MATCH(B4610, _xlfn._xlws.FILTER(B:B, A:A="2021-02"), 0))), "Left", "Ativo")</f>
        <v>Ativo</v>
      </c>
      <c r="E4610" s="10" t="str" cm="1">
        <f t="array" ref="E4610">IF(AND(A4610="2021-02", ISNA(MATCH(B4610, _xlfn._xlws.FILTER(B:B, A:A="2021-03"), 0))), "Left", "Ativo")</f>
        <v>Ativo</v>
      </c>
      <c r="F4610" s="12" t="str" cm="1">
        <f t="array" ref="F4610">IF(AND(A4610="2021-03", ISNA(MATCH(B4610, _xlfn._xlws.FILTER(B:B, A:A="2021-04"), 0))), "Left", "Ativo")</f>
        <v>Ativo</v>
      </c>
    </row>
    <row r="4611" spans="1:6" x14ac:dyDescent="0.25">
      <c r="A4611" t="s">
        <v>1532</v>
      </c>
      <c r="B4611" t="s">
        <v>671</v>
      </c>
      <c r="C4611" s="10" t="str" cm="1">
        <f t="array" ref="C4611">IF(AND(A4611="2020-12", ISNA(MATCH(B4611, _xlfn._xlws.FILTER(B:B, A:A="2021-01"), 0))), "Left", "Ativo")</f>
        <v>Ativo</v>
      </c>
      <c r="D4611" s="10" t="str" cm="1">
        <f t="array" ref="D4611">IF(AND(A4611="2021-01", ISNA(MATCH(B4611, _xlfn._xlws.FILTER(B:B, A:A="2021-02"), 0))), "Left", "Ativo")</f>
        <v>Ativo</v>
      </c>
      <c r="E4611" s="10" t="str" cm="1">
        <f t="array" ref="E4611">IF(AND(A4611="2021-02", ISNA(MATCH(B4611, _xlfn._xlws.FILTER(B:B, A:A="2021-03"), 0))), "Left", "Ativo")</f>
        <v>Ativo</v>
      </c>
      <c r="F4611" s="12" t="str" cm="1">
        <f t="array" ref="F4611">IF(AND(A4611="2021-03", ISNA(MATCH(B4611, _xlfn._xlws.FILTER(B:B, A:A="2021-04"), 0))), "Left", "Ativo")</f>
        <v>Ativo</v>
      </c>
    </row>
    <row r="4612" spans="1:6" x14ac:dyDescent="0.25">
      <c r="A4612" t="s">
        <v>1532</v>
      </c>
      <c r="B4612" t="s">
        <v>672</v>
      </c>
      <c r="C4612" s="10" t="str" cm="1">
        <f t="array" ref="C4612">IF(AND(A4612="2020-12", ISNA(MATCH(B4612, _xlfn._xlws.FILTER(B:B, A:A="2021-01"), 0))), "Left", "Ativo")</f>
        <v>Ativo</v>
      </c>
      <c r="D4612" s="10" t="str" cm="1">
        <f t="array" ref="D4612">IF(AND(A4612="2021-01", ISNA(MATCH(B4612, _xlfn._xlws.FILTER(B:B, A:A="2021-02"), 0))), "Left", "Ativo")</f>
        <v>Ativo</v>
      </c>
      <c r="E4612" s="10" t="str" cm="1">
        <f t="array" ref="E4612">IF(AND(A4612="2021-02", ISNA(MATCH(B4612, _xlfn._xlws.FILTER(B:B, A:A="2021-03"), 0))), "Left", "Ativo")</f>
        <v>Ativo</v>
      </c>
      <c r="F4612" s="12" t="str" cm="1">
        <f t="array" ref="F4612">IF(AND(A4612="2021-03", ISNA(MATCH(B4612, _xlfn._xlws.FILTER(B:B, A:A="2021-04"), 0))), "Left", "Ativo")</f>
        <v>Ativo</v>
      </c>
    </row>
    <row r="4613" spans="1:6" x14ac:dyDescent="0.25">
      <c r="A4613" t="s">
        <v>1532</v>
      </c>
      <c r="B4613" t="s">
        <v>673</v>
      </c>
      <c r="C4613" s="10" t="str" cm="1">
        <f t="array" ref="C4613">IF(AND(A4613="2020-12", ISNA(MATCH(B4613, _xlfn._xlws.FILTER(B:B, A:A="2021-01"), 0))), "Left", "Ativo")</f>
        <v>Ativo</v>
      </c>
      <c r="D4613" s="10" t="str" cm="1">
        <f t="array" ref="D4613">IF(AND(A4613="2021-01", ISNA(MATCH(B4613, _xlfn._xlws.FILTER(B:B, A:A="2021-02"), 0))), "Left", "Ativo")</f>
        <v>Ativo</v>
      </c>
      <c r="E4613" s="10" t="str" cm="1">
        <f t="array" ref="E4613">IF(AND(A4613="2021-02", ISNA(MATCH(B4613, _xlfn._xlws.FILTER(B:B, A:A="2021-03"), 0))), "Left", "Ativo")</f>
        <v>Ativo</v>
      </c>
      <c r="F4613" s="12" t="str" cm="1">
        <f t="array" ref="F4613">IF(AND(A4613="2021-03", ISNA(MATCH(B4613, _xlfn._xlws.FILTER(B:B, A:A="2021-04"), 0))), "Left", "Ativo")</f>
        <v>Ativo</v>
      </c>
    </row>
    <row r="4614" spans="1:6" x14ac:dyDescent="0.25">
      <c r="A4614" t="s">
        <v>1532</v>
      </c>
      <c r="B4614" t="s">
        <v>674</v>
      </c>
      <c r="C4614" s="10" t="str" cm="1">
        <f t="array" ref="C4614">IF(AND(A4614="2020-12", ISNA(MATCH(B4614, _xlfn._xlws.FILTER(B:B, A:A="2021-01"), 0))), "Left", "Ativo")</f>
        <v>Ativo</v>
      </c>
      <c r="D4614" s="10" t="str" cm="1">
        <f t="array" ref="D4614">IF(AND(A4614="2021-01", ISNA(MATCH(B4614, _xlfn._xlws.FILTER(B:B, A:A="2021-02"), 0))), "Left", "Ativo")</f>
        <v>Ativo</v>
      </c>
      <c r="E4614" s="10" t="str" cm="1">
        <f t="array" ref="E4614">IF(AND(A4614="2021-02", ISNA(MATCH(B4614, _xlfn._xlws.FILTER(B:B, A:A="2021-03"), 0))), "Left", "Ativo")</f>
        <v>Ativo</v>
      </c>
      <c r="F4614" s="12" t="str" cm="1">
        <f t="array" ref="F4614">IF(AND(A4614="2021-03", ISNA(MATCH(B4614, _xlfn._xlws.FILTER(B:B, A:A="2021-04"), 0))), "Left", "Ativo")</f>
        <v>Ativo</v>
      </c>
    </row>
    <row r="4615" spans="1:6" x14ac:dyDescent="0.25">
      <c r="A4615" t="s">
        <v>1532</v>
      </c>
      <c r="B4615" t="s">
        <v>675</v>
      </c>
      <c r="C4615" s="10" t="str" cm="1">
        <f t="array" ref="C4615">IF(AND(A4615="2020-12", ISNA(MATCH(B4615, _xlfn._xlws.FILTER(B:B, A:A="2021-01"), 0))), "Left", "Ativo")</f>
        <v>Ativo</v>
      </c>
      <c r="D4615" s="10" t="str" cm="1">
        <f t="array" ref="D4615">IF(AND(A4615="2021-01", ISNA(MATCH(B4615, _xlfn._xlws.FILTER(B:B, A:A="2021-02"), 0))), "Left", "Ativo")</f>
        <v>Ativo</v>
      </c>
      <c r="E4615" s="10" t="str" cm="1">
        <f t="array" ref="E4615">IF(AND(A4615="2021-02", ISNA(MATCH(B4615, _xlfn._xlws.FILTER(B:B, A:A="2021-03"), 0))), "Left", "Ativo")</f>
        <v>Ativo</v>
      </c>
      <c r="F4615" s="12" t="str" cm="1">
        <f t="array" ref="F4615">IF(AND(A4615="2021-03", ISNA(MATCH(B4615, _xlfn._xlws.FILTER(B:B, A:A="2021-04"), 0))), "Left", "Ativo")</f>
        <v>Ativo</v>
      </c>
    </row>
    <row r="4616" spans="1:6" x14ac:dyDescent="0.25">
      <c r="A4616" t="s">
        <v>1532</v>
      </c>
      <c r="B4616" t="s">
        <v>676</v>
      </c>
      <c r="C4616" s="10" t="str" cm="1">
        <f t="array" ref="C4616">IF(AND(A4616="2020-12", ISNA(MATCH(B4616, _xlfn._xlws.FILTER(B:B, A:A="2021-01"), 0))), "Left", "Ativo")</f>
        <v>Ativo</v>
      </c>
      <c r="D4616" s="10" t="str" cm="1">
        <f t="array" ref="D4616">IF(AND(A4616="2021-01", ISNA(MATCH(B4616, _xlfn._xlws.FILTER(B:B, A:A="2021-02"), 0))), "Left", "Ativo")</f>
        <v>Ativo</v>
      </c>
      <c r="E4616" s="10" t="str" cm="1">
        <f t="array" ref="E4616">IF(AND(A4616="2021-02", ISNA(MATCH(B4616, _xlfn._xlws.FILTER(B:B, A:A="2021-03"), 0))), "Left", "Ativo")</f>
        <v>Ativo</v>
      </c>
      <c r="F4616" s="12" t="str" cm="1">
        <f t="array" ref="F4616">IF(AND(A4616="2021-03", ISNA(MATCH(B4616, _xlfn._xlws.FILTER(B:B, A:A="2021-04"), 0))), "Left", "Ativo")</f>
        <v>Ativo</v>
      </c>
    </row>
    <row r="4617" spans="1:6" x14ac:dyDescent="0.25">
      <c r="A4617" t="s">
        <v>1532</v>
      </c>
      <c r="B4617" t="s">
        <v>678</v>
      </c>
      <c r="C4617" s="10" t="str" cm="1">
        <f t="array" ref="C4617">IF(AND(A4617="2020-12", ISNA(MATCH(B4617, _xlfn._xlws.FILTER(B:B, A:A="2021-01"), 0))), "Left", "Ativo")</f>
        <v>Ativo</v>
      </c>
      <c r="D4617" s="10" t="str" cm="1">
        <f t="array" ref="D4617">IF(AND(A4617="2021-01", ISNA(MATCH(B4617, _xlfn._xlws.FILTER(B:B, A:A="2021-02"), 0))), "Left", "Ativo")</f>
        <v>Ativo</v>
      </c>
      <c r="E4617" s="10" t="str" cm="1">
        <f t="array" ref="E4617">IF(AND(A4617="2021-02", ISNA(MATCH(B4617, _xlfn._xlws.FILTER(B:B, A:A="2021-03"), 0))), "Left", "Ativo")</f>
        <v>Ativo</v>
      </c>
      <c r="F4617" s="12" t="str" cm="1">
        <f t="array" ref="F4617">IF(AND(A4617="2021-03", ISNA(MATCH(B4617, _xlfn._xlws.FILTER(B:B, A:A="2021-04"), 0))), "Left", "Ativo")</f>
        <v>Ativo</v>
      </c>
    </row>
    <row r="4618" spans="1:6" x14ac:dyDescent="0.25">
      <c r="A4618" t="s">
        <v>1532</v>
      </c>
      <c r="B4618" t="s">
        <v>679</v>
      </c>
      <c r="C4618" s="10" t="str" cm="1">
        <f t="array" ref="C4618">IF(AND(A4618="2020-12", ISNA(MATCH(B4618, _xlfn._xlws.FILTER(B:B, A:A="2021-01"), 0))), "Left", "Ativo")</f>
        <v>Ativo</v>
      </c>
      <c r="D4618" s="10" t="str" cm="1">
        <f t="array" ref="D4618">IF(AND(A4618="2021-01", ISNA(MATCH(B4618, _xlfn._xlws.FILTER(B:B, A:A="2021-02"), 0))), "Left", "Ativo")</f>
        <v>Ativo</v>
      </c>
      <c r="E4618" s="10" t="str" cm="1">
        <f t="array" ref="E4618">IF(AND(A4618="2021-02", ISNA(MATCH(B4618, _xlfn._xlws.FILTER(B:B, A:A="2021-03"), 0))), "Left", "Ativo")</f>
        <v>Ativo</v>
      </c>
      <c r="F4618" s="12" t="str" cm="1">
        <f t="array" ref="F4618">IF(AND(A4618="2021-03", ISNA(MATCH(B4618, _xlfn._xlws.FILTER(B:B, A:A="2021-04"), 0))), "Left", "Ativo")</f>
        <v>Ativo</v>
      </c>
    </row>
    <row r="4619" spans="1:6" x14ac:dyDescent="0.25">
      <c r="A4619" t="s">
        <v>1532</v>
      </c>
      <c r="B4619" t="s">
        <v>681</v>
      </c>
      <c r="C4619" s="10" t="str" cm="1">
        <f t="array" ref="C4619">IF(AND(A4619="2020-12", ISNA(MATCH(B4619, _xlfn._xlws.FILTER(B:B, A:A="2021-01"), 0))), "Left", "Ativo")</f>
        <v>Ativo</v>
      </c>
      <c r="D4619" s="10" t="str" cm="1">
        <f t="array" ref="D4619">IF(AND(A4619="2021-01", ISNA(MATCH(B4619, _xlfn._xlws.FILTER(B:B, A:A="2021-02"), 0))), "Left", "Ativo")</f>
        <v>Ativo</v>
      </c>
      <c r="E4619" s="10" t="str" cm="1">
        <f t="array" ref="E4619">IF(AND(A4619="2021-02", ISNA(MATCH(B4619, _xlfn._xlws.FILTER(B:B, A:A="2021-03"), 0))), "Left", "Ativo")</f>
        <v>Ativo</v>
      </c>
      <c r="F4619" s="12" t="str" cm="1">
        <f t="array" ref="F4619">IF(AND(A4619="2021-03", ISNA(MATCH(B4619, _xlfn._xlws.FILTER(B:B, A:A="2021-04"), 0))), "Left", "Ativo")</f>
        <v>Ativo</v>
      </c>
    </row>
    <row r="4620" spans="1:6" x14ac:dyDescent="0.25">
      <c r="A4620" t="s">
        <v>1532</v>
      </c>
      <c r="B4620" t="s">
        <v>682</v>
      </c>
      <c r="C4620" s="10" t="str" cm="1">
        <f t="array" ref="C4620">IF(AND(A4620="2020-12", ISNA(MATCH(B4620, _xlfn._xlws.FILTER(B:B, A:A="2021-01"), 0))), "Left", "Ativo")</f>
        <v>Ativo</v>
      </c>
      <c r="D4620" s="10" t="str" cm="1">
        <f t="array" ref="D4620">IF(AND(A4620="2021-01", ISNA(MATCH(B4620, _xlfn._xlws.FILTER(B:B, A:A="2021-02"), 0))), "Left", "Ativo")</f>
        <v>Ativo</v>
      </c>
      <c r="E4620" s="10" t="str" cm="1">
        <f t="array" ref="E4620">IF(AND(A4620="2021-02", ISNA(MATCH(B4620, _xlfn._xlws.FILTER(B:B, A:A="2021-03"), 0))), "Left", "Ativo")</f>
        <v>Ativo</v>
      </c>
      <c r="F4620" s="12" t="str" cm="1">
        <f t="array" ref="F4620">IF(AND(A4620="2021-03", ISNA(MATCH(B4620, _xlfn._xlws.FILTER(B:B, A:A="2021-04"), 0))), "Left", "Ativo")</f>
        <v>Ativo</v>
      </c>
    </row>
    <row r="4621" spans="1:6" x14ac:dyDescent="0.25">
      <c r="A4621" t="s">
        <v>1532</v>
      </c>
      <c r="B4621" t="s">
        <v>683</v>
      </c>
      <c r="C4621" s="10" t="str" cm="1">
        <f t="array" ref="C4621">IF(AND(A4621="2020-12", ISNA(MATCH(B4621, _xlfn._xlws.FILTER(B:B, A:A="2021-01"), 0))), "Left", "Ativo")</f>
        <v>Ativo</v>
      </c>
      <c r="D4621" s="10" t="str" cm="1">
        <f t="array" ref="D4621">IF(AND(A4621="2021-01", ISNA(MATCH(B4621, _xlfn._xlws.FILTER(B:B, A:A="2021-02"), 0))), "Left", "Ativo")</f>
        <v>Ativo</v>
      </c>
      <c r="E4621" s="10" t="str" cm="1">
        <f t="array" ref="E4621">IF(AND(A4621="2021-02", ISNA(MATCH(B4621, _xlfn._xlws.FILTER(B:B, A:A="2021-03"), 0))), "Left", "Ativo")</f>
        <v>Ativo</v>
      </c>
      <c r="F4621" s="12" t="str" cm="1">
        <f t="array" ref="F4621">IF(AND(A4621="2021-03", ISNA(MATCH(B4621, _xlfn._xlws.FILTER(B:B, A:A="2021-04"), 0))), "Left", "Ativo")</f>
        <v>Ativo</v>
      </c>
    </row>
    <row r="4622" spans="1:6" x14ac:dyDescent="0.25">
      <c r="A4622" t="s">
        <v>1532</v>
      </c>
      <c r="B4622" t="s">
        <v>684</v>
      </c>
      <c r="C4622" s="10" t="str" cm="1">
        <f t="array" ref="C4622">IF(AND(A4622="2020-12", ISNA(MATCH(B4622, _xlfn._xlws.FILTER(B:B, A:A="2021-01"), 0))), "Left", "Ativo")</f>
        <v>Ativo</v>
      </c>
      <c r="D4622" s="10" t="str" cm="1">
        <f t="array" ref="D4622">IF(AND(A4622="2021-01", ISNA(MATCH(B4622, _xlfn._xlws.FILTER(B:B, A:A="2021-02"), 0))), "Left", "Ativo")</f>
        <v>Ativo</v>
      </c>
      <c r="E4622" s="10" t="str" cm="1">
        <f t="array" ref="E4622">IF(AND(A4622="2021-02", ISNA(MATCH(B4622, _xlfn._xlws.FILTER(B:B, A:A="2021-03"), 0))), "Left", "Ativo")</f>
        <v>Ativo</v>
      </c>
      <c r="F4622" s="12" t="str" cm="1">
        <f t="array" ref="F4622">IF(AND(A4622="2021-03", ISNA(MATCH(B4622, _xlfn._xlws.FILTER(B:B, A:A="2021-04"), 0))), "Left", "Ativo")</f>
        <v>Ativo</v>
      </c>
    </row>
    <row r="4623" spans="1:6" x14ac:dyDescent="0.25">
      <c r="A4623" t="s">
        <v>1532</v>
      </c>
      <c r="B4623" t="s">
        <v>685</v>
      </c>
      <c r="C4623" s="10" t="str" cm="1">
        <f t="array" ref="C4623">IF(AND(A4623="2020-12", ISNA(MATCH(B4623, _xlfn._xlws.FILTER(B:B, A:A="2021-01"), 0))), "Left", "Ativo")</f>
        <v>Ativo</v>
      </c>
      <c r="D4623" s="10" t="str" cm="1">
        <f t="array" ref="D4623">IF(AND(A4623="2021-01", ISNA(MATCH(B4623, _xlfn._xlws.FILTER(B:B, A:A="2021-02"), 0))), "Left", "Ativo")</f>
        <v>Ativo</v>
      </c>
      <c r="E4623" s="10" t="str" cm="1">
        <f t="array" ref="E4623">IF(AND(A4623="2021-02", ISNA(MATCH(B4623, _xlfn._xlws.FILTER(B:B, A:A="2021-03"), 0))), "Left", "Ativo")</f>
        <v>Ativo</v>
      </c>
      <c r="F4623" s="12" t="str" cm="1">
        <f t="array" ref="F4623">IF(AND(A4623="2021-03", ISNA(MATCH(B4623, _xlfn._xlws.FILTER(B:B, A:A="2021-04"), 0))), "Left", "Ativo")</f>
        <v>Ativo</v>
      </c>
    </row>
    <row r="4624" spans="1:6" x14ac:dyDescent="0.25">
      <c r="A4624" t="s">
        <v>1532</v>
      </c>
      <c r="B4624" t="s">
        <v>686</v>
      </c>
      <c r="C4624" s="10" t="str" cm="1">
        <f t="array" ref="C4624">IF(AND(A4624="2020-12", ISNA(MATCH(B4624, _xlfn._xlws.FILTER(B:B, A:A="2021-01"), 0))), "Left", "Ativo")</f>
        <v>Ativo</v>
      </c>
      <c r="D4624" s="10" t="str" cm="1">
        <f t="array" ref="D4624">IF(AND(A4624="2021-01", ISNA(MATCH(B4624, _xlfn._xlws.FILTER(B:B, A:A="2021-02"), 0))), "Left", "Ativo")</f>
        <v>Ativo</v>
      </c>
      <c r="E4624" s="10" t="str" cm="1">
        <f t="array" ref="E4624">IF(AND(A4624="2021-02", ISNA(MATCH(B4624, _xlfn._xlws.FILTER(B:B, A:A="2021-03"), 0))), "Left", "Ativo")</f>
        <v>Ativo</v>
      </c>
      <c r="F4624" s="12" t="str" cm="1">
        <f t="array" ref="F4624">IF(AND(A4624="2021-03", ISNA(MATCH(B4624, _xlfn._xlws.FILTER(B:B, A:A="2021-04"), 0))), "Left", "Ativo")</f>
        <v>Ativo</v>
      </c>
    </row>
    <row r="4625" spans="1:6" x14ac:dyDescent="0.25">
      <c r="A4625" t="s">
        <v>1532</v>
      </c>
      <c r="B4625" t="s">
        <v>687</v>
      </c>
      <c r="C4625" s="10" t="str" cm="1">
        <f t="array" ref="C4625">IF(AND(A4625="2020-12", ISNA(MATCH(B4625, _xlfn._xlws.FILTER(B:B, A:A="2021-01"), 0))), "Left", "Ativo")</f>
        <v>Ativo</v>
      </c>
      <c r="D4625" s="10" t="str" cm="1">
        <f t="array" ref="D4625">IF(AND(A4625="2021-01", ISNA(MATCH(B4625, _xlfn._xlws.FILTER(B:B, A:A="2021-02"), 0))), "Left", "Ativo")</f>
        <v>Ativo</v>
      </c>
      <c r="E4625" s="10" t="str" cm="1">
        <f t="array" ref="E4625">IF(AND(A4625="2021-02", ISNA(MATCH(B4625, _xlfn._xlws.FILTER(B:B, A:A="2021-03"), 0))), "Left", "Ativo")</f>
        <v>Ativo</v>
      </c>
      <c r="F4625" s="12" t="str" cm="1">
        <f t="array" ref="F4625">IF(AND(A4625="2021-03", ISNA(MATCH(B4625, _xlfn._xlws.FILTER(B:B, A:A="2021-04"), 0))), "Left", "Ativo")</f>
        <v>Ativo</v>
      </c>
    </row>
    <row r="4626" spans="1:6" x14ac:dyDescent="0.25">
      <c r="A4626" t="s">
        <v>1532</v>
      </c>
      <c r="B4626" t="s">
        <v>688</v>
      </c>
      <c r="C4626" s="10" t="str" cm="1">
        <f t="array" ref="C4626">IF(AND(A4626="2020-12", ISNA(MATCH(B4626, _xlfn._xlws.FILTER(B:B, A:A="2021-01"), 0))), "Left", "Ativo")</f>
        <v>Ativo</v>
      </c>
      <c r="D4626" s="10" t="str" cm="1">
        <f t="array" ref="D4626">IF(AND(A4626="2021-01", ISNA(MATCH(B4626, _xlfn._xlws.FILTER(B:B, A:A="2021-02"), 0))), "Left", "Ativo")</f>
        <v>Ativo</v>
      </c>
      <c r="E4626" s="10" t="str" cm="1">
        <f t="array" ref="E4626">IF(AND(A4626="2021-02", ISNA(MATCH(B4626, _xlfn._xlws.FILTER(B:B, A:A="2021-03"), 0))), "Left", "Ativo")</f>
        <v>Ativo</v>
      </c>
      <c r="F4626" s="12" t="str" cm="1">
        <f t="array" ref="F4626">IF(AND(A4626="2021-03", ISNA(MATCH(B4626, _xlfn._xlws.FILTER(B:B, A:A="2021-04"), 0))), "Left", "Ativo")</f>
        <v>Ativo</v>
      </c>
    </row>
    <row r="4627" spans="1:6" x14ac:dyDescent="0.25">
      <c r="A4627" t="s">
        <v>1532</v>
      </c>
      <c r="B4627" t="s">
        <v>689</v>
      </c>
      <c r="C4627" s="10" t="str" cm="1">
        <f t="array" ref="C4627">IF(AND(A4627="2020-12", ISNA(MATCH(B4627, _xlfn._xlws.FILTER(B:B, A:A="2021-01"), 0))), "Left", "Ativo")</f>
        <v>Ativo</v>
      </c>
      <c r="D4627" s="10" t="str" cm="1">
        <f t="array" ref="D4627">IF(AND(A4627="2021-01", ISNA(MATCH(B4627, _xlfn._xlws.FILTER(B:B, A:A="2021-02"), 0))), "Left", "Ativo")</f>
        <v>Ativo</v>
      </c>
      <c r="E4627" s="10" t="str" cm="1">
        <f t="array" ref="E4627">IF(AND(A4627="2021-02", ISNA(MATCH(B4627, _xlfn._xlws.FILTER(B:B, A:A="2021-03"), 0))), "Left", "Ativo")</f>
        <v>Ativo</v>
      </c>
      <c r="F4627" s="12" t="str" cm="1">
        <f t="array" ref="F4627">IF(AND(A4627="2021-03", ISNA(MATCH(B4627, _xlfn._xlws.FILTER(B:B, A:A="2021-04"), 0))), "Left", "Ativo")</f>
        <v>Ativo</v>
      </c>
    </row>
    <row r="4628" spans="1:6" x14ac:dyDescent="0.25">
      <c r="A4628" t="s">
        <v>1532</v>
      </c>
      <c r="B4628" t="s">
        <v>690</v>
      </c>
      <c r="C4628" s="10" t="str" cm="1">
        <f t="array" ref="C4628">IF(AND(A4628="2020-12", ISNA(MATCH(B4628, _xlfn._xlws.FILTER(B:B, A:A="2021-01"), 0))), "Left", "Ativo")</f>
        <v>Ativo</v>
      </c>
      <c r="D4628" s="10" t="str" cm="1">
        <f t="array" ref="D4628">IF(AND(A4628="2021-01", ISNA(MATCH(B4628, _xlfn._xlws.FILTER(B:B, A:A="2021-02"), 0))), "Left", "Ativo")</f>
        <v>Ativo</v>
      </c>
      <c r="E4628" s="10" t="str" cm="1">
        <f t="array" ref="E4628">IF(AND(A4628="2021-02", ISNA(MATCH(B4628, _xlfn._xlws.FILTER(B:B, A:A="2021-03"), 0))), "Left", "Ativo")</f>
        <v>Ativo</v>
      </c>
      <c r="F4628" s="12" t="str" cm="1">
        <f t="array" ref="F4628">IF(AND(A4628="2021-03", ISNA(MATCH(B4628, _xlfn._xlws.FILTER(B:B, A:A="2021-04"), 0))), "Left", "Ativo")</f>
        <v>Ativo</v>
      </c>
    </row>
    <row r="4629" spans="1:6" x14ac:dyDescent="0.25">
      <c r="A4629" t="s">
        <v>1532</v>
      </c>
      <c r="B4629" t="s">
        <v>691</v>
      </c>
      <c r="C4629" s="10" t="str" cm="1">
        <f t="array" ref="C4629">IF(AND(A4629="2020-12", ISNA(MATCH(B4629, _xlfn._xlws.FILTER(B:B, A:A="2021-01"), 0))), "Left", "Ativo")</f>
        <v>Ativo</v>
      </c>
      <c r="D4629" s="10" t="str" cm="1">
        <f t="array" ref="D4629">IF(AND(A4629="2021-01", ISNA(MATCH(B4629, _xlfn._xlws.FILTER(B:B, A:A="2021-02"), 0))), "Left", "Ativo")</f>
        <v>Ativo</v>
      </c>
      <c r="E4629" s="10" t="str" cm="1">
        <f t="array" ref="E4629">IF(AND(A4629="2021-02", ISNA(MATCH(B4629, _xlfn._xlws.FILTER(B:B, A:A="2021-03"), 0))), "Left", "Ativo")</f>
        <v>Ativo</v>
      </c>
      <c r="F4629" s="12" t="str" cm="1">
        <f t="array" ref="F4629">IF(AND(A4629="2021-03", ISNA(MATCH(B4629, _xlfn._xlws.FILTER(B:B, A:A="2021-04"), 0))), "Left", "Ativo")</f>
        <v>Ativo</v>
      </c>
    </row>
    <row r="4630" spans="1:6" x14ac:dyDescent="0.25">
      <c r="A4630" t="s">
        <v>1532</v>
      </c>
      <c r="B4630" t="s">
        <v>692</v>
      </c>
      <c r="C4630" s="10" t="str" cm="1">
        <f t="array" ref="C4630">IF(AND(A4630="2020-12", ISNA(MATCH(B4630, _xlfn._xlws.FILTER(B:B, A:A="2021-01"), 0))), "Left", "Ativo")</f>
        <v>Ativo</v>
      </c>
      <c r="D4630" s="10" t="str" cm="1">
        <f t="array" ref="D4630">IF(AND(A4630="2021-01", ISNA(MATCH(B4630, _xlfn._xlws.FILTER(B:B, A:A="2021-02"), 0))), "Left", "Ativo")</f>
        <v>Ativo</v>
      </c>
      <c r="E4630" s="10" t="str" cm="1">
        <f t="array" ref="E4630">IF(AND(A4630="2021-02", ISNA(MATCH(B4630, _xlfn._xlws.FILTER(B:B, A:A="2021-03"), 0))), "Left", "Ativo")</f>
        <v>Ativo</v>
      </c>
      <c r="F4630" s="12" t="str" cm="1">
        <f t="array" ref="F4630">IF(AND(A4630="2021-03", ISNA(MATCH(B4630, _xlfn._xlws.FILTER(B:B, A:A="2021-04"), 0))), "Left", "Ativo")</f>
        <v>Ativo</v>
      </c>
    </row>
    <row r="4631" spans="1:6" x14ac:dyDescent="0.25">
      <c r="A4631" t="s">
        <v>1532</v>
      </c>
      <c r="B4631" t="s">
        <v>693</v>
      </c>
      <c r="C4631" s="10" t="str" cm="1">
        <f t="array" ref="C4631">IF(AND(A4631="2020-12", ISNA(MATCH(B4631, _xlfn._xlws.FILTER(B:B, A:A="2021-01"), 0))), "Left", "Ativo")</f>
        <v>Ativo</v>
      </c>
      <c r="D4631" s="10" t="str" cm="1">
        <f t="array" ref="D4631">IF(AND(A4631="2021-01", ISNA(MATCH(B4631, _xlfn._xlws.FILTER(B:B, A:A="2021-02"), 0))), "Left", "Ativo")</f>
        <v>Ativo</v>
      </c>
      <c r="E4631" s="10" t="str" cm="1">
        <f t="array" ref="E4631">IF(AND(A4631="2021-02", ISNA(MATCH(B4631, _xlfn._xlws.FILTER(B:B, A:A="2021-03"), 0))), "Left", "Ativo")</f>
        <v>Ativo</v>
      </c>
      <c r="F4631" s="12" t="str" cm="1">
        <f t="array" ref="F4631">IF(AND(A4631="2021-03", ISNA(MATCH(B4631, _xlfn._xlws.FILTER(B:B, A:A="2021-04"), 0))), "Left", "Ativo")</f>
        <v>Ativo</v>
      </c>
    </row>
    <row r="4632" spans="1:6" x14ac:dyDescent="0.25">
      <c r="A4632" t="s">
        <v>1532</v>
      </c>
      <c r="B4632" t="s">
        <v>694</v>
      </c>
      <c r="C4632" s="10" t="str" cm="1">
        <f t="array" ref="C4632">IF(AND(A4632="2020-12", ISNA(MATCH(B4632, _xlfn._xlws.FILTER(B:B, A:A="2021-01"), 0))), "Left", "Ativo")</f>
        <v>Ativo</v>
      </c>
      <c r="D4632" s="10" t="str" cm="1">
        <f t="array" ref="D4632">IF(AND(A4632="2021-01", ISNA(MATCH(B4632, _xlfn._xlws.FILTER(B:B, A:A="2021-02"), 0))), "Left", "Ativo")</f>
        <v>Ativo</v>
      </c>
      <c r="E4632" s="10" t="str" cm="1">
        <f t="array" ref="E4632">IF(AND(A4632="2021-02", ISNA(MATCH(B4632, _xlfn._xlws.FILTER(B:B, A:A="2021-03"), 0))), "Left", "Ativo")</f>
        <v>Ativo</v>
      </c>
      <c r="F4632" s="12" t="str" cm="1">
        <f t="array" ref="F4632">IF(AND(A4632="2021-03", ISNA(MATCH(B4632, _xlfn._xlws.FILTER(B:B, A:A="2021-04"), 0))), "Left", "Ativo")</f>
        <v>Ativo</v>
      </c>
    </row>
    <row r="4633" spans="1:6" x14ac:dyDescent="0.25">
      <c r="A4633" t="s">
        <v>1532</v>
      </c>
      <c r="B4633" t="s">
        <v>695</v>
      </c>
      <c r="C4633" s="10" t="str" cm="1">
        <f t="array" ref="C4633">IF(AND(A4633="2020-12", ISNA(MATCH(B4633, _xlfn._xlws.FILTER(B:B, A:A="2021-01"), 0))), "Left", "Ativo")</f>
        <v>Ativo</v>
      </c>
      <c r="D4633" s="10" t="str" cm="1">
        <f t="array" ref="D4633">IF(AND(A4633="2021-01", ISNA(MATCH(B4633, _xlfn._xlws.FILTER(B:B, A:A="2021-02"), 0))), "Left", "Ativo")</f>
        <v>Ativo</v>
      </c>
      <c r="E4633" s="10" t="str" cm="1">
        <f t="array" ref="E4633">IF(AND(A4633="2021-02", ISNA(MATCH(B4633, _xlfn._xlws.FILTER(B:B, A:A="2021-03"), 0))), "Left", "Ativo")</f>
        <v>Ativo</v>
      </c>
      <c r="F4633" s="12" t="str" cm="1">
        <f t="array" ref="F4633">IF(AND(A4633="2021-03", ISNA(MATCH(B4633, _xlfn._xlws.FILTER(B:B, A:A="2021-04"), 0))), "Left", "Ativo")</f>
        <v>Ativo</v>
      </c>
    </row>
    <row r="4634" spans="1:6" x14ac:dyDescent="0.25">
      <c r="A4634" t="s">
        <v>1532</v>
      </c>
      <c r="B4634" t="s">
        <v>696</v>
      </c>
      <c r="C4634" s="10" t="str" cm="1">
        <f t="array" ref="C4634">IF(AND(A4634="2020-12", ISNA(MATCH(B4634, _xlfn._xlws.FILTER(B:B, A:A="2021-01"), 0))), "Left", "Ativo")</f>
        <v>Ativo</v>
      </c>
      <c r="D4634" s="10" t="str" cm="1">
        <f t="array" ref="D4634">IF(AND(A4634="2021-01", ISNA(MATCH(B4634, _xlfn._xlws.FILTER(B:B, A:A="2021-02"), 0))), "Left", "Ativo")</f>
        <v>Ativo</v>
      </c>
      <c r="E4634" s="10" t="str" cm="1">
        <f t="array" ref="E4634">IF(AND(A4634="2021-02", ISNA(MATCH(B4634, _xlfn._xlws.FILTER(B:B, A:A="2021-03"), 0))), "Left", "Ativo")</f>
        <v>Ativo</v>
      </c>
      <c r="F4634" s="12" t="str" cm="1">
        <f t="array" ref="F4634">IF(AND(A4634="2021-03", ISNA(MATCH(B4634, _xlfn._xlws.FILTER(B:B, A:A="2021-04"), 0))), "Left", "Ativo")</f>
        <v>Ativo</v>
      </c>
    </row>
    <row r="4635" spans="1:6" x14ac:dyDescent="0.25">
      <c r="A4635" t="s">
        <v>1532</v>
      </c>
      <c r="B4635" t="s">
        <v>697</v>
      </c>
      <c r="C4635" s="10" t="str" cm="1">
        <f t="array" ref="C4635">IF(AND(A4635="2020-12", ISNA(MATCH(B4635, _xlfn._xlws.FILTER(B:B, A:A="2021-01"), 0))), "Left", "Ativo")</f>
        <v>Ativo</v>
      </c>
      <c r="D4635" s="10" t="str" cm="1">
        <f t="array" ref="D4635">IF(AND(A4635="2021-01", ISNA(MATCH(B4635, _xlfn._xlws.FILTER(B:B, A:A="2021-02"), 0))), "Left", "Ativo")</f>
        <v>Ativo</v>
      </c>
      <c r="E4635" s="10" t="str" cm="1">
        <f t="array" ref="E4635">IF(AND(A4635="2021-02", ISNA(MATCH(B4635, _xlfn._xlws.FILTER(B:B, A:A="2021-03"), 0))), "Left", "Ativo")</f>
        <v>Ativo</v>
      </c>
      <c r="F4635" s="12" t="str" cm="1">
        <f t="array" ref="F4635">IF(AND(A4635="2021-03", ISNA(MATCH(B4635, _xlfn._xlws.FILTER(B:B, A:A="2021-04"), 0))), "Left", "Ativo")</f>
        <v>Ativo</v>
      </c>
    </row>
    <row r="4636" spans="1:6" x14ac:dyDescent="0.25">
      <c r="A4636" t="s">
        <v>1532</v>
      </c>
      <c r="B4636" t="s">
        <v>698</v>
      </c>
      <c r="C4636" s="10" t="str" cm="1">
        <f t="array" ref="C4636">IF(AND(A4636="2020-12", ISNA(MATCH(B4636, _xlfn._xlws.FILTER(B:B, A:A="2021-01"), 0))), "Left", "Ativo")</f>
        <v>Ativo</v>
      </c>
      <c r="D4636" s="10" t="str" cm="1">
        <f t="array" ref="D4636">IF(AND(A4636="2021-01", ISNA(MATCH(B4636, _xlfn._xlws.FILTER(B:B, A:A="2021-02"), 0))), "Left", "Ativo")</f>
        <v>Ativo</v>
      </c>
      <c r="E4636" s="10" t="str" cm="1">
        <f t="array" ref="E4636">IF(AND(A4636="2021-02", ISNA(MATCH(B4636, _xlfn._xlws.FILTER(B:B, A:A="2021-03"), 0))), "Left", "Ativo")</f>
        <v>Ativo</v>
      </c>
      <c r="F4636" s="12" t="str" cm="1">
        <f t="array" ref="F4636">IF(AND(A4636="2021-03", ISNA(MATCH(B4636, _xlfn._xlws.FILTER(B:B, A:A="2021-04"), 0))), "Left", "Ativo")</f>
        <v>Ativo</v>
      </c>
    </row>
    <row r="4637" spans="1:6" x14ac:dyDescent="0.25">
      <c r="A4637" t="s">
        <v>1532</v>
      </c>
      <c r="B4637" t="s">
        <v>699</v>
      </c>
      <c r="C4637" s="10" t="str" cm="1">
        <f t="array" ref="C4637">IF(AND(A4637="2020-12", ISNA(MATCH(B4637, _xlfn._xlws.FILTER(B:B, A:A="2021-01"), 0))), "Left", "Ativo")</f>
        <v>Ativo</v>
      </c>
      <c r="D4637" s="10" t="str" cm="1">
        <f t="array" ref="D4637">IF(AND(A4637="2021-01", ISNA(MATCH(B4637, _xlfn._xlws.FILTER(B:B, A:A="2021-02"), 0))), "Left", "Ativo")</f>
        <v>Ativo</v>
      </c>
      <c r="E4637" s="10" t="str" cm="1">
        <f t="array" ref="E4637">IF(AND(A4637="2021-02", ISNA(MATCH(B4637, _xlfn._xlws.FILTER(B:B, A:A="2021-03"), 0))), "Left", "Ativo")</f>
        <v>Ativo</v>
      </c>
      <c r="F4637" s="12" t="str" cm="1">
        <f t="array" ref="F4637">IF(AND(A4637="2021-03", ISNA(MATCH(B4637, _xlfn._xlws.FILTER(B:B, A:A="2021-04"), 0))), "Left", "Ativo")</f>
        <v>Ativo</v>
      </c>
    </row>
    <row r="4638" spans="1:6" x14ac:dyDescent="0.25">
      <c r="A4638" t="s">
        <v>1532</v>
      </c>
      <c r="B4638" t="s">
        <v>700</v>
      </c>
      <c r="C4638" s="10" t="str" cm="1">
        <f t="array" ref="C4638">IF(AND(A4638="2020-12", ISNA(MATCH(B4638, _xlfn._xlws.FILTER(B:B, A:A="2021-01"), 0))), "Left", "Ativo")</f>
        <v>Ativo</v>
      </c>
      <c r="D4638" s="10" t="str" cm="1">
        <f t="array" ref="D4638">IF(AND(A4638="2021-01", ISNA(MATCH(B4638, _xlfn._xlws.FILTER(B:B, A:A="2021-02"), 0))), "Left", "Ativo")</f>
        <v>Ativo</v>
      </c>
      <c r="E4638" s="10" t="str" cm="1">
        <f t="array" ref="E4638">IF(AND(A4638="2021-02", ISNA(MATCH(B4638, _xlfn._xlws.FILTER(B:B, A:A="2021-03"), 0))), "Left", "Ativo")</f>
        <v>Ativo</v>
      </c>
      <c r="F4638" s="12" t="str" cm="1">
        <f t="array" ref="F4638">IF(AND(A4638="2021-03", ISNA(MATCH(B4638, _xlfn._xlws.FILTER(B:B, A:A="2021-04"), 0))), "Left", "Ativo")</f>
        <v>Ativo</v>
      </c>
    </row>
    <row r="4639" spans="1:6" x14ac:dyDescent="0.25">
      <c r="A4639" t="s">
        <v>1532</v>
      </c>
      <c r="B4639" t="s">
        <v>701</v>
      </c>
      <c r="C4639" s="10" t="str" cm="1">
        <f t="array" ref="C4639">IF(AND(A4639="2020-12", ISNA(MATCH(B4639, _xlfn._xlws.FILTER(B:B, A:A="2021-01"), 0))), "Left", "Ativo")</f>
        <v>Ativo</v>
      </c>
      <c r="D4639" s="10" t="str" cm="1">
        <f t="array" ref="D4639">IF(AND(A4639="2021-01", ISNA(MATCH(B4639, _xlfn._xlws.FILTER(B:B, A:A="2021-02"), 0))), "Left", "Ativo")</f>
        <v>Ativo</v>
      </c>
      <c r="E4639" s="10" t="str" cm="1">
        <f t="array" ref="E4639">IF(AND(A4639="2021-02", ISNA(MATCH(B4639, _xlfn._xlws.FILTER(B:B, A:A="2021-03"), 0))), "Left", "Ativo")</f>
        <v>Ativo</v>
      </c>
      <c r="F4639" s="12" t="str" cm="1">
        <f t="array" ref="F4639">IF(AND(A4639="2021-03", ISNA(MATCH(B4639, _xlfn._xlws.FILTER(B:B, A:A="2021-04"), 0))), "Left", "Ativo")</f>
        <v>Ativo</v>
      </c>
    </row>
    <row r="4640" spans="1:6" x14ac:dyDescent="0.25">
      <c r="A4640" t="s">
        <v>1532</v>
      </c>
      <c r="B4640" t="s">
        <v>702</v>
      </c>
      <c r="C4640" s="10" t="str" cm="1">
        <f t="array" ref="C4640">IF(AND(A4640="2020-12", ISNA(MATCH(B4640, _xlfn._xlws.FILTER(B:B, A:A="2021-01"), 0))), "Left", "Ativo")</f>
        <v>Ativo</v>
      </c>
      <c r="D4640" s="10" t="str" cm="1">
        <f t="array" ref="D4640">IF(AND(A4640="2021-01", ISNA(MATCH(B4640, _xlfn._xlws.FILTER(B:B, A:A="2021-02"), 0))), "Left", "Ativo")</f>
        <v>Ativo</v>
      </c>
      <c r="E4640" s="10" t="str" cm="1">
        <f t="array" ref="E4640">IF(AND(A4640="2021-02", ISNA(MATCH(B4640, _xlfn._xlws.FILTER(B:B, A:A="2021-03"), 0))), "Left", "Ativo")</f>
        <v>Ativo</v>
      </c>
      <c r="F4640" s="12" t="str" cm="1">
        <f t="array" ref="F4640">IF(AND(A4640="2021-03", ISNA(MATCH(B4640, _xlfn._xlws.FILTER(B:B, A:A="2021-04"), 0))), "Left", "Ativo")</f>
        <v>Ativo</v>
      </c>
    </row>
    <row r="4641" spans="1:6" x14ac:dyDescent="0.25">
      <c r="A4641" t="s">
        <v>1532</v>
      </c>
      <c r="B4641" t="s">
        <v>703</v>
      </c>
      <c r="C4641" s="10" t="str" cm="1">
        <f t="array" ref="C4641">IF(AND(A4641="2020-12", ISNA(MATCH(B4641, _xlfn._xlws.FILTER(B:B, A:A="2021-01"), 0))), "Left", "Ativo")</f>
        <v>Ativo</v>
      </c>
      <c r="D4641" s="10" t="str" cm="1">
        <f t="array" ref="D4641">IF(AND(A4641="2021-01", ISNA(MATCH(B4641, _xlfn._xlws.FILTER(B:B, A:A="2021-02"), 0))), "Left", "Ativo")</f>
        <v>Ativo</v>
      </c>
      <c r="E4641" s="10" t="str" cm="1">
        <f t="array" ref="E4641">IF(AND(A4641="2021-02", ISNA(MATCH(B4641, _xlfn._xlws.FILTER(B:B, A:A="2021-03"), 0))), "Left", "Ativo")</f>
        <v>Ativo</v>
      </c>
      <c r="F4641" s="12" t="str" cm="1">
        <f t="array" ref="F4641">IF(AND(A4641="2021-03", ISNA(MATCH(B4641, _xlfn._xlws.FILTER(B:B, A:A="2021-04"), 0))), "Left", "Ativo")</f>
        <v>Ativo</v>
      </c>
    </row>
    <row r="4642" spans="1:6" x14ac:dyDescent="0.25">
      <c r="A4642" t="s">
        <v>1532</v>
      </c>
      <c r="B4642" t="s">
        <v>704</v>
      </c>
      <c r="C4642" s="10" t="str" cm="1">
        <f t="array" ref="C4642">IF(AND(A4642="2020-12", ISNA(MATCH(B4642, _xlfn._xlws.FILTER(B:B, A:A="2021-01"), 0))), "Left", "Ativo")</f>
        <v>Ativo</v>
      </c>
      <c r="D4642" s="10" t="str" cm="1">
        <f t="array" ref="D4642">IF(AND(A4642="2021-01", ISNA(MATCH(B4642, _xlfn._xlws.FILTER(B:B, A:A="2021-02"), 0))), "Left", "Ativo")</f>
        <v>Ativo</v>
      </c>
      <c r="E4642" s="10" t="str" cm="1">
        <f t="array" ref="E4642">IF(AND(A4642="2021-02", ISNA(MATCH(B4642, _xlfn._xlws.FILTER(B:B, A:A="2021-03"), 0))), "Left", "Ativo")</f>
        <v>Ativo</v>
      </c>
      <c r="F4642" s="12" t="str" cm="1">
        <f t="array" ref="F4642">IF(AND(A4642="2021-03", ISNA(MATCH(B4642, _xlfn._xlws.FILTER(B:B, A:A="2021-04"), 0))), "Left", "Ativo")</f>
        <v>Ativo</v>
      </c>
    </row>
    <row r="4643" spans="1:6" x14ac:dyDescent="0.25">
      <c r="A4643" t="s">
        <v>1532</v>
      </c>
      <c r="B4643" t="s">
        <v>705</v>
      </c>
      <c r="C4643" s="10" t="str" cm="1">
        <f t="array" ref="C4643">IF(AND(A4643="2020-12", ISNA(MATCH(B4643, _xlfn._xlws.FILTER(B:B, A:A="2021-01"), 0))), "Left", "Ativo")</f>
        <v>Ativo</v>
      </c>
      <c r="D4643" s="10" t="str" cm="1">
        <f t="array" ref="D4643">IF(AND(A4643="2021-01", ISNA(MATCH(B4643, _xlfn._xlws.FILTER(B:B, A:A="2021-02"), 0))), "Left", "Ativo")</f>
        <v>Ativo</v>
      </c>
      <c r="E4643" s="10" t="str" cm="1">
        <f t="array" ref="E4643">IF(AND(A4643="2021-02", ISNA(MATCH(B4643, _xlfn._xlws.FILTER(B:B, A:A="2021-03"), 0))), "Left", "Ativo")</f>
        <v>Ativo</v>
      </c>
      <c r="F4643" s="12" t="str" cm="1">
        <f t="array" ref="F4643">IF(AND(A4643="2021-03", ISNA(MATCH(B4643, _xlfn._xlws.FILTER(B:B, A:A="2021-04"), 0))), "Left", "Ativo")</f>
        <v>Ativo</v>
      </c>
    </row>
    <row r="4644" spans="1:6" x14ac:dyDescent="0.25">
      <c r="A4644" t="s">
        <v>1532</v>
      </c>
      <c r="B4644" t="s">
        <v>706</v>
      </c>
      <c r="C4644" s="10" t="str" cm="1">
        <f t="array" ref="C4644">IF(AND(A4644="2020-12", ISNA(MATCH(B4644, _xlfn._xlws.FILTER(B:B, A:A="2021-01"), 0))), "Left", "Ativo")</f>
        <v>Ativo</v>
      </c>
      <c r="D4644" s="10" t="str" cm="1">
        <f t="array" ref="D4644">IF(AND(A4644="2021-01", ISNA(MATCH(B4644, _xlfn._xlws.FILTER(B:B, A:A="2021-02"), 0))), "Left", "Ativo")</f>
        <v>Ativo</v>
      </c>
      <c r="E4644" s="10" t="str" cm="1">
        <f t="array" ref="E4644">IF(AND(A4644="2021-02", ISNA(MATCH(B4644, _xlfn._xlws.FILTER(B:B, A:A="2021-03"), 0))), "Left", "Ativo")</f>
        <v>Ativo</v>
      </c>
      <c r="F4644" s="12" t="str" cm="1">
        <f t="array" ref="F4644">IF(AND(A4644="2021-03", ISNA(MATCH(B4644, _xlfn._xlws.FILTER(B:B, A:A="2021-04"), 0))), "Left", "Ativo")</f>
        <v>Ativo</v>
      </c>
    </row>
    <row r="4645" spans="1:6" x14ac:dyDescent="0.25">
      <c r="A4645" t="s">
        <v>1532</v>
      </c>
      <c r="B4645" t="s">
        <v>707</v>
      </c>
      <c r="C4645" s="10" t="str" cm="1">
        <f t="array" ref="C4645">IF(AND(A4645="2020-12", ISNA(MATCH(B4645, _xlfn._xlws.FILTER(B:B, A:A="2021-01"), 0))), "Left", "Ativo")</f>
        <v>Ativo</v>
      </c>
      <c r="D4645" s="10" t="str" cm="1">
        <f t="array" ref="D4645">IF(AND(A4645="2021-01", ISNA(MATCH(B4645, _xlfn._xlws.FILTER(B:B, A:A="2021-02"), 0))), "Left", "Ativo")</f>
        <v>Ativo</v>
      </c>
      <c r="E4645" s="10" t="str" cm="1">
        <f t="array" ref="E4645">IF(AND(A4645="2021-02", ISNA(MATCH(B4645, _xlfn._xlws.FILTER(B:B, A:A="2021-03"), 0))), "Left", "Ativo")</f>
        <v>Ativo</v>
      </c>
      <c r="F4645" s="12" t="str" cm="1">
        <f t="array" ref="F4645">IF(AND(A4645="2021-03", ISNA(MATCH(B4645, _xlfn._xlws.FILTER(B:B, A:A="2021-04"), 0))), "Left", "Ativo")</f>
        <v>Ativo</v>
      </c>
    </row>
    <row r="4646" spans="1:6" x14ac:dyDescent="0.25">
      <c r="A4646" t="s">
        <v>1532</v>
      </c>
      <c r="B4646" t="s">
        <v>708</v>
      </c>
      <c r="C4646" s="10" t="str" cm="1">
        <f t="array" ref="C4646">IF(AND(A4646="2020-12", ISNA(MATCH(B4646, _xlfn._xlws.FILTER(B:B, A:A="2021-01"), 0))), "Left", "Ativo")</f>
        <v>Ativo</v>
      </c>
      <c r="D4646" s="10" t="str" cm="1">
        <f t="array" ref="D4646">IF(AND(A4646="2021-01", ISNA(MATCH(B4646, _xlfn._xlws.FILTER(B:B, A:A="2021-02"), 0))), "Left", "Ativo")</f>
        <v>Ativo</v>
      </c>
      <c r="E4646" s="10" t="str" cm="1">
        <f t="array" ref="E4646">IF(AND(A4646="2021-02", ISNA(MATCH(B4646, _xlfn._xlws.FILTER(B:B, A:A="2021-03"), 0))), "Left", "Ativo")</f>
        <v>Ativo</v>
      </c>
      <c r="F4646" s="12" t="str" cm="1">
        <f t="array" ref="F4646">IF(AND(A4646="2021-03", ISNA(MATCH(B4646, _xlfn._xlws.FILTER(B:B, A:A="2021-04"), 0))), "Left", "Ativo")</f>
        <v>Ativo</v>
      </c>
    </row>
    <row r="4647" spans="1:6" x14ac:dyDescent="0.25">
      <c r="A4647" t="s">
        <v>1532</v>
      </c>
      <c r="B4647" t="s">
        <v>709</v>
      </c>
      <c r="C4647" s="10" t="str" cm="1">
        <f t="array" ref="C4647">IF(AND(A4647="2020-12", ISNA(MATCH(B4647, _xlfn._xlws.FILTER(B:B, A:A="2021-01"), 0))), "Left", "Ativo")</f>
        <v>Ativo</v>
      </c>
      <c r="D4647" s="10" t="str" cm="1">
        <f t="array" ref="D4647">IF(AND(A4647="2021-01", ISNA(MATCH(B4647, _xlfn._xlws.FILTER(B:B, A:A="2021-02"), 0))), "Left", "Ativo")</f>
        <v>Ativo</v>
      </c>
      <c r="E4647" s="10" t="str" cm="1">
        <f t="array" ref="E4647">IF(AND(A4647="2021-02", ISNA(MATCH(B4647, _xlfn._xlws.FILTER(B:B, A:A="2021-03"), 0))), "Left", "Ativo")</f>
        <v>Ativo</v>
      </c>
      <c r="F4647" s="12" t="str" cm="1">
        <f t="array" ref="F4647">IF(AND(A4647="2021-03", ISNA(MATCH(B4647, _xlfn._xlws.FILTER(B:B, A:A="2021-04"), 0))), "Left", "Ativo")</f>
        <v>Ativo</v>
      </c>
    </row>
    <row r="4648" spans="1:6" x14ac:dyDescent="0.25">
      <c r="A4648" t="s">
        <v>1532</v>
      </c>
      <c r="B4648" t="s">
        <v>710</v>
      </c>
      <c r="C4648" s="10" t="str" cm="1">
        <f t="array" ref="C4648">IF(AND(A4648="2020-12", ISNA(MATCH(B4648, _xlfn._xlws.FILTER(B:B, A:A="2021-01"), 0))), "Left", "Ativo")</f>
        <v>Ativo</v>
      </c>
      <c r="D4648" s="10" t="str" cm="1">
        <f t="array" ref="D4648">IF(AND(A4648="2021-01", ISNA(MATCH(B4648, _xlfn._xlws.FILTER(B:B, A:A="2021-02"), 0))), "Left", "Ativo")</f>
        <v>Ativo</v>
      </c>
      <c r="E4648" s="10" t="str" cm="1">
        <f t="array" ref="E4648">IF(AND(A4648="2021-02", ISNA(MATCH(B4648, _xlfn._xlws.FILTER(B:B, A:A="2021-03"), 0))), "Left", "Ativo")</f>
        <v>Ativo</v>
      </c>
      <c r="F4648" s="12" t="str" cm="1">
        <f t="array" ref="F4648">IF(AND(A4648="2021-03", ISNA(MATCH(B4648, _xlfn._xlws.FILTER(B:B, A:A="2021-04"), 0))), "Left", "Ativo")</f>
        <v>Ativo</v>
      </c>
    </row>
    <row r="4649" spans="1:6" x14ac:dyDescent="0.25">
      <c r="A4649" t="s">
        <v>1532</v>
      </c>
      <c r="B4649" t="s">
        <v>711</v>
      </c>
      <c r="C4649" s="10" t="str" cm="1">
        <f t="array" ref="C4649">IF(AND(A4649="2020-12", ISNA(MATCH(B4649, _xlfn._xlws.FILTER(B:B, A:A="2021-01"), 0))), "Left", "Ativo")</f>
        <v>Ativo</v>
      </c>
      <c r="D4649" s="10" t="str" cm="1">
        <f t="array" ref="D4649">IF(AND(A4649="2021-01", ISNA(MATCH(B4649, _xlfn._xlws.FILTER(B:B, A:A="2021-02"), 0))), "Left", "Ativo")</f>
        <v>Ativo</v>
      </c>
      <c r="E4649" s="10" t="str" cm="1">
        <f t="array" ref="E4649">IF(AND(A4649="2021-02", ISNA(MATCH(B4649, _xlfn._xlws.FILTER(B:B, A:A="2021-03"), 0))), "Left", "Ativo")</f>
        <v>Ativo</v>
      </c>
      <c r="F4649" s="12" t="str" cm="1">
        <f t="array" ref="F4649">IF(AND(A4649="2021-03", ISNA(MATCH(B4649, _xlfn._xlws.FILTER(B:B, A:A="2021-04"), 0))), "Left", "Ativo")</f>
        <v>Ativo</v>
      </c>
    </row>
    <row r="4650" spans="1:6" x14ac:dyDescent="0.25">
      <c r="A4650" t="s">
        <v>1532</v>
      </c>
      <c r="B4650" t="s">
        <v>712</v>
      </c>
      <c r="C4650" s="10" t="str" cm="1">
        <f t="array" ref="C4650">IF(AND(A4650="2020-12", ISNA(MATCH(B4650, _xlfn._xlws.FILTER(B:B, A:A="2021-01"), 0))), "Left", "Ativo")</f>
        <v>Ativo</v>
      </c>
      <c r="D4650" s="10" t="str" cm="1">
        <f t="array" ref="D4650">IF(AND(A4650="2021-01", ISNA(MATCH(B4650, _xlfn._xlws.FILTER(B:B, A:A="2021-02"), 0))), "Left", "Ativo")</f>
        <v>Ativo</v>
      </c>
      <c r="E4650" s="10" t="str" cm="1">
        <f t="array" ref="E4650">IF(AND(A4650="2021-02", ISNA(MATCH(B4650, _xlfn._xlws.FILTER(B:B, A:A="2021-03"), 0))), "Left", "Ativo")</f>
        <v>Ativo</v>
      </c>
      <c r="F4650" s="12" t="str" cm="1">
        <f t="array" ref="F4650">IF(AND(A4650="2021-03", ISNA(MATCH(B4650, _xlfn._xlws.FILTER(B:B, A:A="2021-04"), 0))), "Left", "Ativo")</f>
        <v>Ativo</v>
      </c>
    </row>
    <row r="4651" spans="1:6" x14ac:dyDescent="0.25">
      <c r="A4651" t="s">
        <v>1532</v>
      </c>
      <c r="B4651" t="s">
        <v>713</v>
      </c>
      <c r="C4651" s="10" t="str" cm="1">
        <f t="array" ref="C4651">IF(AND(A4651="2020-12", ISNA(MATCH(B4651, _xlfn._xlws.FILTER(B:B, A:A="2021-01"), 0))), "Left", "Ativo")</f>
        <v>Ativo</v>
      </c>
      <c r="D4651" s="10" t="str" cm="1">
        <f t="array" ref="D4651">IF(AND(A4651="2021-01", ISNA(MATCH(B4651, _xlfn._xlws.FILTER(B:B, A:A="2021-02"), 0))), "Left", "Ativo")</f>
        <v>Ativo</v>
      </c>
      <c r="E4651" s="10" t="str" cm="1">
        <f t="array" ref="E4651">IF(AND(A4651="2021-02", ISNA(MATCH(B4651, _xlfn._xlws.FILTER(B:B, A:A="2021-03"), 0))), "Left", "Ativo")</f>
        <v>Ativo</v>
      </c>
      <c r="F4651" s="12" t="str" cm="1">
        <f t="array" ref="F4651">IF(AND(A4651="2021-03", ISNA(MATCH(B4651, _xlfn._xlws.FILTER(B:B, A:A="2021-04"), 0))), "Left", "Ativo")</f>
        <v>Ativo</v>
      </c>
    </row>
    <row r="4652" spans="1:6" x14ac:dyDescent="0.25">
      <c r="A4652" t="s">
        <v>1532</v>
      </c>
      <c r="B4652" t="s">
        <v>714</v>
      </c>
      <c r="C4652" s="10" t="str" cm="1">
        <f t="array" ref="C4652">IF(AND(A4652="2020-12", ISNA(MATCH(B4652, _xlfn._xlws.FILTER(B:B, A:A="2021-01"), 0))), "Left", "Ativo")</f>
        <v>Ativo</v>
      </c>
      <c r="D4652" s="10" t="str" cm="1">
        <f t="array" ref="D4652">IF(AND(A4652="2021-01", ISNA(MATCH(B4652, _xlfn._xlws.FILTER(B:B, A:A="2021-02"), 0))), "Left", "Ativo")</f>
        <v>Ativo</v>
      </c>
      <c r="E4652" s="10" t="str" cm="1">
        <f t="array" ref="E4652">IF(AND(A4652="2021-02", ISNA(MATCH(B4652, _xlfn._xlws.FILTER(B:B, A:A="2021-03"), 0))), "Left", "Ativo")</f>
        <v>Ativo</v>
      </c>
      <c r="F4652" s="12" t="str" cm="1">
        <f t="array" ref="F4652">IF(AND(A4652="2021-03", ISNA(MATCH(B4652, _xlfn._xlws.FILTER(B:B, A:A="2021-04"), 0))), "Left", "Ativo")</f>
        <v>Ativo</v>
      </c>
    </row>
    <row r="4653" spans="1:6" x14ac:dyDescent="0.25">
      <c r="A4653" t="s">
        <v>1532</v>
      </c>
      <c r="B4653" t="s">
        <v>715</v>
      </c>
      <c r="C4653" s="10" t="str" cm="1">
        <f t="array" ref="C4653">IF(AND(A4653="2020-12", ISNA(MATCH(B4653, _xlfn._xlws.FILTER(B:B, A:A="2021-01"), 0))), "Left", "Ativo")</f>
        <v>Ativo</v>
      </c>
      <c r="D4653" s="10" t="str" cm="1">
        <f t="array" ref="D4653">IF(AND(A4653="2021-01", ISNA(MATCH(B4653, _xlfn._xlws.FILTER(B:B, A:A="2021-02"), 0))), "Left", "Ativo")</f>
        <v>Ativo</v>
      </c>
      <c r="E4653" s="10" t="str" cm="1">
        <f t="array" ref="E4653">IF(AND(A4653="2021-02", ISNA(MATCH(B4653, _xlfn._xlws.FILTER(B:B, A:A="2021-03"), 0))), "Left", "Ativo")</f>
        <v>Ativo</v>
      </c>
      <c r="F4653" s="12" t="str" cm="1">
        <f t="array" ref="F4653">IF(AND(A4653="2021-03", ISNA(MATCH(B4653, _xlfn._xlws.FILTER(B:B, A:A="2021-04"), 0))), "Left", "Ativo")</f>
        <v>Ativo</v>
      </c>
    </row>
    <row r="4654" spans="1:6" x14ac:dyDescent="0.25">
      <c r="A4654" t="s">
        <v>1532</v>
      </c>
      <c r="B4654" t="s">
        <v>716</v>
      </c>
      <c r="C4654" s="10" t="str" cm="1">
        <f t="array" ref="C4654">IF(AND(A4654="2020-12", ISNA(MATCH(B4654, _xlfn._xlws.FILTER(B:B, A:A="2021-01"), 0))), "Left", "Ativo")</f>
        <v>Ativo</v>
      </c>
      <c r="D4654" s="10" t="str" cm="1">
        <f t="array" ref="D4654">IF(AND(A4654="2021-01", ISNA(MATCH(B4654, _xlfn._xlws.FILTER(B:B, A:A="2021-02"), 0))), "Left", "Ativo")</f>
        <v>Ativo</v>
      </c>
      <c r="E4654" s="10" t="str" cm="1">
        <f t="array" ref="E4654">IF(AND(A4654="2021-02", ISNA(MATCH(B4654, _xlfn._xlws.FILTER(B:B, A:A="2021-03"), 0))), "Left", "Ativo")</f>
        <v>Ativo</v>
      </c>
      <c r="F4654" s="12" t="str" cm="1">
        <f t="array" ref="F4654">IF(AND(A4654="2021-03", ISNA(MATCH(B4654, _xlfn._xlws.FILTER(B:B, A:A="2021-04"), 0))), "Left", "Ativo")</f>
        <v>Ativo</v>
      </c>
    </row>
    <row r="4655" spans="1:6" x14ac:dyDescent="0.25">
      <c r="A4655" t="s">
        <v>1532</v>
      </c>
      <c r="B4655" t="s">
        <v>717</v>
      </c>
      <c r="C4655" s="10" t="str" cm="1">
        <f t="array" ref="C4655">IF(AND(A4655="2020-12", ISNA(MATCH(B4655, _xlfn._xlws.FILTER(B:B, A:A="2021-01"), 0))), "Left", "Ativo")</f>
        <v>Ativo</v>
      </c>
      <c r="D4655" s="10" t="str" cm="1">
        <f t="array" ref="D4655">IF(AND(A4655="2021-01", ISNA(MATCH(B4655, _xlfn._xlws.FILTER(B:B, A:A="2021-02"), 0))), "Left", "Ativo")</f>
        <v>Ativo</v>
      </c>
      <c r="E4655" s="10" t="str" cm="1">
        <f t="array" ref="E4655">IF(AND(A4655="2021-02", ISNA(MATCH(B4655, _xlfn._xlws.FILTER(B:B, A:A="2021-03"), 0))), "Left", "Ativo")</f>
        <v>Ativo</v>
      </c>
      <c r="F4655" s="12" t="str" cm="1">
        <f t="array" ref="F4655">IF(AND(A4655="2021-03", ISNA(MATCH(B4655, _xlfn._xlws.FILTER(B:B, A:A="2021-04"), 0))), "Left", "Ativo")</f>
        <v>Ativo</v>
      </c>
    </row>
    <row r="4656" spans="1:6" x14ac:dyDescent="0.25">
      <c r="A4656" t="s">
        <v>1532</v>
      </c>
      <c r="B4656" t="s">
        <v>718</v>
      </c>
      <c r="C4656" s="10" t="str" cm="1">
        <f t="array" ref="C4656">IF(AND(A4656="2020-12", ISNA(MATCH(B4656, _xlfn._xlws.FILTER(B:B, A:A="2021-01"), 0))), "Left", "Ativo")</f>
        <v>Ativo</v>
      </c>
      <c r="D4656" s="10" t="str" cm="1">
        <f t="array" ref="D4656">IF(AND(A4656="2021-01", ISNA(MATCH(B4656, _xlfn._xlws.FILTER(B:B, A:A="2021-02"), 0))), "Left", "Ativo")</f>
        <v>Ativo</v>
      </c>
      <c r="E4656" s="10" t="str" cm="1">
        <f t="array" ref="E4656">IF(AND(A4656="2021-02", ISNA(MATCH(B4656, _xlfn._xlws.FILTER(B:B, A:A="2021-03"), 0))), "Left", "Ativo")</f>
        <v>Ativo</v>
      </c>
      <c r="F4656" s="12" t="str" cm="1">
        <f t="array" ref="F4656">IF(AND(A4656="2021-03", ISNA(MATCH(B4656, _xlfn._xlws.FILTER(B:B, A:A="2021-04"), 0))), "Left", "Ativo")</f>
        <v>Ativo</v>
      </c>
    </row>
    <row r="4657" spans="1:6" x14ac:dyDescent="0.25">
      <c r="A4657" t="s">
        <v>1532</v>
      </c>
      <c r="B4657" t="s">
        <v>719</v>
      </c>
      <c r="C4657" s="10" t="str" cm="1">
        <f t="array" ref="C4657">IF(AND(A4657="2020-12", ISNA(MATCH(B4657, _xlfn._xlws.FILTER(B:B, A:A="2021-01"), 0))), "Left", "Ativo")</f>
        <v>Ativo</v>
      </c>
      <c r="D4657" s="10" t="str" cm="1">
        <f t="array" ref="D4657">IF(AND(A4657="2021-01", ISNA(MATCH(B4657, _xlfn._xlws.FILTER(B:B, A:A="2021-02"), 0))), "Left", "Ativo")</f>
        <v>Ativo</v>
      </c>
      <c r="E4657" s="10" t="str" cm="1">
        <f t="array" ref="E4657">IF(AND(A4657="2021-02", ISNA(MATCH(B4657, _xlfn._xlws.FILTER(B:B, A:A="2021-03"), 0))), "Left", "Ativo")</f>
        <v>Ativo</v>
      </c>
      <c r="F4657" s="12" t="str" cm="1">
        <f t="array" ref="F4657">IF(AND(A4657="2021-03", ISNA(MATCH(B4657, _xlfn._xlws.FILTER(B:B, A:A="2021-04"), 0))), "Left", "Ativo")</f>
        <v>Ativo</v>
      </c>
    </row>
    <row r="4658" spans="1:6" x14ac:dyDescent="0.25">
      <c r="A4658" t="s">
        <v>1532</v>
      </c>
      <c r="B4658" t="s">
        <v>720</v>
      </c>
      <c r="C4658" s="10" t="str" cm="1">
        <f t="array" ref="C4658">IF(AND(A4658="2020-12", ISNA(MATCH(B4658, _xlfn._xlws.FILTER(B:B, A:A="2021-01"), 0))), "Left", "Ativo")</f>
        <v>Ativo</v>
      </c>
      <c r="D4658" s="10" t="str" cm="1">
        <f t="array" ref="D4658">IF(AND(A4658="2021-01", ISNA(MATCH(B4658, _xlfn._xlws.FILTER(B:B, A:A="2021-02"), 0))), "Left", "Ativo")</f>
        <v>Ativo</v>
      </c>
      <c r="E4658" s="10" t="str" cm="1">
        <f t="array" ref="E4658">IF(AND(A4658="2021-02", ISNA(MATCH(B4658, _xlfn._xlws.FILTER(B:B, A:A="2021-03"), 0))), "Left", "Ativo")</f>
        <v>Ativo</v>
      </c>
      <c r="F4658" s="12" t="str" cm="1">
        <f t="array" ref="F4658">IF(AND(A4658="2021-03", ISNA(MATCH(B4658, _xlfn._xlws.FILTER(B:B, A:A="2021-04"), 0))), "Left", "Ativo")</f>
        <v>Ativo</v>
      </c>
    </row>
    <row r="4659" spans="1:6" x14ac:dyDescent="0.25">
      <c r="A4659" t="s">
        <v>1532</v>
      </c>
      <c r="B4659" t="s">
        <v>721</v>
      </c>
      <c r="C4659" s="10" t="str" cm="1">
        <f t="array" ref="C4659">IF(AND(A4659="2020-12", ISNA(MATCH(B4659, _xlfn._xlws.FILTER(B:B, A:A="2021-01"), 0))), "Left", "Ativo")</f>
        <v>Ativo</v>
      </c>
      <c r="D4659" s="10" t="str" cm="1">
        <f t="array" ref="D4659">IF(AND(A4659="2021-01", ISNA(MATCH(B4659, _xlfn._xlws.FILTER(B:B, A:A="2021-02"), 0))), "Left", "Ativo")</f>
        <v>Ativo</v>
      </c>
      <c r="E4659" s="10" t="str" cm="1">
        <f t="array" ref="E4659">IF(AND(A4659="2021-02", ISNA(MATCH(B4659, _xlfn._xlws.FILTER(B:B, A:A="2021-03"), 0))), "Left", "Ativo")</f>
        <v>Ativo</v>
      </c>
      <c r="F4659" s="12" t="str" cm="1">
        <f t="array" ref="F4659">IF(AND(A4659="2021-03", ISNA(MATCH(B4659, _xlfn._xlws.FILTER(B:B, A:A="2021-04"), 0))), "Left", "Ativo")</f>
        <v>Ativo</v>
      </c>
    </row>
    <row r="4660" spans="1:6" x14ac:dyDescent="0.25">
      <c r="A4660" t="s">
        <v>1532</v>
      </c>
      <c r="B4660" t="s">
        <v>722</v>
      </c>
      <c r="C4660" s="10" t="str" cm="1">
        <f t="array" ref="C4660">IF(AND(A4660="2020-12", ISNA(MATCH(B4660, _xlfn._xlws.FILTER(B:B, A:A="2021-01"), 0))), "Left", "Ativo")</f>
        <v>Ativo</v>
      </c>
      <c r="D4660" s="10" t="str" cm="1">
        <f t="array" ref="D4660">IF(AND(A4660="2021-01", ISNA(MATCH(B4660, _xlfn._xlws.FILTER(B:B, A:A="2021-02"), 0))), "Left", "Ativo")</f>
        <v>Ativo</v>
      </c>
      <c r="E4660" s="10" t="str" cm="1">
        <f t="array" ref="E4660">IF(AND(A4660="2021-02", ISNA(MATCH(B4660, _xlfn._xlws.FILTER(B:B, A:A="2021-03"), 0))), "Left", "Ativo")</f>
        <v>Ativo</v>
      </c>
      <c r="F4660" s="12" t="str" cm="1">
        <f t="array" ref="F4660">IF(AND(A4660="2021-03", ISNA(MATCH(B4660, _xlfn._xlws.FILTER(B:B, A:A="2021-04"), 0))), "Left", "Ativo")</f>
        <v>Ativo</v>
      </c>
    </row>
    <row r="4661" spans="1:6" x14ac:dyDescent="0.25">
      <c r="A4661" t="s">
        <v>1532</v>
      </c>
      <c r="B4661" t="s">
        <v>723</v>
      </c>
      <c r="C4661" s="10" t="str" cm="1">
        <f t="array" ref="C4661">IF(AND(A4661="2020-12", ISNA(MATCH(B4661, _xlfn._xlws.FILTER(B:B, A:A="2021-01"), 0))), "Left", "Ativo")</f>
        <v>Ativo</v>
      </c>
      <c r="D4661" s="10" t="str" cm="1">
        <f t="array" ref="D4661">IF(AND(A4661="2021-01", ISNA(MATCH(B4661, _xlfn._xlws.FILTER(B:B, A:A="2021-02"), 0))), "Left", "Ativo")</f>
        <v>Ativo</v>
      </c>
      <c r="E4661" s="10" t="str" cm="1">
        <f t="array" ref="E4661">IF(AND(A4661="2021-02", ISNA(MATCH(B4661, _xlfn._xlws.FILTER(B:B, A:A="2021-03"), 0))), "Left", "Ativo")</f>
        <v>Ativo</v>
      </c>
      <c r="F4661" s="12" t="str" cm="1">
        <f t="array" ref="F4661">IF(AND(A4661="2021-03", ISNA(MATCH(B4661, _xlfn._xlws.FILTER(B:B, A:A="2021-04"), 0))), "Left", "Ativo")</f>
        <v>Ativo</v>
      </c>
    </row>
    <row r="4662" spans="1:6" x14ac:dyDescent="0.25">
      <c r="A4662" t="s">
        <v>1532</v>
      </c>
      <c r="B4662" t="s">
        <v>724</v>
      </c>
      <c r="C4662" s="10" t="str" cm="1">
        <f t="array" ref="C4662">IF(AND(A4662="2020-12", ISNA(MATCH(B4662, _xlfn._xlws.FILTER(B:B, A:A="2021-01"), 0))), "Left", "Ativo")</f>
        <v>Ativo</v>
      </c>
      <c r="D4662" s="10" t="str" cm="1">
        <f t="array" ref="D4662">IF(AND(A4662="2021-01", ISNA(MATCH(B4662, _xlfn._xlws.FILTER(B:B, A:A="2021-02"), 0))), "Left", "Ativo")</f>
        <v>Ativo</v>
      </c>
      <c r="E4662" s="10" t="str" cm="1">
        <f t="array" ref="E4662">IF(AND(A4662="2021-02", ISNA(MATCH(B4662, _xlfn._xlws.FILTER(B:B, A:A="2021-03"), 0))), "Left", "Ativo")</f>
        <v>Ativo</v>
      </c>
      <c r="F4662" s="12" t="str" cm="1">
        <f t="array" ref="F4662">IF(AND(A4662="2021-03", ISNA(MATCH(B4662, _xlfn._xlws.FILTER(B:B, A:A="2021-04"), 0))), "Left", "Ativo")</f>
        <v>Ativo</v>
      </c>
    </row>
    <row r="4663" spans="1:6" x14ac:dyDescent="0.25">
      <c r="A4663" t="s">
        <v>1532</v>
      </c>
      <c r="B4663" t="s">
        <v>725</v>
      </c>
      <c r="C4663" s="10" t="str" cm="1">
        <f t="array" ref="C4663">IF(AND(A4663="2020-12", ISNA(MATCH(B4663, _xlfn._xlws.FILTER(B:B, A:A="2021-01"), 0))), "Left", "Ativo")</f>
        <v>Ativo</v>
      </c>
      <c r="D4663" s="10" t="str" cm="1">
        <f t="array" ref="D4663">IF(AND(A4663="2021-01", ISNA(MATCH(B4663, _xlfn._xlws.FILTER(B:B, A:A="2021-02"), 0))), "Left", "Ativo")</f>
        <v>Ativo</v>
      </c>
      <c r="E4663" s="10" t="str" cm="1">
        <f t="array" ref="E4663">IF(AND(A4663="2021-02", ISNA(MATCH(B4663, _xlfn._xlws.FILTER(B:B, A:A="2021-03"), 0))), "Left", "Ativo")</f>
        <v>Ativo</v>
      </c>
      <c r="F4663" s="12" t="str" cm="1">
        <f t="array" ref="F4663">IF(AND(A4663="2021-03", ISNA(MATCH(B4663, _xlfn._xlws.FILTER(B:B, A:A="2021-04"), 0))), "Left", "Ativo")</f>
        <v>Ativo</v>
      </c>
    </row>
    <row r="4664" spans="1:6" x14ac:dyDescent="0.25">
      <c r="A4664" t="s">
        <v>1532</v>
      </c>
      <c r="B4664" t="s">
        <v>726</v>
      </c>
      <c r="C4664" s="10" t="str" cm="1">
        <f t="array" ref="C4664">IF(AND(A4664="2020-12", ISNA(MATCH(B4664, _xlfn._xlws.FILTER(B:B, A:A="2021-01"), 0))), "Left", "Ativo")</f>
        <v>Ativo</v>
      </c>
      <c r="D4664" s="10" t="str" cm="1">
        <f t="array" ref="D4664">IF(AND(A4664="2021-01", ISNA(MATCH(B4664, _xlfn._xlws.FILTER(B:B, A:A="2021-02"), 0))), "Left", "Ativo")</f>
        <v>Ativo</v>
      </c>
      <c r="E4664" s="10" t="str" cm="1">
        <f t="array" ref="E4664">IF(AND(A4664="2021-02", ISNA(MATCH(B4664, _xlfn._xlws.FILTER(B:B, A:A="2021-03"), 0))), "Left", "Ativo")</f>
        <v>Ativo</v>
      </c>
      <c r="F4664" s="12" t="str" cm="1">
        <f t="array" ref="F4664">IF(AND(A4664="2021-03", ISNA(MATCH(B4664, _xlfn._xlws.FILTER(B:B, A:A="2021-04"), 0))), "Left", "Ativo")</f>
        <v>Ativo</v>
      </c>
    </row>
    <row r="4665" spans="1:6" x14ac:dyDescent="0.25">
      <c r="A4665" t="s">
        <v>1532</v>
      </c>
      <c r="B4665" t="s">
        <v>727</v>
      </c>
      <c r="C4665" s="10" t="str" cm="1">
        <f t="array" ref="C4665">IF(AND(A4665="2020-12", ISNA(MATCH(B4665, _xlfn._xlws.FILTER(B:B, A:A="2021-01"), 0))), "Left", "Ativo")</f>
        <v>Ativo</v>
      </c>
      <c r="D4665" s="10" t="str" cm="1">
        <f t="array" ref="D4665">IF(AND(A4665="2021-01", ISNA(MATCH(B4665, _xlfn._xlws.FILTER(B:B, A:A="2021-02"), 0))), "Left", "Ativo")</f>
        <v>Ativo</v>
      </c>
      <c r="E4665" s="10" t="str" cm="1">
        <f t="array" ref="E4665">IF(AND(A4665="2021-02", ISNA(MATCH(B4665, _xlfn._xlws.FILTER(B:B, A:A="2021-03"), 0))), "Left", "Ativo")</f>
        <v>Ativo</v>
      </c>
      <c r="F4665" s="12" t="str" cm="1">
        <f t="array" ref="F4665">IF(AND(A4665="2021-03", ISNA(MATCH(B4665, _xlfn._xlws.FILTER(B:B, A:A="2021-04"), 0))), "Left", "Ativo")</f>
        <v>Ativo</v>
      </c>
    </row>
    <row r="4666" spans="1:6" x14ac:dyDescent="0.25">
      <c r="A4666" t="s">
        <v>1532</v>
      </c>
      <c r="B4666" t="s">
        <v>728</v>
      </c>
      <c r="C4666" s="10" t="str" cm="1">
        <f t="array" ref="C4666">IF(AND(A4666="2020-12", ISNA(MATCH(B4666, _xlfn._xlws.FILTER(B:B, A:A="2021-01"), 0))), "Left", "Ativo")</f>
        <v>Ativo</v>
      </c>
      <c r="D4666" s="10" t="str" cm="1">
        <f t="array" ref="D4666">IF(AND(A4666="2021-01", ISNA(MATCH(B4666, _xlfn._xlws.FILTER(B:B, A:A="2021-02"), 0))), "Left", "Ativo")</f>
        <v>Ativo</v>
      </c>
      <c r="E4666" s="10" t="str" cm="1">
        <f t="array" ref="E4666">IF(AND(A4666="2021-02", ISNA(MATCH(B4666, _xlfn._xlws.FILTER(B:B, A:A="2021-03"), 0))), "Left", "Ativo")</f>
        <v>Ativo</v>
      </c>
      <c r="F4666" s="12" t="str" cm="1">
        <f t="array" ref="F4666">IF(AND(A4666="2021-03", ISNA(MATCH(B4666, _xlfn._xlws.FILTER(B:B, A:A="2021-04"), 0))), "Left", "Ativo")</f>
        <v>Ativo</v>
      </c>
    </row>
    <row r="4667" spans="1:6" x14ac:dyDescent="0.25">
      <c r="A4667" t="s">
        <v>1532</v>
      </c>
      <c r="B4667" t="s">
        <v>729</v>
      </c>
      <c r="C4667" s="10" t="str" cm="1">
        <f t="array" ref="C4667">IF(AND(A4667="2020-12", ISNA(MATCH(B4667, _xlfn._xlws.FILTER(B:B, A:A="2021-01"), 0))), "Left", "Ativo")</f>
        <v>Ativo</v>
      </c>
      <c r="D4667" s="10" t="str" cm="1">
        <f t="array" ref="D4667">IF(AND(A4667="2021-01", ISNA(MATCH(B4667, _xlfn._xlws.FILTER(B:B, A:A="2021-02"), 0))), "Left", "Ativo")</f>
        <v>Ativo</v>
      </c>
      <c r="E4667" s="10" t="str" cm="1">
        <f t="array" ref="E4667">IF(AND(A4667="2021-02", ISNA(MATCH(B4667, _xlfn._xlws.FILTER(B:B, A:A="2021-03"), 0))), "Left", "Ativo")</f>
        <v>Ativo</v>
      </c>
      <c r="F4667" s="12" t="str" cm="1">
        <f t="array" ref="F4667">IF(AND(A4667="2021-03", ISNA(MATCH(B4667, _xlfn._xlws.FILTER(B:B, A:A="2021-04"), 0))), "Left", "Ativo")</f>
        <v>Ativo</v>
      </c>
    </row>
    <row r="4668" spans="1:6" x14ac:dyDescent="0.25">
      <c r="A4668" t="s">
        <v>1532</v>
      </c>
      <c r="B4668" t="s">
        <v>730</v>
      </c>
      <c r="C4668" s="10" t="str" cm="1">
        <f t="array" ref="C4668">IF(AND(A4668="2020-12", ISNA(MATCH(B4668, _xlfn._xlws.FILTER(B:B, A:A="2021-01"), 0))), "Left", "Ativo")</f>
        <v>Ativo</v>
      </c>
      <c r="D4668" s="10" t="str" cm="1">
        <f t="array" ref="D4668">IF(AND(A4668="2021-01", ISNA(MATCH(B4668, _xlfn._xlws.FILTER(B:B, A:A="2021-02"), 0))), "Left", "Ativo")</f>
        <v>Ativo</v>
      </c>
      <c r="E4668" s="10" t="str" cm="1">
        <f t="array" ref="E4668">IF(AND(A4668="2021-02", ISNA(MATCH(B4668, _xlfn._xlws.FILTER(B:B, A:A="2021-03"), 0))), "Left", "Ativo")</f>
        <v>Ativo</v>
      </c>
      <c r="F4668" s="12" t="str" cm="1">
        <f t="array" ref="F4668">IF(AND(A4668="2021-03", ISNA(MATCH(B4668, _xlfn._xlws.FILTER(B:B, A:A="2021-04"), 0))), "Left", "Ativo")</f>
        <v>Ativo</v>
      </c>
    </row>
    <row r="4669" spans="1:6" x14ac:dyDescent="0.25">
      <c r="A4669" t="s">
        <v>1532</v>
      </c>
      <c r="B4669" t="s">
        <v>731</v>
      </c>
      <c r="C4669" s="10" t="str" cm="1">
        <f t="array" ref="C4669">IF(AND(A4669="2020-12", ISNA(MATCH(B4669, _xlfn._xlws.FILTER(B:B, A:A="2021-01"), 0))), "Left", "Ativo")</f>
        <v>Ativo</v>
      </c>
      <c r="D4669" s="10" t="str" cm="1">
        <f t="array" ref="D4669">IF(AND(A4669="2021-01", ISNA(MATCH(B4669, _xlfn._xlws.FILTER(B:B, A:A="2021-02"), 0))), "Left", "Ativo")</f>
        <v>Ativo</v>
      </c>
      <c r="E4669" s="10" t="str" cm="1">
        <f t="array" ref="E4669">IF(AND(A4669="2021-02", ISNA(MATCH(B4669, _xlfn._xlws.FILTER(B:B, A:A="2021-03"), 0))), "Left", "Ativo")</f>
        <v>Ativo</v>
      </c>
      <c r="F4669" s="12" t="str" cm="1">
        <f t="array" ref="F4669">IF(AND(A4669="2021-03", ISNA(MATCH(B4669, _xlfn._xlws.FILTER(B:B, A:A="2021-04"), 0))), "Left", "Ativo")</f>
        <v>Ativo</v>
      </c>
    </row>
    <row r="4670" spans="1:6" x14ac:dyDescent="0.25">
      <c r="A4670" t="s">
        <v>1532</v>
      </c>
      <c r="B4670" t="s">
        <v>732</v>
      </c>
      <c r="C4670" s="10" t="str" cm="1">
        <f t="array" ref="C4670">IF(AND(A4670="2020-12", ISNA(MATCH(B4670, _xlfn._xlws.FILTER(B:B, A:A="2021-01"), 0))), "Left", "Ativo")</f>
        <v>Ativo</v>
      </c>
      <c r="D4670" s="10" t="str" cm="1">
        <f t="array" ref="D4670">IF(AND(A4670="2021-01", ISNA(MATCH(B4670, _xlfn._xlws.FILTER(B:B, A:A="2021-02"), 0))), "Left", "Ativo")</f>
        <v>Ativo</v>
      </c>
      <c r="E4670" s="10" t="str" cm="1">
        <f t="array" ref="E4670">IF(AND(A4670="2021-02", ISNA(MATCH(B4670, _xlfn._xlws.FILTER(B:B, A:A="2021-03"), 0))), "Left", "Ativo")</f>
        <v>Ativo</v>
      </c>
      <c r="F4670" s="12" t="str" cm="1">
        <f t="array" ref="F4670">IF(AND(A4670="2021-03", ISNA(MATCH(B4670, _xlfn._xlws.FILTER(B:B, A:A="2021-04"), 0))), "Left", "Ativo")</f>
        <v>Ativo</v>
      </c>
    </row>
    <row r="4671" spans="1:6" x14ac:dyDescent="0.25">
      <c r="A4671" t="s">
        <v>1532</v>
      </c>
      <c r="B4671" t="s">
        <v>733</v>
      </c>
      <c r="C4671" s="10" t="str" cm="1">
        <f t="array" ref="C4671">IF(AND(A4671="2020-12", ISNA(MATCH(B4671, _xlfn._xlws.FILTER(B:B, A:A="2021-01"), 0))), "Left", "Ativo")</f>
        <v>Ativo</v>
      </c>
      <c r="D4671" s="10" t="str" cm="1">
        <f t="array" ref="D4671">IF(AND(A4671="2021-01", ISNA(MATCH(B4671, _xlfn._xlws.FILTER(B:B, A:A="2021-02"), 0))), "Left", "Ativo")</f>
        <v>Ativo</v>
      </c>
      <c r="E4671" s="10" t="str" cm="1">
        <f t="array" ref="E4671">IF(AND(A4671="2021-02", ISNA(MATCH(B4671, _xlfn._xlws.FILTER(B:B, A:A="2021-03"), 0))), "Left", "Ativo")</f>
        <v>Ativo</v>
      </c>
      <c r="F4671" s="12" t="str" cm="1">
        <f t="array" ref="F4671">IF(AND(A4671="2021-03", ISNA(MATCH(B4671, _xlfn._xlws.FILTER(B:B, A:A="2021-04"), 0))), "Left", "Ativo")</f>
        <v>Ativo</v>
      </c>
    </row>
    <row r="4672" spans="1:6" x14ac:dyDescent="0.25">
      <c r="A4672" t="s">
        <v>1532</v>
      </c>
      <c r="B4672" t="s">
        <v>734</v>
      </c>
      <c r="C4672" s="10" t="str" cm="1">
        <f t="array" ref="C4672">IF(AND(A4672="2020-12", ISNA(MATCH(B4672, _xlfn._xlws.FILTER(B:B, A:A="2021-01"), 0))), "Left", "Ativo")</f>
        <v>Ativo</v>
      </c>
      <c r="D4672" s="10" t="str" cm="1">
        <f t="array" ref="D4672">IF(AND(A4672="2021-01", ISNA(MATCH(B4672, _xlfn._xlws.FILTER(B:B, A:A="2021-02"), 0))), "Left", "Ativo")</f>
        <v>Ativo</v>
      </c>
      <c r="E4672" s="10" t="str" cm="1">
        <f t="array" ref="E4672">IF(AND(A4672="2021-02", ISNA(MATCH(B4672, _xlfn._xlws.FILTER(B:B, A:A="2021-03"), 0))), "Left", "Ativo")</f>
        <v>Ativo</v>
      </c>
      <c r="F4672" s="12" t="str" cm="1">
        <f t="array" ref="F4672">IF(AND(A4672="2021-03", ISNA(MATCH(B4672, _xlfn._xlws.FILTER(B:B, A:A="2021-04"), 0))), "Left", "Ativo")</f>
        <v>Ativo</v>
      </c>
    </row>
    <row r="4673" spans="1:6" x14ac:dyDescent="0.25">
      <c r="A4673" t="s">
        <v>1532</v>
      </c>
      <c r="B4673" t="s">
        <v>735</v>
      </c>
      <c r="C4673" s="10" t="str" cm="1">
        <f t="array" ref="C4673">IF(AND(A4673="2020-12", ISNA(MATCH(B4673, _xlfn._xlws.FILTER(B:B, A:A="2021-01"), 0))), "Left", "Ativo")</f>
        <v>Ativo</v>
      </c>
      <c r="D4673" s="10" t="str" cm="1">
        <f t="array" ref="D4673">IF(AND(A4673="2021-01", ISNA(MATCH(B4673, _xlfn._xlws.FILTER(B:B, A:A="2021-02"), 0))), "Left", "Ativo")</f>
        <v>Ativo</v>
      </c>
      <c r="E4673" s="10" t="str" cm="1">
        <f t="array" ref="E4673">IF(AND(A4673="2021-02", ISNA(MATCH(B4673, _xlfn._xlws.FILTER(B:B, A:A="2021-03"), 0))), "Left", "Ativo")</f>
        <v>Ativo</v>
      </c>
      <c r="F4673" s="12" t="str" cm="1">
        <f t="array" ref="F4673">IF(AND(A4673="2021-03", ISNA(MATCH(B4673, _xlfn._xlws.FILTER(B:B, A:A="2021-04"), 0))), "Left", "Ativo")</f>
        <v>Ativo</v>
      </c>
    </row>
    <row r="4674" spans="1:6" x14ac:dyDescent="0.25">
      <c r="A4674" t="s">
        <v>1532</v>
      </c>
      <c r="B4674" t="s">
        <v>736</v>
      </c>
      <c r="C4674" s="10" t="str" cm="1">
        <f t="array" ref="C4674">IF(AND(A4674="2020-12", ISNA(MATCH(B4674, _xlfn._xlws.FILTER(B:B, A:A="2021-01"), 0))), "Left", "Ativo")</f>
        <v>Ativo</v>
      </c>
      <c r="D4674" s="10" t="str" cm="1">
        <f t="array" ref="D4674">IF(AND(A4674="2021-01", ISNA(MATCH(B4674, _xlfn._xlws.FILTER(B:B, A:A="2021-02"), 0))), "Left", "Ativo")</f>
        <v>Ativo</v>
      </c>
      <c r="E4674" s="10" t="str" cm="1">
        <f t="array" ref="E4674">IF(AND(A4674="2021-02", ISNA(MATCH(B4674, _xlfn._xlws.FILTER(B:B, A:A="2021-03"), 0))), "Left", "Ativo")</f>
        <v>Ativo</v>
      </c>
      <c r="F4674" s="12" t="str" cm="1">
        <f t="array" ref="F4674">IF(AND(A4674="2021-03", ISNA(MATCH(B4674, _xlfn._xlws.FILTER(B:B, A:A="2021-04"), 0))), "Left", "Ativo")</f>
        <v>Ativo</v>
      </c>
    </row>
    <row r="4675" spans="1:6" x14ac:dyDescent="0.25">
      <c r="A4675" t="s">
        <v>1532</v>
      </c>
      <c r="B4675" t="s">
        <v>737</v>
      </c>
      <c r="C4675" s="10" t="str" cm="1">
        <f t="array" ref="C4675">IF(AND(A4675="2020-12", ISNA(MATCH(B4675, _xlfn._xlws.FILTER(B:B, A:A="2021-01"), 0))), "Left", "Ativo")</f>
        <v>Ativo</v>
      </c>
      <c r="D4675" s="10" t="str" cm="1">
        <f t="array" ref="D4675">IF(AND(A4675="2021-01", ISNA(MATCH(B4675, _xlfn._xlws.FILTER(B:B, A:A="2021-02"), 0))), "Left", "Ativo")</f>
        <v>Ativo</v>
      </c>
      <c r="E4675" s="10" t="str" cm="1">
        <f t="array" ref="E4675">IF(AND(A4675="2021-02", ISNA(MATCH(B4675, _xlfn._xlws.FILTER(B:B, A:A="2021-03"), 0))), "Left", "Ativo")</f>
        <v>Ativo</v>
      </c>
      <c r="F4675" s="12" t="str" cm="1">
        <f t="array" ref="F4675">IF(AND(A4675="2021-03", ISNA(MATCH(B4675, _xlfn._xlws.FILTER(B:B, A:A="2021-04"), 0))), "Left", "Ativo")</f>
        <v>Ativo</v>
      </c>
    </row>
    <row r="4676" spans="1:6" x14ac:dyDescent="0.25">
      <c r="A4676" t="s">
        <v>1532</v>
      </c>
      <c r="B4676" t="s">
        <v>738</v>
      </c>
      <c r="C4676" s="10" t="str" cm="1">
        <f t="array" ref="C4676">IF(AND(A4676="2020-12", ISNA(MATCH(B4676, _xlfn._xlws.FILTER(B:B, A:A="2021-01"), 0))), "Left", "Ativo")</f>
        <v>Ativo</v>
      </c>
      <c r="D4676" s="10" t="str" cm="1">
        <f t="array" ref="D4676">IF(AND(A4676="2021-01", ISNA(MATCH(B4676, _xlfn._xlws.FILTER(B:B, A:A="2021-02"), 0))), "Left", "Ativo")</f>
        <v>Ativo</v>
      </c>
      <c r="E4676" s="10" t="str" cm="1">
        <f t="array" ref="E4676">IF(AND(A4676="2021-02", ISNA(MATCH(B4676, _xlfn._xlws.FILTER(B:B, A:A="2021-03"), 0))), "Left", "Ativo")</f>
        <v>Ativo</v>
      </c>
      <c r="F4676" s="12" t="str" cm="1">
        <f t="array" ref="F4676">IF(AND(A4676="2021-03", ISNA(MATCH(B4676, _xlfn._xlws.FILTER(B:B, A:A="2021-04"), 0))), "Left", "Ativo")</f>
        <v>Ativo</v>
      </c>
    </row>
    <row r="4677" spans="1:6" x14ac:dyDescent="0.25">
      <c r="A4677" t="s">
        <v>1532</v>
      </c>
      <c r="B4677" t="s">
        <v>739</v>
      </c>
      <c r="C4677" s="10" t="str" cm="1">
        <f t="array" ref="C4677">IF(AND(A4677="2020-12", ISNA(MATCH(B4677, _xlfn._xlws.FILTER(B:B, A:A="2021-01"), 0))), "Left", "Ativo")</f>
        <v>Ativo</v>
      </c>
      <c r="D4677" s="10" t="str" cm="1">
        <f t="array" ref="D4677">IF(AND(A4677="2021-01", ISNA(MATCH(B4677, _xlfn._xlws.FILTER(B:B, A:A="2021-02"), 0))), "Left", "Ativo")</f>
        <v>Ativo</v>
      </c>
      <c r="E4677" s="10" t="str" cm="1">
        <f t="array" ref="E4677">IF(AND(A4677="2021-02", ISNA(MATCH(B4677, _xlfn._xlws.FILTER(B:B, A:A="2021-03"), 0))), "Left", "Ativo")</f>
        <v>Ativo</v>
      </c>
      <c r="F4677" s="12" t="str" cm="1">
        <f t="array" ref="F4677">IF(AND(A4677="2021-03", ISNA(MATCH(B4677, _xlfn._xlws.FILTER(B:B, A:A="2021-04"), 0))), "Left", "Ativo")</f>
        <v>Ativo</v>
      </c>
    </row>
    <row r="4678" spans="1:6" x14ac:dyDescent="0.25">
      <c r="A4678" t="s">
        <v>1532</v>
      </c>
      <c r="B4678" t="s">
        <v>740</v>
      </c>
      <c r="C4678" s="10" t="str" cm="1">
        <f t="array" ref="C4678">IF(AND(A4678="2020-12", ISNA(MATCH(B4678, _xlfn._xlws.FILTER(B:B, A:A="2021-01"), 0))), "Left", "Ativo")</f>
        <v>Ativo</v>
      </c>
      <c r="D4678" s="10" t="str" cm="1">
        <f t="array" ref="D4678">IF(AND(A4678="2021-01", ISNA(MATCH(B4678, _xlfn._xlws.FILTER(B:B, A:A="2021-02"), 0))), "Left", "Ativo")</f>
        <v>Ativo</v>
      </c>
      <c r="E4678" s="10" t="str" cm="1">
        <f t="array" ref="E4678">IF(AND(A4678="2021-02", ISNA(MATCH(B4678, _xlfn._xlws.FILTER(B:B, A:A="2021-03"), 0))), "Left", "Ativo")</f>
        <v>Ativo</v>
      </c>
      <c r="F4678" s="12" t="str" cm="1">
        <f t="array" ref="F4678">IF(AND(A4678="2021-03", ISNA(MATCH(B4678, _xlfn._xlws.FILTER(B:B, A:A="2021-04"), 0))), "Left", "Ativo")</f>
        <v>Ativo</v>
      </c>
    </row>
    <row r="4679" spans="1:6" x14ac:dyDescent="0.25">
      <c r="A4679" t="s">
        <v>1532</v>
      </c>
      <c r="B4679" t="s">
        <v>741</v>
      </c>
      <c r="C4679" s="10" t="str" cm="1">
        <f t="array" ref="C4679">IF(AND(A4679="2020-12", ISNA(MATCH(B4679, _xlfn._xlws.FILTER(B:B, A:A="2021-01"), 0))), "Left", "Ativo")</f>
        <v>Ativo</v>
      </c>
      <c r="D4679" s="10" t="str" cm="1">
        <f t="array" ref="D4679">IF(AND(A4679="2021-01", ISNA(MATCH(B4679, _xlfn._xlws.FILTER(B:B, A:A="2021-02"), 0))), "Left", "Ativo")</f>
        <v>Ativo</v>
      </c>
      <c r="E4679" s="10" t="str" cm="1">
        <f t="array" ref="E4679">IF(AND(A4679="2021-02", ISNA(MATCH(B4679, _xlfn._xlws.FILTER(B:B, A:A="2021-03"), 0))), "Left", "Ativo")</f>
        <v>Ativo</v>
      </c>
      <c r="F4679" s="12" t="str" cm="1">
        <f t="array" ref="F4679">IF(AND(A4679="2021-03", ISNA(MATCH(B4679, _xlfn._xlws.FILTER(B:B, A:A="2021-04"), 0))), "Left", "Ativo")</f>
        <v>Ativo</v>
      </c>
    </row>
    <row r="4680" spans="1:6" x14ac:dyDescent="0.25">
      <c r="A4680" t="s">
        <v>1532</v>
      </c>
      <c r="B4680" t="s">
        <v>742</v>
      </c>
      <c r="C4680" s="10" t="str" cm="1">
        <f t="array" ref="C4680">IF(AND(A4680="2020-12", ISNA(MATCH(B4680, _xlfn._xlws.FILTER(B:B, A:A="2021-01"), 0))), "Left", "Ativo")</f>
        <v>Ativo</v>
      </c>
      <c r="D4680" s="10" t="str" cm="1">
        <f t="array" ref="D4680">IF(AND(A4680="2021-01", ISNA(MATCH(B4680, _xlfn._xlws.FILTER(B:B, A:A="2021-02"), 0))), "Left", "Ativo")</f>
        <v>Ativo</v>
      </c>
      <c r="E4680" s="10" t="str" cm="1">
        <f t="array" ref="E4680">IF(AND(A4680="2021-02", ISNA(MATCH(B4680, _xlfn._xlws.FILTER(B:B, A:A="2021-03"), 0))), "Left", "Ativo")</f>
        <v>Ativo</v>
      </c>
      <c r="F4680" s="12" t="str" cm="1">
        <f t="array" ref="F4680">IF(AND(A4680="2021-03", ISNA(MATCH(B4680, _xlfn._xlws.FILTER(B:B, A:A="2021-04"), 0))), "Left", "Ativo")</f>
        <v>Ativo</v>
      </c>
    </row>
    <row r="4681" spans="1:6" x14ac:dyDescent="0.25">
      <c r="A4681" t="s">
        <v>1532</v>
      </c>
      <c r="B4681" t="s">
        <v>743</v>
      </c>
      <c r="C4681" s="10" t="str" cm="1">
        <f t="array" ref="C4681">IF(AND(A4681="2020-12", ISNA(MATCH(B4681, _xlfn._xlws.FILTER(B:B, A:A="2021-01"), 0))), "Left", "Ativo")</f>
        <v>Ativo</v>
      </c>
      <c r="D4681" s="10" t="str" cm="1">
        <f t="array" ref="D4681">IF(AND(A4681="2021-01", ISNA(MATCH(B4681, _xlfn._xlws.FILTER(B:B, A:A="2021-02"), 0))), "Left", "Ativo")</f>
        <v>Ativo</v>
      </c>
      <c r="E4681" s="10" t="str" cm="1">
        <f t="array" ref="E4681">IF(AND(A4681="2021-02", ISNA(MATCH(B4681, _xlfn._xlws.FILTER(B:B, A:A="2021-03"), 0))), "Left", "Ativo")</f>
        <v>Ativo</v>
      </c>
      <c r="F4681" s="12" t="str" cm="1">
        <f t="array" ref="F4681">IF(AND(A4681="2021-03", ISNA(MATCH(B4681, _xlfn._xlws.FILTER(B:B, A:A="2021-04"), 0))), "Left", "Ativo")</f>
        <v>Ativo</v>
      </c>
    </row>
    <row r="4682" spans="1:6" x14ac:dyDescent="0.25">
      <c r="A4682" t="s">
        <v>1532</v>
      </c>
      <c r="B4682" t="s">
        <v>744</v>
      </c>
      <c r="C4682" s="10" t="str" cm="1">
        <f t="array" ref="C4682">IF(AND(A4682="2020-12", ISNA(MATCH(B4682, _xlfn._xlws.FILTER(B:B, A:A="2021-01"), 0))), "Left", "Ativo")</f>
        <v>Ativo</v>
      </c>
      <c r="D4682" s="10" t="str" cm="1">
        <f t="array" ref="D4682">IF(AND(A4682="2021-01", ISNA(MATCH(B4682, _xlfn._xlws.FILTER(B:B, A:A="2021-02"), 0))), "Left", "Ativo")</f>
        <v>Ativo</v>
      </c>
      <c r="E4682" s="10" t="str" cm="1">
        <f t="array" ref="E4682">IF(AND(A4682="2021-02", ISNA(MATCH(B4682, _xlfn._xlws.FILTER(B:B, A:A="2021-03"), 0))), "Left", "Ativo")</f>
        <v>Ativo</v>
      </c>
      <c r="F4682" s="12" t="str" cm="1">
        <f t="array" ref="F4682">IF(AND(A4682="2021-03", ISNA(MATCH(B4682, _xlfn._xlws.FILTER(B:B, A:A="2021-04"), 0))), "Left", "Ativo")</f>
        <v>Ativo</v>
      </c>
    </row>
    <row r="4683" spans="1:6" x14ac:dyDescent="0.25">
      <c r="A4683" t="s">
        <v>1532</v>
      </c>
      <c r="B4683" t="s">
        <v>745</v>
      </c>
      <c r="C4683" s="10" t="str" cm="1">
        <f t="array" ref="C4683">IF(AND(A4683="2020-12", ISNA(MATCH(B4683, _xlfn._xlws.FILTER(B:B, A:A="2021-01"), 0))), "Left", "Ativo")</f>
        <v>Ativo</v>
      </c>
      <c r="D4683" s="10" t="str" cm="1">
        <f t="array" ref="D4683">IF(AND(A4683="2021-01", ISNA(MATCH(B4683, _xlfn._xlws.FILTER(B:B, A:A="2021-02"), 0))), "Left", "Ativo")</f>
        <v>Ativo</v>
      </c>
      <c r="E4683" s="10" t="str" cm="1">
        <f t="array" ref="E4683">IF(AND(A4683="2021-02", ISNA(MATCH(B4683, _xlfn._xlws.FILTER(B:B, A:A="2021-03"), 0))), "Left", "Ativo")</f>
        <v>Ativo</v>
      </c>
      <c r="F4683" s="12" t="str" cm="1">
        <f t="array" ref="F4683">IF(AND(A4683="2021-03", ISNA(MATCH(B4683, _xlfn._xlws.FILTER(B:B, A:A="2021-04"), 0))), "Left", "Ativo")</f>
        <v>Ativo</v>
      </c>
    </row>
    <row r="4684" spans="1:6" x14ac:dyDescent="0.25">
      <c r="A4684" t="s">
        <v>1532</v>
      </c>
      <c r="B4684" t="s">
        <v>746</v>
      </c>
      <c r="C4684" s="10" t="str" cm="1">
        <f t="array" ref="C4684">IF(AND(A4684="2020-12", ISNA(MATCH(B4684, _xlfn._xlws.FILTER(B:B, A:A="2021-01"), 0))), "Left", "Ativo")</f>
        <v>Ativo</v>
      </c>
      <c r="D4684" s="10" t="str" cm="1">
        <f t="array" ref="D4684">IF(AND(A4684="2021-01", ISNA(MATCH(B4684, _xlfn._xlws.FILTER(B:B, A:A="2021-02"), 0))), "Left", "Ativo")</f>
        <v>Ativo</v>
      </c>
      <c r="E4684" s="10" t="str" cm="1">
        <f t="array" ref="E4684">IF(AND(A4684="2021-02", ISNA(MATCH(B4684, _xlfn._xlws.FILTER(B:B, A:A="2021-03"), 0))), "Left", "Ativo")</f>
        <v>Ativo</v>
      </c>
      <c r="F4684" s="12" t="str" cm="1">
        <f t="array" ref="F4684">IF(AND(A4684="2021-03", ISNA(MATCH(B4684, _xlfn._xlws.FILTER(B:B, A:A="2021-04"), 0))), "Left", "Ativo")</f>
        <v>Ativo</v>
      </c>
    </row>
    <row r="4685" spans="1:6" x14ac:dyDescent="0.25">
      <c r="A4685" t="s">
        <v>1532</v>
      </c>
      <c r="B4685" t="s">
        <v>747</v>
      </c>
      <c r="C4685" s="10" t="str" cm="1">
        <f t="array" ref="C4685">IF(AND(A4685="2020-12", ISNA(MATCH(B4685, _xlfn._xlws.FILTER(B:B, A:A="2021-01"), 0))), "Left", "Ativo")</f>
        <v>Ativo</v>
      </c>
      <c r="D4685" s="10" t="str" cm="1">
        <f t="array" ref="D4685">IF(AND(A4685="2021-01", ISNA(MATCH(B4685, _xlfn._xlws.FILTER(B:B, A:A="2021-02"), 0))), "Left", "Ativo")</f>
        <v>Ativo</v>
      </c>
      <c r="E4685" s="10" t="str" cm="1">
        <f t="array" ref="E4685">IF(AND(A4685="2021-02", ISNA(MATCH(B4685, _xlfn._xlws.FILTER(B:B, A:A="2021-03"), 0))), "Left", "Ativo")</f>
        <v>Ativo</v>
      </c>
      <c r="F4685" s="12" t="str" cm="1">
        <f t="array" ref="F4685">IF(AND(A4685="2021-03", ISNA(MATCH(B4685, _xlfn._xlws.FILTER(B:B, A:A="2021-04"), 0))), "Left", "Ativo")</f>
        <v>Ativo</v>
      </c>
    </row>
    <row r="4686" spans="1:6" x14ac:dyDescent="0.25">
      <c r="A4686" t="s">
        <v>1532</v>
      </c>
      <c r="B4686" t="s">
        <v>748</v>
      </c>
      <c r="C4686" s="10" t="str" cm="1">
        <f t="array" ref="C4686">IF(AND(A4686="2020-12", ISNA(MATCH(B4686, _xlfn._xlws.FILTER(B:B, A:A="2021-01"), 0))), "Left", "Ativo")</f>
        <v>Ativo</v>
      </c>
      <c r="D4686" s="10" t="str" cm="1">
        <f t="array" ref="D4686">IF(AND(A4686="2021-01", ISNA(MATCH(B4686, _xlfn._xlws.FILTER(B:B, A:A="2021-02"), 0))), "Left", "Ativo")</f>
        <v>Ativo</v>
      </c>
      <c r="E4686" s="10" t="str" cm="1">
        <f t="array" ref="E4686">IF(AND(A4686="2021-02", ISNA(MATCH(B4686, _xlfn._xlws.FILTER(B:B, A:A="2021-03"), 0))), "Left", "Ativo")</f>
        <v>Ativo</v>
      </c>
      <c r="F4686" s="12" t="str" cm="1">
        <f t="array" ref="F4686">IF(AND(A4686="2021-03", ISNA(MATCH(B4686, _xlfn._xlws.FILTER(B:B, A:A="2021-04"), 0))), "Left", "Ativo")</f>
        <v>Ativo</v>
      </c>
    </row>
    <row r="4687" spans="1:6" x14ac:dyDescent="0.25">
      <c r="A4687" t="s">
        <v>1532</v>
      </c>
      <c r="B4687" t="s">
        <v>749</v>
      </c>
      <c r="C4687" s="10" t="str" cm="1">
        <f t="array" ref="C4687">IF(AND(A4687="2020-12", ISNA(MATCH(B4687, _xlfn._xlws.FILTER(B:B, A:A="2021-01"), 0))), "Left", "Ativo")</f>
        <v>Ativo</v>
      </c>
      <c r="D4687" s="10" t="str" cm="1">
        <f t="array" ref="D4687">IF(AND(A4687="2021-01", ISNA(MATCH(B4687, _xlfn._xlws.FILTER(B:B, A:A="2021-02"), 0))), "Left", "Ativo")</f>
        <v>Ativo</v>
      </c>
      <c r="E4687" s="10" t="str" cm="1">
        <f t="array" ref="E4687">IF(AND(A4687="2021-02", ISNA(MATCH(B4687, _xlfn._xlws.FILTER(B:B, A:A="2021-03"), 0))), "Left", "Ativo")</f>
        <v>Ativo</v>
      </c>
      <c r="F4687" s="12" t="str" cm="1">
        <f t="array" ref="F4687">IF(AND(A4687="2021-03", ISNA(MATCH(B4687, _xlfn._xlws.FILTER(B:B, A:A="2021-04"), 0))), "Left", "Ativo")</f>
        <v>Ativo</v>
      </c>
    </row>
    <row r="4688" spans="1:6" x14ac:dyDescent="0.25">
      <c r="A4688" t="s">
        <v>1532</v>
      </c>
      <c r="B4688" t="s">
        <v>750</v>
      </c>
      <c r="C4688" s="10" t="str" cm="1">
        <f t="array" ref="C4688">IF(AND(A4688="2020-12", ISNA(MATCH(B4688, _xlfn._xlws.FILTER(B:B, A:A="2021-01"), 0))), "Left", "Ativo")</f>
        <v>Ativo</v>
      </c>
      <c r="D4688" s="10" t="str" cm="1">
        <f t="array" ref="D4688">IF(AND(A4688="2021-01", ISNA(MATCH(B4688, _xlfn._xlws.FILTER(B:B, A:A="2021-02"), 0))), "Left", "Ativo")</f>
        <v>Ativo</v>
      </c>
      <c r="E4688" s="10" t="str" cm="1">
        <f t="array" ref="E4688">IF(AND(A4688="2021-02", ISNA(MATCH(B4688, _xlfn._xlws.FILTER(B:B, A:A="2021-03"), 0))), "Left", "Ativo")</f>
        <v>Ativo</v>
      </c>
      <c r="F4688" s="12" t="str" cm="1">
        <f t="array" ref="F4688">IF(AND(A4688="2021-03", ISNA(MATCH(B4688, _xlfn._xlws.FILTER(B:B, A:A="2021-04"), 0))), "Left", "Ativo")</f>
        <v>Ativo</v>
      </c>
    </row>
    <row r="4689" spans="1:6" x14ac:dyDescent="0.25">
      <c r="A4689" t="s">
        <v>1532</v>
      </c>
      <c r="B4689" t="s">
        <v>751</v>
      </c>
      <c r="C4689" s="10" t="str" cm="1">
        <f t="array" ref="C4689">IF(AND(A4689="2020-12", ISNA(MATCH(B4689, _xlfn._xlws.FILTER(B:B, A:A="2021-01"), 0))), "Left", "Ativo")</f>
        <v>Ativo</v>
      </c>
      <c r="D4689" s="10" t="str" cm="1">
        <f t="array" ref="D4689">IF(AND(A4689="2021-01", ISNA(MATCH(B4689, _xlfn._xlws.FILTER(B:B, A:A="2021-02"), 0))), "Left", "Ativo")</f>
        <v>Ativo</v>
      </c>
      <c r="E4689" s="10" t="str" cm="1">
        <f t="array" ref="E4689">IF(AND(A4689="2021-02", ISNA(MATCH(B4689, _xlfn._xlws.FILTER(B:B, A:A="2021-03"), 0))), "Left", "Ativo")</f>
        <v>Ativo</v>
      </c>
      <c r="F4689" s="12" t="str" cm="1">
        <f t="array" ref="F4689">IF(AND(A4689="2021-03", ISNA(MATCH(B4689, _xlfn._xlws.FILTER(B:B, A:A="2021-04"), 0))), "Left", "Ativo")</f>
        <v>Ativo</v>
      </c>
    </row>
    <row r="4690" spans="1:6" x14ac:dyDescent="0.25">
      <c r="A4690" t="s">
        <v>1532</v>
      </c>
      <c r="B4690" t="s">
        <v>752</v>
      </c>
      <c r="C4690" s="10" t="str" cm="1">
        <f t="array" ref="C4690">IF(AND(A4690="2020-12", ISNA(MATCH(B4690, _xlfn._xlws.FILTER(B:B, A:A="2021-01"), 0))), "Left", "Ativo")</f>
        <v>Ativo</v>
      </c>
      <c r="D4690" s="10" t="str" cm="1">
        <f t="array" ref="D4690">IF(AND(A4690="2021-01", ISNA(MATCH(B4690, _xlfn._xlws.FILTER(B:B, A:A="2021-02"), 0))), "Left", "Ativo")</f>
        <v>Ativo</v>
      </c>
      <c r="E4690" s="10" t="str" cm="1">
        <f t="array" ref="E4690">IF(AND(A4690="2021-02", ISNA(MATCH(B4690, _xlfn._xlws.FILTER(B:B, A:A="2021-03"), 0))), "Left", "Ativo")</f>
        <v>Ativo</v>
      </c>
      <c r="F4690" s="12" t="str" cm="1">
        <f t="array" ref="F4690">IF(AND(A4690="2021-03", ISNA(MATCH(B4690, _xlfn._xlws.FILTER(B:B, A:A="2021-04"), 0))), "Left", "Ativo")</f>
        <v>Ativo</v>
      </c>
    </row>
    <row r="4691" spans="1:6" x14ac:dyDescent="0.25">
      <c r="A4691" t="s">
        <v>1532</v>
      </c>
      <c r="B4691" t="s">
        <v>1049</v>
      </c>
      <c r="C4691" s="10" t="str" cm="1">
        <f t="array" ref="C4691">IF(AND(A4691="2020-12", ISNA(MATCH(B4691, _xlfn._xlws.FILTER(B:B, A:A="2021-01"), 0))), "Left", "Ativo")</f>
        <v>Ativo</v>
      </c>
      <c r="D4691" s="10" t="str" cm="1">
        <f t="array" ref="D4691">IF(AND(A4691="2021-01", ISNA(MATCH(B4691, _xlfn._xlws.FILTER(B:B, A:A="2021-02"), 0))), "Left", "Ativo")</f>
        <v>Ativo</v>
      </c>
      <c r="E4691" s="10" t="str" cm="1">
        <f t="array" ref="E4691">IF(AND(A4691="2021-02", ISNA(MATCH(B4691, _xlfn._xlws.FILTER(B:B, A:A="2021-03"), 0))), "Left", "Ativo")</f>
        <v>Ativo</v>
      </c>
      <c r="F4691" s="12" t="str" cm="1">
        <f t="array" ref="F4691">IF(AND(A4691="2021-03", ISNA(MATCH(B4691, _xlfn._xlws.FILTER(B:B, A:A="2021-04"), 0))), "Left", "Ativo")</f>
        <v>Ativo</v>
      </c>
    </row>
    <row r="4692" spans="1:6" x14ac:dyDescent="0.25">
      <c r="A4692" t="s">
        <v>1532</v>
      </c>
      <c r="B4692" t="s">
        <v>1050</v>
      </c>
      <c r="C4692" s="10" t="str" cm="1">
        <f t="array" ref="C4692">IF(AND(A4692="2020-12", ISNA(MATCH(B4692, _xlfn._xlws.FILTER(B:B, A:A="2021-01"), 0))), "Left", "Ativo")</f>
        <v>Ativo</v>
      </c>
      <c r="D4692" s="10" t="str" cm="1">
        <f t="array" ref="D4692">IF(AND(A4692="2021-01", ISNA(MATCH(B4692, _xlfn._xlws.FILTER(B:B, A:A="2021-02"), 0))), "Left", "Ativo")</f>
        <v>Ativo</v>
      </c>
      <c r="E4692" s="10" t="str" cm="1">
        <f t="array" ref="E4692">IF(AND(A4692="2021-02", ISNA(MATCH(B4692, _xlfn._xlws.FILTER(B:B, A:A="2021-03"), 0))), "Left", "Ativo")</f>
        <v>Ativo</v>
      </c>
      <c r="F4692" s="12" t="str" cm="1">
        <f t="array" ref="F4692">IF(AND(A4692="2021-03", ISNA(MATCH(B4692, _xlfn._xlws.FILTER(B:B, A:A="2021-04"), 0))), "Left", "Ativo")</f>
        <v>Ativo</v>
      </c>
    </row>
    <row r="4693" spans="1:6" x14ac:dyDescent="0.25">
      <c r="A4693" t="s">
        <v>1532</v>
      </c>
      <c r="B4693" t="s">
        <v>1051</v>
      </c>
      <c r="C4693" s="10" t="str" cm="1">
        <f t="array" ref="C4693">IF(AND(A4693="2020-12", ISNA(MATCH(B4693, _xlfn._xlws.FILTER(B:B, A:A="2021-01"), 0))), "Left", "Ativo")</f>
        <v>Ativo</v>
      </c>
      <c r="D4693" s="10" t="str" cm="1">
        <f t="array" ref="D4693">IF(AND(A4693="2021-01", ISNA(MATCH(B4693, _xlfn._xlws.FILTER(B:B, A:A="2021-02"), 0))), "Left", "Ativo")</f>
        <v>Ativo</v>
      </c>
      <c r="E4693" s="10" t="str" cm="1">
        <f t="array" ref="E4693">IF(AND(A4693="2021-02", ISNA(MATCH(B4693, _xlfn._xlws.FILTER(B:B, A:A="2021-03"), 0))), "Left", "Ativo")</f>
        <v>Ativo</v>
      </c>
      <c r="F4693" s="12" t="str" cm="1">
        <f t="array" ref="F4693">IF(AND(A4693="2021-03", ISNA(MATCH(B4693, _xlfn._xlws.FILTER(B:B, A:A="2021-04"), 0))), "Left", "Ativo")</f>
        <v>Ativo</v>
      </c>
    </row>
    <row r="4694" spans="1:6" x14ac:dyDescent="0.25">
      <c r="A4694" t="s">
        <v>1532</v>
      </c>
      <c r="B4694" t="s">
        <v>1052</v>
      </c>
      <c r="C4694" s="10" t="str" cm="1">
        <f t="array" ref="C4694">IF(AND(A4694="2020-12", ISNA(MATCH(B4694, _xlfn._xlws.FILTER(B:B, A:A="2021-01"), 0))), "Left", "Ativo")</f>
        <v>Ativo</v>
      </c>
      <c r="D4694" s="10" t="str" cm="1">
        <f t="array" ref="D4694">IF(AND(A4694="2021-01", ISNA(MATCH(B4694, _xlfn._xlws.FILTER(B:B, A:A="2021-02"), 0))), "Left", "Ativo")</f>
        <v>Ativo</v>
      </c>
      <c r="E4694" s="10" t="str" cm="1">
        <f t="array" ref="E4694">IF(AND(A4694="2021-02", ISNA(MATCH(B4694, _xlfn._xlws.FILTER(B:B, A:A="2021-03"), 0))), "Left", "Ativo")</f>
        <v>Ativo</v>
      </c>
      <c r="F4694" s="12" t="str" cm="1">
        <f t="array" ref="F4694">IF(AND(A4694="2021-03", ISNA(MATCH(B4694, _xlfn._xlws.FILTER(B:B, A:A="2021-04"), 0))), "Left", "Ativo")</f>
        <v>Ativo</v>
      </c>
    </row>
    <row r="4695" spans="1:6" x14ac:dyDescent="0.25">
      <c r="A4695" t="s">
        <v>1532</v>
      </c>
      <c r="B4695" t="s">
        <v>1053</v>
      </c>
      <c r="C4695" s="10" t="str" cm="1">
        <f t="array" ref="C4695">IF(AND(A4695="2020-12", ISNA(MATCH(B4695, _xlfn._xlws.FILTER(B:B, A:A="2021-01"), 0))), "Left", "Ativo")</f>
        <v>Ativo</v>
      </c>
      <c r="D4695" s="10" t="str" cm="1">
        <f t="array" ref="D4695">IF(AND(A4695="2021-01", ISNA(MATCH(B4695, _xlfn._xlws.FILTER(B:B, A:A="2021-02"), 0))), "Left", "Ativo")</f>
        <v>Ativo</v>
      </c>
      <c r="E4695" s="10" t="str" cm="1">
        <f t="array" ref="E4695">IF(AND(A4695="2021-02", ISNA(MATCH(B4695, _xlfn._xlws.FILTER(B:B, A:A="2021-03"), 0))), "Left", "Ativo")</f>
        <v>Ativo</v>
      </c>
      <c r="F4695" s="12" t="str" cm="1">
        <f t="array" ref="F4695">IF(AND(A4695="2021-03", ISNA(MATCH(B4695, _xlfn._xlws.FILTER(B:B, A:A="2021-04"), 0))), "Left", "Ativo")</f>
        <v>Ativo</v>
      </c>
    </row>
    <row r="4696" spans="1:6" x14ac:dyDescent="0.25">
      <c r="A4696" t="s">
        <v>1532</v>
      </c>
      <c r="B4696" t="s">
        <v>1054</v>
      </c>
      <c r="C4696" s="10" t="str" cm="1">
        <f t="array" ref="C4696">IF(AND(A4696="2020-12", ISNA(MATCH(B4696, _xlfn._xlws.FILTER(B:B, A:A="2021-01"), 0))), "Left", "Ativo")</f>
        <v>Ativo</v>
      </c>
      <c r="D4696" s="10" t="str" cm="1">
        <f t="array" ref="D4696">IF(AND(A4696="2021-01", ISNA(MATCH(B4696, _xlfn._xlws.FILTER(B:B, A:A="2021-02"), 0))), "Left", "Ativo")</f>
        <v>Ativo</v>
      </c>
      <c r="E4696" s="10" t="str" cm="1">
        <f t="array" ref="E4696">IF(AND(A4696="2021-02", ISNA(MATCH(B4696, _xlfn._xlws.FILTER(B:B, A:A="2021-03"), 0))), "Left", "Ativo")</f>
        <v>Ativo</v>
      </c>
      <c r="F4696" s="12" t="str" cm="1">
        <f t="array" ref="F4696">IF(AND(A4696="2021-03", ISNA(MATCH(B4696, _xlfn._xlws.FILTER(B:B, A:A="2021-04"), 0))), "Left", "Ativo")</f>
        <v>Ativo</v>
      </c>
    </row>
    <row r="4697" spans="1:6" x14ac:dyDescent="0.25">
      <c r="A4697" t="s">
        <v>1532</v>
      </c>
      <c r="B4697" t="s">
        <v>1055</v>
      </c>
      <c r="C4697" s="10" t="str" cm="1">
        <f t="array" ref="C4697">IF(AND(A4697="2020-12", ISNA(MATCH(B4697, _xlfn._xlws.FILTER(B:B, A:A="2021-01"), 0))), "Left", "Ativo")</f>
        <v>Ativo</v>
      </c>
      <c r="D4697" s="10" t="str" cm="1">
        <f t="array" ref="D4697">IF(AND(A4697="2021-01", ISNA(MATCH(B4697, _xlfn._xlws.FILTER(B:B, A:A="2021-02"), 0))), "Left", "Ativo")</f>
        <v>Ativo</v>
      </c>
      <c r="E4697" s="10" t="str" cm="1">
        <f t="array" ref="E4697">IF(AND(A4697="2021-02", ISNA(MATCH(B4697, _xlfn._xlws.FILTER(B:B, A:A="2021-03"), 0))), "Left", "Ativo")</f>
        <v>Ativo</v>
      </c>
      <c r="F4697" s="12" t="str" cm="1">
        <f t="array" ref="F4697">IF(AND(A4697="2021-03", ISNA(MATCH(B4697, _xlfn._xlws.FILTER(B:B, A:A="2021-04"), 0))), "Left", "Ativo")</f>
        <v>Ativo</v>
      </c>
    </row>
    <row r="4698" spans="1:6" x14ac:dyDescent="0.25">
      <c r="A4698" t="s">
        <v>1532</v>
      </c>
      <c r="B4698" t="s">
        <v>1056</v>
      </c>
      <c r="C4698" s="10" t="str" cm="1">
        <f t="array" ref="C4698">IF(AND(A4698="2020-12", ISNA(MATCH(B4698, _xlfn._xlws.FILTER(B:B, A:A="2021-01"), 0))), "Left", "Ativo")</f>
        <v>Ativo</v>
      </c>
      <c r="D4698" s="10" t="str" cm="1">
        <f t="array" ref="D4698">IF(AND(A4698="2021-01", ISNA(MATCH(B4698, _xlfn._xlws.FILTER(B:B, A:A="2021-02"), 0))), "Left", "Ativo")</f>
        <v>Ativo</v>
      </c>
      <c r="E4698" s="10" t="str" cm="1">
        <f t="array" ref="E4698">IF(AND(A4698="2021-02", ISNA(MATCH(B4698, _xlfn._xlws.FILTER(B:B, A:A="2021-03"), 0))), "Left", "Ativo")</f>
        <v>Ativo</v>
      </c>
      <c r="F4698" s="12" t="str" cm="1">
        <f t="array" ref="F4698">IF(AND(A4698="2021-03", ISNA(MATCH(B4698, _xlfn._xlws.FILTER(B:B, A:A="2021-04"), 0))), "Left", "Ativo")</f>
        <v>Ativo</v>
      </c>
    </row>
    <row r="4699" spans="1:6" x14ac:dyDescent="0.25">
      <c r="A4699" t="s">
        <v>1532</v>
      </c>
      <c r="B4699" t="s">
        <v>1057</v>
      </c>
      <c r="C4699" s="10" t="str" cm="1">
        <f t="array" ref="C4699">IF(AND(A4699="2020-12", ISNA(MATCH(B4699, _xlfn._xlws.FILTER(B:B, A:A="2021-01"), 0))), "Left", "Ativo")</f>
        <v>Ativo</v>
      </c>
      <c r="D4699" s="10" t="str" cm="1">
        <f t="array" ref="D4699">IF(AND(A4699="2021-01", ISNA(MATCH(B4699, _xlfn._xlws.FILTER(B:B, A:A="2021-02"), 0))), "Left", "Ativo")</f>
        <v>Ativo</v>
      </c>
      <c r="E4699" s="10" t="str" cm="1">
        <f t="array" ref="E4699">IF(AND(A4699="2021-02", ISNA(MATCH(B4699, _xlfn._xlws.FILTER(B:B, A:A="2021-03"), 0))), "Left", "Ativo")</f>
        <v>Ativo</v>
      </c>
      <c r="F4699" s="12" t="str" cm="1">
        <f t="array" ref="F4699">IF(AND(A4699="2021-03", ISNA(MATCH(B4699, _xlfn._xlws.FILTER(B:B, A:A="2021-04"), 0))), "Left", "Ativo")</f>
        <v>Ativo</v>
      </c>
    </row>
    <row r="4700" spans="1:6" x14ac:dyDescent="0.25">
      <c r="A4700" t="s">
        <v>1532</v>
      </c>
      <c r="B4700" t="s">
        <v>1058</v>
      </c>
      <c r="C4700" s="10" t="str" cm="1">
        <f t="array" ref="C4700">IF(AND(A4700="2020-12", ISNA(MATCH(B4700, _xlfn._xlws.FILTER(B:B, A:A="2021-01"), 0))), "Left", "Ativo")</f>
        <v>Ativo</v>
      </c>
      <c r="D4700" s="10" t="str" cm="1">
        <f t="array" ref="D4700">IF(AND(A4700="2021-01", ISNA(MATCH(B4700, _xlfn._xlws.FILTER(B:B, A:A="2021-02"), 0))), "Left", "Ativo")</f>
        <v>Ativo</v>
      </c>
      <c r="E4700" s="10" t="str" cm="1">
        <f t="array" ref="E4700">IF(AND(A4700="2021-02", ISNA(MATCH(B4700, _xlfn._xlws.FILTER(B:B, A:A="2021-03"), 0))), "Left", "Ativo")</f>
        <v>Ativo</v>
      </c>
      <c r="F4700" s="12" t="str" cm="1">
        <f t="array" ref="F4700">IF(AND(A4700="2021-03", ISNA(MATCH(B4700, _xlfn._xlws.FILTER(B:B, A:A="2021-04"), 0))), "Left", "Ativo")</f>
        <v>Ativo</v>
      </c>
    </row>
    <row r="4701" spans="1:6" x14ac:dyDescent="0.25">
      <c r="A4701" t="s">
        <v>1532</v>
      </c>
      <c r="B4701" t="s">
        <v>1059</v>
      </c>
      <c r="C4701" s="10" t="str" cm="1">
        <f t="array" ref="C4701">IF(AND(A4701="2020-12", ISNA(MATCH(B4701, _xlfn._xlws.FILTER(B:B, A:A="2021-01"), 0))), "Left", "Ativo")</f>
        <v>Ativo</v>
      </c>
      <c r="D4701" s="10" t="str" cm="1">
        <f t="array" ref="D4701">IF(AND(A4701="2021-01", ISNA(MATCH(B4701, _xlfn._xlws.FILTER(B:B, A:A="2021-02"), 0))), "Left", "Ativo")</f>
        <v>Ativo</v>
      </c>
      <c r="E4701" s="10" t="str" cm="1">
        <f t="array" ref="E4701">IF(AND(A4701="2021-02", ISNA(MATCH(B4701, _xlfn._xlws.FILTER(B:B, A:A="2021-03"), 0))), "Left", "Ativo")</f>
        <v>Ativo</v>
      </c>
      <c r="F4701" s="12" t="str" cm="1">
        <f t="array" ref="F4701">IF(AND(A4701="2021-03", ISNA(MATCH(B4701, _xlfn._xlws.FILTER(B:B, A:A="2021-04"), 0))), "Left", "Ativo")</f>
        <v>Ativo</v>
      </c>
    </row>
    <row r="4702" spans="1:6" x14ac:dyDescent="0.25">
      <c r="A4702" t="s">
        <v>1532</v>
      </c>
      <c r="B4702" t="s">
        <v>1060</v>
      </c>
      <c r="C4702" s="10" t="str" cm="1">
        <f t="array" ref="C4702">IF(AND(A4702="2020-12", ISNA(MATCH(B4702, _xlfn._xlws.FILTER(B:B, A:A="2021-01"), 0))), "Left", "Ativo")</f>
        <v>Ativo</v>
      </c>
      <c r="D4702" s="10" t="str" cm="1">
        <f t="array" ref="D4702">IF(AND(A4702="2021-01", ISNA(MATCH(B4702, _xlfn._xlws.FILTER(B:B, A:A="2021-02"), 0))), "Left", "Ativo")</f>
        <v>Ativo</v>
      </c>
      <c r="E4702" s="10" t="str" cm="1">
        <f t="array" ref="E4702">IF(AND(A4702="2021-02", ISNA(MATCH(B4702, _xlfn._xlws.FILTER(B:B, A:A="2021-03"), 0))), "Left", "Ativo")</f>
        <v>Ativo</v>
      </c>
      <c r="F4702" s="12" t="str" cm="1">
        <f t="array" ref="F4702">IF(AND(A4702="2021-03", ISNA(MATCH(B4702, _xlfn._xlws.FILTER(B:B, A:A="2021-04"), 0))), "Left", "Ativo")</f>
        <v>Ativo</v>
      </c>
    </row>
    <row r="4703" spans="1:6" x14ac:dyDescent="0.25">
      <c r="A4703" t="s">
        <v>1532</v>
      </c>
      <c r="B4703" t="s">
        <v>1061</v>
      </c>
      <c r="C4703" s="10" t="str" cm="1">
        <f t="array" ref="C4703">IF(AND(A4703="2020-12", ISNA(MATCH(B4703, _xlfn._xlws.FILTER(B:B, A:A="2021-01"), 0))), "Left", "Ativo")</f>
        <v>Ativo</v>
      </c>
      <c r="D4703" s="10" t="str" cm="1">
        <f t="array" ref="D4703">IF(AND(A4703="2021-01", ISNA(MATCH(B4703, _xlfn._xlws.FILTER(B:B, A:A="2021-02"), 0))), "Left", "Ativo")</f>
        <v>Ativo</v>
      </c>
      <c r="E4703" s="10" t="str" cm="1">
        <f t="array" ref="E4703">IF(AND(A4703="2021-02", ISNA(MATCH(B4703, _xlfn._xlws.FILTER(B:B, A:A="2021-03"), 0))), "Left", "Ativo")</f>
        <v>Ativo</v>
      </c>
      <c r="F4703" s="12" t="str" cm="1">
        <f t="array" ref="F4703">IF(AND(A4703="2021-03", ISNA(MATCH(B4703, _xlfn._xlws.FILTER(B:B, A:A="2021-04"), 0))), "Left", "Ativo")</f>
        <v>Ativo</v>
      </c>
    </row>
    <row r="4704" spans="1:6" x14ac:dyDescent="0.25">
      <c r="A4704" t="s">
        <v>1532</v>
      </c>
      <c r="B4704" t="s">
        <v>1062</v>
      </c>
      <c r="C4704" s="10" t="str" cm="1">
        <f t="array" ref="C4704">IF(AND(A4704="2020-12", ISNA(MATCH(B4704, _xlfn._xlws.FILTER(B:B, A:A="2021-01"), 0))), "Left", "Ativo")</f>
        <v>Ativo</v>
      </c>
      <c r="D4704" s="10" t="str" cm="1">
        <f t="array" ref="D4704">IF(AND(A4704="2021-01", ISNA(MATCH(B4704, _xlfn._xlws.FILTER(B:B, A:A="2021-02"), 0))), "Left", "Ativo")</f>
        <v>Ativo</v>
      </c>
      <c r="E4704" s="10" t="str" cm="1">
        <f t="array" ref="E4704">IF(AND(A4704="2021-02", ISNA(MATCH(B4704, _xlfn._xlws.FILTER(B:B, A:A="2021-03"), 0))), "Left", "Ativo")</f>
        <v>Ativo</v>
      </c>
      <c r="F4704" s="12" t="str" cm="1">
        <f t="array" ref="F4704">IF(AND(A4704="2021-03", ISNA(MATCH(B4704, _xlfn._xlws.FILTER(B:B, A:A="2021-04"), 0))), "Left", "Ativo")</f>
        <v>Ativo</v>
      </c>
    </row>
    <row r="4705" spans="1:6" x14ac:dyDescent="0.25">
      <c r="A4705" t="s">
        <v>1532</v>
      </c>
      <c r="B4705" t="s">
        <v>1063</v>
      </c>
      <c r="C4705" s="10" t="str" cm="1">
        <f t="array" ref="C4705">IF(AND(A4705="2020-12", ISNA(MATCH(B4705, _xlfn._xlws.FILTER(B:B, A:A="2021-01"), 0))), "Left", "Ativo")</f>
        <v>Ativo</v>
      </c>
      <c r="D4705" s="10" t="str" cm="1">
        <f t="array" ref="D4705">IF(AND(A4705="2021-01", ISNA(MATCH(B4705, _xlfn._xlws.FILTER(B:B, A:A="2021-02"), 0))), "Left", "Ativo")</f>
        <v>Ativo</v>
      </c>
      <c r="E4705" s="10" t="str" cm="1">
        <f t="array" ref="E4705">IF(AND(A4705="2021-02", ISNA(MATCH(B4705, _xlfn._xlws.FILTER(B:B, A:A="2021-03"), 0))), "Left", "Ativo")</f>
        <v>Ativo</v>
      </c>
      <c r="F4705" s="12" t="str" cm="1">
        <f t="array" ref="F4705">IF(AND(A4705="2021-03", ISNA(MATCH(B4705, _xlfn._xlws.FILTER(B:B, A:A="2021-04"), 0))), "Left", "Ativo")</f>
        <v>Ativo</v>
      </c>
    </row>
    <row r="4706" spans="1:6" x14ac:dyDescent="0.25">
      <c r="A4706" t="s">
        <v>1532</v>
      </c>
      <c r="B4706" t="s">
        <v>1064</v>
      </c>
      <c r="C4706" s="10" t="str" cm="1">
        <f t="array" ref="C4706">IF(AND(A4706="2020-12", ISNA(MATCH(B4706, _xlfn._xlws.FILTER(B:B, A:A="2021-01"), 0))), "Left", "Ativo")</f>
        <v>Ativo</v>
      </c>
      <c r="D4706" s="10" t="str" cm="1">
        <f t="array" ref="D4706">IF(AND(A4706="2021-01", ISNA(MATCH(B4706, _xlfn._xlws.FILTER(B:B, A:A="2021-02"), 0))), "Left", "Ativo")</f>
        <v>Ativo</v>
      </c>
      <c r="E4706" s="10" t="str" cm="1">
        <f t="array" ref="E4706">IF(AND(A4706="2021-02", ISNA(MATCH(B4706, _xlfn._xlws.FILTER(B:B, A:A="2021-03"), 0))), "Left", "Ativo")</f>
        <v>Ativo</v>
      </c>
      <c r="F4706" s="12" t="str" cm="1">
        <f t="array" ref="F4706">IF(AND(A4706="2021-03", ISNA(MATCH(B4706, _xlfn._xlws.FILTER(B:B, A:A="2021-04"), 0))), "Left", "Ativo")</f>
        <v>Ativo</v>
      </c>
    </row>
    <row r="4707" spans="1:6" x14ac:dyDescent="0.25">
      <c r="A4707" t="s">
        <v>1532</v>
      </c>
      <c r="B4707" t="s">
        <v>1065</v>
      </c>
      <c r="C4707" s="10" t="str" cm="1">
        <f t="array" ref="C4707">IF(AND(A4707="2020-12", ISNA(MATCH(B4707, _xlfn._xlws.FILTER(B:B, A:A="2021-01"), 0))), "Left", "Ativo")</f>
        <v>Ativo</v>
      </c>
      <c r="D4707" s="10" t="str" cm="1">
        <f t="array" ref="D4707">IF(AND(A4707="2021-01", ISNA(MATCH(B4707, _xlfn._xlws.FILTER(B:B, A:A="2021-02"), 0))), "Left", "Ativo")</f>
        <v>Ativo</v>
      </c>
      <c r="E4707" s="10" t="str" cm="1">
        <f t="array" ref="E4707">IF(AND(A4707="2021-02", ISNA(MATCH(B4707, _xlfn._xlws.FILTER(B:B, A:A="2021-03"), 0))), "Left", "Ativo")</f>
        <v>Ativo</v>
      </c>
      <c r="F4707" s="12" t="str" cm="1">
        <f t="array" ref="F4707">IF(AND(A4707="2021-03", ISNA(MATCH(B4707, _xlfn._xlws.FILTER(B:B, A:A="2021-04"), 0))), "Left", "Ativo")</f>
        <v>Ativo</v>
      </c>
    </row>
    <row r="4708" spans="1:6" x14ac:dyDescent="0.25">
      <c r="A4708" t="s">
        <v>1532</v>
      </c>
      <c r="B4708" t="s">
        <v>1066</v>
      </c>
      <c r="C4708" s="10" t="str" cm="1">
        <f t="array" ref="C4708">IF(AND(A4708="2020-12", ISNA(MATCH(B4708, _xlfn._xlws.FILTER(B:B, A:A="2021-01"), 0))), "Left", "Ativo")</f>
        <v>Ativo</v>
      </c>
      <c r="D4708" s="10" t="str" cm="1">
        <f t="array" ref="D4708">IF(AND(A4708="2021-01", ISNA(MATCH(B4708, _xlfn._xlws.FILTER(B:B, A:A="2021-02"), 0))), "Left", "Ativo")</f>
        <v>Ativo</v>
      </c>
      <c r="E4708" s="10" t="str" cm="1">
        <f t="array" ref="E4708">IF(AND(A4708="2021-02", ISNA(MATCH(B4708, _xlfn._xlws.FILTER(B:B, A:A="2021-03"), 0))), "Left", "Ativo")</f>
        <v>Ativo</v>
      </c>
      <c r="F4708" s="12" t="str" cm="1">
        <f t="array" ref="F4708">IF(AND(A4708="2021-03", ISNA(MATCH(B4708, _xlfn._xlws.FILTER(B:B, A:A="2021-04"), 0))), "Left", "Ativo")</f>
        <v>Ativo</v>
      </c>
    </row>
    <row r="4709" spans="1:6" x14ac:dyDescent="0.25">
      <c r="A4709" t="s">
        <v>1532</v>
      </c>
      <c r="B4709" t="s">
        <v>1067</v>
      </c>
      <c r="C4709" s="10" t="str" cm="1">
        <f t="array" ref="C4709">IF(AND(A4709="2020-12", ISNA(MATCH(B4709, _xlfn._xlws.FILTER(B:B, A:A="2021-01"), 0))), "Left", "Ativo")</f>
        <v>Ativo</v>
      </c>
      <c r="D4709" s="10" t="str" cm="1">
        <f t="array" ref="D4709">IF(AND(A4709="2021-01", ISNA(MATCH(B4709, _xlfn._xlws.FILTER(B:B, A:A="2021-02"), 0))), "Left", "Ativo")</f>
        <v>Ativo</v>
      </c>
      <c r="E4709" s="10" t="str" cm="1">
        <f t="array" ref="E4709">IF(AND(A4709="2021-02", ISNA(MATCH(B4709, _xlfn._xlws.FILTER(B:B, A:A="2021-03"), 0))), "Left", "Ativo")</f>
        <v>Ativo</v>
      </c>
      <c r="F4709" s="12" t="str" cm="1">
        <f t="array" ref="F4709">IF(AND(A4709="2021-03", ISNA(MATCH(B4709, _xlfn._xlws.FILTER(B:B, A:A="2021-04"), 0))), "Left", "Ativo")</f>
        <v>Ativo</v>
      </c>
    </row>
    <row r="4710" spans="1:6" x14ac:dyDescent="0.25">
      <c r="A4710" t="s">
        <v>1532</v>
      </c>
      <c r="B4710" t="s">
        <v>1068</v>
      </c>
      <c r="C4710" s="10" t="str" cm="1">
        <f t="array" ref="C4710">IF(AND(A4710="2020-12", ISNA(MATCH(B4710, _xlfn._xlws.FILTER(B:B, A:A="2021-01"), 0))), "Left", "Ativo")</f>
        <v>Ativo</v>
      </c>
      <c r="D4710" s="10" t="str" cm="1">
        <f t="array" ref="D4710">IF(AND(A4710="2021-01", ISNA(MATCH(B4710, _xlfn._xlws.FILTER(B:B, A:A="2021-02"), 0))), "Left", "Ativo")</f>
        <v>Ativo</v>
      </c>
      <c r="E4710" s="10" t="str" cm="1">
        <f t="array" ref="E4710">IF(AND(A4710="2021-02", ISNA(MATCH(B4710, _xlfn._xlws.FILTER(B:B, A:A="2021-03"), 0))), "Left", "Ativo")</f>
        <v>Ativo</v>
      </c>
      <c r="F4710" s="12" t="str" cm="1">
        <f t="array" ref="F4710">IF(AND(A4710="2021-03", ISNA(MATCH(B4710, _xlfn._xlws.FILTER(B:B, A:A="2021-04"), 0))), "Left", "Ativo")</f>
        <v>Ativo</v>
      </c>
    </row>
    <row r="4711" spans="1:6" x14ac:dyDescent="0.25">
      <c r="A4711" t="s">
        <v>1532</v>
      </c>
      <c r="B4711" t="s">
        <v>1069</v>
      </c>
      <c r="C4711" s="10" t="str" cm="1">
        <f t="array" ref="C4711">IF(AND(A4711="2020-12", ISNA(MATCH(B4711, _xlfn._xlws.FILTER(B:B, A:A="2021-01"), 0))), "Left", "Ativo")</f>
        <v>Ativo</v>
      </c>
      <c r="D4711" s="10" t="str" cm="1">
        <f t="array" ref="D4711">IF(AND(A4711="2021-01", ISNA(MATCH(B4711, _xlfn._xlws.FILTER(B:B, A:A="2021-02"), 0))), "Left", "Ativo")</f>
        <v>Ativo</v>
      </c>
      <c r="E4711" s="10" t="str" cm="1">
        <f t="array" ref="E4711">IF(AND(A4711="2021-02", ISNA(MATCH(B4711, _xlfn._xlws.FILTER(B:B, A:A="2021-03"), 0))), "Left", "Ativo")</f>
        <v>Ativo</v>
      </c>
      <c r="F4711" s="12" t="str" cm="1">
        <f t="array" ref="F4711">IF(AND(A4711="2021-03", ISNA(MATCH(B4711, _xlfn._xlws.FILTER(B:B, A:A="2021-04"), 0))), "Left", "Ativo")</f>
        <v>Ativo</v>
      </c>
    </row>
    <row r="4712" spans="1:6" x14ac:dyDescent="0.25">
      <c r="A4712" t="s">
        <v>1532</v>
      </c>
      <c r="B4712" t="s">
        <v>1135</v>
      </c>
      <c r="C4712" s="10" t="str" cm="1">
        <f t="array" ref="C4712">IF(AND(A4712="2020-12", ISNA(MATCH(B4712, _xlfn._xlws.FILTER(B:B, A:A="2021-01"), 0))), "Left", "Ativo")</f>
        <v>Ativo</v>
      </c>
      <c r="D4712" s="10" t="str" cm="1">
        <f t="array" ref="D4712">IF(AND(A4712="2021-01", ISNA(MATCH(B4712, _xlfn._xlws.FILTER(B:B, A:A="2021-02"), 0))), "Left", "Ativo")</f>
        <v>Ativo</v>
      </c>
      <c r="E4712" s="10" t="str" cm="1">
        <f t="array" ref="E4712">IF(AND(A4712="2021-02", ISNA(MATCH(B4712, _xlfn._xlws.FILTER(B:B, A:A="2021-03"), 0))), "Left", "Ativo")</f>
        <v>Ativo</v>
      </c>
      <c r="F4712" s="12" t="str" cm="1">
        <f t="array" ref="F4712">IF(AND(A4712="2021-03", ISNA(MATCH(B4712, _xlfn._xlws.FILTER(B:B, A:A="2021-04"), 0))), "Left", "Ativo")</f>
        <v>Ativo</v>
      </c>
    </row>
    <row r="4713" spans="1:6" x14ac:dyDescent="0.25">
      <c r="A4713" t="s">
        <v>1532</v>
      </c>
      <c r="B4713" t="s">
        <v>1136</v>
      </c>
      <c r="C4713" s="10" t="str" cm="1">
        <f t="array" ref="C4713">IF(AND(A4713="2020-12", ISNA(MATCH(B4713, _xlfn._xlws.FILTER(B:B, A:A="2021-01"), 0))), "Left", "Ativo")</f>
        <v>Ativo</v>
      </c>
      <c r="D4713" s="10" t="str" cm="1">
        <f t="array" ref="D4713">IF(AND(A4713="2021-01", ISNA(MATCH(B4713, _xlfn._xlws.FILTER(B:B, A:A="2021-02"), 0))), "Left", "Ativo")</f>
        <v>Ativo</v>
      </c>
      <c r="E4713" s="10" t="str" cm="1">
        <f t="array" ref="E4713">IF(AND(A4713="2021-02", ISNA(MATCH(B4713, _xlfn._xlws.FILTER(B:B, A:A="2021-03"), 0))), "Left", "Ativo")</f>
        <v>Ativo</v>
      </c>
      <c r="F4713" s="12" t="str" cm="1">
        <f t="array" ref="F4713">IF(AND(A4713="2021-03", ISNA(MATCH(B4713, _xlfn._xlws.FILTER(B:B, A:A="2021-04"), 0))), "Left", "Ativo")</f>
        <v>Ativo</v>
      </c>
    </row>
    <row r="4714" spans="1:6" x14ac:dyDescent="0.25">
      <c r="A4714" t="s">
        <v>1532</v>
      </c>
      <c r="B4714" t="s">
        <v>1137</v>
      </c>
      <c r="C4714" s="10" t="str" cm="1">
        <f t="array" ref="C4714">IF(AND(A4714="2020-12", ISNA(MATCH(B4714, _xlfn._xlws.FILTER(B:B, A:A="2021-01"), 0))), "Left", "Ativo")</f>
        <v>Ativo</v>
      </c>
      <c r="D4714" s="10" t="str" cm="1">
        <f t="array" ref="D4714">IF(AND(A4714="2021-01", ISNA(MATCH(B4714, _xlfn._xlws.FILTER(B:B, A:A="2021-02"), 0))), "Left", "Ativo")</f>
        <v>Ativo</v>
      </c>
      <c r="E4714" s="10" t="str" cm="1">
        <f t="array" ref="E4714">IF(AND(A4714="2021-02", ISNA(MATCH(B4714, _xlfn._xlws.FILTER(B:B, A:A="2021-03"), 0))), "Left", "Ativo")</f>
        <v>Ativo</v>
      </c>
      <c r="F4714" s="12" t="str" cm="1">
        <f t="array" ref="F4714">IF(AND(A4714="2021-03", ISNA(MATCH(B4714, _xlfn._xlws.FILTER(B:B, A:A="2021-04"), 0))), "Left", "Ativo")</f>
        <v>Ativo</v>
      </c>
    </row>
    <row r="4715" spans="1:6" x14ac:dyDescent="0.25">
      <c r="A4715" t="s">
        <v>1532</v>
      </c>
      <c r="B4715" t="s">
        <v>1138</v>
      </c>
      <c r="C4715" s="10" t="str" cm="1">
        <f t="array" ref="C4715">IF(AND(A4715="2020-12", ISNA(MATCH(B4715, _xlfn._xlws.FILTER(B:B, A:A="2021-01"), 0))), "Left", "Ativo")</f>
        <v>Ativo</v>
      </c>
      <c r="D4715" s="10" t="str" cm="1">
        <f t="array" ref="D4715">IF(AND(A4715="2021-01", ISNA(MATCH(B4715, _xlfn._xlws.FILTER(B:B, A:A="2021-02"), 0))), "Left", "Ativo")</f>
        <v>Ativo</v>
      </c>
      <c r="E4715" s="10" t="str" cm="1">
        <f t="array" ref="E4715">IF(AND(A4715="2021-02", ISNA(MATCH(B4715, _xlfn._xlws.FILTER(B:B, A:A="2021-03"), 0))), "Left", "Ativo")</f>
        <v>Ativo</v>
      </c>
      <c r="F4715" s="12" t="str" cm="1">
        <f t="array" ref="F4715">IF(AND(A4715="2021-03", ISNA(MATCH(B4715, _xlfn._xlws.FILTER(B:B, A:A="2021-04"), 0))), "Left", "Ativo")</f>
        <v>Ativo</v>
      </c>
    </row>
    <row r="4716" spans="1:6" x14ac:dyDescent="0.25">
      <c r="A4716" t="s">
        <v>1532</v>
      </c>
      <c r="B4716" t="s">
        <v>1139</v>
      </c>
      <c r="C4716" s="10" t="str" cm="1">
        <f t="array" ref="C4716">IF(AND(A4716="2020-12", ISNA(MATCH(B4716, _xlfn._xlws.FILTER(B:B, A:A="2021-01"), 0))), "Left", "Ativo")</f>
        <v>Ativo</v>
      </c>
      <c r="D4716" s="10" t="str" cm="1">
        <f t="array" ref="D4716">IF(AND(A4716="2021-01", ISNA(MATCH(B4716, _xlfn._xlws.FILTER(B:B, A:A="2021-02"), 0))), "Left", "Ativo")</f>
        <v>Ativo</v>
      </c>
      <c r="E4716" s="10" t="str" cm="1">
        <f t="array" ref="E4716">IF(AND(A4716="2021-02", ISNA(MATCH(B4716, _xlfn._xlws.FILTER(B:B, A:A="2021-03"), 0))), "Left", "Ativo")</f>
        <v>Ativo</v>
      </c>
      <c r="F4716" s="12" t="str" cm="1">
        <f t="array" ref="F4716">IF(AND(A4716="2021-03", ISNA(MATCH(B4716, _xlfn._xlws.FILTER(B:B, A:A="2021-04"), 0))), "Left", "Ativo")</f>
        <v>Ativo</v>
      </c>
    </row>
    <row r="4717" spans="1:6" x14ac:dyDescent="0.25">
      <c r="A4717" t="s">
        <v>1532</v>
      </c>
      <c r="B4717" t="s">
        <v>1140</v>
      </c>
      <c r="C4717" s="10" t="str" cm="1">
        <f t="array" ref="C4717">IF(AND(A4717="2020-12", ISNA(MATCH(B4717, _xlfn._xlws.FILTER(B:B, A:A="2021-01"), 0))), "Left", "Ativo")</f>
        <v>Ativo</v>
      </c>
      <c r="D4717" s="10" t="str" cm="1">
        <f t="array" ref="D4717">IF(AND(A4717="2021-01", ISNA(MATCH(B4717, _xlfn._xlws.FILTER(B:B, A:A="2021-02"), 0))), "Left", "Ativo")</f>
        <v>Ativo</v>
      </c>
      <c r="E4717" s="10" t="str" cm="1">
        <f t="array" ref="E4717">IF(AND(A4717="2021-02", ISNA(MATCH(B4717, _xlfn._xlws.FILTER(B:B, A:A="2021-03"), 0))), "Left", "Ativo")</f>
        <v>Ativo</v>
      </c>
      <c r="F4717" s="12" t="str" cm="1">
        <f t="array" ref="F4717">IF(AND(A4717="2021-03", ISNA(MATCH(B4717, _xlfn._xlws.FILTER(B:B, A:A="2021-04"), 0))), "Left", "Ativo")</f>
        <v>Ativo</v>
      </c>
    </row>
    <row r="4718" spans="1:6" x14ac:dyDescent="0.25">
      <c r="A4718" t="s">
        <v>1532</v>
      </c>
      <c r="B4718" t="s">
        <v>1141</v>
      </c>
      <c r="C4718" s="10" t="str" cm="1">
        <f t="array" ref="C4718">IF(AND(A4718="2020-12", ISNA(MATCH(B4718, _xlfn._xlws.FILTER(B:B, A:A="2021-01"), 0))), "Left", "Ativo")</f>
        <v>Ativo</v>
      </c>
      <c r="D4718" s="10" t="str" cm="1">
        <f t="array" ref="D4718">IF(AND(A4718="2021-01", ISNA(MATCH(B4718, _xlfn._xlws.FILTER(B:B, A:A="2021-02"), 0))), "Left", "Ativo")</f>
        <v>Ativo</v>
      </c>
      <c r="E4718" s="10" t="str" cm="1">
        <f t="array" ref="E4718">IF(AND(A4718="2021-02", ISNA(MATCH(B4718, _xlfn._xlws.FILTER(B:B, A:A="2021-03"), 0))), "Left", "Ativo")</f>
        <v>Ativo</v>
      </c>
      <c r="F4718" s="12" t="str" cm="1">
        <f t="array" ref="F4718">IF(AND(A4718="2021-03", ISNA(MATCH(B4718, _xlfn._xlws.FILTER(B:B, A:A="2021-04"), 0))), "Left", "Ativo")</f>
        <v>Ativo</v>
      </c>
    </row>
    <row r="4719" spans="1:6" x14ac:dyDescent="0.25">
      <c r="A4719" t="s">
        <v>1532</v>
      </c>
      <c r="B4719" t="s">
        <v>1144</v>
      </c>
      <c r="C4719" s="10" t="str" cm="1">
        <f t="array" ref="C4719">IF(AND(A4719="2020-12", ISNA(MATCH(B4719, _xlfn._xlws.FILTER(B:B, A:A="2021-01"), 0))), "Left", "Ativo")</f>
        <v>Ativo</v>
      </c>
      <c r="D4719" s="10" t="str" cm="1">
        <f t="array" ref="D4719">IF(AND(A4719="2021-01", ISNA(MATCH(B4719, _xlfn._xlws.FILTER(B:B, A:A="2021-02"), 0))), "Left", "Ativo")</f>
        <v>Ativo</v>
      </c>
      <c r="E4719" s="10" t="str" cm="1">
        <f t="array" ref="E4719">IF(AND(A4719="2021-02", ISNA(MATCH(B4719, _xlfn._xlws.FILTER(B:B, A:A="2021-03"), 0))), "Left", "Ativo")</f>
        <v>Ativo</v>
      </c>
      <c r="F4719" s="12" t="str" cm="1">
        <f t="array" ref="F4719">IF(AND(A4719="2021-03", ISNA(MATCH(B4719, _xlfn._xlws.FILTER(B:B, A:A="2021-04"), 0))), "Left", "Ativo")</f>
        <v>Ativo</v>
      </c>
    </row>
    <row r="4720" spans="1:6" x14ac:dyDescent="0.25">
      <c r="A4720" t="s">
        <v>1532</v>
      </c>
      <c r="B4720" t="s">
        <v>1145</v>
      </c>
      <c r="C4720" s="10" t="str" cm="1">
        <f t="array" ref="C4720">IF(AND(A4720="2020-12", ISNA(MATCH(B4720, _xlfn._xlws.FILTER(B:B, A:A="2021-01"), 0))), "Left", "Ativo")</f>
        <v>Ativo</v>
      </c>
      <c r="D4720" s="10" t="str" cm="1">
        <f t="array" ref="D4720">IF(AND(A4720="2021-01", ISNA(MATCH(B4720, _xlfn._xlws.FILTER(B:B, A:A="2021-02"), 0))), "Left", "Ativo")</f>
        <v>Ativo</v>
      </c>
      <c r="E4720" s="10" t="str" cm="1">
        <f t="array" ref="E4720">IF(AND(A4720="2021-02", ISNA(MATCH(B4720, _xlfn._xlws.FILTER(B:B, A:A="2021-03"), 0))), "Left", "Ativo")</f>
        <v>Ativo</v>
      </c>
      <c r="F4720" s="12" t="str" cm="1">
        <f t="array" ref="F4720">IF(AND(A4720="2021-03", ISNA(MATCH(B4720, _xlfn._xlws.FILTER(B:B, A:A="2021-04"), 0))), "Left", "Ativo")</f>
        <v>Ativo</v>
      </c>
    </row>
    <row r="4721" spans="1:6" x14ac:dyDescent="0.25">
      <c r="A4721" t="s">
        <v>1532</v>
      </c>
      <c r="B4721" t="s">
        <v>1146</v>
      </c>
      <c r="C4721" s="10" t="str" cm="1">
        <f t="array" ref="C4721">IF(AND(A4721="2020-12", ISNA(MATCH(B4721, _xlfn._xlws.FILTER(B:B, A:A="2021-01"), 0))), "Left", "Ativo")</f>
        <v>Ativo</v>
      </c>
      <c r="D4721" s="10" t="str" cm="1">
        <f t="array" ref="D4721">IF(AND(A4721="2021-01", ISNA(MATCH(B4721, _xlfn._xlws.FILTER(B:B, A:A="2021-02"), 0))), "Left", "Ativo")</f>
        <v>Ativo</v>
      </c>
      <c r="E4721" s="10" t="str" cm="1">
        <f t="array" ref="E4721">IF(AND(A4721="2021-02", ISNA(MATCH(B4721, _xlfn._xlws.FILTER(B:B, A:A="2021-03"), 0))), "Left", "Ativo")</f>
        <v>Ativo</v>
      </c>
      <c r="F4721" s="12" t="str" cm="1">
        <f t="array" ref="F4721">IF(AND(A4721="2021-03", ISNA(MATCH(B4721, _xlfn._xlws.FILTER(B:B, A:A="2021-04"), 0))), "Left", "Ativo")</f>
        <v>Ativo</v>
      </c>
    </row>
    <row r="4722" spans="1:6" x14ac:dyDescent="0.25">
      <c r="A4722" t="s">
        <v>1532</v>
      </c>
      <c r="B4722" t="s">
        <v>1194</v>
      </c>
      <c r="C4722" s="10" t="str" cm="1">
        <f t="array" ref="C4722">IF(AND(A4722="2020-12", ISNA(MATCH(B4722, _xlfn._xlws.FILTER(B:B, A:A="2021-01"), 0))), "Left", "Ativo")</f>
        <v>Ativo</v>
      </c>
      <c r="D4722" s="10" t="str" cm="1">
        <f t="array" ref="D4722">IF(AND(A4722="2021-01", ISNA(MATCH(B4722, _xlfn._xlws.FILTER(B:B, A:A="2021-02"), 0))), "Left", "Ativo")</f>
        <v>Ativo</v>
      </c>
      <c r="E4722" s="10" t="str" cm="1">
        <f t="array" ref="E4722">IF(AND(A4722="2021-02", ISNA(MATCH(B4722, _xlfn._xlws.FILTER(B:B, A:A="2021-03"), 0))), "Left", "Ativo")</f>
        <v>Ativo</v>
      </c>
      <c r="F4722" s="12" t="str" cm="1">
        <f t="array" ref="F4722">IF(AND(A4722="2021-03", ISNA(MATCH(B4722, _xlfn._xlws.FILTER(B:B, A:A="2021-04"), 0))), "Left", "Ativo")</f>
        <v>Ativo</v>
      </c>
    </row>
    <row r="4723" spans="1:6" x14ac:dyDescent="0.25">
      <c r="A4723" t="s">
        <v>1532</v>
      </c>
      <c r="B4723" t="s">
        <v>1195</v>
      </c>
      <c r="C4723" s="10" t="str" cm="1">
        <f t="array" ref="C4723">IF(AND(A4723="2020-12", ISNA(MATCH(B4723, _xlfn._xlws.FILTER(B:B, A:A="2021-01"), 0))), "Left", "Ativo")</f>
        <v>Ativo</v>
      </c>
      <c r="D4723" s="10" t="str" cm="1">
        <f t="array" ref="D4723">IF(AND(A4723="2021-01", ISNA(MATCH(B4723, _xlfn._xlws.FILTER(B:B, A:A="2021-02"), 0))), "Left", "Ativo")</f>
        <v>Ativo</v>
      </c>
      <c r="E4723" s="10" t="str" cm="1">
        <f t="array" ref="E4723">IF(AND(A4723="2021-02", ISNA(MATCH(B4723, _xlfn._xlws.FILTER(B:B, A:A="2021-03"), 0))), "Left", "Ativo")</f>
        <v>Ativo</v>
      </c>
      <c r="F4723" s="12" t="str" cm="1">
        <f t="array" ref="F4723">IF(AND(A4723="2021-03", ISNA(MATCH(B4723, _xlfn._xlws.FILTER(B:B, A:A="2021-04"), 0))), "Left", "Ativo")</f>
        <v>Ativo</v>
      </c>
    </row>
    <row r="4724" spans="1:6" x14ac:dyDescent="0.25">
      <c r="A4724" t="s">
        <v>1532</v>
      </c>
      <c r="B4724" t="s">
        <v>1196</v>
      </c>
      <c r="C4724" s="10" t="str" cm="1">
        <f t="array" ref="C4724">IF(AND(A4724="2020-12", ISNA(MATCH(B4724, _xlfn._xlws.FILTER(B:B, A:A="2021-01"), 0))), "Left", "Ativo")</f>
        <v>Ativo</v>
      </c>
      <c r="D4724" s="10" t="str" cm="1">
        <f t="array" ref="D4724">IF(AND(A4724="2021-01", ISNA(MATCH(B4724, _xlfn._xlws.FILTER(B:B, A:A="2021-02"), 0))), "Left", "Ativo")</f>
        <v>Ativo</v>
      </c>
      <c r="E4724" s="10" t="str" cm="1">
        <f t="array" ref="E4724">IF(AND(A4724="2021-02", ISNA(MATCH(B4724, _xlfn._xlws.FILTER(B:B, A:A="2021-03"), 0))), "Left", "Ativo")</f>
        <v>Ativo</v>
      </c>
      <c r="F4724" s="12" t="str" cm="1">
        <f t="array" ref="F4724">IF(AND(A4724="2021-03", ISNA(MATCH(B4724, _xlfn._xlws.FILTER(B:B, A:A="2021-04"), 0))), "Left", "Ativo")</f>
        <v>Ativo</v>
      </c>
    </row>
    <row r="4725" spans="1:6" x14ac:dyDescent="0.25">
      <c r="A4725" t="s">
        <v>1532</v>
      </c>
      <c r="B4725" t="s">
        <v>1197</v>
      </c>
      <c r="C4725" s="10" t="str" cm="1">
        <f t="array" ref="C4725">IF(AND(A4725="2020-12", ISNA(MATCH(B4725, _xlfn._xlws.FILTER(B:B, A:A="2021-01"), 0))), "Left", "Ativo")</f>
        <v>Ativo</v>
      </c>
      <c r="D4725" s="10" t="str" cm="1">
        <f t="array" ref="D4725">IF(AND(A4725="2021-01", ISNA(MATCH(B4725, _xlfn._xlws.FILTER(B:B, A:A="2021-02"), 0))), "Left", "Ativo")</f>
        <v>Ativo</v>
      </c>
      <c r="E4725" s="10" t="str" cm="1">
        <f t="array" ref="E4725">IF(AND(A4725="2021-02", ISNA(MATCH(B4725, _xlfn._xlws.FILTER(B:B, A:A="2021-03"), 0))), "Left", "Ativo")</f>
        <v>Ativo</v>
      </c>
      <c r="F4725" s="12" t="str" cm="1">
        <f t="array" ref="F4725">IF(AND(A4725="2021-03", ISNA(MATCH(B4725, _xlfn._xlws.FILTER(B:B, A:A="2021-04"), 0))), "Left", "Ativo")</f>
        <v>Ativo</v>
      </c>
    </row>
    <row r="4726" spans="1:6" x14ac:dyDescent="0.25">
      <c r="A4726" t="s">
        <v>1532</v>
      </c>
      <c r="B4726" t="s">
        <v>1198</v>
      </c>
      <c r="C4726" s="10" t="str" cm="1">
        <f t="array" ref="C4726">IF(AND(A4726="2020-12", ISNA(MATCH(B4726, _xlfn._xlws.FILTER(B:B, A:A="2021-01"), 0))), "Left", "Ativo")</f>
        <v>Ativo</v>
      </c>
      <c r="D4726" s="10" t="str" cm="1">
        <f t="array" ref="D4726">IF(AND(A4726="2021-01", ISNA(MATCH(B4726, _xlfn._xlws.FILTER(B:B, A:A="2021-02"), 0))), "Left", "Ativo")</f>
        <v>Ativo</v>
      </c>
      <c r="E4726" s="10" t="str" cm="1">
        <f t="array" ref="E4726">IF(AND(A4726="2021-02", ISNA(MATCH(B4726, _xlfn._xlws.FILTER(B:B, A:A="2021-03"), 0))), "Left", "Ativo")</f>
        <v>Ativo</v>
      </c>
      <c r="F4726" s="12" t="str" cm="1">
        <f t="array" ref="F4726">IF(AND(A4726="2021-03", ISNA(MATCH(B4726, _xlfn._xlws.FILTER(B:B, A:A="2021-04"), 0))), "Left", "Ativo")</f>
        <v>Ativo</v>
      </c>
    </row>
    <row r="4727" spans="1:6" x14ac:dyDescent="0.25">
      <c r="A4727" t="s">
        <v>1532</v>
      </c>
      <c r="B4727" t="s">
        <v>1199</v>
      </c>
      <c r="C4727" s="10" t="str" cm="1">
        <f t="array" ref="C4727">IF(AND(A4727="2020-12", ISNA(MATCH(B4727, _xlfn._xlws.FILTER(B:B, A:A="2021-01"), 0))), "Left", "Ativo")</f>
        <v>Ativo</v>
      </c>
      <c r="D4727" s="10" t="str" cm="1">
        <f t="array" ref="D4727">IF(AND(A4727="2021-01", ISNA(MATCH(B4727, _xlfn._xlws.FILTER(B:B, A:A="2021-02"), 0))), "Left", "Ativo")</f>
        <v>Ativo</v>
      </c>
      <c r="E4727" s="10" t="str" cm="1">
        <f t="array" ref="E4727">IF(AND(A4727="2021-02", ISNA(MATCH(B4727, _xlfn._xlws.FILTER(B:B, A:A="2021-03"), 0))), "Left", "Ativo")</f>
        <v>Ativo</v>
      </c>
      <c r="F4727" s="12" t="str" cm="1">
        <f t="array" ref="F4727">IF(AND(A4727="2021-03", ISNA(MATCH(B4727, _xlfn._xlws.FILTER(B:B, A:A="2021-04"), 0))), "Left", "Ativo")</f>
        <v>Ativo</v>
      </c>
    </row>
    <row r="4728" spans="1:6" x14ac:dyDescent="0.25">
      <c r="A4728" t="s">
        <v>1532</v>
      </c>
      <c r="B4728" t="s">
        <v>1200</v>
      </c>
      <c r="C4728" s="10" t="str" cm="1">
        <f t="array" ref="C4728">IF(AND(A4728="2020-12", ISNA(MATCH(B4728, _xlfn._xlws.FILTER(B:B, A:A="2021-01"), 0))), "Left", "Ativo")</f>
        <v>Ativo</v>
      </c>
      <c r="D4728" s="10" t="str" cm="1">
        <f t="array" ref="D4728">IF(AND(A4728="2021-01", ISNA(MATCH(B4728, _xlfn._xlws.FILTER(B:B, A:A="2021-02"), 0))), "Left", "Ativo")</f>
        <v>Ativo</v>
      </c>
      <c r="E4728" s="10" t="str" cm="1">
        <f t="array" ref="E4728">IF(AND(A4728="2021-02", ISNA(MATCH(B4728, _xlfn._xlws.FILTER(B:B, A:A="2021-03"), 0))), "Left", "Ativo")</f>
        <v>Ativo</v>
      </c>
      <c r="F4728" s="12" t="str" cm="1">
        <f t="array" ref="F4728">IF(AND(A4728="2021-03", ISNA(MATCH(B4728, _xlfn._xlws.FILTER(B:B, A:A="2021-04"), 0))), "Left", "Ativo")</f>
        <v>Ativo</v>
      </c>
    </row>
    <row r="4729" spans="1:6" x14ac:dyDescent="0.25">
      <c r="A4729" t="s">
        <v>1532</v>
      </c>
      <c r="B4729" t="s">
        <v>1201</v>
      </c>
      <c r="C4729" s="10" t="str" cm="1">
        <f t="array" ref="C4729">IF(AND(A4729="2020-12", ISNA(MATCH(B4729, _xlfn._xlws.FILTER(B:B, A:A="2021-01"), 0))), "Left", "Ativo")</f>
        <v>Ativo</v>
      </c>
      <c r="D4729" s="10" t="str" cm="1">
        <f t="array" ref="D4729">IF(AND(A4729="2021-01", ISNA(MATCH(B4729, _xlfn._xlws.FILTER(B:B, A:A="2021-02"), 0))), "Left", "Ativo")</f>
        <v>Ativo</v>
      </c>
      <c r="E4729" s="10" t="str" cm="1">
        <f t="array" ref="E4729">IF(AND(A4729="2021-02", ISNA(MATCH(B4729, _xlfn._xlws.FILTER(B:B, A:A="2021-03"), 0))), "Left", "Ativo")</f>
        <v>Ativo</v>
      </c>
      <c r="F4729" s="12" t="str" cm="1">
        <f t="array" ref="F4729">IF(AND(A4729="2021-03", ISNA(MATCH(B4729, _xlfn._xlws.FILTER(B:B, A:A="2021-04"), 0))), "Left", "Ativo")</f>
        <v>Ativo</v>
      </c>
    </row>
    <row r="4730" spans="1:6" x14ac:dyDescent="0.25">
      <c r="A4730" t="s">
        <v>1532</v>
      </c>
      <c r="B4730" t="s">
        <v>1202</v>
      </c>
      <c r="C4730" s="10" t="str" cm="1">
        <f t="array" ref="C4730">IF(AND(A4730="2020-12", ISNA(MATCH(B4730, _xlfn._xlws.FILTER(B:B, A:A="2021-01"), 0))), "Left", "Ativo")</f>
        <v>Ativo</v>
      </c>
      <c r="D4730" s="10" t="str" cm="1">
        <f t="array" ref="D4730">IF(AND(A4730="2021-01", ISNA(MATCH(B4730, _xlfn._xlws.FILTER(B:B, A:A="2021-02"), 0))), "Left", "Ativo")</f>
        <v>Ativo</v>
      </c>
      <c r="E4730" s="10" t="str" cm="1">
        <f t="array" ref="E4730">IF(AND(A4730="2021-02", ISNA(MATCH(B4730, _xlfn._xlws.FILTER(B:B, A:A="2021-03"), 0))), "Left", "Ativo")</f>
        <v>Ativo</v>
      </c>
      <c r="F4730" s="12" t="str" cm="1">
        <f t="array" ref="F4730">IF(AND(A4730="2021-03", ISNA(MATCH(B4730, _xlfn._xlws.FILTER(B:B, A:A="2021-04"), 0))), "Left", "Ativo")</f>
        <v>Ativo</v>
      </c>
    </row>
    <row r="4731" spans="1:6" x14ac:dyDescent="0.25">
      <c r="A4731" t="s">
        <v>1532</v>
      </c>
      <c r="B4731" t="s">
        <v>1203</v>
      </c>
      <c r="C4731" s="10" t="str" cm="1">
        <f t="array" ref="C4731">IF(AND(A4731="2020-12", ISNA(MATCH(B4731, _xlfn._xlws.FILTER(B:B, A:A="2021-01"), 0))), "Left", "Ativo")</f>
        <v>Ativo</v>
      </c>
      <c r="D4731" s="10" t="str" cm="1">
        <f t="array" ref="D4731">IF(AND(A4731="2021-01", ISNA(MATCH(B4731, _xlfn._xlws.FILTER(B:B, A:A="2021-02"), 0))), "Left", "Ativo")</f>
        <v>Ativo</v>
      </c>
      <c r="E4731" s="10" t="str" cm="1">
        <f t="array" ref="E4731">IF(AND(A4731="2021-02", ISNA(MATCH(B4731, _xlfn._xlws.FILTER(B:B, A:A="2021-03"), 0))), "Left", "Ativo")</f>
        <v>Ativo</v>
      </c>
      <c r="F4731" s="12" t="str" cm="1">
        <f t="array" ref="F4731">IF(AND(A4731="2021-03", ISNA(MATCH(B4731, _xlfn._xlws.FILTER(B:B, A:A="2021-04"), 0))), "Left", "Ativo")</f>
        <v>Ativo</v>
      </c>
    </row>
    <row r="4732" spans="1:6" x14ac:dyDescent="0.25">
      <c r="A4732" t="s">
        <v>1532</v>
      </c>
      <c r="B4732" t="s">
        <v>1204</v>
      </c>
      <c r="C4732" s="10" t="str" cm="1">
        <f t="array" ref="C4732">IF(AND(A4732="2020-12", ISNA(MATCH(B4732, _xlfn._xlws.FILTER(B:B, A:A="2021-01"), 0))), "Left", "Ativo")</f>
        <v>Ativo</v>
      </c>
      <c r="D4732" s="10" t="str" cm="1">
        <f t="array" ref="D4732">IF(AND(A4732="2021-01", ISNA(MATCH(B4732, _xlfn._xlws.FILTER(B:B, A:A="2021-02"), 0))), "Left", "Ativo")</f>
        <v>Ativo</v>
      </c>
      <c r="E4732" s="10" t="str" cm="1">
        <f t="array" ref="E4732">IF(AND(A4732="2021-02", ISNA(MATCH(B4732, _xlfn._xlws.FILTER(B:B, A:A="2021-03"), 0))), "Left", "Ativo")</f>
        <v>Ativo</v>
      </c>
      <c r="F4732" s="12" t="str" cm="1">
        <f t="array" ref="F4732">IF(AND(A4732="2021-03", ISNA(MATCH(B4732, _xlfn._xlws.FILTER(B:B, A:A="2021-04"), 0))), "Left", "Ativo")</f>
        <v>Ativo</v>
      </c>
    </row>
    <row r="4733" spans="1:6" x14ac:dyDescent="0.25">
      <c r="A4733" t="s">
        <v>1532</v>
      </c>
      <c r="B4733" t="s">
        <v>763</v>
      </c>
      <c r="C4733" s="10" t="str" cm="1">
        <f t="array" ref="C4733">IF(AND(A4733="2020-12", ISNA(MATCH(B4733, _xlfn._xlws.FILTER(B:B, A:A="2021-01"), 0))), "Left", "Ativo")</f>
        <v>Ativo</v>
      </c>
      <c r="D4733" s="10" t="str" cm="1">
        <f t="array" ref="D4733">IF(AND(A4733="2021-01", ISNA(MATCH(B4733, _xlfn._xlws.FILTER(B:B, A:A="2021-02"), 0))), "Left", "Ativo")</f>
        <v>Ativo</v>
      </c>
      <c r="E4733" s="10" t="str" cm="1">
        <f t="array" ref="E4733">IF(AND(A4733="2021-02", ISNA(MATCH(B4733, _xlfn._xlws.FILTER(B:B, A:A="2021-03"), 0))), "Left", "Ativo")</f>
        <v>Ativo</v>
      </c>
      <c r="F4733" s="12" t="str" cm="1">
        <f t="array" ref="F4733">IF(AND(A4733="2021-03", ISNA(MATCH(B4733, _xlfn._xlws.FILTER(B:B, A:A="2021-04"), 0))), "Left", "Ativo")</f>
        <v>Ativo</v>
      </c>
    </row>
    <row r="4734" spans="1:6" x14ac:dyDescent="0.25">
      <c r="A4734" t="s">
        <v>1532</v>
      </c>
      <c r="B4734" t="s">
        <v>764</v>
      </c>
      <c r="C4734" s="10" t="str" cm="1">
        <f t="array" ref="C4734">IF(AND(A4734="2020-12", ISNA(MATCH(B4734, _xlfn._xlws.FILTER(B:B, A:A="2021-01"), 0))), "Left", "Ativo")</f>
        <v>Ativo</v>
      </c>
      <c r="D4734" s="10" t="str" cm="1">
        <f t="array" ref="D4734">IF(AND(A4734="2021-01", ISNA(MATCH(B4734, _xlfn._xlws.FILTER(B:B, A:A="2021-02"), 0))), "Left", "Ativo")</f>
        <v>Ativo</v>
      </c>
      <c r="E4734" s="10" t="str" cm="1">
        <f t="array" ref="E4734">IF(AND(A4734="2021-02", ISNA(MATCH(B4734, _xlfn._xlws.FILTER(B:B, A:A="2021-03"), 0))), "Left", "Ativo")</f>
        <v>Ativo</v>
      </c>
      <c r="F4734" s="12" t="str" cm="1">
        <f t="array" ref="F4734">IF(AND(A4734="2021-03", ISNA(MATCH(B4734, _xlfn._xlws.FILTER(B:B, A:A="2021-04"), 0))), "Left", "Ativo")</f>
        <v>Ativo</v>
      </c>
    </row>
    <row r="4735" spans="1:6" x14ac:dyDescent="0.25">
      <c r="A4735" t="s">
        <v>1532</v>
      </c>
      <c r="B4735" t="s">
        <v>765</v>
      </c>
      <c r="C4735" s="10" t="str" cm="1">
        <f t="array" ref="C4735">IF(AND(A4735="2020-12", ISNA(MATCH(B4735, _xlfn._xlws.FILTER(B:B, A:A="2021-01"), 0))), "Left", "Ativo")</f>
        <v>Ativo</v>
      </c>
      <c r="D4735" s="10" t="str" cm="1">
        <f t="array" ref="D4735">IF(AND(A4735="2021-01", ISNA(MATCH(B4735, _xlfn._xlws.FILTER(B:B, A:A="2021-02"), 0))), "Left", "Ativo")</f>
        <v>Ativo</v>
      </c>
      <c r="E4735" s="10" t="str" cm="1">
        <f t="array" ref="E4735">IF(AND(A4735="2021-02", ISNA(MATCH(B4735, _xlfn._xlws.FILTER(B:B, A:A="2021-03"), 0))), "Left", "Ativo")</f>
        <v>Ativo</v>
      </c>
      <c r="F4735" s="12" t="str" cm="1">
        <f t="array" ref="F4735">IF(AND(A4735="2021-03", ISNA(MATCH(B4735, _xlfn._xlws.FILTER(B:B, A:A="2021-04"), 0))), "Left", "Ativo")</f>
        <v>Ativo</v>
      </c>
    </row>
    <row r="4736" spans="1:6" x14ac:dyDescent="0.25">
      <c r="A4736" t="s">
        <v>1532</v>
      </c>
      <c r="B4736" t="s">
        <v>770</v>
      </c>
      <c r="C4736" s="10" t="str" cm="1">
        <f t="array" ref="C4736">IF(AND(A4736="2020-12", ISNA(MATCH(B4736, _xlfn._xlws.FILTER(B:B, A:A="2021-01"), 0))), "Left", "Ativo")</f>
        <v>Ativo</v>
      </c>
      <c r="D4736" s="10" t="str" cm="1">
        <f t="array" ref="D4736">IF(AND(A4736="2021-01", ISNA(MATCH(B4736, _xlfn._xlws.FILTER(B:B, A:A="2021-02"), 0))), "Left", "Ativo")</f>
        <v>Ativo</v>
      </c>
      <c r="E4736" s="10" t="str" cm="1">
        <f t="array" ref="E4736">IF(AND(A4736="2021-02", ISNA(MATCH(B4736, _xlfn._xlws.FILTER(B:B, A:A="2021-03"), 0))), "Left", "Ativo")</f>
        <v>Ativo</v>
      </c>
      <c r="F4736" s="12" t="str" cm="1">
        <f t="array" ref="F4736">IF(AND(A4736="2021-03", ISNA(MATCH(B4736, _xlfn._xlws.FILTER(B:B, A:A="2021-04"), 0))), "Left", "Ativo")</f>
        <v>Ativo</v>
      </c>
    </row>
    <row r="4737" spans="1:6" x14ac:dyDescent="0.25">
      <c r="A4737" t="s">
        <v>1532</v>
      </c>
      <c r="B4737" t="s">
        <v>771</v>
      </c>
      <c r="C4737" s="10" t="str" cm="1">
        <f t="array" ref="C4737">IF(AND(A4737="2020-12", ISNA(MATCH(B4737, _xlfn._xlws.FILTER(B:B, A:A="2021-01"), 0))), "Left", "Ativo")</f>
        <v>Ativo</v>
      </c>
      <c r="D4737" s="10" t="str" cm="1">
        <f t="array" ref="D4737">IF(AND(A4737="2021-01", ISNA(MATCH(B4737, _xlfn._xlws.FILTER(B:B, A:A="2021-02"), 0))), "Left", "Ativo")</f>
        <v>Ativo</v>
      </c>
      <c r="E4737" s="10" t="str" cm="1">
        <f t="array" ref="E4737">IF(AND(A4737="2021-02", ISNA(MATCH(B4737, _xlfn._xlws.FILTER(B:B, A:A="2021-03"), 0))), "Left", "Ativo")</f>
        <v>Ativo</v>
      </c>
      <c r="F4737" s="12" t="str" cm="1">
        <f t="array" ref="F4737">IF(AND(A4737="2021-03", ISNA(MATCH(B4737, _xlfn._xlws.FILTER(B:B, A:A="2021-04"), 0))), "Left", "Ativo")</f>
        <v>Ativo</v>
      </c>
    </row>
    <row r="4738" spans="1:6" x14ac:dyDescent="0.25">
      <c r="A4738" t="s">
        <v>1532</v>
      </c>
      <c r="B4738" t="s">
        <v>772</v>
      </c>
      <c r="C4738" s="10" t="str" cm="1">
        <f t="array" ref="C4738">IF(AND(A4738="2020-12", ISNA(MATCH(B4738, _xlfn._xlws.FILTER(B:B, A:A="2021-01"), 0))), "Left", "Ativo")</f>
        <v>Ativo</v>
      </c>
      <c r="D4738" s="10" t="str" cm="1">
        <f t="array" ref="D4738">IF(AND(A4738="2021-01", ISNA(MATCH(B4738, _xlfn._xlws.FILTER(B:B, A:A="2021-02"), 0))), "Left", "Ativo")</f>
        <v>Ativo</v>
      </c>
      <c r="E4738" s="10" t="str" cm="1">
        <f t="array" ref="E4738">IF(AND(A4738="2021-02", ISNA(MATCH(B4738, _xlfn._xlws.FILTER(B:B, A:A="2021-03"), 0))), "Left", "Ativo")</f>
        <v>Ativo</v>
      </c>
      <c r="F4738" s="12" t="str" cm="1">
        <f t="array" ref="F4738">IF(AND(A4738="2021-03", ISNA(MATCH(B4738, _xlfn._xlws.FILTER(B:B, A:A="2021-04"), 0))), "Left", "Ativo")</f>
        <v>Ativo</v>
      </c>
    </row>
    <row r="4739" spans="1:6" x14ac:dyDescent="0.25">
      <c r="A4739" t="s">
        <v>1532</v>
      </c>
      <c r="B4739" t="s">
        <v>773</v>
      </c>
      <c r="C4739" s="10" t="str" cm="1">
        <f t="array" ref="C4739">IF(AND(A4739="2020-12", ISNA(MATCH(B4739, _xlfn._xlws.FILTER(B:B, A:A="2021-01"), 0))), "Left", "Ativo")</f>
        <v>Ativo</v>
      </c>
      <c r="D4739" s="10" t="str" cm="1">
        <f t="array" ref="D4739">IF(AND(A4739="2021-01", ISNA(MATCH(B4739, _xlfn._xlws.FILTER(B:B, A:A="2021-02"), 0))), "Left", "Ativo")</f>
        <v>Ativo</v>
      </c>
      <c r="E4739" s="10" t="str" cm="1">
        <f t="array" ref="E4739">IF(AND(A4739="2021-02", ISNA(MATCH(B4739, _xlfn._xlws.FILTER(B:B, A:A="2021-03"), 0))), "Left", "Ativo")</f>
        <v>Ativo</v>
      </c>
      <c r="F4739" s="12" t="str" cm="1">
        <f t="array" ref="F4739">IF(AND(A4739="2021-03", ISNA(MATCH(B4739, _xlfn._xlws.FILTER(B:B, A:A="2021-04"), 0))), "Left", "Ativo")</f>
        <v>Ativo</v>
      </c>
    </row>
    <row r="4740" spans="1:6" x14ac:dyDescent="0.25">
      <c r="A4740" t="s">
        <v>1532</v>
      </c>
      <c r="B4740" t="s">
        <v>774</v>
      </c>
      <c r="C4740" s="10" t="str" cm="1">
        <f t="array" ref="C4740">IF(AND(A4740="2020-12", ISNA(MATCH(B4740, _xlfn._xlws.FILTER(B:B, A:A="2021-01"), 0))), "Left", "Ativo")</f>
        <v>Ativo</v>
      </c>
      <c r="D4740" s="10" t="str" cm="1">
        <f t="array" ref="D4740">IF(AND(A4740="2021-01", ISNA(MATCH(B4740, _xlfn._xlws.FILTER(B:B, A:A="2021-02"), 0))), "Left", "Ativo")</f>
        <v>Ativo</v>
      </c>
      <c r="E4740" s="10" t="str" cm="1">
        <f t="array" ref="E4740">IF(AND(A4740="2021-02", ISNA(MATCH(B4740, _xlfn._xlws.FILTER(B:B, A:A="2021-03"), 0))), "Left", "Ativo")</f>
        <v>Ativo</v>
      </c>
      <c r="F4740" s="12" t="str" cm="1">
        <f t="array" ref="F4740">IF(AND(A4740="2021-03", ISNA(MATCH(B4740, _xlfn._xlws.FILTER(B:B, A:A="2021-04"), 0))), "Left", "Ativo")</f>
        <v>Ativo</v>
      </c>
    </row>
    <row r="4741" spans="1:6" x14ac:dyDescent="0.25">
      <c r="A4741" t="s">
        <v>1532</v>
      </c>
      <c r="B4741" t="s">
        <v>775</v>
      </c>
      <c r="C4741" s="10" t="str" cm="1">
        <f t="array" ref="C4741">IF(AND(A4741="2020-12", ISNA(MATCH(B4741, _xlfn._xlws.FILTER(B:B, A:A="2021-01"), 0))), "Left", "Ativo")</f>
        <v>Ativo</v>
      </c>
      <c r="D4741" s="10" t="str" cm="1">
        <f t="array" ref="D4741">IF(AND(A4741="2021-01", ISNA(MATCH(B4741, _xlfn._xlws.FILTER(B:B, A:A="2021-02"), 0))), "Left", "Ativo")</f>
        <v>Ativo</v>
      </c>
      <c r="E4741" s="10" t="str" cm="1">
        <f t="array" ref="E4741">IF(AND(A4741="2021-02", ISNA(MATCH(B4741, _xlfn._xlws.FILTER(B:B, A:A="2021-03"), 0))), "Left", "Ativo")</f>
        <v>Ativo</v>
      </c>
      <c r="F4741" s="12" t="str" cm="1">
        <f t="array" ref="F4741">IF(AND(A4741="2021-03", ISNA(MATCH(B4741, _xlfn._xlws.FILTER(B:B, A:A="2021-04"), 0))), "Left", "Ativo")</f>
        <v>Ativo</v>
      </c>
    </row>
    <row r="4742" spans="1:6" x14ac:dyDescent="0.25">
      <c r="A4742" t="s">
        <v>1532</v>
      </c>
      <c r="B4742" t="s">
        <v>776</v>
      </c>
      <c r="C4742" s="10" t="str" cm="1">
        <f t="array" ref="C4742">IF(AND(A4742="2020-12", ISNA(MATCH(B4742, _xlfn._xlws.FILTER(B:B, A:A="2021-01"), 0))), "Left", "Ativo")</f>
        <v>Ativo</v>
      </c>
      <c r="D4742" s="10" t="str" cm="1">
        <f t="array" ref="D4742">IF(AND(A4742="2021-01", ISNA(MATCH(B4742, _xlfn._xlws.FILTER(B:B, A:A="2021-02"), 0))), "Left", "Ativo")</f>
        <v>Ativo</v>
      </c>
      <c r="E4742" s="10" t="str" cm="1">
        <f t="array" ref="E4742">IF(AND(A4742="2021-02", ISNA(MATCH(B4742, _xlfn._xlws.FILTER(B:B, A:A="2021-03"), 0))), "Left", "Ativo")</f>
        <v>Ativo</v>
      </c>
      <c r="F4742" s="12" t="str" cm="1">
        <f t="array" ref="F4742">IF(AND(A4742="2021-03", ISNA(MATCH(B4742, _xlfn._xlws.FILTER(B:B, A:A="2021-04"), 0))), "Left", "Ativo")</f>
        <v>Ativo</v>
      </c>
    </row>
    <row r="4743" spans="1:6" x14ac:dyDescent="0.25">
      <c r="A4743" t="s">
        <v>1532</v>
      </c>
      <c r="B4743" t="s">
        <v>777</v>
      </c>
      <c r="C4743" s="10" t="str" cm="1">
        <f t="array" ref="C4743">IF(AND(A4743="2020-12", ISNA(MATCH(B4743, _xlfn._xlws.FILTER(B:B, A:A="2021-01"), 0))), "Left", "Ativo")</f>
        <v>Ativo</v>
      </c>
      <c r="D4743" s="10" t="str" cm="1">
        <f t="array" ref="D4743">IF(AND(A4743="2021-01", ISNA(MATCH(B4743, _xlfn._xlws.FILTER(B:B, A:A="2021-02"), 0))), "Left", "Ativo")</f>
        <v>Ativo</v>
      </c>
      <c r="E4743" s="10" t="str" cm="1">
        <f t="array" ref="E4743">IF(AND(A4743="2021-02", ISNA(MATCH(B4743, _xlfn._xlws.FILTER(B:B, A:A="2021-03"), 0))), "Left", "Ativo")</f>
        <v>Ativo</v>
      </c>
      <c r="F4743" s="12" t="str" cm="1">
        <f t="array" ref="F4743">IF(AND(A4743="2021-03", ISNA(MATCH(B4743, _xlfn._xlws.FILTER(B:B, A:A="2021-04"), 0))), "Left", "Ativo")</f>
        <v>Ativo</v>
      </c>
    </row>
    <row r="4744" spans="1:6" x14ac:dyDescent="0.25">
      <c r="A4744" t="s">
        <v>1532</v>
      </c>
      <c r="B4744" t="s">
        <v>778</v>
      </c>
      <c r="C4744" s="10" t="str" cm="1">
        <f t="array" ref="C4744">IF(AND(A4744="2020-12", ISNA(MATCH(B4744, _xlfn._xlws.FILTER(B:B, A:A="2021-01"), 0))), "Left", "Ativo")</f>
        <v>Ativo</v>
      </c>
      <c r="D4744" s="10" t="str" cm="1">
        <f t="array" ref="D4744">IF(AND(A4744="2021-01", ISNA(MATCH(B4744, _xlfn._xlws.FILTER(B:B, A:A="2021-02"), 0))), "Left", "Ativo")</f>
        <v>Ativo</v>
      </c>
      <c r="E4744" s="10" t="str" cm="1">
        <f t="array" ref="E4744">IF(AND(A4744="2021-02", ISNA(MATCH(B4744, _xlfn._xlws.FILTER(B:B, A:A="2021-03"), 0))), "Left", "Ativo")</f>
        <v>Ativo</v>
      </c>
      <c r="F4744" s="12" t="str" cm="1">
        <f t="array" ref="F4744">IF(AND(A4744="2021-03", ISNA(MATCH(B4744, _xlfn._xlws.FILTER(B:B, A:A="2021-04"), 0))), "Left", "Ativo")</f>
        <v>Ativo</v>
      </c>
    </row>
    <row r="4745" spans="1:6" x14ac:dyDescent="0.25">
      <c r="A4745" t="s">
        <v>1532</v>
      </c>
      <c r="B4745" t="s">
        <v>779</v>
      </c>
      <c r="C4745" s="10" t="str" cm="1">
        <f t="array" ref="C4745">IF(AND(A4745="2020-12", ISNA(MATCH(B4745, _xlfn._xlws.FILTER(B:B, A:A="2021-01"), 0))), "Left", "Ativo")</f>
        <v>Ativo</v>
      </c>
      <c r="D4745" s="10" t="str" cm="1">
        <f t="array" ref="D4745">IF(AND(A4745="2021-01", ISNA(MATCH(B4745, _xlfn._xlws.FILTER(B:B, A:A="2021-02"), 0))), "Left", "Ativo")</f>
        <v>Ativo</v>
      </c>
      <c r="E4745" s="10" t="str" cm="1">
        <f t="array" ref="E4745">IF(AND(A4745="2021-02", ISNA(MATCH(B4745, _xlfn._xlws.FILTER(B:B, A:A="2021-03"), 0))), "Left", "Ativo")</f>
        <v>Ativo</v>
      </c>
      <c r="F4745" s="12" t="str" cm="1">
        <f t="array" ref="F4745">IF(AND(A4745="2021-03", ISNA(MATCH(B4745, _xlfn._xlws.FILTER(B:B, A:A="2021-04"), 0))), "Left", "Ativo")</f>
        <v>Ativo</v>
      </c>
    </row>
    <row r="4746" spans="1:6" x14ac:dyDescent="0.25">
      <c r="A4746" t="s">
        <v>1532</v>
      </c>
      <c r="B4746" t="s">
        <v>780</v>
      </c>
      <c r="C4746" s="10" t="str" cm="1">
        <f t="array" ref="C4746">IF(AND(A4746="2020-12", ISNA(MATCH(B4746, _xlfn._xlws.FILTER(B:B, A:A="2021-01"), 0))), "Left", "Ativo")</f>
        <v>Ativo</v>
      </c>
      <c r="D4746" s="10" t="str" cm="1">
        <f t="array" ref="D4746">IF(AND(A4746="2021-01", ISNA(MATCH(B4746, _xlfn._xlws.FILTER(B:B, A:A="2021-02"), 0))), "Left", "Ativo")</f>
        <v>Ativo</v>
      </c>
      <c r="E4746" s="10" t="str" cm="1">
        <f t="array" ref="E4746">IF(AND(A4746="2021-02", ISNA(MATCH(B4746, _xlfn._xlws.FILTER(B:B, A:A="2021-03"), 0))), "Left", "Ativo")</f>
        <v>Ativo</v>
      </c>
      <c r="F4746" s="12" t="str" cm="1">
        <f t="array" ref="F4746">IF(AND(A4746="2021-03", ISNA(MATCH(B4746, _xlfn._xlws.FILTER(B:B, A:A="2021-04"), 0))), "Left", "Ativo")</f>
        <v>Ativo</v>
      </c>
    </row>
    <row r="4747" spans="1:6" x14ac:dyDescent="0.25">
      <c r="A4747" t="s">
        <v>1532</v>
      </c>
      <c r="B4747" t="s">
        <v>781</v>
      </c>
      <c r="C4747" s="10" t="str" cm="1">
        <f t="array" ref="C4747">IF(AND(A4747="2020-12", ISNA(MATCH(B4747, _xlfn._xlws.FILTER(B:B, A:A="2021-01"), 0))), "Left", "Ativo")</f>
        <v>Ativo</v>
      </c>
      <c r="D4747" s="10" t="str" cm="1">
        <f t="array" ref="D4747">IF(AND(A4747="2021-01", ISNA(MATCH(B4747, _xlfn._xlws.FILTER(B:B, A:A="2021-02"), 0))), "Left", "Ativo")</f>
        <v>Ativo</v>
      </c>
      <c r="E4747" s="10" t="str" cm="1">
        <f t="array" ref="E4747">IF(AND(A4747="2021-02", ISNA(MATCH(B4747, _xlfn._xlws.FILTER(B:B, A:A="2021-03"), 0))), "Left", "Ativo")</f>
        <v>Ativo</v>
      </c>
      <c r="F4747" s="12" t="str" cm="1">
        <f t="array" ref="F4747">IF(AND(A4747="2021-03", ISNA(MATCH(B4747, _xlfn._xlws.FILTER(B:B, A:A="2021-04"), 0))), "Left", "Ativo")</f>
        <v>Ativo</v>
      </c>
    </row>
    <row r="4748" spans="1:6" x14ac:dyDescent="0.25">
      <c r="A4748" t="s">
        <v>1532</v>
      </c>
      <c r="B4748" t="s">
        <v>782</v>
      </c>
      <c r="C4748" s="10" t="str" cm="1">
        <f t="array" ref="C4748">IF(AND(A4748="2020-12", ISNA(MATCH(B4748, _xlfn._xlws.FILTER(B:B, A:A="2021-01"), 0))), "Left", "Ativo")</f>
        <v>Ativo</v>
      </c>
      <c r="D4748" s="10" t="str" cm="1">
        <f t="array" ref="D4748">IF(AND(A4748="2021-01", ISNA(MATCH(B4748, _xlfn._xlws.FILTER(B:B, A:A="2021-02"), 0))), "Left", "Ativo")</f>
        <v>Ativo</v>
      </c>
      <c r="E4748" s="10" t="str" cm="1">
        <f t="array" ref="E4748">IF(AND(A4748="2021-02", ISNA(MATCH(B4748, _xlfn._xlws.FILTER(B:B, A:A="2021-03"), 0))), "Left", "Ativo")</f>
        <v>Ativo</v>
      </c>
      <c r="F4748" s="12" t="str" cm="1">
        <f t="array" ref="F4748">IF(AND(A4748="2021-03", ISNA(MATCH(B4748, _xlfn._xlws.FILTER(B:B, A:A="2021-04"), 0))), "Left", "Ativo")</f>
        <v>Ativo</v>
      </c>
    </row>
    <row r="4749" spans="1:6" x14ac:dyDescent="0.25">
      <c r="A4749" t="s">
        <v>1532</v>
      </c>
      <c r="B4749" t="s">
        <v>783</v>
      </c>
      <c r="C4749" s="10" t="str" cm="1">
        <f t="array" ref="C4749">IF(AND(A4749="2020-12", ISNA(MATCH(B4749, _xlfn._xlws.FILTER(B:B, A:A="2021-01"), 0))), "Left", "Ativo")</f>
        <v>Ativo</v>
      </c>
      <c r="D4749" s="10" t="str" cm="1">
        <f t="array" ref="D4749">IF(AND(A4749="2021-01", ISNA(MATCH(B4749, _xlfn._xlws.FILTER(B:B, A:A="2021-02"), 0))), "Left", "Ativo")</f>
        <v>Ativo</v>
      </c>
      <c r="E4749" s="10" t="str" cm="1">
        <f t="array" ref="E4749">IF(AND(A4749="2021-02", ISNA(MATCH(B4749, _xlfn._xlws.FILTER(B:B, A:A="2021-03"), 0))), "Left", "Ativo")</f>
        <v>Ativo</v>
      </c>
      <c r="F4749" s="12" t="str" cm="1">
        <f t="array" ref="F4749">IF(AND(A4749="2021-03", ISNA(MATCH(B4749, _xlfn._xlws.FILTER(B:B, A:A="2021-04"), 0))), "Left", "Ativo")</f>
        <v>Ativo</v>
      </c>
    </row>
    <row r="4750" spans="1:6" x14ac:dyDescent="0.25">
      <c r="A4750" t="s">
        <v>1532</v>
      </c>
      <c r="B4750" t="s">
        <v>784</v>
      </c>
      <c r="C4750" s="10" t="str" cm="1">
        <f t="array" ref="C4750">IF(AND(A4750="2020-12", ISNA(MATCH(B4750, _xlfn._xlws.FILTER(B:B, A:A="2021-01"), 0))), "Left", "Ativo")</f>
        <v>Ativo</v>
      </c>
      <c r="D4750" s="10" t="str" cm="1">
        <f t="array" ref="D4750">IF(AND(A4750="2021-01", ISNA(MATCH(B4750, _xlfn._xlws.FILTER(B:B, A:A="2021-02"), 0))), "Left", "Ativo")</f>
        <v>Ativo</v>
      </c>
      <c r="E4750" s="10" t="str" cm="1">
        <f t="array" ref="E4750">IF(AND(A4750="2021-02", ISNA(MATCH(B4750, _xlfn._xlws.FILTER(B:B, A:A="2021-03"), 0))), "Left", "Ativo")</f>
        <v>Ativo</v>
      </c>
      <c r="F4750" s="12" t="str" cm="1">
        <f t="array" ref="F4750">IF(AND(A4750="2021-03", ISNA(MATCH(B4750, _xlfn._xlws.FILTER(B:B, A:A="2021-04"), 0))), "Left", "Ativo")</f>
        <v>Ativo</v>
      </c>
    </row>
    <row r="4751" spans="1:6" x14ac:dyDescent="0.25">
      <c r="A4751" t="s">
        <v>1532</v>
      </c>
      <c r="B4751" t="s">
        <v>785</v>
      </c>
      <c r="C4751" s="10" t="str" cm="1">
        <f t="array" ref="C4751">IF(AND(A4751="2020-12", ISNA(MATCH(B4751, _xlfn._xlws.FILTER(B:B, A:A="2021-01"), 0))), "Left", "Ativo")</f>
        <v>Ativo</v>
      </c>
      <c r="D4751" s="10" t="str" cm="1">
        <f t="array" ref="D4751">IF(AND(A4751="2021-01", ISNA(MATCH(B4751, _xlfn._xlws.FILTER(B:B, A:A="2021-02"), 0))), "Left", "Ativo")</f>
        <v>Ativo</v>
      </c>
      <c r="E4751" s="10" t="str" cm="1">
        <f t="array" ref="E4751">IF(AND(A4751="2021-02", ISNA(MATCH(B4751, _xlfn._xlws.FILTER(B:B, A:A="2021-03"), 0))), "Left", "Ativo")</f>
        <v>Ativo</v>
      </c>
      <c r="F4751" s="12" t="str" cm="1">
        <f t="array" ref="F4751">IF(AND(A4751="2021-03", ISNA(MATCH(B4751, _xlfn._xlws.FILTER(B:B, A:A="2021-04"), 0))), "Left", "Ativo")</f>
        <v>Ativo</v>
      </c>
    </row>
    <row r="4752" spans="1:6" x14ac:dyDescent="0.25">
      <c r="A4752" t="s">
        <v>1532</v>
      </c>
      <c r="B4752" t="s">
        <v>786</v>
      </c>
      <c r="C4752" s="10" t="str" cm="1">
        <f t="array" ref="C4752">IF(AND(A4752="2020-12", ISNA(MATCH(B4752, _xlfn._xlws.FILTER(B:B, A:A="2021-01"), 0))), "Left", "Ativo")</f>
        <v>Ativo</v>
      </c>
      <c r="D4752" s="10" t="str" cm="1">
        <f t="array" ref="D4752">IF(AND(A4752="2021-01", ISNA(MATCH(B4752, _xlfn._xlws.FILTER(B:B, A:A="2021-02"), 0))), "Left", "Ativo")</f>
        <v>Ativo</v>
      </c>
      <c r="E4752" s="10" t="str" cm="1">
        <f t="array" ref="E4752">IF(AND(A4752="2021-02", ISNA(MATCH(B4752, _xlfn._xlws.FILTER(B:B, A:A="2021-03"), 0))), "Left", "Ativo")</f>
        <v>Ativo</v>
      </c>
      <c r="F4752" s="12" t="str" cm="1">
        <f t="array" ref="F4752">IF(AND(A4752="2021-03", ISNA(MATCH(B4752, _xlfn._xlws.FILTER(B:B, A:A="2021-04"), 0))), "Left", "Ativo")</f>
        <v>Ativo</v>
      </c>
    </row>
    <row r="4753" spans="1:6" x14ac:dyDescent="0.25">
      <c r="A4753" t="s">
        <v>1532</v>
      </c>
      <c r="B4753" t="s">
        <v>787</v>
      </c>
      <c r="C4753" s="10" t="str" cm="1">
        <f t="array" ref="C4753">IF(AND(A4753="2020-12", ISNA(MATCH(B4753, _xlfn._xlws.FILTER(B:B, A:A="2021-01"), 0))), "Left", "Ativo")</f>
        <v>Ativo</v>
      </c>
      <c r="D4753" s="10" t="str" cm="1">
        <f t="array" ref="D4753">IF(AND(A4753="2021-01", ISNA(MATCH(B4753, _xlfn._xlws.FILTER(B:B, A:A="2021-02"), 0))), "Left", "Ativo")</f>
        <v>Ativo</v>
      </c>
      <c r="E4753" s="10" t="str" cm="1">
        <f t="array" ref="E4753">IF(AND(A4753="2021-02", ISNA(MATCH(B4753, _xlfn._xlws.FILTER(B:B, A:A="2021-03"), 0))), "Left", "Ativo")</f>
        <v>Ativo</v>
      </c>
      <c r="F4753" s="12" t="str" cm="1">
        <f t="array" ref="F4753">IF(AND(A4753="2021-03", ISNA(MATCH(B4753, _xlfn._xlws.FILTER(B:B, A:A="2021-04"), 0))), "Left", "Ativo")</f>
        <v>Ativo</v>
      </c>
    </row>
    <row r="4754" spans="1:6" x14ac:dyDescent="0.25">
      <c r="A4754" t="s">
        <v>1532</v>
      </c>
      <c r="B4754" t="s">
        <v>788</v>
      </c>
      <c r="C4754" s="10" t="str" cm="1">
        <f t="array" ref="C4754">IF(AND(A4754="2020-12", ISNA(MATCH(B4754, _xlfn._xlws.FILTER(B:B, A:A="2021-01"), 0))), "Left", "Ativo")</f>
        <v>Ativo</v>
      </c>
      <c r="D4754" s="10" t="str" cm="1">
        <f t="array" ref="D4754">IF(AND(A4754="2021-01", ISNA(MATCH(B4754, _xlfn._xlws.FILTER(B:B, A:A="2021-02"), 0))), "Left", "Ativo")</f>
        <v>Ativo</v>
      </c>
      <c r="E4754" s="10" t="str" cm="1">
        <f t="array" ref="E4754">IF(AND(A4754="2021-02", ISNA(MATCH(B4754, _xlfn._xlws.FILTER(B:B, A:A="2021-03"), 0))), "Left", "Ativo")</f>
        <v>Ativo</v>
      </c>
      <c r="F4754" s="12" t="str" cm="1">
        <f t="array" ref="F4754">IF(AND(A4754="2021-03", ISNA(MATCH(B4754, _xlfn._xlws.FILTER(B:B, A:A="2021-04"), 0))), "Left", "Ativo")</f>
        <v>Ativo</v>
      </c>
    </row>
    <row r="4755" spans="1:6" x14ac:dyDescent="0.25">
      <c r="A4755" t="s">
        <v>1532</v>
      </c>
      <c r="B4755" t="s">
        <v>794</v>
      </c>
      <c r="C4755" s="10" t="str" cm="1">
        <f t="array" ref="C4755">IF(AND(A4755="2020-12", ISNA(MATCH(B4755, _xlfn._xlws.FILTER(B:B, A:A="2021-01"), 0))), "Left", "Ativo")</f>
        <v>Ativo</v>
      </c>
      <c r="D4755" s="10" t="str" cm="1">
        <f t="array" ref="D4755">IF(AND(A4755="2021-01", ISNA(MATCH(B4755, _xlfn._xlws.FILTER(B:B, A:A="2021-02"), 0))), "Left", "Ativo")</f>
        <v>Ativo</v>
      </c>
      <c r="E4755" s="10" t="str" cm="1">
        <f t="array" ref="E4755">IF(AND(A4755="2021-02", ISNA(MATCH(B4755, _xlfn._xlws.FILTER(B:B, A:A="2021-03"), 0))), "Left", "Ativo")</f>
        <v>Ativo</v>
      </c>
      <c r="F4755" s="12" t="str" cm="1">
        <f t="array" ref="F4755">IF(AND(A4755="2021-03", ISNA(MATCH(B4755, _xlfn._xlws.FILTER(B:B, A:A="2021-04"), 0))), "Left", "Ativo")</f>
        <v>Ativo</v>
      </c>
    </row>
    <row r="4756" spans="1:6" x14ac:dyDescent="0.25">
      <c r="A4756" t="s">
        <v>1532</v>
      </c>
      <c r="B4756" t="s">
        <v>795</v>
      </c>
      <c r="C4756" s="10" t="str" cm="1">
        <f t="array" ref="C4756">IF(AND(A4756="2020-12", ISNA(MATCH(B4756, _xlfn._xlws.FILTER(B:B, A:A="2021-01"), 0))), "Left", "Ativo")</f>
        <v>Ativo</v>
      </c>
      <c r="D4756" s="10" t="str" cm="1">
        <f t="array" ref="D4756">IF(AND(A4756="2021-01", ISNA(MATCH(B4756, _xlfn._xlws.FILTER(B:B, A:A="2021-02"), 0))), "Left", "Ativo")</f>
        <v>Ativo</v>
      </c>
      <c r="E4756" s="10" t="str" cm="1">
        <f t="array" ref="E4756">IF(AND(A4756="2021-02", ISNA(MATCH(B4756, _xlfn._xlws.FILTER(B:B, A:A="2021-03"), 0))), "Left", "Ativo")</f>
        <v>Ativo</v>
      </c>
      <c r="F4756" s="12" t="str" cm="1">
        <f t="array" ref="F4756">IF(AND(A4756="2021-03", ISNA(MATCH(B4756, _xlfn._xlws.FILTER(B:B, A:A="2021-04"), 0))), "Left", "Ativo")</f>
        <v>Ativo</v>
      </c>
    </row>
    <row r="4757" spans="1:6" x14ac:dyDescent="0.25">
      <c r="A4757" t="s">
        <v>1532</v>
      </c>
      <c r="B4757" t="s">
        <v>796</v>
      </c>
      <c r="C4757" s="10" t="str" cm="1">
        <f t="array" ref="C4757">IF(AND(A4757="2020-12", ISNA(MATCH(B4757, _xlfn._xlws.FILTER(B:B, A:A="2021-01"), 0))), "Left", "Ativo")</f>
        <v>Ativo</v>
      </c>
      <c r="D4757" s="10" t="str" cm="1">
        <f t="array" ref="D4757">IF(AND(A4757="2021-01", ISNA(MATCH(B4757, _xlfn._xlws.FILTER(B:B, A:A="2021-02"), 0))), "Left", "Ativo")</f>
        <v>Ativo</v>
      </c>
      <c r="E4757" s="10" t="str" cm="1">
        <f t="array" ref="E4757">IF(AND(A4757="2021-02", ISNA(MATCH(B4757, _xlfn._xlws.FILTER(B:B, A:A="2021-03"), 0))), "Left", "Ativo")</f>
        <v>Ativo</v>
      </c>
      <c r="F4757" s="12" t="str" cm="1">
        <f t="array" ref="F4757">IF(AND(A4757="2021-03", ISNA(MATCH(B4757, _xlfn._xlws.FILTER(B:B, A:A="2021-04"), 0))), "Left", "Ativo")</f>
        <v>Ativo</v>
      </c>
    </row>
    <row r="4758" spans="1:6" x14ac:dyDescent="0.25">
      <c r="A4758" t="s">
        <v>1532</v>
      </c>
      <c r="B4758" t="s">
        <v>797</v>
      </c>
      <c r="C4758" s="10" t="str" cm="1">
        <f t="array" ref="C4758">IF(AND(A4758="2020-12", ISNA(MATCH(B4758, _xlfn._xlws.FILTER(B:B, A:A="2021-01"), 0))), "Left", "Ativo")</f>
        <v>Ativo</v>
      </c>
      <c r="D4758" s="10" t="str" cm="1">
        <f t="array" ref="D4758">IF(AND(A4758="2021-01", ISNA(MATCH(B4758, _xlfn._xlws.FILTER(B:B, A:A="2021-02"), 0))), "Left", "Ativo")</f>
        <v>Ativo</v>
      </c>
      <c r="E4758" s="10" t="str" cm="1">
        <f t="array" ref="E4758">IF(AND(A4758="2021-02", ISNA(MATCH(B4758, _xlfn._xlws.FILTER(B:B, A:A="2021-03"), 0))), "Left", "Ativo")</f>
        <v>Ativo</v>
      </c>
      <c r="F4758" s="12" t="str" cm="1">
        <f t="array" ref="F4758">IF(AND(A4758="2021-03", ISNA(MATCH(B4758, _xlfn._xlws.FILTER(B:B, A:A="2021-04"), 0))), "Left", "Ativo")</f>
        <v>Ativo</v>
      </c>
    </row>
    <row r="4759" spans="1:6" x14ac:dyDescent="0.25">
      <c r="A4759" t="s">
        <v>1532</v>
      </c>
      <c r="B4759" t="s">
        <v>798</v>
      </c>
      <c r="C4759" s="10" t="str" cm="1">
        <f t="array" ref="C4759">IF(AND(A4759="2020-12", ISNA(MATCH(B4759, _xlfn._xlws.FILTER(B:B, A:A="2021-01"), 0))), "Left", "Ativo")</f>
        <v>Ativo</v>
      </c>
      <c r="D4759" s="10" t="str" cm="1">
        <f t="array" ref="D4759">IF(AND(A4759="2021-01", ISNA(MATCH(B4759, _xlfn._xlws.FILTER(B:B, A:A="2021-02"), 0))), "Left", "Ativo")</f>
        <v>Ativo</v>
      </c>
      <c r="E4759" s="10" t="str" cm="1">
        <f t="array" ref="E4759">IF(AND(A4759="2021-02", ISNA(MATCH(B4759, _xlfn._xlws.FILTER(B:B, A:A="2021-03"), 0))), "Left", "Ativo")</f>
        <v>Ativo</v>
      </c>
      <c r="F4759" s="12" t="str" cm="1">
        <f t="array" ref="F4759">IF(AND(A4759="2021-03", ISNA(MATCH(B4759, _xlfn._xlws.FILTER(B:B, A:A="2021-04"), 0))), "Left", "Ativo")</f>
        <v>Ativo</v>
      </c>
    </row>
    <row r="4760" spans="1:6" x14ac:dyDescent="0.25">
      <c r="A4760" t="s">
        <v>1532</v>
      </c>
      <c r="B4760" t="s">
        <v>799</v>
      </c>
      <c r="C4760" s="10" t="str" cm="1">
        <f t="array" ref="C4760">IF(AND(A4760="2020-12", ISNA(MATCH(B4760, _xlfn._xlws.FILTER(B:B, A:A="2021-01"), 0))), "Left", "Ativo")</f>
        <v>Ativo</v>
      </c>
      <c r="D4760" s="10" t="str" cm="1">
        <f t="array" ref="D4760">IF(AND(A4760="2021-01", ISNA(MATCH(B4760, _xlfn._xlws.FILTER(B:B, A:A="2021-02"), 0))), "Left", "Ativo")</f>
        <v>Ativo</v>
      </c>
      <c r="E4760" s="10" t="str" cm="1">
        <f t="array" ref="E4760">IF(AND(A4760="2021-02", ISNA(MATCH(B4760, _xlfn._xlws.FILTER(B:B, A:A="2021-03"), 0))), "Left", "Ativo")</f>
        <v>Ativo</v>
      </c>
      <c r="F4760" s="12" t="str" cm="1">
        <f t="array" ref="F4760">IF(AND(A4760="2021-03", ISNA(MATCH(B4760, _xlfn._xlws.FILTER(B:B, A:A="2021-04"), 0))), "Left", "Ativo")</f>
        <v>Ativo</v>
      </c>
    </row>
    <row r="4761" spans="1:6" x14ac:dyDescent="0.25">
      <c r="A4761" t="s">
        <v>1532</v>
      </c>
      <c r="B4761" t="s">
        <v>800</v>
      </c>
      <c r="C4761" s="10" t="str" cm="1">
        <f t="array" ref="C4761">IF(AND(A4761="2020-12", ISNA(MATCH(B4761, _xlfn._xlws.FILTER(B:B, A:A="2021-01"), 0))), "Left", "Ativo")</f>
        <v>Ativo</v>
      </c>
      <c r="D4761" s="10" t="str" cm="1">
        <f t="array" ref="D4761">IF(AND(A4761="2021-01", ISNA(MATCH(B4761, _xlfn._xlws.FILTER(B:B, A:A="2021-02"), 0))), "Left", "Ativo")</f>
        <v>Ativo</v>
      </c>
      <c r="E4761" s="10" t="str" cm="1">
        <f t="array" ref="E4761">IF(AND(A4761="2021-02", ISNA(MATCH(B4761, _xlfn._xlws.FILTER(B:B, A:A="2021-03"), 0))), "Left", "Ativo")</f>
        <v>Ativo</v>
      </c>
      <c r="F4761" s="12" t="str" cm="1">
        <f t="array" ref="F4761">IF(AND(A4761="2021-03", ISNA(MATCH(B4761, _xlfn._xlws.FILTER(B:B, A:A="2021-04"), 0))), "Left", "Ativo")</f>
        <v>Ativo</v>
      </c>
    </row>
    <row r="4762" spans="1:6" x14ac:dyDescent="0.25">
      <c r="A4762" t="s">
        <v>1532</v>
      </c>
      <c r="B4762" t="s">
        <v>803</v>
      </c>
      <c r="C4762" s="10" t="str" cm="1">
        <f t="array" ref="C4762">IF(AND(A4762="2020-12", ISNA(MATCH(B4762, _xlfn._xlws.FILTER(B:B, A:A="2021-01"), 0))), "Left", "Ativo")</f>
        <v>Ativo</v>
      </c>
      <c r="D4762" s="10" t="str" cm="1">
        <f t="array" ref="D4762">IF(AND(A4762="2021-01", ISNA(MATCH(B4762, _xlfn._xlws.FILTER(B:B, A:A="2021-02"), 0))), "Left", "Ativo")</f>
        <v>Ativo</v>
      </c>
      <c r="E4762" s="10" t="str" cm="1">
        <f t="array" ref="E4762">IF(AND(A4762="2021-02", ISNA(MATCH(B4762, _xlfn._xlws.FILTER(B:B, A:A="2021-03"), 0))), "Left", "Ativo")</f>
        <v>Ativo</v>
      </c>
      <c r="F4762" s="12" t="str" cm="1">
        <f t="array" ref="F4762">IF(AND(A4762="2021-03", ISNA(MATCH(B4762, _xlfn._xlws.FILTER(B:B, A:A="2021-04"), 0))), "Left", "Ativo")</f>
        <v>Ativo</v>
      </c>
    </row>
    <row r="4763" spans="1:6" x14ac:dyDescent="0.25">
      <c r="A4763" t="s">
        <v>1532</v>
      </c>
      <c r="B4763" t="s">
        <v>804</v>
      </c>
      <c r="C4763" s="10" t="str" cm="1">
        <f t="array" ref="C4763">IF(AND(A4763="2020-12", ISNA(MATCH(B4763, _xlfn._xlws.FILTER(B:B, A:A="2021-01"), 0))), "Left", "Ativo")</f>
        <v>Ativo</v>
      </c>
      <c r="D4763" s="10" t="str" cm="1">
        <f t="array" ref="D4763">IF(AND(A4763="2021-01", ISNA(MATCH(B4763, _xlfn._xlws.FILTER(B:B, A:A="2021-02"), 0))), "Left", "Ativo")</f>
        <v>Ativo</v>
      </c>
      <c r="E4763" s="10" t="str" cm="1">
        <f t="array" ref="E4763">IF(AND(A4763="2021-02", ISNA(MATCH(B4763, _xlfn._xlws.FILTER(B:B, A:A="2021-03"), 0))), "Left", "Ativo")</f>
        <v>Ativo</v>
      </c>
      <c r="F4763" s="12" t="str" cm="1">
        <f t="array" ref="F4763">IF(AND(A4763="2021-03", ISNA(MATCH(B4763, _xlfn._xlws.FILTER(B:B, A:A="2021-04"), 0))), "Left", "Ativo")</f>
        <v>Ativo</v>
      </c>
    </row>
    <row r="4764" spans="1:6" x14ac:dyDescent="0.25">
      <c r="A4764" t="s">
        <v>1532</v>
      </c>
      <c r="B4764" t="s">
        <v>805</v>
      </c>
      <c r="C4764" s="10" t="str" cm="1">
        <f t="array" ref="C4764">IF(AND(A4764="2020-12", ISNA(MATCH(B4764, _xlfn._xlws.FILTER(B:B, A:A="2021-01"), 0))), "Left", "Ativo")</f>
        <v>Ativo</v>
      </c>
      <c r="D4764" s="10" t="str" cm="1">
        <f t="array" ref="D4764">IF(AND(A4764="2021-01", ISNA(MATCH(B4764, _xlfn._xlws.FILTER(B:B, A:A="2021-02"), 0))), "Left", "Ativo")</f>
        <v>Ativo</v>
      </c>
      <c r="E4764" s="10" t="str" cm="1">
        <f t="array" ref="E4764">IF(AND(A4764="2021-02", ISNA(MATCH(B4764, _xlfn._xlws.FILTER(B:B, A:A="2021-03"), 0))), "Left", "Ativo")</f>
        <v>Ativo</v>
      </c>
      <c r="F4764" s="12" t="str" cm="1">
        <f t="array" ref="F4764">IF(AND(A4764="2021-03", ISNA(MATCH(B4764, _xlfn._xlws.FILTER(B:B, A:A="2021-04"), 0))), "Left", "Ativo")</f>
        <v>Ativo</v>
      </c>
    </row>
    <row r="4765" spans="1:6" x14ac:dyDescent="0.25">
      <c r="A4765" t="s">
        <v>1532</v>
      </c>
      <c r="B4765" t="s">
        <v>806</v>
      </c>
      <c r="C4765" s="10" t="str" cm="1">
        <f t="array" ref="C4765">IF(AND(A4765="2020-12", ISNA(MATCH(B4765, _xlfn._xlws.FILTER(B:B, A:A="2021-01"), 0))), "Left", "Ativo")</f>
        <v>Ativo</v>
      </c>
      <c r="D4765" s="10" t="str" cm="1">
        <f t="array" ref="D4765">IF(AND(A4765="2021-01", ISNA(MATCH(B4765, _xlfn._xlws.FILTER(B:B, A:A="2021-02"), 0))), "Left", "Ativo")</f>
        <v>Ativo</v>
      </c>
      <c r="E4765" s="10" t="str" cm="1">
        <f t="array" ref="E4765">IF(AND(A4765="2021-02", ISNA(MATCH(B4765, _xlfn._xlws.FILTER(B:B, A:A="2021-03"), 0))), "Left", "Ativo")</f>
        <v>Ativo</v>
      </c>
      <c r="F4765" s="12" t="str" cm="1">
        <f t="array" ref="F4765">IF(AND(A4765="2021-03", ISNA(MATCH(B4765, _xlfn._xlws.FILTER(B:B, A:A="2021-04"), 0))), "Left", "Ativo")</f>
        <v>Ativo</v>
      </c>
    </row>
    <row r="4766" spans="1:6" x14ac:dyDescent="0.25">
      <c r="A4766" t="s">
        <v>1532</v>
      </c>
      <c r="B4766" t="s">
        <v>807</v>
      </c>
      <c r="C4766" s="10" t="str" cm="1">
        <f t="array" ref="C4766">IF(AND(A4766="2020-12", ISNA(MATCH(B4766, _xlfn._xlws.FILTER(B:B, A:A="2021-01"), 0))), "Left", "Ativo")</f>
        <v>Ativo</v>
      </c>
      <c r="D4766" s="10" t="str" cm="1">
        <f t="array" ref="D4766">IF(AND(A4766="2021-01", ISNA(MATCH(B4766, _xlfn._xlws.FILTER(B:B, A:A="2021-02"), 0))), "Left", "Ativo")</f>
        <v>Ativo</v>
      </c>
      <c r="E4766" s="10" t="str" cm="1">
        <f t="array" ref="E4766">IF(AND(A4766="2021-02", ISNA(MATCH(B4766, _xlfn._xlws.FILTER(B:B, A:A="2021-03"), 0))), "Left", "Ativo")</f>
        <v>Ativo</v>
      </c>
      <c r="F4766" s="12" t="str" cm="1">
        <f t="array" ref="F4766">IF(AND(A4766="2021-03", ISNA(MATCH(B4766, _xlfn._xlws.FILTER(B:B, A:A="2021-04"), 0))), "Left", "Ativo")</f>
        <v>Ativo</v>
      </c>
    </row>
    <row r="4767" spans="1:6" x14ac:dyDescent="0.25">
      <c r="A4767" t="s">
        <v>1532</v>
      </c>
      <c r="B4767" t="s">
        <v>808</v>
      </c>
      <c r="C4767" s="10" t="str" cm="1">
        <f t="array" ref="C4767">IF(AND(A4767="2020-12", ISNA(MATCH(B4767, _xlfn._xlws.FILTER(B:B, A:A="2021-01"), 0))), "Left", "Ativo")</f>
        <v>Ativo</v>
      </c>
      <c r="D4767" s="10" t="str" cm="1">
        <f t="array" ref="D4767">IF(AND(A4767="2021-01", ISNA(MATCH(B4767, _xlfn._xlws.FILTER(B:B, A:A="2021-02"), 0))), "Left", "Ativo")</f>
        <v>Ativo</v>
      </c>
      <c r="E4767" s="10" t="str" cm="1">
        <f t="array" ref="E4767">IF(AND(A4767="2021-02", ISNA(MATCH(B4767, _xlfn._xlws.FILTER(B:B, A:A="2021-03"), 0))), "Left", "Ativo")</f>
        <v>Ativo</v>
      </c>
      <c r="F4767" s="12" t="str" cm="1">
        <f t="array" ref="F4767">IF(AND(A4767="2021-03", ISNA(MATCH(B4767, _xlfn._xlws.FILTER(B:B, A:A="2021-04"), 0))), "Left", "Ativo")</f>
        <v>Ativo</v>
      </c>
    </row>
    <row r="4768" spans="1:6" x14ac:dyDescent="0.25">
      <c r="A4768" t="s">
        <v>1532</v>
      </c>
      <c r="B4768" t="s">
        <v>809</v>
      </c>
      <c r="C4768" s="10" t="str" cm="1">
        <f t="array" ref="C4768">IF(AND(A4768="2020-12", ISNA(MATCH(B4768, _xlfn._xlws.FILTER(B:B, A:A="2021-01"), 0))), "Left", "Ativo")</f>
        <v>Ativo</v>
      </c>
      <c r="D4768" s="10" t="str" cm="1">
        <f t="array" ref="D4768">IF(AND(A4768="2021-01", ISNA(MATCH(B4768, _xlfn._xlws.FILTER(B:B, A:A="2021-02"), 0))), "Left", "Ativo")</f>
        <v>Ativo</v>
      </c>
      <c r="E4768" s="10" t="str" cm="1">
        <f t="array" ref="E4768">IF(AND(A4768="2021-02", ISNA(MATCH(B4768, _xlfn._xlws.FILTER(B:B, A:A="2021-03"), 0))), "Left", "Ativo")</f>
        <v>Ativo</v>
      </c>
      <c r="F4768" s="12" t="str" cm="1">
        <f t="array" ref="F4768">IF(AND(A4768="2021-03", ISNA(MATCH(B4768, _xlfn._xlws.FILTER(B:B, A:A="2021-04"), 0))), "Left", "Ativo")</f>
        <v>Ativo</v>
      </c>
    </row>
    <row r="4769" spans="1:6" x14ac:dyDescent="0.25">
      <c r="A4769" t="s">
        <v>1532</v>
      </c>
      <c r="B4769" t="s">
        <v>810</v>
      </c>
      <c r="C4769" s="10" t="str" cm="1">
        <f t="array" ref="C4769">IF(AND(A4769="2020-12", ISNA(MATCH(B4769, _xlfn._xlws.FILTER(B:B, A:A="2021-01"), 0))), "Left", "Ativo")</f>
        <v>Ativo</v>
      </c>
      <c r="D4769" s="10" t="str" cm="1">
        <f t="array" ref="D4769">IF(AND(A4769="2021-01", ISNA(MATCH(B4769, _xlfn._xlws.FILTER(B:B, A:A="2021-02"), 0))), "Left", "Ativo")</f>
        <v>Ativo</v>
      </c>
      <c r="E4769" s="10" t="str" cm="1">
        <f t="array" ref="E4769">IF(AND(A4769="2021-02", ISNA(MATCH(B4769, _xlfn._xlws.FILTER(B:B, A:A="2021-03"), 0))), "Left", "Ativo")</f>
        <v>Ativo</v>
      </c>
      <c r="F4769" s="12" t="str" cm="1">
        <f t="array" ref="F4769">IF(AND(A4769="2021-03", ISNA(MATCH(B4769, _xlfn._xlws.FILTER(B:B, A:A="2021-04"), 0))), "Left", "Ativo")</f>
        <v>Ativo</v>
      </c>
    </row>
    <row r="4770" spans="1:6" x14ac:dyDescent="0.25">
      <c r="A4770" t="s">
        <v>1532</v>
      </c>
      <c r="B4770" t="s">
        <v>811</v>
      </c>
      <c r="C4770" s="10" t="str" cm="1">
        <f t="array" ref="C4770">IF(AND(A4770="2020-12", ISNA(MATCH(B4770, _xlfn._xlws.FILTER(B:B, A:A="2021-01"), 0))), "Left", "Ativo")</f>
        <v>Ativo</v>
      </c>
      <c r="D4770" s="10" t="str" cm="1">
        <f t="array" ref="D4770">IF(AND(A4770="2021-01", ISNA(MATCH(B4770, _xlfn._xlws.FILTER(B:B, A:A="2021-02"), 0))), "Left", "Ativo")</f>
        <v>Ativo</v>
      </c>
      <c r="E4770" s="10" t="str" cm="1">
        <f t="array" ref="E4770">IF(AND(A4770="2021-02", ISNA(MATCH(B4770, _xlfn._xlws.FILTER(B:B, A:A="2021-03"), 0))), "Left", "Ativo")</f>
        <v>Ativo</v>
      </c>
      <c r="F4770" s="12" t="str" cm="1">
        <f t="array" ref="F4770">IF(AND(A4770="2021-03", ISNA(MATCH(B4770, _xlfn._xlws.FILTER(B:B, A:A="2021-04"), 0))), "Left", "Ativo")</f>
        <v>Ativo</v>
      </c>
    </row>
    <row r="4771" spans="1:6" x14ac:dyDescent="0.25">
      <c r="A4771" t="s">
        <v>1532</v>
      </c>
      <c r="B4771" t="s">
        <v>812</v>
      </c>
      <c r="C4771" s="10" t="str" cm="1">
        <f t="array" ref="C4771">IF(AND(A4771="2020-12", ISNA(MATCH(B4771, _xlfn._xlws.FILTER(B:B, A:A="2021-01"), 0))), "Left", "Ativo")</f>
        <v>Ativo</v>
      </c>
      <c r="D4771" s="10" t="str" cm="1">
        <f t="array" ref="D4771">IF(AND(A4771="2021-01", ISNA(MATCH(B4771, _xlfn._xlws.FILTER(B:B, A:A="2021-02"), 0))), "Left", "Ativo")</f>
        <v>Ativo</v>
      </c>
      <c r="E4771" s="10" t="str" cm="1">
        <f t="array" ref="E4771">IF(AND(A4771="2021-02", ISNA(MATCH(B4771, _xlfn._xlws.FILTER(B:B, A:A="2021-03"), 0))), "Left", "Ativo")</f>
        <v>Ativo</v>
      </c>
      <c r="F4771" s="12" t="str" cm="1">
        <f t="array" ref="F4771">IF(AND(A4771="2021-03", ISNA(MATCH(B4771, _xlfn._xlws.FILTER(B:B, A:A="2021-04"), 0))), "Left", "Ativo")</f>
        <v>Ativo</v>
      </c>
    </row>
    <row r="4772" spans="1:6" x14ac:dyDescent="0.25">
      <c r="A4772" t="s">
        <v>1532</v>
      </c>
      <c r="B4772" t="s">
        <v>813</v>
      </c>
      <c r="C4772" s="10" t="str" cm="1">
        <f t="array" ref="C4772">IF(AND(A4772="2020-12", ISNA(MATCH(B4772, _xlfn._xlws.FILTER(B:B, A:A="2021-01"), 0))), "Left", "Ativo")</f>
        <v>Ativo</v>
      </c>
      <c r="D4772" s="10" t="str" cm="1">
        <f t="array" ref="D4772">IF(AND(A4772="2021-01", ISNA(MATCH(B4772, _xlfn._xlws.FILTER(B:B, A:A="2021-02"), 0))), "Left", "Ativo")</f>
        <v>Ativo</v>
      </c>
      <c r="E4772" s="10" t="str" cm="1">
        <f t="array" ref="E4772">IF(AND(A4772="2021-02", ISNA(MATCH(B4772, _xlfn._xlws.FILTER(B:B, A:A="2021-03"), 0))), "Left", "Ativo")</f>
        <v>Ativo</v>
      </c>
      <c r="F4772" s="12" t="str" cm="1">
        <f t="array" ref="F4772">IF(AND(A4772="2021-03", ISNA(MATCH(B4772, _xlfn._xlws.FILTER(B:B, A:A="2021-04"), 0))), "Left", "Ativo")</f>
        <v>Ativo</v>
      </c>
    </row>
    <row r="4773" spans="1:6" x14ac:dyDescent="0.25">
      <c r="A4773" t="s">
        <v>1532</v>
      </c>
      <c r="B4773" t="s">
        <v>814</v>
      </c>
      <c r="C4773" s="10" t="str" cm="1">
        <f t="array" ref="C4773">IF(AND(A4773="2020-12", ISNA(MATCH(B4773, _xlfn._xlws.FILTER(B:B, A:A="2021-01"), 0))), "Left", "Ativo")</f>
        <v>Ativo</v>
      </c>
      <c r="D4773" s="10" t="str" cm="1">
        <f t="array" ref="D4773">IF(AND(A4773="2021-01", ISNA(MATCH(B4773, _xlfn._xlws.FILTER(B:B, A:A="2021-02"), 0))), "Left", "Ativo")</f>
        <v>Ativo</v>
      </c>
      <c r="E4773" s="10" t="str" cm="1">
        <f t="array" ref="E4773">IF(AND(A4773="2021-02", ISNA(MATCH(B4773, _xlfn._xlws.FILTER(B:B, A:A="2021-03"), 0))), "Left", "Ativo")</f>
        <v>Ativo</v>
      </c>
      <c r="F4773" s="12" t="str" cm="1">
        <f t="array" ref="F4773">IF(AND(A4773="2021-03", ISNA(MATCH(B4773, _xlfn._xlws.FILTER(B:B, A:A="2021-04"), 0))), "Left", "Ativo")</f>
        <v>Ativo</v>
      </c>
    </row>
    <row r="4774" spans="1:6" x14ac:dyDescent="0.25">
      <c r="A4774" t="s">
        <v>1532</v>
      </c>
      <c r="B4774" t="s">
        <v>815</v>
      </c>
      <c r="C4774" s="10" t="str" cm="1">
        <f t="array" ref="C4774">IF(AND(A4774="2020-12", ISNA(MATCH(B4774, _xlfn._xlws.FILTER(B:B, A:A="2021-01"), 0))), "Left", "Ativo")</f>
        <v>Ativo</v>
      </c>
      <c r="D4774" s="10" t="str" cm="1">
        <f t="array" ref="D4774">IF(AND(A4774="2021-01", ISNA(MATCH(B4774, _xlfn._xlws.FILTER(B:B, A:A="2021-02"), 0))), "Left", "Ativo")</f>
        <v>Ativo</v>
      </c>
      <c r="E4774" s="10" t="str" cm="1">
        <f t="array" ref="E4774">IF(AND(A4774="2021-02", ISNA(MATCH(B4774, _xlfn._xlws.FILTER(B:B, A:A="2021-03"), 0))), "Left", "Ativo")</f>
        <v>Ativo</v>
      </c>
      <c r="F4774" s="12" t="str" cm="1">
        <f t="array" ref="F4774">IF(AND(A4774="2021-03", ISNA(MATCH(B4774, _xlfn._xlws.FILTER(B:B, A:A="2021-04"), 0))), "Left", "Ativo")</f>
        <v>Ativo</v>
      </c>
    </row>
    <row r="4775" spans="1:6" x14ac:dyDescent="0.25">
      <c r="A4775" t="s">
        <v>1532</v>
      </c>
      <c r="B4775" t="s">
        <v>816</v>
      </c>
      <c r="C4775" s="10" t="str" cm="1">
        <f t="array" ref="C4775">IF(AND(A4775="2020-12", ISNA(MATCH(B4775, _xlfn._xlws.FILTER(B:B, A:A="2021-01"), 0))), "Left", "Ativo")</f>
        <v>Ativo</v>
      </c>
      <c r="D4775" s="10" t="str" cm="1">
        <f t="array" ref="D4775">IF(AND(A4775="2021-01", ISNA(MATCH(B4775, _xlfn._xlws.FILTER(B:B, A:A="2021-02"), 0))), "Left", "Ativo")</f>
        <v>Ativo</v>
      </c>
      <c r="E4775" s="10" t="str" cm="1">
        <f t="array" ref="E4775">IF(AND(A4775="2021-02", ISNA(MATCH(B4775, _xlfn._xlws.FILTER(B:B, A:A="2021-03"), 0))), "Left", "Ativo")</f>
        <v>Ativo</v>
      </c>
      <c r="F4775" s="12" t="str" cm="1">
        <f t="array" ref="F4775">IF(AND(A4775="2021-03", ISNA(MATCH(B4775, _xlfn._xlws.FILTER(B:B, A:A="2021-04"), 0))), "Left", "Ativo")</f>
        <v>Ativo</v>
      </c>
    </row>
    <row r="4776" spans="1:6" x14ac:dyDescent="0.25">
      <c r="A4776" t="s">
        <v>1532</v>
      </c>
      <c r="B4776" t="s">
        <v>817</v>
      </c>
      <c r="C4776" s="10" t="str" cm="1">
        <f t="array" ref="C4776">IF(AND(A4776="2020-12", ISNA(MATCH(B4776, _xlfn._xlws.FILTER(B:B, A:A="2021-01"), 0))), "Left", "Ativo")</f>
        <v>Ativo</v>
      </c>
      <c r="D4776" s="10" t="str" cm="1">
        <f t="array" ref="D4776">IF(AND(A4776="2021-01", ISNA(MATCH(B4776, _xlfn._xlws.FILTER(B:B, A:A="2021-02"), 0))), "Left", "Ativo")</f>
        <v>Ativo</v>
      </c>
      <c r="E4776" s="10" t="str" cm="1">
        <f t="array" ref="E4776">IF(AND(A4776="2021-02", ISNA(MATCH(B4776, _xlfn._xlws.FILTER(B:B, A:A="2021-03"), 0))), "Left", "Ativo")</f>
        <v>Ativo</v>
      </c>
      <c r="F4776" s="12" t="str" cm="1">
        <f t="array" ref="F4776">IF(AND(A4776="2021-03", ISNA(MATCH(B4776, _xlfn._xlws.FILTER(B:B, A:A="2021-04"), 0))), "Left", "Ativo")</f>
        <v>Ativo</v>
      </c>
    </row>
    <row r="4777" spans="1:6" x14ac:dyDescent="0.25">
      <c r="A4777" t="s">
        <v>1532</v>
      </c>
      <c r="B4777" t="s">
        <v>818</v>
      </c>
      <c r="C4777" s="10" t="str" cm="1">
        <f t="array" ref="C4777">IF(AND(A4777="2020-12", ISNA(MATCH(B4777, _xlfn._xlws.FILTER(B:B, A:A="2021-01"), 0))), "Left", "Ativo")</f>
        <v>Ativo</v>
      </c>
      <c r="D4777" s="10" t="str" cm="1">
        <f t="array" ref="D4777">IF(AND(A4777="2021-01", ISNA(MATCH(B4777, _xlfn._xlws.FILTER(B:B, A:A="2021-02"), 0))), "Left", "Ativo")</f>
        <v>Ativo</v>
      </c>
      <c r="E4777" s="10" t="str" cm="1">
        <f t="array" ref="E4777">IF(AND(A4777="2021-02", ISNA(MATCH(B4777, _xlfn._xlws.FILTER(B:B, A:A="2021-03"), 0))), "Left", "Ativo")</f>
        <v>Ativo</v>
      </c>
      <c r="F4777" s="12" t="str" cm="1">
        <f t="array" ref="F4777">IF(AND(A4777="2021-03", ISNA(MATCH(B4777, _xlfn._xlws.FILTER(B:B, A:A="2021-04"), 0))), "Left", "Ativo")</f>
        <v>Ativo</v>
      </c>
    </row>
    <row r="4778" spans="1:6" x14ac:dyDescent="0.25">
      <c r="A4778" t="s">
        <v>1532</v>
      </c>
      <c r="B4778" t="s">
        <v>819</v>
      </c>
      <c r="C4778" s="10" t="str" cm="1">
        <f t="array" ref="C4778">IF(AND(A4778="2020-12", ISNA(MATCH(B4778, _xlfn._xlws.FILTER(B:B, A:A="2021-01"), 0))), "Left", "Ativo")</f>
        <v>Ativo</v>
      </c>
      <c r="D4778" s="10" t="str" cm="1">
        <f t="array" ref="D4778">IF(AND(A4778="2021-01", ISNA(MATCH(B4778, _xlfn._xlws.FILTER(B:B, A:A="2021-02"), 0))), "Left", "Ativo")</f>
        <v>Ativo</v>
      </c>
      <c r="E4778" s="10" t="str" cm="1">
        <f t="array" ref="E4778">IF(AND(A4778="2021-02", ISNA(MATCH(B4778, _xlfn._xlws.FILTER(B:B, A:A="2021-03"), 0))), "Left", "Ativo")</f>
        <v>Ativo</v>
      </c>
      <c r="F4778" s="12" t="str" cm="1">
        <f t="array" ref="F4778">IF(AND(A4778="2021-03", ISNA(MATCH(B4778, _xlfn._xlws.FILTER(B:B, A:A="2021-04"), 0))), "Left", "Ativo")</f>
        <v>Ativo</v>
      </c>
    </row>
    <row r="4779" spans="1:6" x14ac:dyDescent="0.25">
      <c r="A4779" t="s">
        <v>1532</v>
      </c>
      <c r="B4779" t="s">
        <v>820</v>
      </c>
      <c r="C4779" s="10" t="str" cm="1">
        <f t="array" ref="C4779">IF(AND(A4779="2020-12", ISNA(MATCH(B4779, _xlfn._xlws.FILTER(B:B, A:A="2021-01"), 0))), "Left", "Ativo")</f>
        <v>Ativo</v>
      </c>
      <c r="D4779" s="10" t="str" cm="1">
        <f t="array" ref="D4779">IF(AND(A4779="2021-01", ISNA(MATCH(B4779, _xlfn._xlws.FILTER(B:B, A:A="2021-02"), 0))), "Left", "Ativo")</f>
        <v>Ativo</v>
      </c>
      <c r="E4779" s="10" t="str" cm="1">
        <f t="array" ref="E4779">IF(AND(A4779="2021-02", ISNA(MATCH(B4779, _xlfn._xlws.FILTER(B:B, A:A="2021-03"), 0))), "Left", "Ativo")</f>
        <v>Ativo</v>
      </c>
      <c r="F4779" s="12" t="str" cm="1">
        <f t="array" ref="F4779">IF(AND(A4779="2021-03", ISNA(MATCH(B4779, _xlfn._xlws.FILTER(B:B, A:A="2021-04"), 0))), "Left", "Ativo")</f>
        <v>Ativo</v>
      </c>
    </row>
    <row r="4780" spans="1:6" x14ac:dyDescent="0.25">
      <c r="A4780" t="s">
        <v>1532</v>
      </c>
      <c r="B4780" t="s">
        <v>821</v>
      </c>
      <c r="C4780" s="10" t="str" cm="1">
        <f t="array" ref="C4780">IF(AND(A4780="2020-12", ISNA(MATCH(B4780, _xlfn._xlws.FILTER(B:B, A:A="2021-01"), 0))), "Left", "Ativo")</f>
        <v>Ativo</v>
      </c>
      <c r="D4780" s="10" t="str" cm="1">
        <f t="array" ref="D4780">IF(AND(A4780="2021-01", ISNA(MATCH(B4780, _xlfn._xlws.FILTER(B:B, A:A="2021-02"), 0))), "Left", "Ativo")</f>
        <v>Ativo</v>
      </c>
      <c r="E4780" s="10" t="str" cm="1">
        <f t="array" ref="E4780">IF(AND(A4780="2021-02", ISNA(MATCH(B4780, _xlfn._xlws.FILTER(B:B, A:A="2021-03"), 0))), "Left", "Ativo")</f>
        <v>Ativo</v>
      </c>
      <c r="F4780" s="12" t="str" cm="1">
        <f t="array" ref="F4780">IF(AND(A4780="2021-03", ISNA(MATCH(B4780, _xlfn._xlws.FILTER(B:B, A:A="2021-04"), 0))), "Left", "Ativo")</f>
        <v>Ativo</v>
      </c>
    </row>
    <row r="4781" spans="1:6" x14ac:dyDescent="0.25">
      <c r="A4781" t="s">
        <v>1532</v>
      </c>
      <c r="B4781" t="s">
        <v>822</v>
      </c>
      <c r="C4781" s="10" t="str" cm="1">
        <f t="array" ref="C4781">IF(AND(A4781="2020-12", ISNA(MATCH(B4781, _xlfn._xlws.FILTER(B:B, A:A="2021-01"), 0))), "Left", "Ativo")</f>
        <v>Ativo</v>
      </c>
      <c r="D4781" s="10" t="str" cm="1">
        <f t="array" ref="D4781">IF(AND(A4781="2021-01", ISNA(MATCH(B4781, _xlfn._xlws.FILTER(B:B, A:A="2021-02"), 0))), "Left", "Ativo")</f>
        <v>Ativo</v>
      </c>
      <c r="E4781" s="10" t="str" cm="1">
        <f t="array" ref="E4781">IF(AND(A4781="2021-02", ISNA(MATCH(B4781, _xlfn._xlws.FILTER(B:B, A:A="2021-03"), 0))), "Left", "Ativo")</f>
        <v>Ativo</v>
      </c>
      <c r="F4781" s="12" t="str" cm="1">
        <f t="array" ref="F4781">IF(AND(A4781="2021-03", ISNA(MATCH(B4781, _xlfn._xlws.FILTER(B:B, A:A="2021-04"), 0))), "Left", "Ativo")</f>
        <v>Ativo</v>
      </c>
    </row>
    <row r="4782" spans="1:6" x14ac:dyDescent="0.25">
      <c r="A4782" t="s">
        <v>1532</v>
      </c>
      <c r="B4782" t="s">
        <v>823</v>
      </c>
      <c r="C4782" s="10" t="str" cm="1">
        <f t="array" ref="C4782">IF(AND(A4782="2020-12", ISNA(MATCH(B4782, _xlfn._xlws.FILTER(B:B, A:A="2021-01"), 0))), "Left", "Ativo")</f>
        <v>Ativo</v>
      </c>
      <c r="D4782" s="10" t="str" cm="1">
        <f t="array" ref="D4782">IF(AND(A4782="2021-01", ISNA(MATCH(B4782, _xlfn._xlws.FILTER(B:B, A:A="2021-02"), 0))), "Left", "Ativo")</f>
        <v>Ativo</v>
      </c>
      <c r="E4782" s="10" t="str" cm="1">
        <f t="array" ref="E4782">IF(AND(A4782="2021-02", ISNA(MATCH(B4782, _xlfn._xlws.FILTER(B:B, A:A="2021-03"), 0))), "Left", "Ativo")</f>
        <v>Ativo</v>
      </c>
      <c r="F4782" s="12" t="str" cm="1">
        <f t="array" ref="F4782">IF(AND(A4782="2021-03", ISNA(MATCH(B4782, _xlfn._xlws.FILTER(B:B, A:A="2021-04"), 0))), "Left", "Ativo")</f>
        <v>Ativo</v>
      </c>
    </row>
    <row r="4783" spans="1:6" x14ac:dyDescent="0.25">
      <c r="A4783" t="s">
        <v>1532</v>
      </c>
      <c r="B4783" t="s">
        <v>824</v>
      </c>
      <c r="C4783" s="10" t="str" cm="1">
        <f t="array" ref="C4783">IF(AND(A4783="2020-12", ISNA(MATCH(B4783, _xlfn._xlws.FILTER(B:B, A:A="2021-01"), 0))), "Left", "Ativo")</f>
        <v>Ativo</v>
      </c>
      <c r="D4783" s="10" t="str" cm="1">
        <f t="array" ref="D4783">IF(AND(A4783="2021-01", ISNA(MATCH(B4783, _xlfn._xlws.FILTER(B:B, A:A="2021-02"), 0))), "Left", "Ativo")</f>
        <v>Ativo</v>
      </c>
      <c r="E4783" s="10" t="str" cm="1">
        <f t="array" ref="E4783">IF(AND(A4783="2021-02", ISNA(MATCH(B4783, _xlfn._xlws.FILTER(B:B, A:A="2021-03"), 0))), "Left", "Ativo")</f>
        <v>Ativo</v>
      </c>
      <c r="F4783" s="12" t="str" cm="1">
        <f t="array" ref="F4783">IF(AND(A4783="2021-03", ISNA(MATCH(B4783, _xlfn._xlws.FILTER(B:B, A:A="2021-04"), 0))), "Left", "Ativo")</f>
        <v>Ativo</v>
      </c>
    </row>
    <row r="4784" spans="1:6" x14ac:dyDescent="0.25">
      <c r="A4784" t="s">
        <v>1532</v>
      </c>
      <c r="B4784" t="s">
        <v>825</v>
      </c>
      <c r="C4784" s="10" t="str" cm="1">
        <f t="array" ref="C4784">IF(AND(A4784="2020-12", ISNA(MATCH(B4784, _xlfn._xlws.FILTER(B:B, A:A="2021-01"), 0))), "Left", "Ativo")</f>
        <v>Ativo</v>
      </c>
      <c r="D4784" s="10" t="str" cm="1">
        <f t="array" ref="D4784">IF(AND(A4784="2021-01", ISNA(MATCH(B4784, _xlfn._xlws.FILTER(B:B, A:A="2021-02"), 0))), "Left", "Ativo")</f>
        <v>Ativo</v>
      </c>
      <c r="E4784" s="10" t="str" cm="1">
        <f t="array" ref="E4784">IF(AND(A4784="2021-02", ISNA(MATCH(B4784, _xlfn._xlws.FILTER(B:B, A:A="2021-03"), 0))), "Left", "Ativo")</f>
        <v>Ativo</v>
      </c>
      <c r="F4784" s="12" t="str" cm="1">
        <f t="array" ref="F4784">IF(AND(A4784="2021-03", ISNA(MATCH(B4784, _xlfn._xlws.FILTER(B:B, A:A="2021-04"), 0))), "Left", "Ativo")</f>
        <v>Ativo</v>
      </c>
    </row>
    <row r="4785" spans="1:6" x14ac:dyDescent="0.25">
      <c r="A4785" t="s">
        <v>1532</v>
      </c>
      <c r="B4785" t="s">
        <v>826</v>
      </c>
      <c r="C4785" s="10" t="str" cm="1">
        <f t="array" ref="C4785">IF(AND(A4785="2020-12", ISNA(MATCH(B4785, _xlfn._xlws.FILTER(B:B, A:A="2021-01"), 0))), "Left", "Ativo")</f>
        <v>Ativo</v>
      </c>
      <c r="D4785" s="10" t="str" cm="1">
        <f t="array" ref="D4785">IF(AND(A4785="2021-01", ISNA(MATCH(B4785, _xlfn._xlws.FILTER(B:B, A:A="2021-02"), 0))), "Left", "Ativo")</f>
        <v>Ativo</v>
      </c>
      <c r="E4785" s="10" t="str" cm="1">
        <f t="array" ref="E4785">IF(AND(A4785="2021-02", ISNA(MATCH(B4785, _xlfn._xlws.FILTER(B:B, A:A="2021-03"), 0))), "Left", "Ativo")</f>
        <v>Ativo</v>
      </c>
      <c r="F4785" s="12" t="str" cm="1">
        <f t="array" ref="F4785">IF(AND(A4785="2021-03", ISNA(MATCH(B4785, _xlfn._xlws.FILTER(B:B, A:A="2021-04"), 0))), "Left", "Ativo")</f>
        <v>Ativo</v>
      </c>
    </row>
    <row r="4786" spans="1:6" x14ac:dyDescent="0.25">
      <c r="A4786" t="s">
        <v>1532</v>
      </c>
      <c r="B4786" t="s">
        <v>827</v>
      </c>
      <c r="C4786" s="10" t="str" cm="1">
        <f t="array" ref="C4786">IF(AND(A4786="2020-12", ISNA(MATCH(B4786, _xlfn._xlws.FILTER(B:B, A:A="2021-01"), 0))), "Left", "Ativo")</f>
        <v>Ativo</v>
      </c>
      <c r="D4786" s="10" t="str" cm="1">
        <f t="array" ref="D4786">IF(AND(A4786="2021-01", ISNA(MATCH(B4786, _xlfn._xlws.FILTER(B:B, A:A="2021-02"), 0))), "Left", "Ativo")</f>
        <v>Ativo</v>
      </c>
      <c r="E4786" s="10" t="str" cm="1">
        <f t="array" ref="E4786">IF(AND(A4786="2021-02", ISNA(MATCH(B4786, _xlfn._xlws.FILTER(B:B, A:A="2021-03"), 0))), "Left", "Ativo")</f>
        <v>Ativo</v>
      </c>
      <c r="F4786" s="12" t="str" cm="1">
        <f t="array" ref="F4786">IF(AND(A4786="2021-03", ISNA(MATCH(B4786, _xlfn._xlws.FILTER(B:B, A:A="2021-04"), 0))), "Left", "Ativo")</f>
        <v>Ativo</v>
      </c>
    </row>
    <row r="4787" spans="1:6" x14ac:dyDescent="0.25">
      <c r="A4787" t="s">
        <v>1532</v>
      </c>
      <c r="B4787" t="s">
        <v>828</v>
      </c>
      <c r="C4787" s="10" t="str" cm="1">
        <f t="array" ref="C4787">IF(AND(A4787="2020-12", ISNA(MATCH(B4787, _xlfn._xlws.FILTER(B:B, A:A="2021-01"), 0))), "Left", "Ativo")</f>
        <v>Ativo</v>
      </c>
      <c r="D4787" s="10" t="str" cm="1">
        <f t="array" ref="D4787">IF(AND(A4787="2021-01", ISNA(MATCH(B4787, _xlfn._xlws.FILTER(B:B, A:A="2021-02"), 0))), "Left", "Ativo")</f>
        <v>Ativo</v>
      </c>
      <c r="E4787" s="10" t="str" cm="1">
        <f t="array" ref="E4787">IF(AND(A4787="2021-02", ISNA(MATCH(B4787, _xlfn._xlws.FILTER(B:B, A:A="2021-03"), 0))), "Left", "Ativo")</f>
        <v>Ativo</v>
      </c>
      <c r="F4787" s="12" t="str" cm="1">
        <f t="array" ref="F4787">IF(AND(A4787="2021-03", ISNA(MATCH(B4787, _xlfn._xlws.FILTER(B:B, A:A="2021-04"), 0))), "Left", "Ativo")</f>
        <v>Ativo</v>
      </c>
    </row>
    <row r="4788" spans="1:6" x14ac:dyDescent="0.25">
      <c r="A4788" t="s">
        <v>1532</v>
      </c>
      <c r="B4788" t="s">
        <v>829</v>
      </c>
      <c r="C4788" s="10" t="str" cm="1">
        <f t="array" ref="C4788">IF(AND(A4788="2020-12", ISNA(MATCH(B4788, _xlfn._xlws.FILTER(B:B, A:A="2021-01"), 0))), "Left", "Ativo")</f>
        <v>Ativo</v>
      </c>
      <c r="D4788" s="10" t="str" cm="1">
        <f t="array" ref="D4788">IF(AND(A4788="2021-01", ISNA(MATCH(B4788, _xlfn._xlws.FILTER(B:B, A:A="2021-02"), 0))), "Left", "Ativo")</f>
        <v>Ativo</v>
      </c>
      <c r="E4788" s="10" t="str" cm="1">
        <f t="array" ref="E4788">IF(AND(A4788="2021-02", ISNA(MATCH(B4788, _xlfn._xlws.FILTER(B:B, A:A="2021-03"), 0))), "Left", "Ativo")</f>
        <v>Ativo</v>
      </c>
      <c r="F4788" s="12" t="str" cm="1">
        <f t="array" ref="F4788">IF(AND(A4788="2021-03", ISNA(MATCH(B4788, _xlfn._xlws.FILTER(B:B, A:A="2021-04"), 0))), "Left", "Ativo")</f>
        <v>Ativo</v>
      </c>
    </row>
    <row r="4789" spans="1:6" x14ac:dyDescent="0.25">
      <c r="A4789" t="s">
        <v>1532</v>
      </c>
      <c r="B4789" t="s">
        <v>830</v>
      </c>
      <c r="C4789" s="10" t="str" cm="1">
        <f t="array" ref="C4789">IF(AND(A4789="2020-12", ISNA(MATCH(B4789, _xlfn._xlws.FILTER(B:B, A:A="2021-01"), 0))), "Left", "Ativo")</f>
        <v>Ativo</v>
      </c>
      <c r="D4789" s="10" t="str" cm="1">
        <f t="array" ref="D4789">IF(AND(A4789="2021-01", ISNA(MATCH(B4789, _xlfn._xlws.FILTER(B:B, A:A="2021-02"), 0))), "Left", "Ativo")</f>
        <v>Ativo</v>
      </c>
      <c r="E4789" s="10" t="str" cm="1">
        <f t="array" ref="E4789">IF(AND(A4789="2021-02", ISNA(MATCH(B4789, _xlfn._xlws.FILTER(B:B, A:A="2021-03"), 0))), "Left", "Ativo")</f>
        <v>Ativo</v>
      </c>
      <c r="F4789" s="12" t="str" cm="1">
        <f t="array" ref="F4789">IF(AND(A4789="2021-03", ISNA(MATCH(B4789, _xlfn._xlws.FILTER(B:B, A:A="2021-04"), 0))), "Left", "Ativo")</f>
        <v>Ativo</v>
      </c>
    </row>
    <row r="4790" spans="1:6" x14ac:dyDescent="0.25">
      <c r="A4790" t="s">
        <v>1532</v>
      </c>
      <c r="B4790" t="s">
        <v>831</v>
      </c>
      <c r="C4790" s="10" t="str" cm="1">
        <f t="array" ref="C4790">IF(AND(A4790="2020-12", ISNA(MATCH(B4790, _xlfn._xlws.FILTER(B:B, A:A="2021-01"), 0))), "Left", "Ativo")</f>
        <v>Ativo</v>
      </c>
      <c r="D4790" s="10" t="str" cm="1">
        <f t="array" ref="D4790">IF(AND(A4790="2021-01", ISNA(MATCH(B4790, _xlfn._xlws.FILTER(B:B, A:A="2021-02"), 0))), "Left", "Ativo")</f>
        <v>Ativo</v>
      </c>
      <c r="E4790" s="10" t="str" cm="1">
        <f t="array" ref="E4790">IF(AND(A4790="2021-02", ISNA(MATCH(B4790, _xlfn._xlws.FILTER(B:B, A:A="2021-03"), 0))), "Left", "Ativo")</f>
        <v>Ativo</v>
      </c>
      <c r="F4790" s="12" t="str" cm="1">
        <f t="array" ref="F4790">IF(AND(A4790="2021-03", ISNA(MATCH(B4790, _xlfn._xlws.FILTER(B:B, A:A="2021-04"), 0))), "Left", "Ativo")</f>
        <v>Ativo</v>
      </c>
    </row>
    <row r="4791" spans="1:6" x14ac:dyDescent="0.25">
      <c r="A4791" t="s">
        <v>1532</v>
      </c>
      <c r="B4791" t="s">
        <v>834</v>
      </c>
      <c r="C4791" s="10" t="str" cm="1">
        <f t="array" ref="C4791">IF(AND(A4791="2020-12", ISNA(MATCH(B4791, _xlfn._xlws.FILTER(B:B, A:A="2021-01"), 0))), "Left", "Ativo")</f>
        <v>Ativo</v>
      </c>
      <c r="D4791" s="10" t="str" cm="1">
        <f t="array" ref="D4791">IF(AND(A4791="2021-01", ISNA(MATCH(B4791, _xlfn._xlws.FILTER(B:B, A:A="2021-02"), 0))), "Left", "Ativo")</f>
        <v>Ativo</v>
      </c>
      <c r="E4791" s="10" t="str" cm="1">
        <f t="array" ref="E4791">IF(AND(A4791="2021-02", ISNA(MATCH(B4791, _xlfn._xlws.FILTER(B:B, A:A="2021-03"), 0))), "Left", "Ativo")</f>
        <v>Ativo</v>
      </c>
      <c r="F4791" s="12" t="str" cm="1">
        <f t="array" ref="F4791">IF(AND(A4791="2021-03", ISNA(MATCH(B4791, _xlfn._xlws.FILTER(B:B, A:A="2021-04"), 0))), "Left", "Ativo")</f>
        <v>Ativo</v>
      </c>
    </row>
    <row r="4792" spans="1:6" x14ac:dyDescent="0.25">
      <c r="A4792" t="s">
        <v>1532</v>
      </c>
      <c r="B4792" t="s">
        <v>835</v>
      </c>
      <c r="C4792" s="10" t="str" cm="1">
        <f t="array" ref="C4792">IF(AND(A4792="2020-12", ISNA(MATCH(B4792, _xlfn._xlws.FILTER(B:B, A:A="2021-01"), 0))), "Left", "Ativo")</f>
        <v>Ativo</v>
      </c>
      <c r="D4792" s="10" t="str" cm="1">
        <f t="array" ref="D4792">IF(AND(A4792="2021-01", ISNA(MATCH(B4792, _xlfn._xlws.FILTER(B:B, A:A="2021-02"), 0))), "Left", "Ativo")</f>
        <v>Ativo</v>
      </c>
      <c r="E4792" s="10" t="str" cm="1">
        <f t="array" ref="E4792">IF(AND(A4792="2021-02", ISNA(MATCH(B4792, _xlfn._xlws.FILTER(B:B, A:A="2021-03"), 0))), "Left", "Ativo")</f>
        <v>Ativo</v>
      </c>
      <c r="F4792" s="12" t="str" cm="1">
        <f t="array" ref="F4792">IF(AND(A4792="2021-03", ISNA(MATCH(B4792, _xlfn._xlws.FILTER(B:B, A:A="2021-04"), 0))), "Left", "Ativo")</f>
        <v>Ativo</v>
      </c>
    </row>
    <row r="4793" spans="1:6" x14ac:dyDescent="0.25">
      <c r="A4793" t="s">
        <v>1532</v>
      </c>
      <c r="B4793" t="s">
        <v>837</v>
      </c>
      <c r="C4793" s="10" t="str" cm="1">
        <f t="array" ref="C4793">IF(AND(A4793="2020-12", ISNA(MATCH(B4793, _xlfn._xlws.FILTER(B:B, A:A="2021-01"), 0))), "Left", "Ativo")</f>
        <v>Ativo</v>
      </c>
      <c r="D4793" s="10" t="str" cm="1">
        <f t="array" ref="D4793">IF(AND(A4793="2021-01", ISNA(MATCH(B4793, _xlfn._xlws.FILTER(B:B, A:A="2021-02"), 0))), "Left", "Ativo")</f>
        <v>Ativo</v>
      </c>
      <c r="E4793" s="10" t="str" cm="1">
        <f t="array" ref="E4793">IF(AND(A4793="2021-02", ISNA(MATCH(B4793, _xlfn._xlws.FILTER(B:B, A:A="2021-03"), 0))), "Left", "Ativo")</f>
        <v>Ativo</v>
      </c>
      <c r="F4793" s="12" t="str" cm="1">
        <f t="array" ref="F4793">IF(AND(A4793="2021-03", ISNA(MATCH(B4793, _xlfn._xlws.FILTER(B:B, A:A="2021-04"), 0))), "Left", "Ativo")</f>
        <v>Ativo</v>
      </c>
    </row>
    <row r="4794" spans="1:6" x14ac:dyDescent="0.25">
      <c r="A4794" t="s">
        <v>1532</v>
      </c>
      <c r="B4794" t="s">
        <v>838</v>
      </c>
      <c r="C4794" s="10" t="str" cm="1">
        <f t="array" ref="C4794">IF(AND(A4794="2020-12", ISNA(MATCH(B4794, _xlfn._xlws.FILTER(B:B, A:A="2021-01"), 0))), "Left", "Ativo")</f>
        <v>Ativo</v>
      </c>
      <c r="D4794" s="10" t="str" cm="1">
        <f t="array" ref="D4794">IF(AND(A4794="2021-01", ISNA(MATCH(B4794, _xlfn._xlws.FILTER(B:B, A:A="2021-02"), 0))), "Left", "Ativo")</f>
        <v>Ativo</v>
      </c>
      <c r="E4794" s="10" t="str" cm="1">
        <f t="array" ref="E4794">IF(AND(A4794="2021-02", ISNA(MATCH(B4794, _xlfn._xlws.FILTER(B:B, A:A="2021-03"), 0))), "Left", "Ativo")</f>
        <v>Ativo</v>
      </c>
      <c r="F4794" s="12" t="str" cm="1">
        <f t="array" ref="F4794">IF(AND(A4794="2021-03", ISNA(MATCH(B4794, _xlfn._xlws.FILTER(B:B, A:A="2021-04"), 0))), "Left", "Ativo")</f>
        <v>Ativo</v>
      </c>
    </row>
    <row r="4795" spans="1:6" x14ac:dyDescent="0.25">
      <c r="A4795" t="s">
        <v>1532</v>
      </c>
      <c r="B4795" t="s">
        <v>839</v>
      </c>
      <c r="C4795" s="10" t="str" cm="1">
        <f t="array" ref="C4795">IF(AND(A4795="2020-12", ISNA(MATCH(B4795, _xlfn._xlws.FILTER(B:B, A:A="2021-01"), 0))), "Left", "Ativo")</f>
        <v>Ativo</v>
      </c>
      <c r="D4795" s="10" t="str" cm="1">
        <f t="array" ref="D4795">IF(AND(A4795="2021-01", ISNA(MATCH(B4795, _xlfn._xlws.FILTER(B:B, A:A="2021-02"), 0))), "Left", "Ativo")</f>
        <v>Ativo</v>
      </c>
      <c r="E4795" s="10" t="str" cm="1">
        <f t="array" ref="E4795">IF(AND(A4795="2021-02", ISNA(MATCH(B4795, _xlfn._xlws.FILTER(B:B, A:A="2021-03"), 0))), "Left", "Ativo")</f>
        <v>Ativo</v>
      </c>
      <c r="F4795" s="12" t="str" cm="1">
        <f t="array" ref="F4795">IF(AND(A4795="2021-03", ISNA(MATCH(B4795, _xlfn._xlws.FILTER(B:B, A:A="2021-04"), 0))), "Left", "Ativo")</f>
        <v>Ativo</v>
      </c>
    </row>
    <row r="4796" spans="1:6" x14ac:dyDescent="0.25">
      <c r="A4796" t="s">
        <v>1532</v>
      </c>
      <c r="B4796" t="s">
        <v>840</v>
      </c>
      <c r="C4796" s="10" t="str" cm="1">
        <f t="array" ref="C4796">IF(AND(A4796="2020-12", ISNA(MATCH(B4796, _xlfn._xlws.FILTER(B:B, A:A="2021-01"), 0))), "Left", "Ativo")</f>
        <v>Ativo</v>
      </c>
      <c r="D4796" s="10" t="str" cm="1">
        <f t="array" ref="D4796">IF(AND(A4796="2021-01", ISNA(MATCH(B4796, _xlfn._xlws.FILTER(B:B, A:A="2021-02"), 0))), "Left", "Ativo")</f>
        <v>Ativo</v>
      </c>
      <c r="E4796" s="10" t="str" cm="1">
        <f t="array" ref="E4796">IF(AND(A4796="2021-02", ISNA(MATCH(B4796, _xlfn._xlws.FILTER(B:B, A:A="2021-03"), 0))), "Left", "Ativo")</f>
        <v>Ativo</v>
      </c>
      <c r="F4796" s="12" t="str" cm="1">
        <f t="array" ref="F4796">IF(AND(A4796="2021-03", ISNA(MATCH(B4796, _xlfn._xlws.FILTER(B:B, A:A="2021-04"), 0))), "Left", "Ativo")</f>
        <v>Ativo</v>
      </c>
    </row>
    <row r="4797" spans="1:6" x14ac:dyDescent="0.25">
      <c r="A4797" t="s">
        <v>1532</v>
      </c>
      <c r="B4797" t="s">
        <v>841</v>
      </c>
      <c r="C4797" s="10" t="str" cm="1">
        <f t="array" ref="C4797">IF(AND(A4797="2020-12", ISNA(MATCH(B4797, _xlfn._xlws.FILTER(B:B, A:A="2021-01"), 0))), "Left", "Ativo")</f>
        <v>Ativo</v>
      </c>
      <c r="D4797" s="10" t="str" cm="1">
        <f t="array" ref="D4797">IF(AND(A4797="2021-01", ISNA(MATCH(B4797, _xlfn._xlws.FILTER(B:B, A:A="2021-02"), 0))), "Left", "Ativo")</f>
        <v>Ativo</v>
      </c>
      <c r="E4797" s="10" t="str" cm="1">
        <f t="array" ref="E4797">IF(AND(A4797="2021-02", ISNA(MATCH(B4797, _xlfn._xlws.FILTER(B:B, A:A="2021-03"), 0))), "Left", "Ativo")</f>
        <v>Ativo</v>
      </c>
      <c r="F4797" s="12" t="str" cm="1">
        <f t="array" ref="F4797">IF(AND(A4797="2021-03", ISNA(MATCH(B4797, _xlfn._xlws.FILTER(B:B, A:A="2021-04"), 0))), "Left", "Ativo")</f>
        <v>Ativo</v>
      </c>
    </row>
    <row r="4798" spans="1:6" x14ac:dyDescent="0.25">
      <c r="A4798" t="s">
        <v>1532</v>
      </c>
      <c r="B4798" t="s">
        <v>842</v>
      </c>
      <c r="C4798" s="10" t="str" cm="1">
        <f t="array" ref="C4798">IF(AND(A4798="2020-12", ISNA(MATCH(B4798, _xlfn._xlws.FILTER(B:B, A:A="2021-01"), 0))), "Left", "Ativo")</f>
        <v>Ativo</v>
      </c>
      <c r="D4798" s="10" t="str" cm="1">
        <f t="array" ref="D4798">IF(AND(A4798="2021-01", ISNA(MATCH(B4798, _xlfn._xlws.FILTER(B:B, A:A="2021-02"), 0))), "Left", "Ativo")</f>
        <v>Ativo</v>
      </c>
      <c r="E4798" s="10" t="str" cm="1">
        <f t="array" ref="E4798">IF(AND(A4798="2021-02", ISNA(MATCH(B4798, _xlfn._xlws.FILTER(B:B, A:A="2021-03"), 0))), "Left", "Ativo")</f>
        <v>Ativo</v>
      </c>
      <c r="F4798" s="12" t="str" cm="1">
        <f t="array" ref="F4798">IF(AND(A4798="2021-03", ISNA(MATCH(B4798, _xlfn._xlws.FILTER(B:B, A:A="2021-04"), 0))), "Left", "Ativo")</f>
        <v>Ativo</v>
      </c>
    </row>
    <row r="4799" spans="1:6" x14ac:dyDescent="0.25">
      <c r="A4799" t="s">
        <v>1532</v>
      </c>
      <c r="B4799" t="s">
        <v>843</v>
      </c>
      <c r="C4799" s="10" t="str" cm="1">
        <f t="array" ref="C4799">IF(AND(A4799="2020-12", ISNA(MATCH(B4799, _xlfn._xlws.FILTER(B:B, A:A="2021-01"), 0))), "Left", "Ativo")</f>
        <v>Ativo</v>
      </c>
      <c r="D4799" s="10" t="str" cm="1">
        <f t="array" ref="D4799">IF(AND(A4799="2021-01", ISNA(MATCH(B4799, _xlfn._xlws.FILTER(B:B, A:A="2021-02"), 0))), "Left", "Ativo")</f>
        <v>Ativo</v>
      </c>
      <c r="E4799" s="10" t="str" cm="1">
        <f t="array" ref="E4799">IF(AND(A4799="2021-02", ISNA(MATCH(B4799, _xlfn._xlws.FILTER(B:B, A:A="2021-03"), 0))), "Left", "Ativo")</f>
        <v>Ativo</v>
      </c>
      <c r="F4799" s="12" t="str" cm="1">
        <f t="array" ref="F4799">IF(AND(A4799="2021-03", ISNA(MATCH(B4799, _xlfn._xlws.FILTER(B:B, A:A="2021-04"), 0))), "Left", "Ativo")</f>
        <v>Ativo</v>
      </c>
    </row>
    <row r="4800" spans="1:6" x14ac:dyDescent="0.25">
      <c r="A4800" t="s">
        <v>1532</v>
      </c>
      <c r="B4800" t="s">
        <v>844</v>
      </c>
      <c r="C4800" s="10" t="str" cm="1">
        <f t="array" ref="C4800">IF(AND(A4800="2020-12", ISNA(MATCH(B4800, _xlfn._xlws.FILTER(B:B, A:A="2021-01"), 0))), "Left", "Ativo")</f>
        <v>Ativo</v>
      </c>
      <c r="D4800" s="10" t="str" cm="1">
        <f t="array" ref="D4800">IF(AND(A4800="2021-01", ISNA(MATCH(B4800, _xlfn._xlws.FILTER(B:B, A:A="2021-02"), 0))), "Left", "Ativo")</f>
        <v>Ativo</v>
      </c>
      <c r="E4800" s="10" t="str" cm="1">
        <f t="array" ref="E4800">IF(AND(A4800="2021-02", ISNA(MATCH(B4800, _xlfn._xlws.FILTER(B:B, A:A="2021-03"), 0))), "Left", "Ativo")</f>
        <v>Ativo</v>
      </c>
      <c r="F4800" s="12" t="str" cm="1">
        <f t="array" ref="F4800">IF(AND(A4800="2021-03", ISNA(MATCH(B4800, _xlfn._xlws.FILTER(B:B, A:A="2021-04"), 0))), "Left", "Ativo")</f>
        <v>Ativo</v>
      </c>
    </row>
    <row r="4801" spans="1:6" x14ac:dyDescent="0.25">
      <c r="A4801" t="s">
        <v>1532</v>
      </c>
      <c r="B4801" t="s">
        <v>845</v>
      </c>
      <c r="C4801" s="10" t="str" cm="1">
        <f t="array" ref="C4801">IF(AND(A4801="2020-12", ISNA(MATCH(B4801, _xlfn._xlws.FILTER(B:B, A:A="2021-01"), 0))), "Left", "Ativo")</f>
        <v>Ativo</v>
      </c>
      <c r="D4801" s="10" t="str" cm="1">
        <f t="array" ref="D4801">IF(AND(A4801="2021-01", ISNA(MATCH(B4801, _xlfn._xlws.FILTER(B:B, A:A="2021-02"), 0))), "Left", "Ativo")</f>
        <v>Ativo</v>
      </c>
      <c r="E4801" s="10" t="str" cm="1">
        <f t="array" ref="E4801">IF(AND(A4801="2021-02", ISNA(MATCH(B4801, _xlfn._xlws.FILTER(B:B, A:A="2021-03"), 0))), "Left", "Ativo")</f>
        <v>Ativo</v>
      </c>
      <c r="F4801" s="12" t="str" cm="1">
        <f t="array" ref="F4801">IF(AND(A4801="2021-03", ISNA(MATCH(B4801, _xlfn._xlws.FILTER(B:B, A:A="2021-04"), 0))), "Left", "Ativo")</f>
        <v>Ativo</v>
      </c>
    </row>
    <row r="4802" spans="1:6" x14ac:dyDescent="0.25">
      <c r="A4802" t="s">
        <v>1532</v>
      </c>
      <c r="B4802" t="s">
        <v>846</v>
      </c>
      <c r="C4802" s="10" t="str" cm="1">
        <f t="array" ref="C4802">IF(AND(A4802="2020-12", ISNA(MATCH(B4802, _xlfn._xlws.FILTER(B:B, A:A="2021-01"), 0))), "Left", "Ativo")</f>
        <v>Ativo</v>
      </c>
      <c r="D4802" s="10" t="str" cm="1">
        <f t="array" ref="D4802">IF(AND(A4802="2021-01", ISNA(MATCH(B4802, _xlfn._xlws.FILTER(B:B, A:A="2021-02"), 0))), "Left", "Ativo")</f>
        <v>Ativo</v>
      </c>
      <c r="E4802" s="10" t="str" cm="1">
        <f t="array" ref="E4802">IF(AND(A4802="2021-02", ISNA(MATCH(B4802, _xlfn._xlws.FILTER(B:B, A:A="2021-03"), 0))), "Left", "Ativo")</f>
        <v>Ativo</v>
      </c>
      <c r="F4802" s="12" t="str" cm="1">
        <f t="array" ref="F4802">IF(AND(A4802="2021-03", ISNA(MATCH(B4802, _xlfn._xlws.FILTER(B:B, A:A="2021-04"), 0))), "Left", "Ativo")</f>
        <v>Ativo</v>
      </c>
    </row>
    <row r="4803" spans="1:6" x14ac:dyDescent="0.25">
      <c r="A4803" t="s">
        <v>1532</v>
      </c>
      <c r="B4803" t="s">
        <v>847</v>
      </c>
      <c r="C4803" s="10" t="str" cm="1">
        <f t="array" ref="C4803">IF(AND(A4803="2020-12", ISNA(MATCH(B4803, _xlfn._xlws.FILTER(B:B, A:A="2021-01"), 0))), "Left", "Ativo")</f>
        <v>Ativo</v>
      </c>
      <c r="D4803" s="10" t="str" cm="1">
        <f t="array" ref="D4803">IF(AND(A4803="2021-01", ISNA(MATCH(B4803, _xlfn._xlws.FILTER(B:B, A:A="2021-02"), 0))), "Left", "Ativo")</f>
        <v>Ativo</v>
      </c>
      <c r="E4803" s="10" t="str" cm="1">
        <f t="array" ref="E4803">IF(AND(A4803="2021-02", ISNA(MATCH(B4803, _xlfn._xlws.FILTER(B:B, A:A="2021-03"), 0))), "Left", "Ativo")</f>
        <v>Ativo</v>
      </c>
      <c r="F4803" s="12" t="str" cm="1">
        <f t="array" ref="F4803">IF(AND(A4803="2021-03", ISNA(MATCH(B4803, _xlfn._xlws.FILTER(B:B, A:A="2021-04"), 0))), "Left", "Ativo")</f>
        <v>Ativo</v>
      </c>
    </row>
    <row r="4804" spans="1:6" x14ac:dyDescent="0.25">
      <c r="A4804" t="s">
        <v>1532</v>
      </c>
      <c r="B4804" t="s">
        <v>848</v>
      </c>
      <c r="C4804" s="10" t="str" cm="1">
        <f t="array" ref="C4804">IF(AND(A4804="2020-12", ISNA(MATCH(B4804, _xlfn._xlws.FILTER(B:B, A:A="2021-01"), 0))), "Left", "Ativo")</f>
        <v>Ativo</v>
      </c>
      <c r="D4804" s="10" t="str" cm="1">
        <f t="array" ref="D4804">IF(AND(A4804="2021-01", ISNA(MATCH(B4804, _xlfn._xlws.FILTER(B:B, A:A="2021-02"), 0))), "Left", "Ativo")</f>
        <v>Ativo</v>
      </c>
      <c r="E4804" s="10" t="str" cm="1">
        <f t="array" ref="E4804">IF(AND(A4804="2021-02", ISNA(MATCH(B4804, _xlfn._xlws.FILTER(B:B, A:A="2021-03"), 0))), "Left", "Ativo")</f>
        <v>Ativo</v>
      </c>
      <c r="F4804" s="12" t="str" cm="1">
        <f t="array" ref="F4804">IF(AND(A4804="2021-03", ISNA(MATCH(B4804, _xlfn._xlws.FILTER(B:B, A:A="2021-04"), 0))), "Left", "Ativo")</f>
        <v>Ativo</v>
      </c>
    </row>
    <row r="4805" spans="1:6" x14ac:dyDescent="0.25">
      <c r="A4805" t="s">
        <v>1532</v>
      </c>
      <c r="B4805" t="s">
        <v>849</v>
      </c>
      <c r="C4805" s="10" t="str" cm="1">
        <f t="array" ref="C4805">IF(AND(A4805="2020-12", ISNA(MATCH(B4805, _xlfn._xlws.FILTER(B:B, A:A="2021-01"), 0))), "Left", "Ativo")</f>
        <v>Ativo</v>
      </c>
      <c r="D4805" s="10" t="str" cm="1">
        <f t="array" ref="D4805">IF(AND(A4805="2021-01", ISNA(MATCH(B4805, _xlfn._xlws.FILTER(B:B, A:A="2021-02"), 0))), "Left", "Ativo")</f>
        <v>Ativo</v>
      </c>
      <c r="E4805" s="10" t="str" cm="1">
        <f t="array" ref="E4805">IF(AND(A4805="2021-02", ISNA(MATCH(B4805, _xlfn._xlws.FILTER(B:B, A:A="2021-03"), 0))), "Left", "Ativo")</f>
        <v>Ativo</v>
      </c>
      <c r="F4805" s="12" t="str" cm="1">
        <f t="array" ref="F4805">IF(AND(A4805="2021-03", ISNA(MATCH(B4805, _xlfn._xlws.FILTER(B:B, A:A="2021-04"), 0))), "Left", "Ativo")</f>
        <v>Ativo</v>
      </c>
    </row>
    <row r="4806" spans="1:6" x14ac:dyDescent="0.25">
      <c r="A4806" t="s">
        <v>1532</v>
      </c>
      <c r="B4806" t="s">
        <v>850</v>
      </c>
      <c r="C4806" s="10" t="str" cm="1">
        <f t="array" ref="C4806">IF(AND(A4806="2020-12", ISNA(MATCH(B4806, _xlfn._xlws.FILTER(B:B, A:A="2021-01"), 0))), "Left", "Ativo")</f>
        <v>Ativo</v>
      </c>
      <c r="D4806" s="10" t="str" cm="1">
        <f t="array" ref="D4806">IF(AND(A4806="2021-01", ISNA(MATCH(B4806, _xlfn._xlws.FILTER(B:B, A:A="2021-02"), 0))), "Left", "Ativo")</f>
        <v>Ativo</v>
      </c>
      <c r="E4806" s="10" t="str" cm="1">
        <f t="array" ref="E4806">IF(AND(A4806="2021-02", ISNA(MATCH(B4806, _xlfn._xlws.FILTER(B:B, A:A="2021-03"), 0))), "Left", "Ativo")</f>
        <v>Ativo</v>
      </c>
      <c r="F4806" s="12" t="str" cm="1">
        <f t="array" ref="F4806">IF(AND(A4806="2021-03", ISNA(MATCH(B4806, _xlfn._xlws.FILTER(B:B, A:A="2021-04"), 0))), "Left", "Ativo")</f>
        <v>Ativo</v>
      </c>
    </row>
    <row r="4807" spans="1:6" x14ac:dyDescent="0.25">
      <c r="A4807" t="s">
        <v>1532</v>
      </c>
      <c r="B4807" t="s">
        <v>851</v>
      </c>
      <c r="C4807" s="10" t="str" cm="1">
        <f t="array" ref="C4807">IF(AND(A4807="2020-12", ISNA(MATCH(B4807, _xlfn._xlws.FILTER(B:B, A:A="2021-01"), 0))), "Left", "Ativo")</f>
        <v>Ativo</v>
      </c>
      <c r="D4807" s="10" t="str" cm="1">
        <f t="array" ref="D4807">IF(AND(A4807="2021-01", ISNA(MATCH(B4807, _xlfn._xlws.FILTER(B:B, A:A="2021-02"), 0))), "Left", "Ativo")</f>
        <v>Ativo</v>
      </c>
      <c r="E4807" s="10" t="str" cm="1">
        <f t="array" ref="E4807">IF(AND(A4807="2021-02", ISNA(MATCH(B4807, _xlfn._xlws.FILTER(B:B, A:A="2021-03"), 0))), "Left", "Ativo")</f>
        <v>Ativo</v>
      </c>
      <c r="F4807" s="12" t="str" cm="1">
        <f t="array" ref="F4807">IF(AND(A4807="2021-03", ISNA(MATCH(B4807, _xlfn._xlws.FILTER(B:B, A:A="2021-04"), 0))), "Left", "Ativo")</f>
        <v>Ativo</v>
      </c>
    </row>
    <row r="4808" spans="1:6" x14ac:dyDescent="0.25">
      <c r="A4808" t="s">
        <v>1532</v>
      </c>
      <c r="B4808" t="s">
        <v>852</v>
      </c>
      <c r="C4808" s="10" t="str" cm="1">
        <f t="array" ref="C4808">IF(AND(A4808="2020-12", ISNA(MATCH(B4808, _xlfn._xlws.FILTER(B:B, A:A="2021-01"), 0))), "Left", "Ativo")</f>
        <v>Ativo</v>
      </c>
      <c r="D4808" s="10" t="str" cm="1">
        <f t="array" ref="D4808">IF(AND(A4808="2021-01", ISNA(MATCH(B4808, _xlfn._xlws.FILTER(B:B, A:A="2021-02"), 0))), "Left", "Ativo")</f>
        <v>Ativo</v>
      </c>
      <c r="E4808" s="10" t="str" cm="1">
        <f t="array" ref="E4808">IF(AND(A4808="2021-02", ISNA(MATCH(B4808, _xlfn._xlws.FILTER(B:B, A:A="2021-03"), 0))), "Left", "Ativo")</f>
        <v>Ativo</v>
      </c>
      <c r="F4808" s="12" t="str" cm="1">
        <f t="array" ref="F4808">IF(AND(A4808="2021-03", ISNA(MATCH(B4808, _xlfn._xlws.FILTER(B:B, A:A="2021-04"), 0))), "Left", "Ativo")</f>
        <v>Ativo</v>
      </c>
    </row>
    <row r="4809" spans="1:6" x14ac:dyDescent="0.25">
      <c r="A4809" t="s">
        <v>1532</v>
      </c>
      <c r="B4809" t="s">
        <v>853</v>
      </c>
      <c r="C4809" s="10" t="str" cm="1">
        <f t="array" ref="C4809">IF(AND(A4809="2020-12", ISNA(MATCH(B4809, _xlfn._xlws.FILTER(B:B, A:A="2021-01"), 0))), "Left", "Ativo")</f>
        <v>Ativo</v>
      </c>
      <c r="D4809" s="10" t="str" cm="1">
        <f t="array" ref="D4809">IF(AND(A4809="2021-01", ISNA(MATCH(B4809, _xlfn._xlws.FILTER(B:B, A:A="2021-02"), 0))), "Left", "Ativo")</f>
        <v>Ativo</v>
      </c>
      <c r="E4809" s="10" t="str" cm="1">
        <f t="array" ref="E4809">IF(AND(A4809="2021-02", ISNA(MATCH(B4809, _xlfn._xlws.FILTER(B:B, A:A="2021-03"), 0))), "Left", "Ativo")</f>
        <v>Ativo</v>
      </c>
      <c r="F4809" s="12" t="str" cm="1">
        <f t="array" ref="F4809">IF(AND(A4809="2021-03", ISNA(MATCH(B4809, _xlfn._xlws.FILTER(B:B, A:A="2021-04"), 0))), "Left", "Ativo")</f>
        <v>Ativo</v>
      </c>
    </row>
    <row r="4810" spans="1:6" x14ac:dyDescent="0.25">
      <c r="A4810" t="s">
        <v>1532</v>
      </c>
      <c r="B4810" t="s">
        <v>854</v>
      </c>
      <c r="C4810" s="10" t="str" cm="1">
        <f t="array" ref="C4810">IF(AND(A4810="2020-12", ISNA(MATCH(B4810, _xlfn._xlws.FILTER(B:B, A:A="2021-01"), 0))), "Left", "Ativo")</f>
        <v>Ativo</v>
      </c>
      <c r="D4810" s="10" t="str" cm="1">
        <f t="array" ref="D4810">IF(AND(A4810="2021-01", ISNA(MATCH(B4810, _xlfn._xlws.FILTER(B:B, A:A="2021-02"), 0))), "Left", "Ativo")</f>
        <v>Ativo</v>
      </c>
      <c r="E4810" s="10" t="str" cm="1">
        <f t="array" ref="E4810">IF(AND(A4810="2021-02", ISNA(MATCH(B4810, _xlfn._xlws.FILTER(B:B, A:A="2021-03"), 0))), "Left", "Ativo")</f>
        <v>Ativo</v>
      </c>
      <c r="F4810" s="12" t="str" cm="1">
        <f t="array" ref="F4810">IF(AND(A4810="2021-03", ISNA(MATCH(B4810, _xlfn._xlws.FILTER(B:B, A:A="2021-04"), 0))), "Left", "Ativo")</f>
        <v>Ativo</v>
      </c>
    </row>
    <row r="4811" spans="1:6" x14ac:dyDescent="0.25">
      <c r="A4811" t="s">
        <v>1532</v>
      </c>
      <c r="B4811" t="s">
        <v>855</v>
      </c>
      <c r="C4811" s="10" t="str" cm="1">
        <f t="array" ref="C4811">IF(AND(A4811="2020-12", ISNA(MATCH(B4811, _xlfn._xlws.FILTER(B:B, A:A="2021-01"), 0))), "Left", "Ativo")</f>
        <v>Ativo</v>
      </c>
      <c r="D4811" s="10" t="str" cm="1">
        <f t="array" ref="D4811">IF(AND(A4811="2021-01", ISNA(MATCH(B4811, _xlfn._xlws.FILTER(B:B, A:A="2021-02"), 0))), "Left", "Ativo")</f>
        <v>Ativo</v>
      </c>
      <c r="E4811" s="10" t="str" cm="1">
        <f t="array" ref="E4811">IF(AND(A4811="2021-02", ISNA(MATCH(B4811, _xlfn._xlws.FILTER(B:B, A:A="2021-03"), 0))), "Left", "Ativo")</f>
        <v>Ativo</v>
      </c>
      <c r="F4811" s="12" t="str" cm="1">
        <f t="array" ref="F4811">IF(AND(A4811="2021-03", ISNA(MATCH(B4811, _xlfn._xlws.FILTER(B:B, A:A="2021-04"), 0))), "Left", "Ativo")</f>
        <v>Ativo</v>
      </c>
    </row>
    <row r="4812" spans="1:6" x14ac:dyDescent="0.25">
      <c r="A4812" t="s">
        <v>1532</v>
      </c>
      <c r="B4812" t="s">
        <v>856</v>
      </c>
      <c r="C4812" s="10" t="str" cm="1">
        <f t="array" ref="C4812">IF(AND(A4812="2020-12", ISNA(MATCH(B4812, _xlfn._xlws.FILTER(B:B, A:A="2021-01"), 0))), "Left", "Ativo")</f>
        <v>Ativo</v>
      </c>
      <c r="D4812" s="10" t="str" cm="1">
        <f t="array" ref="D4812">IF(AND(A4812="2021-01", ISNA(MATCH(B4812, _xlfn._xlws.FILTER(B:B, A:A="2021-02"), 0))), "Left", "Ativo")</f>
        <v>Ativo</v>
      </c>
      <c r="E4812" s="10" t="str" cm="1">
        <f t="array" ref="E4812">IF(AND(A4812="2021-02", ISNA(MATCH(B4812, _xlfn._xlws.FILTER(B:B, A:A="2021-03"), 0))), "Left", "Ativo")</f>
        <v>Ativo</v>
      </c>
      <c r="F4812" s="12" t="str" cm="1">
        <f t="array" ref="F4812">IF(AND(A4812="2021-03", ISNA(MATCH(B4812, _xlfn._xlws.FILTER(B:B, A:A="2021-04"), 0))), "Left", "Ativo")</f>
        <v>Ativo</v>
      </c>
    </row>
    <row r="4813" spans="1:6" x14ac:dyDescent="0.25">
      <c r="A4813" t="s">
        <v>1532</v>
      </c>
      <c r="B4813" t="s">
        <v>857</v>
      </c>
      <c r="C4813" s="10" t="str" cm="1">
        <f t="array" ref="C4813">IF(AND(A4813="2020-12", ISNA(MATCH(B4813, _xlfn._xlws.FILTER(B:B, A:A="2021-01"), 0))), "Left", "Ativo")</f>
        <v>Ativo</v>
      </c>
      <c r="D4813" s="10" t="str" cm="1">
        <f t="array" ref="D4813">IF(AND(A4813="2021-01", ISNA(MATCH(B4813, _xlfn._xlws.FILTER(B:B, A:A="2021-02"), 0))), "Left", "Ativo")</f>
        <v>Ativo</v>
      </c>
      <c r="E4813" s="10" t="str" cm="1">
        <f t="array" ref="E4813">IF(AND(A4813="2021-02", ISNA(MATCH(B4813, _xlfn._xlws.FILTER(B:B, A:A="2021-03"), 0))), "Left", "Ativo")</f>
        <v>Ativo</v>
      </c>
      <c r="F4813" s="12" t="str" cm="1">
        <f t="array" ref="F4813">IF(AND(A4813="2021-03", ISNA(MATCH(B4813, _xlfn._xlws.FILTER(B:B, A:A="2021-04"), 0))), "Left", "Ativo")</f>
        <v>Ativo</v>
      </c>
    </row>
    <row r="4814" spans="1:6" x14ac:dyDescent="0.25">
      <c r="A4814" t="s">
        <v>1532</v>
      </c>
      <c r="B4814" t="s">
        <v>858</v>
      </c>
      <c r="C4814" s="10" t="str" cm="1">
        <f t="array" ref="C4814">IF(AND(A4814="2020-12", ISNA(MATCH(B4814, _xlfn._xlws.FILTER(B:B, A:A="2021-01"), 0))), "Left", "Ativo")</f>
        <v>Ativo</v>
      </c>
      <c r="D4814" s="10" t="str" cm="1">
        <f t="array" ref="D4814">IF(AND(A4814="2021-01", ISNA(MATCH(B4814, _xlfn._xlws.FILTER(B:B, A:A="2021-02"), 0))), "Left", "Ativo")</f>
        <v>Ativo</v>
      </c>
      <c r="E4814" s="10" t="str" cm="1">
        <f t="array" ref="E4814">IF(AND(A4814="2021-02", ISNA(MATCH(B4814, _xlfn._xlws.FILTER(B:B, A:A="2021-03"), 0))), "Left", "Ativo")</f>
        <v>Ativo</v>
      </c>
      <c r="F4814" s="12" t="str" cm="1">
        <f t="array" ref="F4814">IF(AND(A4814="2021-03", ISNA(MATCH(B4814, _xlfn._xlws.FILTER(B:B, A:A="2021-04"), 0))), "Left", "Ativo")</f>
        <v>Ativo</v>
      </c>
    </row>
    <row r="4815" spans="1:6" x14ac:dyDescent="0.25">
      <c r="A4815" t="s">
        <v>1532</v>
      </c>
      <c r="B4815" t="s">
        <v>859</v>
      </c>
      <c r="C4815" s="10" t="str" cm="1">
        <f t="array" ref="C4815">IF(AND(A4815="2020-12", ISNA(MATCH(B4815, _xlfn._xlws.FILTER(B:B, A:A="2021-01"), 0))), "Left", "Ativo")</f>
        <v>Ativo</v>
      </c>
      <c r="D4815" s="10" t="str" cm="1">
        <f t="array" ref="D4815">IF(AND(A4815="2021-01", ISNA(MATCH(B4815, _xlfn._xlws.FILTER(B:B, A:A="2021-02"), 0))), "Left", "Ativo")</f>
        <v>Ativo</v>
      </c>
      <c r="E4815" s="10" t="str" cm="1">
        <f t="array" ref="E4815">IF(AND(A4815="2021-02", ISNA(MATCH(B4815, _xlfn._xlws.FILTER(B:B, A:A="2021-03"), 0))), "Left", "Ativo")</f>
        <v>Ativo</v>
      </c>
      <c r="F4815" s="12" t="str" cm="1">
        <f t="array" ref="F4815">IF(AND(A4815="2021-03", ISNA(MATCH(B4815, _xlfn._xlws.FILTER(B:B, A:A="2021-04"), 0))), "Left", "Ativo")</f>
        <v>Ativo</v>
      </c>
    </row>
    <row r="4816" spans="1:6" x14ac:dyDescent="0.25">
      <c r="A4816" t="s">
        <v>1532</v>
      </c>
      <c r="B4816" t="s">
        <v>860</v>
      </c>
      <c r="C4816" s="10" t="str" cm="1">
        <f t="array" ref="C4816">IF(AND(A4816="2020-12", ISNA(MATCH(B4816, _xlfn._xlws.FILTER(B:B, A:A="2021-01"), 0))), "Left", "Ativo")</f>
        <v>Ativo</v>
      </c>
      <c r="D4816" s="10" t="str" cm="1">
        <f t="array" ref="D4816">IF(AND(A4816="2021-01", ISNA(MATCH(B4816, _xlfn._xlws.FILTER(B:B, A:A="2021-02"), 0))), "Left", "Ativo")</f>
        <v>Ativo</v>
      </c>
      <c r="E4816" s="10" t="str" cm="1">
        <f t="array" ref="E4816">IF(AND(A4816="2021-02", ISNA(MATCH(B4816, _xlfn._xlws.FILTER(B:B, A:A="2021-03"), 0))), "Left", "Ativo")</f>
        <v>Ativo</v>
      </c>
      <c r="F4816" s="12" t="str" cm="1">
        <f t="array" ref="F4816">IF(AND(A4816="2021-03", ISNA(MATCH(B4816, _xlfn._xlws.FILTER(B:B, A:A="2021-04"), 0))), "Left", "Ativo")</f>
        <v>Ativo</v>
      </c>
    </row>
    <row r="4817" spans="1:6" x14ac:dyDescent="0.25">
      <c r="A4817" t="s">
        <v>1532</v>
      </c>
      <c r="B4817" t="s">
        <v>861</v>
      </c>
      <c r="C4817" s="10" t="str" cm="1">
        <f t="array" ref="C4817">IF(AND(A4817="2020-12", ISNA(MATCH(B4817, _xlfn._xlws.FILTER(B:B, A:A="2021-01"), 0))), "Left", "Ativo")</f>
        <v>Ativo</v>
      </c>
      <c r="D4817" s="10" t="str" cm="1">
        <f t="array" ref="D4817">IF(AND(A4817="2021-01", ISNA(MATCH(B4817, _xlfn._xlws.FILTER(B:B, A:A="2021-02"), 0))), "Left", "Ativo")</f>
        <v>Ativo</v>
      </c>
      <c r="E4817" s="10" t="str" cm="1">
        <f t="array" ref="E4817">IF(AND(A4817="2021-02", ISNA(MATCH(B4817, _xlfn._xlws.FILTER(B:B, A:A="2021-03"), 0))), "Left", "Ativo")</f>
        <v>Ativo</v>
      </c>
      <c r="F4817" s="12" t="str" cm="1">
        <f t="array" ref="F4817">IF(AND(A4817="2021-03", ISNA(MATCH(B4817, _xlfn._xlws.FILTER(B:B, A:A="2021-04"), 0))), "Left", "Ativo")</f>
        <v>Ativo</v>
      </c>
    </row>
    <row r="4818" spans="1:6" x14ac:dyDescent="0.25">
      <c r="A4818" t="s">
        <v>1532</v>
      </c>
      <c r="B4818" t="s">
        <v>862</v>
      </c>
      <c r="C4818" s="10" t="str" cm="1">
        <f t="array" ref="C4818">IF(AND(A4818="2020-12", ISNA(MATCH(B4818, _xlfn._xlws.FILTER(B:B, A:A="2021-01"), 0))), "Left", "Ativo")</f>
        <v>Ativo</v>
      </c>
      <c r="D4818" s="10" t="str" cm="1">
        <f t="array" ref="D4818">IF(AND(A4818="2021-01", ISNA(MATCH(B4818, _xlfn._xlws.FILTER(B:B, A:A="2021-02"), 0))), "Left", "Ativo")</f>
        <v>Ativo</v>
      </c>
      <c r="E4818" s="10" t="str" cm="1">
        <f t="array" ref="E4818">IF(AND(A4818="2021-02", ISNA(MATCH(B4818, _xlfn._xlws.FILTER(B:B, A:A="2021-03"), 0))), "Left", "Ativo")</f>
        <v>Ativo</v>
      </c>
      <c r="F4818" s="12" t="str" cm="1">
        <f t="array" ref="F4818">IF(AND(A4818="2021-03", ISNA(MATCH(B4818, _xlfn._xlws.FILTER(B:B, A:A="2021-04"), 0))), "Left", "Ativo")</f>
        <v>Ativo</v>
      </c>
    </row>
    <row r="4819" spans="1:6" x14ac:dyDescent="0.25">
      <c r="A4819" t="s">
        <v>1532</v>
      </c>
      <c r="B4819" t="s">
        <v>863</v>
      </c>
      <c r="C4819" s="10" t="str" cm="1">
        <f t="array" ref="C4819">IF(AND(A4819="2020-12", ISNA(MATCH(B4819, _xlfn._xlws.FILTER(B:B, A:A="2021-01"), 0))), "Left", "Ativo")</f>
        <v>Ativo</v>
      </c>
      <c r="D4819" s="10" t="str" cm="1">
        <f t="array" ref="D4819">IF(AND(A4819="2021-01", ISNA(MATCH(B4819, _xlfn._xlws.FILTER(B:B, A:A="2021-02"), 0))), "Left", "Ativo")</f>
        <v>Ativo</v>
      </c>
      <c r="E4819" s="10" t="str" cm="1">
        <f t="array" ref="E4819">IF(AND(A4819="2021-02", ISNA(MATCH(B4819, _xlfn._xlws.FILTER(B:B, A:A="2021-03"), 0))), "Left", "Ativo")</f>
        <v>Ativo</v>
      </c>
      <c r="F4819" s="12" t="str" cm="1">
        <f t="array" ref="F4819">IF(AND(A4819="2021-03", ISNA(MATCH(B4819, _xlfn._xlws.FILTER(B:B, A:A="2021-04"), 0))), "Left", "Ativo")</f>
        <v>Ativo</v>
      </c>
    </row>
    <row r="4820" spans="1:6" x14ac:dyDescent="0.25">
      <c r="A4820" t="s">
        <v>1532</v>
      </c>
      <c r="B4820" t="s">
        <v>864</v>
      </c>
      <c r="C4820" s="10" t="str" cm="1">
        <f t="array" ref="C4820">IF(AND(A4820="2020-12", ISNA(MATCH(B4820, _xlfn._xlws.FILTER(B:B, A:A="2021-01"), 0))), "Left", "Ativo")</f>
        <v>Ativo</v>
      </c>
      <c r="D4820" s="10" t="str" cm="1">
        <f t="array" ref="D4820">IF(AND(A4820="2021-01", ISNA(MATCH(B4820, _xlfn._xlws.FILTER(B:B, A:A="2021-02"), 0))), "Left", "Ativo")</f>
        <v>Ativo</v>
      </c>
      <c r="E4820" s="10" t="str" cm="1">
        <f t="array" ref="E4820">IF(AND(A4820="2021-02", ISNA(MATCH(B4820, _xlfn._xlws.FILTER(B:B, A:A="2021-03"), 0))), "Left", "Ativo")</f>
        <v>Ativo</v>
      </c>
      <c r="F4820" s="12" t="str" cm="1">
        <f t="array" ref="F4820">IF(AND(A4820="2021-03", ISNA(MATCH(B4820, _xlfn._xlws.FILTER(B:B, A:A="2021-04"), 0))), "Left", "Ativo")</f>
        <v>Ativo</v>
      </c>
    </row>
    <row r="4821" spans="1:6" x14ac:dyDescent="0.25">
      <c r="A4821" t="s">
        <v>1532</v>
      </c>
      <c r="B4821" t="s">
        <v>866</v>
      </c>
      <c r="C4821" s="10" t="str" cm="1">
        <f t="array" ref="C4821">IF(AND(A4821="2020-12", ISNA(MATCH(B4821, _xlfn._xlws.FILTER(B:B, A:A="2021-01"), 0))), "Left", "Ativo")</f>
        <v>Ativo</v>
      </c>
      <c r="D4821" s="10" t="str" cm="1">
        <f t="array" ref="D4821">IF(AND(A4821="2021-01", ISNA(MATCH(B4821, _xlfn._xlws.FILTER(B:B, A:A="2021-02"), 0))), "Left", "Ativo")</f>
        <v>Ativo</v>
      </c>
      <c r="E4821" s="10" t="str" cm="1">
        <f t="array" ref="E4821">IF(AND(A4821="2021-02", ISNA(MATCH(B4821, _xlfn._xlws.FILTER(B:B, A:A="2021-03"), 0))), "Left", "Ativo")</f>
        <v>Ativo</v>
      </c>
      <c r="F4821" s="12" t="str" cm="1">
        <f t="array" ref="F4821">IF(AND(A4821="2021-03", ISNA(MATCH(B4821, _xlfn._xlws.FILTER(B:B, A:A="2021-04"), 0))), "Left", "Ativo")</f>
        <v>Ativo</v>
      </c>
    </row>
    <row r="4822" spans="1:6" x14ac:dyDescent="0.25">
      <c r="A4822" t="s">
        <v>1532</v>
      </c>
      <c r="B4822" t="s">
        <v>867</v>
      </c>
      <c r="C4822" s="10" t="str" cm="1">
        <f t="array" ref="C4822">IF(AND(A4822="2020-12", ISNA(MATCH(B4822, _xlfn._xlws.FILTER(B:B, A:A="2021-01"), 0))), "Left", "Ativo")</f>
        <v>Ativo</v>
      </c>
      <c r="D4822" s="10" t="str" cm="1">
        <f t="array" ref="D4822">IF(AND(A4822="2021-01", ISNA(MATCH(B4822, _xlfn._xlws.FILTER(B:B, A:A="2021-02"), 0))), "Left", "Ativo")</f>
        <v>Ativo</v>
      </c>
      <c r="E4822" s="10" t="str" cm="1">
        <f t="array" ref="E4822">IF(AND(A4822="2021-02", ISNA(MATCH(B4822, _xlfn._xlws.FILTER(B:B, A:A="2021-03"), 0))), "Left", "Ativo")</f>
        <v>Ativo</v>
      </c>
      <c r="F4822" s="12" t="str" cm="1">
        <f t="array" ref="F4822">IF(AND(A4822="2021-03", ISNA(MATCH(B4822, _xlfn._xlws.FILTER(B:B, A:A="2021-04"), 0))), "Left", "Ativo")</f>
        <v>Ativo</v>
      </c>
    </row>
    <row r="4823" spans="1:6" x14ac:dyDescent="0.25">
      <c r="A4823" t="s">
        <v>1532</v>
      </c>
      <c r="B4823" t="s">
        <v>869</v>
      </c>
      <c r="C4823" s="10" t="str" cm="1">
        <f t="array" ref="C4823">IF(AND(A4823="2020-12", ISNA(MATCH(B4823, _xlfn._xlws.FILTER(B:B, A:A="2021-01"), 0))), "Left", "Ativo")</f>
        <v>Ativo</v>
      </c>
      <c r="D4823" s="10" t="str" cm="1">
        <f t="array" ref="D4823">IF(AND(A4823="2021-01", ISNA(MATCH(B4823, _xlfn._xlws.FILTER(B:B, A:A="2021-02"), 0))), "Left", "Ativo")</f>
        <v>Ativo</v>
      </c>
      <c r="E4823" s="10" t="str" cm="1">
        <f t="array" ref="E4823">IF(AND(A4823="2021-02", ISNA(MATCH(B4823, _xlfn._xlws.FILTER(B:B, A:A="2021-03"), 0))), "Left", "Ativo")</f>
        <v>Ativo</v>
      </c>
      <c r="F4823" s="12" t="str" cm="1">
        <f t="array" ref="F4823">IF(AND(A4823="2021-03", ISNA(MATCH(B4823, _xlfn._xlws.FILTER(B:B, A:A="2021-04"), 0))), "Left", "Ativo")</f>
        <v>Ativo</v>
      </c>
    </row>
    <row r="4824" spans="1:6" x14ac:dyDescent="0.25">
      <c r="A4824" t="s">
        <v>1532</v>
      </c>
      <c r="B4824" t="s">
        <v>870</v>
      </c>
      <c r="C4824" s="10" t="str" cm="1">
        <f t="array" ref="C4824">IF(AND(A4824="2020-12", ISNA(MATCH(B4824, _xlfn._xlws.FILTER(B:B, A:A="2021-01"), 0))), "Left", "Ativo")</f>
        <v>Ativo</v>
      </c>
      <c r="D4824" s="10" t="str" cm="1">
        <f t="array" ref="D4824">IF(AND(A4824="2021-01", ISNA(MATCH(B4824, _xlfn._xlws.FILTER(B:B, A:A="2021-02"), 0))), "Left", "Ativo")</f>
        <v>Ativo</v>
      </c>
      <c r="E4824" s="10" t="str" cm="1">
        <f t="array" ref="E4824">IF(AND(A4824="2021-02", ISNA(MATCH(B4824, _xlfn._xlws.FILTER(B:B, A:A="2021-03"), 0))), "Left", "Ativo")</f>
        <v>Ativo</v>
      </c>
      <c r="F4824" s="12" t="str" cm="1">
        <f t="array" ref="F4824">IF(AND(A4824="2021-03", ISNA(MATCH(B4824, _xlfn._xlws.FILTER(B:B, A:A="2021-04"), 0))), "Left", "Ativo")</f>
        <v>Ativo</v>
      </c>
    </row>
    <row r="4825" spans="1:6" x14ac:dyDescent="0.25">
      <c r="A4825" t="s">
        <v>1532</v>
      </c>
      <c r="B4825" t="s">
        <v>871</v>
      </c>
      <c r="C4825" s="10" t="str" cm="1">
        <f t="array" ref="C4825">IF(AND(A4825="2020-12", ISNA(MATCH(B4825, _xlfn._xlws.FILTER(B:B, A:A="2021-01"), 0))), "Left", "Ativo")</f>
        <v>Ativo</v>
      </c>
      <c r="D4825" s="10" t="str" cm="1">
        <f t="array" ref="D4825">IF(AND(A4825="2021-01", ISNA(MATCH(B4825, _xlfn._xlws.FILTER(B:B, A:A="2021-02"), 0))), "Left", "Ativo")</f>
        <v>Ativo</v>
      </c>
      <c r="E4825" s="10" t="str" cm="1">
        <f t="array" ref="E4825">IF(AND(A4825="2021-02", ISNA(MATCH(B4825, _xlfn._xlws.FILTER(B:B, A:A="2021-03"), 0))), "Left", "Ativo")</f>
        <v>Ativo</v>
      </c>
      <c r="F4825" s="12" t="str" cm="1">
        <f t="array" ref="F4825">IF(AND(A4825="2021-03", ISNA(MATCH(B4825, _xlfn._xlws.FILTER(B:B, A:A="2021-04"), 0))), "Left", "Ativo")</f>
        <v>Ativo</v>
      </c>
    </row>
    <row r="4826" spans="1:6" x14ac:dyDescent="0.25">
      <c r="A4826" t="s">
        <v>1532</v>
      </c>
      <c r="B4826" t="s">
        <v>872</v>
      </c>
      <c r="C4826" s="10" t="str" cm="1">
        <f t="array" ref="C4826">IF(AND(A4826="2020-12", ISNA(MATCH(B4826, _xlfn._xlws.FILTER(B:B, A:A="2021-01"), 0))), "Left", "Ativo")</f>
        <v>Ativo</v>
      </c>
      <c r="D4826" s="10" t="str" cm="1">
        <f t="array" ref="D4826">IF(AND(A4826="2021-01", ISNA(MATCH(B4826, _xlfn._xlws.FILTER(B:B, A:A="2021-02"), 0))), "Left", "Ativo")</f>
        <v>Ativo</v>
      </c>
      <c r="E4826" s="10" t="str" cm="1">
        <f t="array" ref="E4826">IF(AND(A4826="2021-02", ISNA(MATCH(B4826, _xlfn._xlws.FILTER(B:B, A:A="2021-03"), 0))), "Left", "Ativo")</f>
        <v>Ativo</v>
      </c>
      <c r="F4826" s="12" t="str" cm="1">
        <f t="array" ref="F4826">IF(AND(A4826="2021-03", ISNA(MATCH(B4826, _xlfn._xlws.FILTER(B:B, A:A="2021-04"), 0))), "Left", "Ativo")</f>
        <v>Ativo</v>
      </c>
    </row>
    <row r="4827" spans="1:6" x14ac:dyDescent="0.25">
      <c r="A4827" t="s">
        <v>1532</v>
      </c>
      <c r="B4827" t="s">
        <v>873</v>
      </c>
      <c r="C4827" s="10" t="str" cm="1">
        <f t="array" ref="C4827">IF(AND(A4827="2020-12", ISNA(MATCH(B4827, _xlfn._xlws.FILTER(B:B, A:A="2021-01"), 0))), "Left", "Ativo")</f>
        <v>Ativo</v>
      </c>
      <c r="D4827" s="10" t="str" cm="1">
        <f t="array" ref="D4827">IF(AND(A4827="2021-01", ISNA(MATCH(B4827, _xlfn._xlws.FILTER(B:B, A:A="2021-02"), 0))), "Left", "Ativo")</f>
        <v>Ativo</v>
      </c>
      <c r="E4827" s="10" t="str" cm="1">
        <f t="array" ref="E4827">IF(AND(A4827="2021-02", ISNA(MATCH(B4827, _xlfn._xlws.FILTER(B:B, A:A="2021-03"), 0))), "Left", "Ativo")</f>
        <v>Ativo</v>
      </c>
      <c r="F4827" s="12" t="str" cm="1">
        <f t="array" ref="F4827">IF(AND(A4827="2021-03", ISNA(MATCH(B4827, _xlfn._xlws.FILTER(B:B, A:A="2021-04"), 0))), "Left", "Ativo")</f>
        <v>Ativo</v>
      </c>
    </row>
    <row r="4828" spans="1:6" x14ac:dyDescent="0.25">
      <c r="A4828" t="s">
        <v>1532</v>
      </c>
      <c r="B4828" t="s">
        <v>874</v>
      </c>
      <c r="C4828" s="10" t="str" cm="1">
        <f t="array" ref="C4828">IF(AND(A4828="2020-12", ISNA(MATCH(B4828, _xlfn._xlws.FILTER(B:B, A:A="2021-01"), 0))), "Left", "Ativo")</f>
        <v>Ativo</v>
      </c>
      <c r="D4828" s="10" t="str" cm="1">
        <f t="array" ref="D4828">IF(AND(A4828="2021-01", ISNA(MATCH(B4828, _xlfn._xlws.FILTER(B:B, A:A="2021-02"), 0))), "Left", "Ativo")</f>
        <v>Ativo</v>
      </c>
      <c r="E4828" s="10" t="str" cm="1">
        <f t="array" ref="E4828">IF(AND(A4828="2021-02", ISNA(MATCH(B4828, _xlfn._xlws.FILTER(B:B, A:A="2021-03"), 0))), "Left", "Ativo")</f>
        <v>Ativo</v>
      </c>
      <c r="F4828" s="12" t="str" cm="1">
        <f t="array" ref="F4828">IF(AND(A4828="2021-03", ISNA(MATCH(B4828, _xlfn._xlws.FILTER(B:B, A:A="2021-04"), 0))), "Left", "Ativo")</f>
        <v>Ativo</v>
      </c>
    </row>
    <row r="4829" spans="1:6" x14ac:dyDescent="0.25">
      <c r="A4829" t="s">
        <v>1532</v>
      </c>
      <c r="B4829" t="s">
        <v>875</v>
      </c>
      <c r="C4829" s="10" t="str" cm="1">
        <f t="array" ref="C4829">IF(AND(A4829="2020-12", ISNA(MATCH(B4829, _xlfn._xlws.FILTER(B:B, A:A="2021-01"), 0))), "Left", "Ativo")</f>
        <v>Ativo</v>
      </c>
      <c r="D4829" s="10" t="str" cm="1">
        <f t="array" ref="D4829">IF(AND(A4829="2021-01", ISNA(MATCH(B4829, _xlfn._xlws.FILTER(B:B, A:A="2021-02"), 0))), "Left", "Ativo")</f>
        <v>Ativo</v>
      </c>
      <c r="E4829" s="10" t="str" cm="1">
        <f t="array" ref="E4829">IF(AND(A4829="2021-02", ISNA(MATCH(B4829, _xlfn._xlws.FILTER(B:B, A:A="2021-03"), 0))), "Left", "Ativo")</f>
        <v>Ativo</v>
      </c>
      <c r="F4829" s="12" t="str" cm="1">
        <f t="array" ref="F4829">IF(AND(A4829="2021-03", ISNA(MATCH(B4829, _xlfn._xlws.FILTER(B:B, A:A="2021-04"), 0))), "Left", "Ativo")</f>
        <v>Ativo</v>
      </c>
    </row>
    <row r="4830" spans="1:6" x14ac:dyDescent="0.25">
      <c r="A4830" t="s">
        <v>1532</v>
      </c>
      <c r="B4830" t="s">
        <v>876</v>
      </c>
      <c r="C4830" s="10" t="str" cm="1">
        <f t="array" ref="C4830">IF(AND(A4830="2020-12", ISNA(MATCH(B4830, _xlfn._xlws.FILTER(B:B, A:A="2021-01"), 0))), "Left", "Ativo")</f>
        <v>Ativo</v>
      </c>
      <c r="D4830" s="10" t="str" cm="1">
        <f t="array" ref="D4830">IF(AND(A4830="2021-01", ISNA(MATCH(B4830, _xlfn._xlws.FILTER(B:B, A:A="2021-02"), 0))), "Left", "Ativo")</f>
        <v>Ativo</v>
      </c>
      <c r="E4830" s="10" t="str" cm="1">
        <f t="array" ref="E4830">IF(AND(A4830="2021-02", ISNA(MATCH(B4830, _xlfn._xlws.FILTER(B:B, A:A="2021-03"), 0))), "Left", "Ativo")</f>
        <v>Ativo</v>
      </c>
      <c r="F4830" s="12" t="str" cm="1">
        <f t="array" ref="F4830">IF(AND(A4830="2021-03", ISNA(MATCH(B4830, _xlfn._xlws.FILTER(B:B, A:A="2021-04"), 0))), "Left", "Ativo")</f>
        <v>Ativo</v>
      </c>
    </row>
    <row r="4831" spans="1:6" x14ac:dyDescent="0.25">
      <c r="A4831" t="s">
        <v>1532</v>
      </c>
      <c r="B4831" t="s">
        <v>877</v>
      </c>
      <c r="C4831" s="10" t="str" cm="1">
        <f t="array" ref="C4831">IF(AND(A4831="2020-12", ISNA(MATCH(B4831, _xlfn._xlws.FILTER(B:B, A:A="2021-01"), 0))), "Left", "Ativo")</f>
        <v>Ativo</v>
      </c>
      <c r="D4831" s="10" t="str" cm="1">
        <f t="array" ref="D4831">IF(AND(A4831="2021-01", ISNA(MATCH(B4831, _xlfn._xlws.FILTER(B:B, A:A="2021-02"), 0))), "Left", "Ativo")</f>
        <v>Ativo</v>
      </c>
      <c r="E4831" s="10" t="str" cm="1">
        <f t="array" ref="E4831">IF(AND(A4831="2021-02", ISNA(MATCH(B4831, _xlfn._xlws.FILTER(B:B, A:A="2021-03"), 0))), "Left", "Ativo")</f>
        <v>Ativo</v>
      </c>
      <c r="F4831" s="12" t="str" cm="1">
        <f t="array" ref="F4831">IF(AND(A4831="2021-03", ISNA(MATCH(B4831, _xlfn._xlws.FILTER(B:B, A:A="2021-04"), 0))), "Left", "Ativo")</f>
        <v>Ativo</v>
      </c>
    </row>
    <row r="4832" spans="1:6" x14ac:dyDescent="0.25">
      <c r="A4832" t="s">
        <v>1532</v>
      </c>
      <c r="B4832" t="s">
        <v>878</v>
      </c>
      <c r="C4832" s="10" t="str" cm="1">
        <f t="array" ref="C4832">IF(AND(A4832="2020-12", ISNA(MATCH(B4832, _xlfn._xlws.FILTER(B:B, A:A="2021-01"), 0))), "Left", "Ativo")</f>
        <v>Ativo</v>
      </c>
      <c r="D4832" s="10" t="str" cm="1">
        <f t="array" ref="D4832">IF(AND(A4832="2021-01", ISNA(MATCH(B4832, _xlfn._xlws.FILTER(B:B, A:A="2021-02"), 0))), "Left", "Ativo")</f>
        <v>Ativo</v>
      </c>
      <c r="E4832" s="10" t="str" cm="1">
        <f t="array" ref="E4832">IF(AND(A4832="2021-02", ISNA(MATCH(B4832, _xlfn._xlws.FILTER(B:B, A:A="2021-03"), 0))), "Left", "Ativo")</f>
        <v>Ativo</v>
      </c>
      <c r="F4832" s="12" t="str" cm="1">
        <f t="array" ref="F4832">IF(AND(A4832="2021-03", ISNA(MATCH(B4832, _xlfn._xlws.FILTER(B:B, A:A="2021-04"), 0))), "Left", "Ativo")</f>
        <v>Ativo</v>
      </c>
    </row>
    <row r="4833" spans="1:6" x14ac:dyDescent="0.25">
      <c r="A4833" t="s">
        <v>1532</v>
      </c>
      <c r="B4833" t="s">
        <v>879</v>
      </c>
      <c r="C4833" s="10" t="str" cm="1">
        <f t="array" ref="C4833">IF(AND(A4833="2020-12", ISNA(MATCH(B4833, _xlfn._xlws.FILTER(B:B, A:A="2021-01"), 0))), "Left", "Ativo")</f>
        <v>Ativo</v>
      </c>
      <c r="D4833" s="10" t="str" cm="1">
        <f t="array" ref="D4833">IF(AND(A4833="2021-01", ISNA(MATCH(B4833, _xlfn._xlws.FILTER(B:B, A:A="2021-02"), 0))), "Left", "Ativo")</f>
        <v>Ativo</v>
      </c>
      <c r="E4833" s="10" t="str" cm="1">
        <f t="array" ref="E4833">IF(AND(A4833="2021-02", ISNA(MATCH(B4833, _xlfn._xlws.FILTER(B:B, A:A="2021-03"), 0))), "Left", "Ativo")</f>
        <v>Ativo</v>
      </c>
      <c r="F4833" s="12" t="str" cm="1">
        <f t="array" ref="F4833">IF(AND(A4833="2021-03", ISNA(MATCH(B4833, _xlfn._xlws.FILTER(B:B, A:A="2021-04"), 0))), "Left", "Ativo")</f>
        <v>Ativo</v>
      </c>
    </row>
    <row r="4834" spans="1:6" x14ac:dyDescent="0.25">
      <c r="A4834" t="s">
        <v>1532</v>
      </c>
      <c r="B4834" t="s">
        <v>880</v>
      </c>
      <c r="C4834" s="10" t="str" cm="1">
        <f t="array" ref="C4834">IF(AND(A4834="2020-12", ISNA(MATCH(B4834, _xlfn._xlws.FILTER(B:B, A:A="2021-01"), 0))), "Left", "Ativo")</f>
        <v>Ativo</v>
      </c>
      <c r="D4834" s="10" t="str" cm="1">
        <f t="array" ref="D4834">IF(AND(A4834="2021-01", ISNA(MATCH(B4834, _xlfn._xlws.FILTER(B:B, A:A="2021-02"), 0))), "Left", "Ativo")</f>
        <v>Ativo</v>
      </c>
      <c r="E4834" s="10" t="str" cm="1">
        <f t="array" ref="E4834">IF(AND(A4834="2021-02", ISNA(MATCH(B4834, _xlfn._xlws.FILTER(B:B, A:A="2021-03"), 0))), "Left", "Ativo")</f>
        <v>Ativo</v>
      </c>
      <c r="F4834" s="12" t="str" cm="1">
        <f t="array" ref="F4834">IF(AND(A4834="2021-03", ISNA(MATCH(B4834, _xlfn._xlws.FILTER(B:B, A:A="2021-04"), 0))), "Left", "Ativo")</f>
        <v>Ativo</v>
      </c>
    </row>
    <row r="4835" spans="1:6" x14ac:dyDescent="0.25">
      <c r="A4835" t="s">
        <v>1532</v>
      </c>
      <c r="B4835" t="s">
        <v>881</v>
      </c>
      <c r="C4835" s="10" t="str" cm="1">
        <f t="array" ref="C4835">IF(AND(A4835="2020-12", ISNA(MATCH(B4835, _xlfn._xlws.FILTER(B:B, A:A="2021-01"), 0))), "Left", "Ativo")</f>
        <v>Ativo</v>
      </c>
      <c r="D4835" s="10" t="str" cm="1">
        <f t="array" ref="D4835">IF(AND(A4835="2021-01", ISNA(MATCH(B4835, _xlfn._xlws.FILTER(B:B, A:A="2021-02"), 0))), "Left", "Ativo")</f>
        <v>Ativo</v>
      </c>
      <c r="E4835" s="10" t="str" cm="1">
        <f t="array" ref="E4835">IF(AND(A4835="2021-02", ISNA(MATCH(B4835, _xlfn._xlws.FILTER(B:B, A:A="2021-03"), 0))), "Left", "Ativo")</f>
        <v>Ativo</v>
      </c>
      <c r="F4835" s="12" t="str" cm="1">
        <f t="array" ref="F4835">IF(AND(A4835="2021-03", ISNA(MATCH(B4835, _xlfn._xlws.FILTER(B:B, A:A="2021-04"), 0))), "Left", "Ativo")</f>
        <v>Ativo</v>
      </c>
    </row>
    <row r="4836" spans="1:6" x14ac:dyDescent="0.25">
      <c r="A4836" t="s">
        <v>1532</v>
      </c>
      <c r="B4836" t="s">
        <v>882</v>
      </c>
      <c r="C4836" s="10" t="str" cm="1">
        <f t="array" ref="C4836">IF(AND(A4836="2020-12", ISNA(MATCH(B4836, _xlfn._xlws.FILTER(B:B, A:A="2021-01"), 0))), "Left", "Ativo")</f>
        <v>Ativo</v>
      </c>
      <c r="D4836" s="10" t="str" cm="1">
        <f t="array" ref="D4836">IF(AND(A4836="2021-01", ISNA(MATCH(B4836, _xlfn._xlws.FILTER(B:B, A:A="2021-02"), 0))), "Left", "Ativo")</f>
        <v>Ativo</v>
      </c>
      <c r="E4836" s="10" t="str" cm="1">
        <f t="array" ref="E4836">IF(AND(A4836="2021-02", ISNA(MATCH(B4836, _xlfn._xlws.FILTER(B:B, A:A="2021-03"), 0))), "Left", "Ativo")</f>
        <v>Ativo</v>
      </c>
      <c r="F4836" s="12" t="str" cm="1">
        <f t="array" ref="F4836">IF(AND(A4836="2021-03", ISNA(MATCH(B4836, _xlfn._xlws.FILTER(B:B, A:A="2021-04"), 0))), "Left", "Ativo")</f>
        <v>Ativo</v>
      </c>
    </row>
    <row r="4837" spans="1:6" x14ac:dyDescent="0.25">
      <c r="A4837" t="s">
        <v>1532</v>
      </c>
      <c r="B4837" t="s">
        <v>883</v>
      </c>
      <c r="C4837" s="10" t="str" cm="1">
        <f t="array" ref="C4837">IF(AND(A4837="2020-12", ISNA(MATCH(B4837, _xlfn._xlws.FILTER(B:B, A:A="2021-01"), 0))), "Left", "Ativo")</f>
        <v>Ativo</v>
      </c>
      <c r="D4837" s="10" t="str" cm="1">
        <f t="array" ref="D4837">IF(AND(A4837="2021-01", ISNA(MATCH(B4837, _xlfn._xlws.FILTER(B:B, A:A="2021-02"), 0))), "Left", "Ativo")</f>
        <v>Ativo</v>
      </c>
      <c r="E4837" s="10" t="str" cm="1">
        <f t="array" ref="E4837">IF(AND(A4837="2021-02", ISNA(MATCH(B4837, _xlfn._xlws.FILTER(B:B, A:A="2021-03"), 0))), "Left", "Ativo")</f>
        <v>Ativo</v>
      </c>
      <c r="F4837" s="12" t="str" cm="1">
        <f t="array" ref="F4837">IF(AND(A4837="2021-03", ISNA(MATCH(B4837, _xlfn._xlws.FILTER(B:B, A:A="2021-04"), 0))), "Left", "Ativo")</f>
        <v>Ativo</v>
      </c>
    </row>
    <row r="4838" spans="1:6" x14ac:dyDescent="0.25">
      <c r="A4838" t="s">
        <v>1532</v>
      </c>
      <c r="B4838" t="s">
        <v>884</v>
      </c>
      <c r="C4838" s="10" t="str" cm="1">
        <f t="array" ref="C4838">IF(AND(A4838="2020-12", ISNA(MATCH(B4838, _xlfn._xlws.FILTER(B:B, A:A="2021-01"), 0))), "Left", "Ativo")</f>
        <v>Ativo</v>
      </c>
      <c r="D4838" s="10" t="str" cm="1">
        <f t="array" ref="D4838">IF(AND(A4838="2021-01", ISNA(MATCH(B4838, _xlfn._xlws.FILTER(B:B, A:A="2021-02"), 0))), "Left", "Ativo")</f>
        <v>Ativo</v>
      </c>
      <c r="E4838" s="10" t="str" cm="1">
        <f t="array" ref="E4838">IF(AND(A4838="2021-02", ISNA(MATCH(B4838, _xlfn._xlws.FILTER(B:B, A:A="2021-03"), 0))), "Left", "Ativo")</f>
        <v>Ativo</v>
      </c>
      <c r="F4838" s="12" t="str" cm="1">
        <f t="array" ref="F4838">IF(AND(A4838="2021-03", ISNA(MATCH(B4838, _xlfn._xlws.FILTER(B:B, A:A="2021-04"), 0))), "Left", "Ativo")</f>
        <v>Ativo</v>
      </c>
    </row>
    <row r="4839" spans="1:6" x14ac:dyDescent="0.25">
      <c r="A4839" t="s">
        <v>1532</v>
      </c>
      <c r="B4839" t="s">
        <v>885</v>
      </c>
      <c r="C4839" s="10" t="str" cm="1">
        <f t="array" ref="C4839">IF(AND(A4839="2020-12", ISNA(MATCH(B4839, _xlfn._xlws.FILTER(B:B, A:A="2021-01"), 0))), "Left", "Ativo")</f>
        <v>Ativo</v>
      </c>
      <c r="D4839" s="10" t="str" cm="1">
        <f t="array" ref="D4839">IF(AND(A4839="2021-01", ISNA(MATCH(B4839, _xlfn._xlws.FILTER(B:B, A:A="2021-02"), 0))), "Left", "Ativo")</f>
        <v>Ativo</v>
      </c>
      <c r="E4839" s="10" t="str" cm="1">
        <f t="array" ref="E4839">IF(AND(A4839="2021-02", ISNA(MATCH(B4839, _xlfn._xlws.FILTER(B:B, A:A="2021-03"), 0))), "Left", "Ativo")</f>
        <v>Ativo</v>
      </c>
      <c r="F4839" s="12" t="str" cm="1">
        <f t="array" ref="F4839">IF(AND(A4839="2021-03", ISNA(MATCH(B4839, _xlfn._xlws.FILTER(B:B, A:A="2021-04"), 0))), "Left", "Ativo")</f>
        <v>Ativo</v>
      </c>
    </row>
    <row r="4840" spans="1:6" x14ac:dyDescent="0.25">
      <c r="A4840" t="s">
        <v>1532</v>
      </c>
      <c r="B4840" t="s">
        <v>886</v>
      </c>
      <c r="C4840" s="10" t="str" cm="1">
        <f t="array" ref="C4840">IF(AND(A4840="2020-12", ISNA(MATCH(B4840, _xlfn._xlws.FILTER(B:B, A:A="2021-01"), 0))), "Left", "Ativo")</f>
        <v>Ativo</v>
      </c>
      <c r="D4840" s="10" t="str" cm="1">
        <f t="array" ref="D4840">IF(AND(A4840="2021-01", ISNA(MATCH(B4840, _xlfn._xlws.FILTER(B:B, A:A="2021-02"), 0))), "Left", "Ativo")</f>
        <v>Ativo</v>
      </c>
      <c r="E4840" s="10" t="str" cm="1">
        <f t="array" ref="E4840">IF(AND(A4840="2021-02", ISNA(MATCH(B4840, _xlfn._xlws.FILTER(B:B, A:A="2021-03"), 0))), "Left", "Ativo")</f>
        <v>Ativo</v>
      </c>
      <c r="F4840" s="12" t="str" cm="1">
        <f t="array" ref="F4840">IF(AND(A4840="2021-03", ISNA(MATCH(B4840, _xlfn._xlws.FILTER(B:B, A:A="2021-04"), 0))), "Left", "Ativo")</f>
        <v>Ativo</v>
      </c>
    </row>
    <row r="4841" spans="1:6" x14ac:dyDescent="0.25">
      <c r="A4841" t="s">
        <v>1532</v>
      </c>
      <c r="B4841" t="s">
        <v>887</v>
      </c>
      <c r="C4841" s="10" t="str" cm="1">
        <f t="array" ref="C4841">IF(AND(A4841="2020-12", ISNA(MATCH(B4841, _xlfn._xlws.FILTER(B:B, A:A="2021-01"), 0))), "Left", "Ativo")</f>
        <v>Ativo</v>
      </c>
      <c r="D4841" s="10" t="str" cm="1">
        <f t="array" ref="D4841">IF(AND(A4841="2021-01", ISNA(MATCH(B4841, _xlfn._xlws.FILTER(B:B, A:A="2021-02"), 0))), "Left", "Ativo")</f>
        <v>Ativo</v>
      </c>
      <c r="E4841" s="10" t="str" cm="1">
        <f t="array" ref="E4841">IF(AND(A4841="2021-02", ISNA(MATCH(B4841, _xlfn._xlws.FILTER(B:B, A:A="2021-03"), 0))), "Left", "Ativo")</f>
        <v>Ativo</v>
      </c>
      <c r="F4841" s="12" t="str" cm="1">
        <f t="array" ref="F4841">IF(AND(A4841="2021-03", ISNA(MATCH(B4841, _xlfn._xlws.FILTER(B:B, A:A="2021-04"), 0))), "Left", "Ativo")</f>
        <v>Ativo</v>
      </c>
    </row>
    <row r="4842" spans="1:6" x14ac:dyDescent="0.25">
      <c r="A4842" t="s">
        <v>1532</v>
      </c>
      <c r="B4842" t="s">
        <v>888</v>
      </c>
      <c r="C4842" s="10" t="str" cm="1">
        <f t="array" ref="C4842">IF(AND(A4842="2020-12", ISNA(MATCH(B4842, _xlfn._xlws.FILTER(B:B, A:A="2021-01"), 0))), "Left", "Ativo")</f>
        <v>Ativo</v>
      </c>
      <c r="D4842" s="10" t="str" cm="1">
        <f t="array" ref="D4842">IF(AND(A4842="2021-01", ISNA(MATCH(B4842, _xlfn._xlws.FILTER(B:B, A:A="2021-02"), 0))), "Left", "Ativo")</f>
        <v>Ativo</v>
      </c>
      <c r="E4842" s="10" t="str" cm="1">
        <f t="array" ref="E4842">IF(AND(A4842="2021-02", ISNA(MATCH(B4842, _xlfn._xlws.FILTER(B:B, A:A="2021-03"), 0))), "Left", "Ativo")</f>
        <v>Ativo</v>
      </c>
      <c r="F4842" s="12" t="str" cm="1">
        <f t="array" ref="F4842">IF(AND(A4842="2021-03", ISNA(MATCH(B4842, _xlfn._xlws.FILTER(B:B, A:A="2021-04"), 0))), "Left", "Ativo")</f>
        <v>Ativo</v>
      </c>
    </row>
    <row r="4843" spans="1:6" x14ac:dyDescent="0.25">
      <c r="A4843" t="s">
        <v>1532</v>
      </c>
      <c r="B4843" t="s">
        <v>889</v>
      </c>
      <c r="C4843" s="10" t="str" cm="1">
        <f t="array" ref="C4843">IF(AND(A4843="2020-12", ISNA(MATCH(B4843, _xlfn._xlws.FILTER(B:B, A:A="2021-01"), 0))), "Left", "Ativo")</f>
        <v>Ativo</v>
      </c>
      <c r="D4843" s="10" t="str" cm="1">
        <f t="array" ref="D4843">IF(AND(A4843="2021-01", ISNA(MATCH(B4843, _xlfn._xlws.FILTER(B:B, A:A="2021-02"), 0))), "Left", "Ativo")</f>
        <v>Ativo</v>
      </c>
      <c r="E4843" s="10" t="str" cm="1">
        <f t="array" ref="E4843">IF(AND(A4843="2021-02", ISNA(MATCH(B4843, _xlfn._xlws.FILTER(B:B, A:A="2021-03"), 0))), "Left", "Ativo")</f>
        <v>Ativo</v>
      </c>
      <c r="F4843" s="12" t="str" cm="1">
        <f t="array" ref="F4843">IF(AND(A4843="2021-03", ISNA(MATCH(B4843, _xlfn._xlws.FILTER(B:B, A:A="2021-04"), 0))), "Left", "Ativo")</f>
        <v>Ativo</v>
      </c>
    </row>
    <row r="4844" spans="1:6" x14ac:dyDescent="0.25">
      <c r="A4844" t="s">
        <v>1532</v>
      </c>
      <c r="B4844" t="s">
        <v>890</v>
      </c>
      <c r="C4844" s="10" t="str" cm="1">
        <f t="array" ref="C4844">IF(AND(A4844="2020-12", ISNA(MATCH(B4844, _xlfn._xlws.FILTER(B:B, A:A="2021-01"), 0))), "Left", "Ativo")</f>
        <v>Ativo</v>
      </c>
      <c r="D4844" s="10" t="str" cm="1">
        <f t="array" ref="D4844">IF(AND(A4844="2021-01", ISNA(MATCH(B4844, _xlfn._xlws.FILTER(B:B, A:A="2021-02"), 0))), "Left", "Ativo")</f>
        <v>Ativo</v>
      </c>
      <c r="E4844" s="10" t="str" cm="1">
        <f t="array" ref="E4844">IF(AND(A4844="2021-02", ISNA(MATCH(B4844, _xlfn._xlws.FILTER(B:B, A:A="2021-03"), 0))), "Left", "Ativo")</f>
        <v>Ativo</v>
      </c>
      <c r="F4844" s="12" t="str" cm="1">
        <f t="array" ref="F4844">IF(AND(A4844="2021-03", ISNA(MATCH(B4844, _xlfn._xlws.FILTER(B:B, A:A="2021-04"), 0))), "Left", "Ativo")</f>
        <v>Ativo</v>
      </c>
    </row>
    <row r="4845" spans="1:6" x14ac:dyDescent="0.25">
      <c r="A4845" t="s">
        <v>1532</v>
      </c>
      <c r="B4845" t="s">
        <v>891</v>
      </c>
      <c r="C4845" s="10" t="str" cm="1">
        <f t="array" ref="C4845">IF(AND(A4845="2020-12", ISNA(MATCH(B4845, _xlfn._xlws.FILTER(B:B, A:A="2021-01"), 0))), "Left", "Ativo")</f>
        <v>Ativo</v>
      </c>
      <c r="D4845" s="10" t="str" cm="1">
        <f t="array" ref="D4845">IF(AND(A4845="2021-01", ISNA(MATCH(B4845, _xlfn._xlws.FILTER(B:B, A:A="2021-02"), 0))), "Left", "Ativo")</f>
        <v>Ativo</v>
      </c>
      <c r="E4845" s="10" t="str" cm="1">
        <f t="array" ref="E4845">IF(AND(A4845="2021-02", ISNA(MATCH(B4845, _xlfn._xlws.FILTER(B:B, A:A="2021-03"), 0))), "Left", "Ativo")</f>
        <v>Ativo</v>
      </c>
      <c r="F4845" s="12" t="str" cm="1">
        <f t="array" ref="F4845">IF(AND(A4845="2021-03", ISNA(MATCH(B4845, _xlfn._xlws.FILTER(B:B, A:A="2021-04"), 0))), "Left", "Ativo")</f>
        <v>Ativo</v>
      </c>
    </row>
    <row r="4846" spans="1:6" x14ac:dyDescent="0.25">
      <c r="A4846" t="s">
        <v>1532</v>
      </c>
      <c r="B4846" t="s">
        <v>892</v>
      </c>
      <c r="C4846" s="10" t="str" cm="1">
        <f t="array" ref="C4846">IF(AND(A4846="2020-12", ISNA(MATCH(B4846, _xlfn._xlws.FILTER(B:B, A:A="2021-01"), 0))), "Left", "Ativo")</f>
        <v>Ativo</v>
      </c>
      <c r="D4846" s="10" t="str" cm="1">
        <f t="array" ref="D4846">IF(AND(A4846="2021-01", ISNA(MATCH(B4846, _xlfn._xlws.FILTER(B:B, A:A="2021-02"), 0))), "Left", "Ativo")</f>
        <v>Ativo</v>
      </c>
      <c r="E4846" s="10" t="str" cm="1">
        <f t="array" ref="E4846">IF(AND(A4846="2021-02", ISNA(MATCH(B4846, _xlfn._xlws.FILTER(B:B, A:A="2021-03"), 0))), "Left", "Ativo")</f>
        <v>Ativo</v>
      </c>
      <c r="F4846" s="12" t="str" cm="1">
        <f t="array" ref="F4846">IF(AND(A4846="2021-03", ISNA(MATCH(B4846, _xlfn._xlws.FILTER(B:B, A:A="2021-04"), 0))), "Left", "Ativo")</f>
        <v>Ativo</v>
      </c>
    </row>
    <row r="4847" spans="1:6" x14ac:dyDescent="0.25">
      <c r="A4847" t="s">
        <v>1532</v>
      </c>
      <c r="B4847" t="s">
        <v>893</v>
      </c>
      <c r="C4847" s="10" t="str" cm="1">
        <f t="array" ref="C4847">IF(AND(A4847="2020-12", ISNA(MATCH(B4847, _xlfn._xlws.FILTER(B:B, A:A="2021-01"), 0))), "Left", "Ativo")</f>
        <v>Ativo</v>
      </c>
      <c r="D4847" s="10" t="str" cm="1">
        <f t="array" ref="D4847">IF(AND(A4847="2021-01", ISNA(MATCH(B4847, _xlfn._xlws.FILTER(B:B, A:A="2021-02"), 0))), "Left", "Ativo")</f>
        <v>Ativo</v>
      </c>
      <c r="E4847" s="10" t="str" cm="1">
        <f t="array" ref="E4847">IF(AND(A4847="2021-02", ISNA(MATCH(B4847, _xlfn._xlws.FILTER(B:B, A:A="2021-03"), 0))), "Left", "Ativo")</f>
        <v>Ativo</v>
      </c>
      <c r="F4847" s="12" t="str" cm="1">
        <f t="array" ref="F4847">IF(AND(A4847="2021-03", ISNA(MATCH(B4847, _xlfn._xlws.FILTER(B:B, A:A="2021-04"), 0))), "Left", "Ativo")</f>
        <v>Ativo</v>
      </c>
    </row>
    <row r="4848" spans="1:6" x14ac:dyDescent="0.25">
      <c r="A4848" t="s">
        <v>1532</v>
      </c>
      <c r="B4848" t="s">
        <v>894</v>
      </c>
      <c r="C4848" s="10" t="str" cm="1">
        <f t="array" ref="C4848">IF(AND(A4848="2020-12", ISNA(MATCH(B4848, _xlfn._xlws.FILTER(B:B, A:A="2021-01"), 0))), "Left", "Ativo")</f>
        <v>Ativo</v>
      </c>
      <c r="D4848" s="10" t="str" cm="1">
        <f t="array" ref="D4848">IF(AND(A4848="2021-01", ISNA(MATCH(B4848, _xlfn._xlws.FILTER(B:B, A:A="2021-02"), 0))), "Left", "Ativo")</f>
        <v>Ativo</v>
      </c>
      <c r="E4848" s="10" t="str" cm="1">
        <f t="array" ref="E4848">IF(AND(A4848="2021-02", ISNA(MATCH(B4848, _xlfn._xlws.FILTER(B:B, A:A="2021-03"), 0))), "Left", "Ativo")</f>
        <v>Ativo</v>
      </c>
      <c r="F4848" s="12" t="str" cm="1">
        <f t="array" ref="F4848">IF(AND(A4848="2021-03", ISNA(MATCH(B4848, _xlfn._xlws.FILTER(B:B, A:A="2021-04"), 0))), "Left", "Ativo")</f>
        <v>Ativo</v>
      </c>
    </row>
    <row r="4849" spans="1:6" x14ac:dyDescent="0.25">
      <c r="A4849" t="s">
        <v>1532</v>
      </c>
      <c r="B4849" t="s">
        <v>895</v>
      </c>
      <c r="C4849" s="10" t="str" cm="1">
        <f t="array" ref="C4849">IF(AND(A4849="2020-12", ISNA(MATCH(B4849, _xlfn._xlws.FILTER(B:B, A:A="2021-01"), 0))), "Left", "Ativo")</f>
        <v>Ativo</v>
      </c>
      <c r="D4849" s="10" t="str" cm="1">
        <f t="array" ref="D4849">IF(AND(A4849="2021-01", ISNA(MATCH(B4849, _xlfn._xlws.FILTER(B:B, A:A="2021-02"), 0))), "Left", "Ativo")</f>
        <v>Ativo</v>
      </c>
      <c r="E4849" s="10" t="str" cm="1">
        <f t="array" ref="E4849">IF(AND(A4849="2021-02", ISNA(MATCH(B4849, _xlfn._xlws.FILTER(B:B, A:A="2021-03"), 0))), "Left", "Ativo")</f>
        <v>Ativo</v>
      </c>
      <c r="F4849" s="12" t="str" cm="1">
        <f t="array" ref="F4849">IF(AND(A4849="2021-03", ISNA(MATCH(B4849, _xlfn._xlws.FILTER(B:B, A:A="2021-04"), 0))), "Left", "Ativo")</f>
        <v>Ativo</v>
      </c>
    </row>
    <row r="4850" spans="1:6" x14ac:dyDescent="0.25">
      <c r="A4850" t="s">
        <v>1532</v>
      </c>
      <c r="B4850" t="s">
        <v>896</v>
      </c>
      <c r="C4850" s="10" t="str" cm="1">
        <f t="array" ref="C4850">IF(AND(A4850="2020-12", ISNA(MATCH(B4850, _xlfn._xlws.FILTER(B:B, A:A="2021-01"), 0))), "Left", "Ativo")</f>
        <v>Ativo</v>
      </c>
      <c r="D4850" s="10" t="str" cm="1">
        <f t="array" ref="D4850">IF(AND(A4850="2021-01", ISNA(MATCH(B4850, _xlfn._xlws.FILTER(B:B, A:A="2021-02"), 0))), "Left", "Ativo")</f>
        <v>Ativo</v>
      </c>
      <c r="E4850" s="10" t="str" cm="1">
        <f t="array" ref="E4850">IF(AND(A4850="2021-02", ISNA(MATCH(B4850, _xlfn._xlws.FILTER(B:B, A:A="2021-03"), 0))), "Left", "Ativo")</f>
        <v>Ativo</v>
      </c>
      <c r="F4850" s="12" t="str" cm="1">
        <f t="array" ref="F4850">IF(AND(A4850="2021-03", ISNA(MATCH(B4850, _xlfn._xlws.FILTER(B:B, A:A="2021-04"), 0))), "Left", "Ativo")</f>
        <v>Ativo</v>
      </c>
    </row>
    <row r="4851" spans="1:6" x14ac:dyDescent="0.25">
      <c r="A4851" t="s">
        <v>1532</v>
      </c>
      <c r="B4851" t="s">
        <v>897</v>
      </c>
      <c r="C4851" s="10" t="str" cm="1">
        <f t="array" ref="C4851">IF(AND(A4851="2020-12", ISNA(MATCH(B4851, _xlfn._xlws.FILTER(B:B, A:A="2021-01"), 0))), "Left", "Ativo")</f>
        <v>Ativo</v>
      </c>
      <c r="D4851" s="10" t="str" cm="1">
        <f t="array" ref="D4851">IF(AND(A4851="2021-01", ISNA(MATCH(B4851, _xlfn._xlws.FILTER(B:B, A:A="2021-02"), 0))), "Left", "Ativo")</f>
        <v>Ativo</v>
      </c>
      <c r="E4851" s="10" t="str" cm="1">
        <f t="array" ref="E4851">IF(AND(A4851="2021-02", ISNA(MATCH(B4851, _xlfn._xlws.FILTER(B:B, A:A="2021-03"), 0))), "Left", "Ativo")</f>
        <v>Ativo</v>
      </c>
      <c r="F4851" s="12" t="str" cm="1">
        <f t="array" ref="F4851">IF(AND(A4851="2021-03", ISNA(MATCH(B4851, _xlfn._xlws.FILTER(B:B, A:A="2021-04"), 0))), "Left", "Ativo")</f>
        <v>Ativo</v>
      </c>
    </row>
    <row r="4852" spans="1:6" x14ac:dyDescent="0.25">
      <c r="A4852" t="s">
        <v>1532</v>
      </c>
      <c r="B4852" t="s">
        <v>898</v>
      </c>
      <c r="C4852" s="10" t="str" cm="1">
        <f t="array" ref="C4852">IF(AND(A4852="2020-12", ISNA(MATCH(B4852, _xlfn._xlws.FILTER(B:B, A:A="2021-01"), 0))), "Left", "Ativo")</f>
        <v>Ativo</v>
      </c>
      <c r="D4852" s="10" t="str" cm="1">
        <f t="array" ref="D4852">IF(AND(A4852="2021-01", ISNA(MATCH(B4852, _xlfn._xlws.FILTER(B:B, A:A="2021-02"), 0))), "Left", "Ativo")</f>
        <v>Ativo</v>
      </c>
      <c r="E4852" s="10" t="str" cm="1">
        <f t="array" ref="E4852">IF(AND(A4852="2021-02", ISNA(MATCH(B4852, _xlfn._xlws.FILTER(B:B, A:A="2021-03"), 0))), "Left", "Ativo")</f>
        <v>Ativo</v>
      </c>
      <c r="F4852" s="12" t="str" cm="1">
        <f t="array" ref="F4852">IF(AND(A4852="2021-03", ISNA(MATCH(B4852, _xlfn._xlws.FILTER(B:B, A:A="2021-04"), 0))), "Left", "Ativo")</f>
        <v>Ativo</v>
      </c>
    </row>
    <row r="4853" spans="1:6" x14ac:dyDescent="0.25">
      <c r="A4853" t="s">
        <v>1532</v>
      </c>
      <c r="B4853" t="s">
        <v>899</v>
      </c>
      <c r="C4853" s="10" t="str" cm="1">
        <f t="array" ref="C4853">IF(AND(A4853="2020-12", ISNA(MATCH(B4853, _xlfn._xlws.FILTER(B:B, A:A="2021-01"), 0))), "Left", "Ativo")</f>
        <v>Ativo</v>
      </c>
      <c r="D4853" s="10" t="str" cm="1">
        <f t="array" ref="D4853">IF(AND(A4853="2021-01", ISNA(MATCH(B4853, _xlfn._xlws.FILTER(B:B, A:A="2021-02"), 0))), "Left", "Ativo")</f>
        <v>Ativo</v>
      </c>
      <c r="E4853" s="10" t="str" cm="1">
        <f t="array" ref="E4853">IF(AND(A4853="2021-02", ISNA(MATCH(B4853, _xlfn._xlws.FILTER(B:B, A:A="2021-03"), 0))), "Left", "Ativo")</f>
        <v>Ativo</v>
      </c>
      <c r="F4853" s="12" t="str" cm="1">
        <f t="array" ref="F4853">IF(AND(A4853="2021-03", ISNA(MATCH(B4853, _xlfn._xlws.FILTER(B:B, A:A="2021-04"), 0))), "Left", "Ativo")</f>
        <v>Ativo</v>
      </c>
    </row>
    <row r="4854" spans="1:6" x14ac:dyDescent="0.25">
      <c r="A4854" t="s">
        <v>1532</v>
      </c>
      <c r="B4854" t="s">
        <v>900</v>
      </c>
      <c r="C4854" s="10" t="str" cm="1">
        <f t="array" ref="C4854">IF(AND(A4854="2020-12", ISNA(MATCH(B4854, _xlfn._xlws.FILTER(B:B, A:A="2021-01"), 0))), "Left", "Ativo")</f>
        <v>Ativo</v>
      </c>
      <c r="D4854" s="10" t="str" cm="1">
        <f t="array" ref="D4854">IF(AND(A4854="2021-01", ISNA(MATCH(B4854, _xlfn._xlws.FILTER(B:B, A:A="2021-02"), 0))), "Left", "Ativo")</f>
        <v>Ativo</v>
      </c>
      <c r="E4854" s="10" t="str" cm="1">
        <f t="array" ref="E4854">IF(AND(A4854="2021-02", ISNA(MATCH(B4854, _xlfn._xlws.FILTER(B:B, A:A="2021-03"), 0))), "Left", "Ativo")</f>
        <v>Ativo</v>
      </c>
      <c r="F4854" s="12" t="str" cm="1">
        <f t="array" ref="F4854">IF(AND(A4854="2021-03", ISNA(MATCH(B4854, _xlfn._xlws.FILTER(B:B, A:A="2021-04"), 0))), "Left", "Ativo")</f>
        <v>Ativo</v>
      </c>
    </row>
    <row r="4855" spans="1:6" x14ac:dyDescent="0.25">
      <c r="A4855" t="s">
        <v>1532</v>
      </c>
      <c r="B4855" t="s">
        <v>901</v>
      </c>
      <c r="C4855" s="10" t="str" cm="1">
        <f t="array" ref="C4855">IF(AND(A4855="2020-12", ISNA(MATCH(B4855, _xlfn._xlws.FILTER(B:B, A:A="2021-01"), 0))), "Left", "Ativo")</f>
        <v>Ativo</v>
      </c>
      <c r="D4855" s="10" t="str" cm="1">
        <f t="array" ref="D4855">IF(AND(A4855="2021-01", ISNA(MATCH(B4855, _xlfn._xlws.FILTER(B:B, A:A="2021-02"), 0))), "Left", "Ativo")</f>
        <v>Ativo</v>
      </c>
      <c r="E4855" s="10" t="str" cm="1">
        <f t="array" ref="E4855">IF(AND(A4855="2021-02", ISNA(MATCH(B4855, _xlfn._xlws.FILTER(B:B, A:A="2021-03"), 0))), "Left", "Ativo")</f>
        <v>Ativo</v>
      </c>
      <c r="F4855" s="12" t="str" cm="1">
        <f t="array" ref="F4855">IF(AND(A4855="2021-03", ISNA(MATCH(B4855, _xlfn._xlws.FILTER(B:B, A:A="2021-04"), 0))), "Left", "Ativo")</f>
        <v>Ativo</v>
      </c>
    </row>
    <row r="4856" spans="1:6" x14ac:dyDescent="0.25">
      <c r="A4856" t="s">
        <v>1532</v>
      </c>
      <c r="B4856" t="s">
        <v>902</v>
      </c>
      <c r="C4856" s="10" t="str" cm="1">
        <f t="array" ref="C4856">IF(AND(A4856="2020-12", ISNA(MATCH(B4856, _xlfn._xlws.FILTER(B:B, A:A="2021-01"), 0))), "Left", "Ativo")</f>
        <v>Ativo</v>
      </c>
      <c r="D4856" s="10" t="str" cm="1">
        <f t="array" ref="D4856">IF(AND(A4856="2021-01", ISNA(MATCH(B4856, _xlfn._xlws.FILTER(B:B, A:A="2021-02"), 0))), "Left", "Ativo")</f>
        <v>Ativo</v>
      </c>
      <c r="E4856" s="10" t="str" cm="1">
        <f t="array" ref="E4856">IF(AND(A4856="2021-02", ISNA(MATCH(B4856, _xlfn._xlws.FILTER(B:B, A:A="2021-03"), 0))), "Left", "Ativo")</f>
        <v>Ativo</v>
      </c>
      <c r="F4856" s="12" t="str" cm="1">
        <f t="array" ref="F4856">IF(AND(A4856="2021-03", ISNA(MATCH(B4856, _xlfn._xlws.FILTER(B:B, A:A="2021-04"), 0))), "Left", "Ativo")</f>
        <v>Ativo</v>
      </c>
    </row>
    <row r="4857" spans="1:6" x14ac:dyDescent="0.25">
      <c r="A4857" t="s">
        <v>1532</v>
      </c>
      <c r="B4857" t="s">
        <v>903</v>
      </c>
      <c r="C4857" s="10" t="str" cm="1">
        <f t="array" ref="C4857">IF(AND(A4857="2020-12", ISNA(MATCH(B4857, _xlfn._xlws.FILTER(B:B, A:A="2021-01"), 0))), "Left", "Ativo")</f>
        <v>Ativo</v>
      </c>
      <c r="D4857" s="10" t="str" cm="1">
        <f t="array" ref="D4857">IF(AND(A4857="2021-01", ISNA(MATCH(B4857, _xlfn._xlws.FILTER(B:B, A:A="2021-02"), 0))), "Left", "Ativo")</f>
        <v>Ativo</v>
      </c>
      <c r="E4857" s="10" t="str" cm="1">
        <f t="array" ref="E4857">IF(AND(A4857="2021-02", ISNA(MATCH(B4857, _xlfn._xlws.FILTER(B:B, A:A="2021-03"), 0))), "Left", "Ativo")</f>
        <v>Ativo</v>
      </c>
      <c r="F4857" s="12" t="str" cm="1">
        <f t="array" ref="F4857">IF(AND(A4857="2021-03", ISNA(MATCH(B4857, _xlfn._xlws.FILTER(B:B, A:A="2021-04"), 0))), "Left", "Ativo")</f>
        <v>Ativo</v>
      </c>
    </row>
    <row r="4858" spans="1:6" x14ac:dyDescent="0.25">
      <c r="A4858" t="s">
        <v>1532</v>
      </c>
      <c r="B4858" t="s">
        <v>904</v>
      </c>
      <c r="C4858" s="10" t="str" cm="1">
        <f t="array" ref="C4858">IF(AND(A4858="2020-12", ISNA(MATCH(B4858, _xlfn._xlws.FILTER(B:B, A:A="2021-01"), 0))), "Left", "Ativo")</f>
        <v>Ativo</v>
      </c>
      <c r="D4858" s="10" t="str" cm="1">
        <f t="array" ref="D4858">IF(AND(A4858="2021-01", ISNA(MATCH(B4858, _xlfn._xlws.FILTER(B:B, A:A="2021-02"), 0))), "Left", "Ativo")</f>
        <v>Ativo</v>
      </c>
      <c r="E4858" s="10" t="str" cm="1">
        <f t="array" ref="E4858">IF(AND(A4858="2021-02", ISNA(MATCH(B4858, _xlfn._xlws.FILTER(B:B, A:A="2021-03"), 0))), "Left", "Ativo")</f>
        <v>Ativo</v>
      </c>
      <c r="F4858" s="12" t="str" cm="1">
        <f t="array" ref="F4858">IF(AND(A4858="2021-03", ISNA(MATCH(B4858, _xlfn._xlws.FILTER(B:B, A:A="2021-04"), 0))), "Left", "Ativo")</f>
        <v>Ativo</v>
      </c>
    </row>
    <row r="4859" spans="1:6" x14ac:dyDescent="0.25">
      <c r="A4859" t="s">
        <v>1532</v>
      </c>
      <c r="B4859" t="s">
        <v>905</v>
      </c>
      <c r="C4859" s="10" t="str" cm="1">
        <f t="array" ref="C4859">IF(AND(A4859="2020-12", ISNA(MATCH(B4859, _xlfn._xlws.FILTER(B:B, A:A="2021-01"), 0))), "Left", "Ativo")</f>
        <v>Ativo</v>
      </c>
      <c r="D4859" s="10" t="str" cm="1">
        <f t="array" ref="D4859">IF(AND(A4859="2021-01", ISNA(MATCH(B4859, _xlfn._xlws.FILTER(B:B, A:A="2021-02"), 0))), "Left", "Ativo")</f>
        <v>Ativo</v>
      </c>
      <c r="E4859" s="10" t="str" cm="1">
        <f t="array" ref="E4859">IF(AND(A4859="2021-02", ISNA(MATCH(B4859, _xlfn._xlws.FILTER(B:B, A:A="2021-03"), 0))), "Left", "Ativo")</f>
        <v>Ativo</v>
      </c>
      <c r="F4859" s="12" t="str" cm="1">
        <f t="array" ref="F4859">IF(AND(A4859="2021-03", ISNA(MATCH(B4859, _xlfn._xlws.FILTER(B:B, A:A="2021-04"), 0))), "Left", "Ativo")</f>
        <v>Ativo</v>
      </c>
    </row>
    <row r="4860" spans="1:6" x14ac:dyDescent="0.25">
      <c r="A4860" t="s">
        <v>1532</v>
      </c>
      <c r="B4860" t="s">
        <v>906</v>
      </c>
      <c r="C4860" s="10" t="str" cm="1">
        <f t="array" ref="C4860">IF(AND(A4860="2020-12", ISNA(MATCH(B4860, _xlfn._xlws.FILTER(B:B, A:A="2021-01"), 0))), "Left", "Ativo")</f>
        <v>Ativo</v>
      </c>
      <c r="D4860" s="10" t="str" cm="1">
        <f t="array" ref="D4860">IF(AND(A4860="2021-01", ISNA(MATCH(B4860, _xlfn._xlws.FILTER(B:B, A:A="2021-02"), 0))), "Left", "Ativo")</f>
        <v>Ativo</v>
      </c>
      <c r="E4860" s="10" t="str" cm="1">
        <f t="array" ref="E4860">IF(AND(A4860="2021-02", ISNA(MATCH(B4860, _xlfn._xlws.FILTER(B:B, A:A="2021-03"), 0))), "Left", "Ativo")</f>
        <v>Ativo</v>
      </c>
      <c r="F4860" s="12" t="str" cm="1">
        <f t="array" ref="F4860">IF(AND(A4860="2021-03", ISNA(MATCH(B4860, _xlfn._xlws.FILTER(B:B, A:A="2021-04"), 0))), "Left", "Ativo")</f>
        <v>Ativo</v>
      </c>
    </row>
    <row r="4861" spans="1:6" x14ac:dyDescent="0.25">
      <c r="A4861" t="s">
        <v>1532</v>
      </c>
      <c r="B4861" t="s">
        <v>907</v>
      </c>
      <c r="C4861" s="10" t="str" cm="1">
        <f t="array" ref="C4861">IF(AND(A4861="2020-12", ISNA(MATCH(B4861, _xlfn._xlws.FILTER(B:B, A:A="2021-01"), 0))), "Left", "Ativo")</f>
        <v>Ativo</v>
      </c>
      <c r="D4861" s="10" t="str" cm="1">
        <f t="array" ref="D4861">IF(AND(A4861="2021-01", ISNA(MATCH(B4861, _xlfn._xlws.FILTER(B:B, A:A="2021-02"), 0))), "Left", "Ativo")</f>
        <v>Ativo</v>
      </c>
      <c r="E4861" s="10" t="str" cm="1">
        <f t="array" ref="E4861">IF(AND(A4861="2021-02", ISNA(MATCH(B4861, _xlfn._xlws.FILTER(B:B, A:A="2021-03"), 0))), "Left", "Ativo")</f>
        <v>Ativo</v>
      </c>
      <c r="F4861" s="12" t="str" cm="1">
        <f t="array" ref="F4861">IF(AND(A4861="2021-03", ISNA(MATCH(B4861, _xlfn._xlws.FILTER(B:B, A:A="2021-04"), 0))), "Left", "Ativo")</f>
        <v>Ativo</v>
      </c>
    </row>
    <row r="4862" spans="1:6" x14ac:dyDescent="0.25">
      <c r="A4862" t="s">
        <v>1532</v>
      </c>
      <c r="B4862" t="s">
        <v>908</v>
      </c>
      <c r="C4862" s="10" t="str" cm="1">
        <f t="array" ref="C4862">IF(AND(A4862="2020-12", ISNA(MATCH(B4862, _xlfn._xlws.FILTER(B:B, A:A="2021-01"), 0))), "Left", "Ativo")</f>
        <v>Ativo</v>
      </c>
      <c r="D4862" s="10" t="str" cm="1">
        <f t="array" ref="D4862">IF(AND(A4862="2021-01", ISNA(MATCH(B4862, _xlfn._xlws.FILTER(B:B, A:A="2021-02"), 0))), "Left", "Ativo")</f>
        <v>Ativo</v>
      </c>
      <c r="E4862" s="10" t="str" cm="1">
        <f t="array" ref="E4862">IF(AND(A4862="2021-02", ISNA(MATCH(B4862, _xlfn._xlws.FILTER(B:B, A:A="2021-03"), 0))), "Left", "Ativo")</f>
        <v>Ativo</v>
      </c>
      <c r="F4862" s="12" t="str" cm="1">
        <f t="array" ref="F4862">IF(AND(A4862="2021-03", ISNA(MATCH(B4862, _xlfn._xlws.FILTER(B:B, A:A="2021-04"), 0))), "Left", "Ativo")</f>
        <v>Ativo</v>
      </c>
    </row>
    <row r="4863" spans="1:6" x14ac:dyDescent="0.25">
      <c r="A4863" t="s">
        <v>1532</v>
      </c>
      <c r="B4863" t="s">
        <v>909</v>
      </c>
      <c r="C4863" s="10" t="str" cm="1">
        <f t="array" ref="C4863">IF(AND(A4863="2020-12", ISNA(MATCH(B4863, _xlfn._xlws.FILTER(B:B, A:A="2021-01"), 0))), "Left", "Ativo")</f>
        <v>Ativo</v>
      </c>
      <c r="D4863" s="10" t="str" cm="1">
        <f t="array" ref="D4863">IF(AND(A4863="2021-01", ISNA(MATCH(B4863, _xlfn._xlws.FILTER(B:B, A:A="2021-02"), 0))), "Left", "Ativo")</f>
        <v>Ativo</v>
      </c>
      <c r="E4863" s="10" t="str" cm="1">
        <f t="array" ref="E4863">IF(AND(A4863="2021-02", ISNA(MATCH(B4863, _xlfn._xlws.FILTER(B:B, A:A="2021-03"), 0))), "Left", "Ativo")</f>
        <v>Ativo</v>
      </c>
      <c r="F4863" s="12" t="str" cm="1">
        <f t="array" ref="F4863">IF(AND(A4863="2021-03", ISNA(MATCH(B4863, _xlfn._xlws.FILTER(B:B, A:A="2021-04"), 0))), "Left", "Ativo")</f>
        <v>Ativo</v>
      </c>
    </row>
    <row r="4864" spans="1:6" x14ac:dyDescent="0.25">
      <c r="A4864" t="s">
        <v>1532</v>
      </c>
      <c r="B4864" t="s">
        <v>910</v>
      </c>
      <c r="C4864" s="10" t="str" cm="1">
        <f t="array" ref="C4864">IF(AND(A4864="2020-12", ISNA(MATCH(B4864, _xlfn._xlws.FILTER(B:B, A:A="2021-01"), 0))), "Left", "Ativo")</f>
        <v>Ativo</v>
      </c>
      <c r="D4864" s="10" t="str" cm="1">
        <f t="array" ref="D4864">IF(AND(A4864="2021-01", ISNA(MATCH(B4864, _xlfn._xlws.FILTER(B:B, A:A="2021-02"), 0))), "Left", "Ativo")</f>
        <v>Ativo</v>
      </c>
      <c r="E4864" s="10" t="str" cm="1">
        <f t="array" ref="E4864">IF(AND(A4864="2021-02", ISNA(MATCH(B4864, _xlfn._xlws.FILTER(B:B, A:A="2021-03"), 0))), "Left", "Ativo")</f>
        <v>Ativo</v>
      </c>
      <c r="F4864" s="12" t="str" cm="1">
        <f t="array" ref="F4864">IF(AND(A4864="2021-03", ISNA(MATCH(B4864, _xlfn._xlws.FILTER(B:B, A:A="2021-04"), 0))), "Left", "Ativo")</f>
        <v>Ativo</v>
      </c>
    </row>
    <row r="4865" spans="1:6" x14ac:dyDescent="0.25">
      <c r="A4865" t="s">
        <v>1532</v>
      </c>
      <c r="B4865" t="s">
        <v>911</v>
      </c>
      <c r="C4865" s="10" t="str" cm="1">
        <f t="array" ref="C4865">IF(AND(A4865="2020-12", ISNA(MATCH(B4865, _xlfn._xlws.FILTER(B:B, A:A="2021-01"), 0))), "Left", "Ativo")</f>
        <v>Ativo</v>
      </c>
      <c r="D4865" s="10" t="str" cm="1">
        <f t="array" ref="D4865">IF(AND(A4865="2021-01", ISNA(MATCH(B4865, _xlfn._xlws.FILTER(B:B, A:A="2021-02"), 0))), "Left", "Ativo")</f>
        <v>Ativo</v>
      </c>
      <c r="E4865" s="10" t="str" cm="1">
        <f t="array" ref="E4865">IF(AND(A4865="2021-02", ISNA(MATCH(B4865, _xlfn._xlws.FILTER(B:B, A:A="2021-03"), 0))), "Left", "Ativo")</f>
        <v>Ativo</v>
      </c>
      <c r="F4865" s="12" t="str" cm="1">
        <f t="array" ref="F4865">IF(AND(A4865="2021-03", ISNA(MATCH(B4865, _xlfn._xlws.FILTER(B:B, A:A="2021-04"), 0))), "Left", "Ativo")</f>
        <v>Ativo</v>
      </c>
    </row>
    <row r="4866" spans="1:6" x14ac:dyDescent="0.25">
      <c r="A4866" t="s">
        <v>1532</v>
      </c>
      <c r="B4866" t="s">
        <v>912</v>
      </c>
      <c r="C4866" s="10" t="str" cm="1">
        <f t="array" ref="C4866">IF(AND(A4866="2020-12", ISNA(MATCH(B4866, _xlfn._xlws.FILTER(B:B, A:A="2021-01"), 0))), "Left", "Ativo")</f>
        <v>Ativo</v>
      </c>
      <c r="D4866" s="10" t="str" cm="1">
        <f t="array" ref="D4866">IF(AND(A4866="2021-01", ISNA(MATCH(B4866, _xlfn._xlws.FILTER(B:B, A:A="2021-02"), 0))), "Left", "Ativo")</f>
        <v>Ativo</v>
      </c>
      <c r="E4866" s="10" t="str" cm="1">
        <f t="array" ref="E4866">IF(AND(A4866="2021-02", ISNA(MATCH(B4866, _xlfn._xlws.FILTER(B:B, A:A="2021-03"), 0))), "Left", "Ativo")</f>
        <v>Ativo</v>
      </c>
      <c r="F4866" s="12" t="str" cm="1">
        <f t="array" ref="F4866">IF(AND(A4866="2021-03", ISNA(MATCH(B4866, _xlfn._xlws.FILTER(B:B, A:A="2021-04"), 0))), "Left", "Ativo")</f>
        <v>Ativo</v>
      </c>
    </row>
    <row r="4867" spans="1:6" x14ac:dyDescent="0.25">
      <c r="A4867" t="s">
        <v>1532</v>
      </c>
      <c r="B4867" t="s">
        <v>913</v>
      </c>
      <c r="C4867" s="10" t="str" cm="1">
        <f t="array" ref="C4867">IF(AND(A4867="2020-12", ISNA(MATCH(B4867, _xlfn._xlws.FILTER(B:B, A:A="2021-01"), 0))), "Left", "Ativo")</f>
        <v>Ativo</v>
      </c>
      <c r="D4867" s="10" t="str" cm="1">
        <f t="array" ref="D4867">IF(AND(A4867="2021-01", ISNA(MATCH(B4867, _xlfn._xlws.FILTER(B:B, A:A="2021-02"), 0))), "Left", "Ativo")</f>
        <v>Ativo</v>
      </c>
      <c r="E4867" s="10" t="str" cm="1">
        <f t="array" ref="E4867">IF(AND(A4867="2021-02", ISNA(MATCH(B4867, _xlfn._xlws.FILTER(B:B, A:A="2021-03"), 0))), "Left", "Ativo")</f>
        <v>Ativo</v>
      </c>
      <c r="F4867" s="12" t="str" cm="1">
        <f t="array" ref="F4867">IF(AND(A4867="2021-03", ISNA(MATCH(B4867, _xlfn._xlws.FILTER(B:B, A:A="2021-04"), 0))), "Left", "Ativo")</f>
        <v>Ativo</v>
      </c>
    </row>
    <row r="4868" spans="1:6" x14ac:dyDescent="0.25">
      <c r="A4868" t="s">
        <v>1532</v>
      </c>
      <c r="B4868" t="s">
        <v>914</v>
      </c>
      <c r="C4868" s="10" t="str" cm="1">
        <f t="array" ref="C4868">IF(AND(A4868="2020-12", ISNA(MATCH(B4868, _xlfn._xlws.FILTER(B:B, A:A="2021-01"), 0))), "Left", "Ativo")</f>
        <v>Ativo</v>
      </c>
      <c r="D4868" s="10" t="str" cm="1">
        <f t="array" ref="D4868">IF(AND(A4868="2021-01", ISNA(MATCH(B4868, _xlfn._xlws.FILTER(B:B, A:A="2021-02"), 0))), "Left", "Ativo")</f>
        <v>Ativo</v>
      </c>
      <c r="E4868" s="10" t="str" cm="1">
        <f t="array" ref="E4868">IF(AND(A4868="2021-02", ISNA(MATCH(B4868, _xlfn._xlws.FILTER(B:B, A:A="2021-03"), 0))), "Left", "Ativo")</f>
        <v>Ativo</v>
      </c>
      <c r="F4868" s="12" t="str" cm="1">
        <f t="array" ref="F4868">IF(AND(A4868="2021-03", ISNA(MATCH(B4868, _xlfn._xlws.FILTER(B:B, A:A="2021-04"), 0))), "Left", "Ativo")</f>
        <v>Ativo</v>
      </c>
    </row>
    <row r="4869" spans="1:6" x14ac:dyDescent="0.25">
      <c r="A4869" t="s">
        <v>1532</v>
      </c>
      <c r="B4869" t="s">
        <v>915</v>
      </c>
      <c r="C4869" s="10" t="str" cm="1">
        <f t="array" ref="C4869">IF(AND(A4869="2020-12", ISNA(MATCH(B4869, _xlfn._xlws.FILTER(B:B, A:A="2021-01"), 0))), "Left", "Ativo")</f>
        <v>Ativo</v>
      </c>
      <c r="D4869" s="10" t="str" cm="1">
        <f t="array" ref="D4869">IF(AND(A4869="2021-01", ISNA(MATCH(B4869, _xlfn._xlws.FILTER(B:B, A:A="2021-02"), 0))), "Left", "Ativo")</f>
        <v>Ativo</v>
      </c>
      <c r="E4869" s="10" t="str" cm="1">
        <f t="array" ref="E4869">IF(AND(A4869="2021-02", ISNA(MATCH(B4869, _xlfn._xlws.FILTER(B:B, A:A="2021-03"), 0))), "Left", "Ativo")</f>
        <v>Ativo</v>
      </c>
      <c r="F4869" s="12" t="str" cm="1">
        <f t="array" ref="F4869">IF(AND(A4869="2021-03", ISNA(MATCH(B4869, _xlfn._xlws.FILTER(B:B, A:A="2021-04"), 0))), "Left", "Ativo")</f>
        <v>Ativo</v>
      </c>
    </row>
    <row r="4870" spans="1:6" x14ac:dyDescent="0.25">
      <c r="A4870" t="s">
        <v>1532</v>
      </c>
      <c r="B4870" t="s">
        <v>916</v>
      </c>
      <c r="C4870" s="10" t="str" cm="1">
        <f t="array" ref="C4870">IF(AND(A4870="2020-12", ISNA(MATCH(B4870, _xlfn._xlws.FILTER(B:B, A:A="2021-01"), 0))), "Left", "Ativo")</f>
        <v>Ativo</v>
      </c>
      <c r="D4870" s="10" t="str" cm="1">
        <f t="array" ref="D4870">IF(AND(A4870="2021-01", ISNA(MATCH(B4870, _xlfn._xlws.FILTER(B:B, A:A="2021-02"), 0))), "Left", "Ativo")</f>
        <v>Ativo</v>
      </c>
      <c r="E4870" s="10" t="str" cm="1">
        <f t="array" ref="E4870">IF(AND(A4870="2021-02", ISNA(MATCH(B4870, _xlfn._xlws.FILTER(B:B, A:A="2021-03"), 0))), "Left", "Ativo")</f>
        <v>Ativo</v>
      </c>
      <c r="F4870" s="12" t="str" cm="1">
        <f t="array" ref="F4870">IF(AND(A4870="2021-03", ISNA(MATCH(B4870, _xlfn._xlws.FILTER(B:B, A:A="2021-04"), 0))), "Left", "Ativo")</f>
        <v>Ativo</v>
      </c>
    </row>
    <row r="4871" spans="1:6" x14ac:dyDescent="0.25">
      <c r="A4871" t="s">
        <v>1532</v>
      </c>
      <c r="B4871" t="s">
        <v>917</v>
      </c>
      <c r="C4871" s="10" t="str" cm="1">
        <f t="array" ref="C4871">IF(AND(A4871="2020-12", ISNA(MATCH(B4871, _xlfn._xlws.FILTER(B:B, A:A="2021-01"), 0))), "Left", "Ativo")</f>
        <v>Ativo</v>
      </c>
      <c r="D4871" s="10" t="str" cm="1">
        <f t="array" ref="D4871">IF(AND(A4871="2021-01", ISNA(MATCH(B4871, _xlfn._xlws.FILTER(B:B, A:A="2021-02"), 0))), "Left", "Ativo")</f>
        <v>Ativo</v>
      </c>
      <c r="E4871" s="10" t="str" cm="1">
        <f t="array" ref="E4871">IF(AND(A4871="2021-02", ISNA(MATCH(B4871, _xlfn._xlws.FILTER(B:B, A:A="2021-03"), 0))), "Left", "Ativo")</f>
        <v>Ativo</v>
      </c>
      <c r="F4871" s="12" t="str" cm="1">
        <f t="array" ref="F4871">IF(AND(A4871="2021-03", ISNA(MATCH(B4871, _xlfn._xlws.FILTER(B:B, A:A="2021-04"), 0))), "Left", "Ativo")</f>
        <v>Ativo</v>
      </c>
    </row>
    <row r="4872" spans="1:6" x14ac:dyDescent="0.25">
      <c r="A4872" t="s">
        <v>1532</v>
      </c>
      <c r="B4872" t="s">
        <v>918</v>
      </c>
      <c r="C4872" s="10" t="str" cm="1">
        <f t="array" ref="C4872">IF(AND(A4872="2020-12", ISNA(MATCH(B4872, _xlfn._xlws.FILTER(B:B, A:A="2021-01"), 0))), "Left", "Ativo")</f>
        <v>Ativo</v>
      </c>
      <c r="D4872" s="10" t="str" cm="1">
        <f t="array" ref="D4872">IF(AND(A4872="2021-01", ISNA(MATCH(B4872, _xlfn._xlws.FILTER(B:B, A:A="2021-02"), 0))), "Left", "Ativo")</f>
        <v>Ativo</v>
      </c>
      <c r="E4872" s="10" t="str" cm="1">
        <f t="array" ref="E4872">IF(AND(A4872="2021-02", ISNA(MATCH(B4872, _xlfn._xlws.FILTER(B:B, A:A="2021-03"), 0))), "Left", "Ativo")</f>
        <v>Ativo</v>
      </c>
      <c r="F4872" s="12" t="str" cm="1">
        <f t="array" ref="F4872">IF(AND(A4872="2021-03", ISNA(MATCH(B4872, _xlfn._xlws.FILTER(B:B, A:A="2021-04"), 0))), "Left", "Ativo")</f>
        <v>Ativo</v>
      </c>
    </row>
    <row r="4873" spans="1:6" x14ac:dyDescent="0.25">
      <c r="A4873" t="s">
        <v>1532</v>
      </c>
      <c r="B4873" t="s">
        <v>919</v>
      </c>
      <c r="C4873" s="10" t="str" cm="1">
        <f t="array" ref="C4873">IF(AND(A4873="2020-12", ISNA(MATCH(B4873, _xlfn._xlws.FILTER(B:B, A:A="2021-01"), 0))), "Left", "Ativo")</f>
        <v>Ativo</v>
      </c>
      <c r="D4873" s="10" t="str" cm="1">
        <f t="array" ref="D4873">IF(AND(A4873="2021-01", ISNA(MATCH(B4873, _xlfn._xlws.FILTER(B:B, A:A="2021-02"), 0))), "Left", "Ativo")</f>
        <v>Ativo</v>
      </c>
      <c r="E4873" s="10" t="str" cm="1">
        <f t="array" ref="E4873">IF(AND(A4873="2021-02", ISNA(MATCH(B4873, _xlfn._xlws.FILTER(B:B, A:A="2021-03"), 0))), "Left", "Ativo")</f>
        <v>Ativo</v>
      </c>
      <c r="F4873" s="12" t="str" cm="1">
        <f t="array" ref="F4873">IF(AND(A4873="2021-03", ISNA(MATCH(B4873, _xlfn._xlws.FILTER(B:B, A:A="2021-04"), 0))), "Left", "Ativo")</f>
        <v>Ativo</v>
      </c>
    </row>
    <row r="4874" spans="1:6" x14ac:dyDescent="0.25">
      <c r="A4874" t="s">
        <v>1532</v>
      </c>
      <c r="B4874" t="s">
        <v>920</v>
      </c>
      <c r="C4874" s="10" t="str" cm="1">
        <f t="array" ref="C4874">IF(AND(A4874="2020-12", ISNA(MATCH(B4874, _xlfn._xlws.FILTER(B:B, A:A="2021-01"), 0))), "Left", "Ativo")</f>
        <v>Ativo</v>
      </c>
      <c r="D4874" s="10" t="str" cm="1">
        <f t="array" ref="D4874">IF(AND(A4874="2021-01", ISNA(MATCH(B4874, _xlfn._xlws.FILTER(B:B, A:A="2021-02"), 0))), "Left", "Ativo")</f>
        <v>Ativo</v>
      </c>
      <c r="E4874" s="10" t="str" cm="1">
        <f t="array" ref="E4874">IF(AND(A4874="2021-02", ISNA(MATCH(B4874, _xlfn._xlws.FILTER(B:B, A:A="2021-03"), 0))), "Left", "Ativo")</f>
        <v>Ativo</v>
      </c>
      <c r="F4874" s="12" t="str" cm="1">
        <f t="array" ref="F4874">IF(AND(A4874="2021-03", ISNA(MATCH(B4874, _xlfn._xlws.FILTER(B:B, A:A="2021-04"), 0))), "Left", "Ativo")</f>
        <v>Ativo</v>
      </c>
    </row>
    <row r="4875" spans="1:6" x14ac:dyDescent="0.25">
      <c r="A4875" t="s">
        <v>1532</v>
      </c>
      <c r="B4875" t="s">
        <v>921</v>
      </c>
      <c r="C4875" s="10" t="str" cm="1">
        <f t="array" ref="C4875">IF(AND(A4875="2020-12", ISNA(MATCH(B4875, _xlfn._xlws.FILTER(B:B, A:A="2021-01"), 0))), "Left", "Ativo")</f>
        <v>Ativo</v>
      </c>
      <c r="D4875" s="10" t="str" cm="1">
        <f t="array" ref="D4875">IF(AND(A4875="2021-01", ISNA(MATCH(B4875, _xlfn._xlws.FILTER(B:B, A:A="2021-02"), 0))), "Left", "Ativo")</f>
        <v>Ativo</v>
      </c>
      <c r="E4875" s="10" t="str" cm="1">
        <f t="array" ref="E4875">IF(AND(A4875="2021-02", ISNA(MATCH(B4875, _xlfn._xlws.FILTER(B:B, A:A="2021-03"), 0))), "Left", "Ativo")</f>
        <v>Ativo</v>
      </c>
      <c r="F4875" s="12" t="str" cm="1">
        <f t="array" ref="F4875">IF(AND(A4875="2021-03", ISNA(MATCH(B4875, _xlfn._xlws.FILTER(B:B, A:A="2021-04"), 0))), "Left", "Ativo")</f>
        <v>Ativo</v>
      </c>
    </row>
    <row r="4876" spans="1:6" x14ac:dyDescent="0.25">
      <c r="A4876" t="s">
        <v>1532</v>
      </c>
      <c r="B4876" t="s">
        <v>922</v>
      </c>
      <c r="C4876" s="10" t="str" cm="1">
        <f t="array" ref="C4876">IF(AND(A4876="2020-12", ISNA(MATCH(B4876, _xlfn._xlws.FILTER(B:B, A:A="2021-01"), 0))), "Left", "Ativo")</f>
        <v>Ativo</v>
      </c>
      <c r="D4876" s="10" t="str" cm="1">
        <f t="array" ref="D4876">IF(AND(A4876="2021-01", ISNA(MATCH(B4876, _xlfn._xlws.FILTER(B:B, A:A="2021-02"), 0))), "Left", "Ativo")</f>
        <v>Ativo</v>
      </c>
      <c r="E4876" s="10" t="str" cm="1">
        <f t="array" ref="E4876">IF(AND(A4876="2021-02", ISNA(MATCH(B4876, _xlfn._xlws.FILTER(B:B, A:A="2021-03"), 0))), "Left", "Ativo")</f>
        <v>Ativo</v>
      </c>
      <c r="F4876" s="12" t="str" cm="1">
        <f t="array" ref="F4876">IF(AND(A4876="2021-03", ISNA(MATCH(B4876, _xlfn._xlws.FILTER(B:B, A:A="2021-04"), 0))), "Left", "Ativo")</f>
        <v>Ativo</v>
      </c>
    </row>
    <row r="4877" spans="1:6" x14ac:dyDescent="0.25">
      <c r="A4877" t="s">
        <v>1532</v>
      </c>
      <c r="B4877" t="s">
        <v>923</v>
      </c>
      <c r="C4877" s="10" t="str" cm="1">
        <f t="array" ref="C4877">IF(AND(A4877="2020-12", ISNA(MATCH(B4877, _xlfn._xlws.FILTER(B:B, A:A="2021-01"), 0))), "Left", "Ativo")</f>
        <v>Ativo</v>
      </c>
      <c r="D4877" s="10" t="str" cm="1">
        <f t="array" ref="D4877">IF(AND(A4877="2021-01", ISNA(MATCH(B4877, _xlfn._xlws.FILTER(B:B, A:A="2021-02"), 0))), "Left", "Ativo")</f>
        <v>Ativo</v>
      </c>
      <c r="E4877" s="10" t="str" cm="1">
        <f t="array" ref="E4877">IF(AND(A4877="2021-02", ISNA(MATCH(B4877, _xlfn._xlws.FILTER(B:B, A:A="2021-03"), 0))), "Left", "Ativo")</f>
        <v>Ativo</v>
      </c>
      <c r="F4877" s="12" t="str" cm="1">
        <f t="array" ref="F4877">IF(AND(A4877="2021-03", ISNA(MATCH(B4877, _xlfn._xlws.FILTER(B:B, A:A="2021-04"), 0))), "Left", "Ativo")</f>
        <v>Ativo</v>
      </c>
    </row>
    <row r="4878" spans="1:6" x14ac:dyDescent="0.25">
      <c r="A4878" t="s">
        <v>1532</v>
      </c>
      <c r="B4878" t="s">
        <v>924</v>
      </c>
      <c r="C4878" s="10" t="str" cm="1">
        <f t="array" ref="C4878">IF(AND(A4878="2020-12", ISNA(MATCH(B4878, _xlfn._xlws.FILTER(B:B, A:A="2021-01"), 0))), "Left", "Ativo")</f>
        <v>Ativo</v>
      </c>
      <c r="D4878" s="10" t="str" cm="1">
        <f t="array" ref="D4878">IF(AND(A4878="2021-01", ISNA(MATCH(B4878, _xlfn._xlws.FILTER(B:B, A:A="2021-02"), 0))), "Left", "Ativo")</f>
        <v>Ativo</v>
      </c>
      <c r="E4878" s="10" t="str" cm="1">
        <f t="array" ref="E4878">IF(AND(A4878="2021-02", ISNA(MATCH(B4878, _xlfn._xlws.FILTER(B:B, A:A="2021-03"), 0))), "Left", "Ativo")</f>
        <v>Ativo</v>
      </c>
      <c r="F4878" s="12" t="str" cm="1">
        <f t="array" ref="F4878">IF(AND(A4878="2021-03", ISNA(MATCH(B4878, _xlfn._xlws.FILTER(B:B, A:A="2021-04"), 0))), "Left", "Ativo")</f>
        <v>Ativo</v>
      </c>
    </row>
    <row r="4879" spans="1:6" x14ac:dyDescent="0.25">
      <c r="A4879" t="s">
        <v>1532</v>
      </c>
      <c r="B4879" t="s">
        <v>925</v>
      </c>
      <c r="C4879" s="10" t="str" cm="1">
        <f t="array" ref="C4879">IF(AND(A4879="2020-12", ISNA(MATCH(B4879, _xlfn._xlws.FILTER(B:B, A:A="2021-01"), 0))), "Left", "Ativo")</f>
        <v>Ativo</v>
      </c>
      <c r="D4879" s="10" t="str" cm="1">
        <f t="array" ref="D4879">IF(AND(A4879="2021-01", ISNA(MATCH(B4879, _xlfn._xlws.FILTER(B:B, A:A="2021-02"), 0))), "Left", "Ativo")</f>
        <v>Ativo</v>
      </c>
      <c r="E4879" s="10" t="str" cm="1">
        <f t="array" ref="E4879">IF(AND(A4879="2021-02", ISNA(MATCH(B4879, _xlfn._xlws.FILTER(B:B, A:A="2021-03"), 0))), "Left", "Ativo")</f>
        <v>Ativo</v>
      </c>
      <c r="F4879" s="12" t="str" cm="1">
        <f t="array" ref="F4879">IF(AND(A4879="2021-03", ISNA(MATCH(B4879, _xlfn._xlws.FILTER(B:B, A:A="2021-04"), 0))), "Left", "Ativo")</f>
        <v>Ativo</v>
      </c>
    </row>
    <row r="4880" spans="1:6" x14ac:dyDescent="0.25">
      <c r="A4880" t="s">
        <v>1532</v>
      </c>
      <c r="B4880" t="s">
        <v>926</v>
      </c>
      <c r="C4880" s="10" t="str" cm="1">
        <f t="array" ref="C4880">IF(AND(A4880="2020-12", ISNA(MATCH(B4880, _xlfn._xlws.FILTER(B:B, A:A="2021-01"), 0))), "Left", "Ativo")</f>
        <v>Ativo</v>
      </c>
      <c r="D4880" s="10" t="str" cm="1">
        <f t="array" ref="D4880">IF(AND(A4880="2021-01", ISNA(MATCH(B4880, _xlfn._xlws.FILTER(B:B, A:A="2021-02"), 0))), "Left", "Ativo")</f>
        <v>Ativo</v>
      </c>
      <c r="E4880" s="10" t="str" cm="1">
        <f t="array" ref="E4880">IF(AND(A4880="2021-02", ISNA(MATCH(B4880, _xlfn._xlws.FILTER(B:B, A:A="2021-03"), 0))), "Left", "Ativo")</f>
        <v>Ativo</v>
      </c>
      <c r="F4880" s="12" t="str" cm="1">
        <f t="array" ref="F4880">IF(AND(A4880="2021-03", ISNA(MATCH(B4880, _xlfn._xlws.FILTER(B:B, A:A="2021-04"), 0))), "Left", "Ativo")</f>
        <v>Ativo</v>
      </c>
    </row>
    <row r="4881" spans="1:6" x14ac:dyDescent="0.25">
      <c r="A4881" t="s">
        <v>1532</v>
      </c>
      <c r="B4881" t="s">
        <v>927</v>
      </c>
      <c r="C4881" s="10" t="str" cm="1">
        <f t="array" ref="C4881">IF(AND(A4881="2020-12", ISNA(MATCH(B4881, _xlfn._xlws.FILTER(B:B, A:A="2021-01"), 0))), "Left", "Ativo")</f>
        <v>Ativo</v>
      </c>
      <c r="D4881" s="10" t="str" cm="1">
        <f t="array" ref="D4881">IF(AND(A4881="2021-01", ISNA(MATCH(B4881, _xlfn._xlws.FILTER(B:B, A:A="2021-02"), 0))), "Left", "Ativo")</f>
        <v>Ativo</v>
      </c>
      <c r="E4881" s="10" t="str" cm="1">
        <f t="array" ref="E4881">IF(AND(A4881="2021-02", ISNA(MATCH(B4881, _xlfn._xlws.FILTER(B:B, A:A="2021-03"), 0))), "Left", "Ativo")</f>
        <v>Ativo</v>
      </c>
      <c r="F4881" s="12" t="str" cm="1">
        <f t="array" ref="F4881">IF(AND(A4881="2021-03", ISNA(MATCH(B4881, _xlfn._xlws.FILTER(B:B, A:A="2021-04"), 0))), "Left", "Ativo")</f>
        <v>Ativo</v>
      </c>
    </row>
    <row r="4882" spans="1:6" x14ac:dyDescent="0.25">
      <c r="A4882" t="s">
        <v>1532</v>
      </c>
      <c r="B4882" t="s">
        <v>928</v>
      </c>
      <c r="C4882" s="10" t="str" cm="1">
        <f t="array" ref="C4882">IF(AND(A4882="2020-12", ISNA(MATCH(B4882, _xlfn._xlws.FILTER(B:B, A:A="2021-01"), 0))), "Left", "Ativo")</f>
        <v>Ativo</v>
      </c>
      <c r="D4882" s="10" t="str" cm="1">
        <f t="array" ref="D4882">IF(AND(A4882="2021-01", ISNA(MATCH(B4882, _xlfn._xlws.FILTER(B:B, A:A="2021-02"), 0))), "Left", "Ativo")</f>
        <v>Ativo</v>
      </c>
      <c r="E4882" s="10" t="str" cm="1">
        <f t="array" ref="E4882">IF(AND(A4882="2021-02", ISNA(MATCH(B4882, _xlfn._xlws.FILTER(B:B, A:A="2021-03"), 0))), "Left", "Ativo")</f>
        <v>Ativo</v>
      </c>
      <c r="F4882" s="12" t="str" cm="1">
        <f t="array" ref="F4882">IF(AND(A4882="2021-03", ISNA(MATCH(B4882, _xlfn._xlws.FILTER(B:B, A:A="2021-04"), 0))), "Left", "Ativo")</f>
        <v>Ativo</v>
      </c>
    </row>
    <row r="4883" spans="1:6" x14ac:dyDescent="0.25">
      <c r="A4883" t="s">
        <v>1532</v>
      </c>
      <c r="B4883" t="s">
        <v>929</v>
      </c>
      <c r="C4883" s="10" t="str" cm="1">
        <f t="array" ref="C4883">IF(AND(A4883="2020-12", ISNA(MATCH(B4883, _xlfn._xlws.FILTER(B:B, A:A="2021-01"), 0))), "Left", "Ativo")</f>
        <v>Ativo</v>
      </c>
      <c r="D4883" s="10" t="str" cm="1">
        <f t="array" ref="D4883">IF(AND(A4883="2021-01", ISNA(MATCH(B4883, _xlfn._xlws.FILTER(B:B, A:A="2021-02"), 0))), "Left", "Ativo")</f>
        <v>Ativo</v>
      </c>
      <c r="E4883" s="10" t="str" cm="1">
        <f t="array" ref="E4883">IF(AND(A4883="2021-02", ISNA(MATCH(B4883, _xlfn._xlws.FILTER(B:B, A:A="2021-03"), 0))), "Left", "Ativo")</f>
        <v>Ativo</v>
      </c>
      <c r="F4883" s="12" t="str" cm="1">
        <f t="array" ref="F4883">IF(AND(A4883="2021-03", ISNA(MATCH(B4883, _xlfn._xlws.FILTER(B:B, A:A="2021-04"), 0))), "Left", "Ativo")</f>
        <v>Ativo</v>
      </c>
    </row>
    <row r="4884" spans="1:6" x14ac:dyDescent="0.25">
      <c r="A4884" t="s">
        <v>1532</v>
      </c>
      <c r="B4884" t="s">
        <v>930</v>
      </c>
      <c r="C4884" s="10" t="str" cm="1">
        <f t="array" ref="C4884">IF(AND(A4884="2020-12", ISNA(MATCH(B4884, _xlfn._xlws.FILTER(B:B, A:A="2021-01"), 0))), "Left", "Ativo")</f>
        <v>Ativo</v>
      </c>
      <c r="D4884" s="10" t="str" cm="1">
        <f t="array" ref="D4884">IF(AND(A4884="2021-01", ISNA(MATCH(B4884, _xlfn._xlws.FILTER(B:B, A:A="2021-02"), 0))), "Left", "Ativo")</f>
        <v>Ativo</v>
      </c>
      <c r="E4884" s="10" t="str" cm="1">
        <f t="array" ref="E4884">IF(AND(A4884="2021-02", ISNA(MATCH(B4884, _xlfn._xlws.FILTER(B:B, A:A="2021-03"), 0))), "Left", "Ativo")</f>
        <v>Ativo</v>
      </c>
      <c r="F4884" s="12" t="str" cm="1">
        <f t="array" ref="F4884">IF(AND(A4884="2021-03", ISNA(MATCH(B4884, _xlfn._xlws.FILTER(B:B, A:A="2021-04"), 0))), "Left", "Ativo")</f>
        <v>Ativo</v>
      </c>
    </row>
    <row r="4885" spans="1:6" x14ac:dyDescent="0.25">
      <c r="A4885" t="s">
        <v>1532</v>
      </c>
      <c r="B4885" t="s">
        <v>931</v>
      </c>
      <c r="C4885" s="10" t="str" cm="1">
        <f t="array" ref="C4885">IF(AND(A4885="2020-12", ISNA(MATCH(B4885, _xlfn._xlws.FILTER(B:B, A:A="2021-01"), 0))), "Left", "Ativo")</f>
        <v>Ativo</v>
      </c>
      <c r="D4885" s="10" t="str" cm="1">
        <f t="array" ref="D4885">IF(AND(A4885="2021-01", ISNA(MATCH(B4885, _xlfn._xlws.FILTER(B:B, A:A="2021-02"), 0))), "Left", "Ativo")</f>
        <v>Ativo</v>
      </c>
      <c r="E4885" s="10" t="str" cm="1">
        <f t="array" ref="E4885">IF(AND(A4885="2021-02", ISNA(MATCH(B4885, _xlfn._xlws.FILTER(B:B, A:A="2021-03"), 0))), "Left", "Ativo")</f>
        <v>Ativo</v>
      </c>
      <c r="F4885" s="12" t="str" cm="1">
        <f t="array" ref="F4885">IF(AND(A4885="2021-03", ISNA(MATCH(B4885, _xlfn._xlws.FILTER(B:B, A:A="2021-04"), 0))), "Left", "Ativo")</f>
        <v>Ativo</v>
      </c>
    </row>
    <row r="4886" spans="1:6" x14ac:dyDescent="0.25">
      <c r="A4886" t="s">
        <v>1532</v>
      </c>
      <c r="B4886" t="s">
        <v>932</v>
      </c>
      <c r="C4886" s="10" t="str" cm="1">
        <f t="array" ref="C4886">IF(AND(A4886="2020-12", ISNA(MATCH(B4886, _xlfn._xlws.FILTER(B:B, A:A="2021-01"), 0))), "Left", "Ativo")</f>
        <v>Ativo</v>
      </c>
      <c r="D4886" s="10" t="str" cm="1">
        <f t="array" ref="D4886">IF(AND(A4886="2021-01", ISNA(MATCH(B4886, _xlfn._xlws.FILTER(B:B, A:A="2021-02"), 0))), "Left", "Ativo")</f>
        <v>Ativo</v>
      </c>
      <c r="E4886" s="10" t="str" cm="1">
        <f t="array" ref="E4886">IF(AND(A4886="2021-02", ISNA(MATCH(B4886, _xlfn._xlws.FILTER(B:B, A:A="2021-03"), 0))), "Left", "Ativo")</f>
        <v>Ativo</v>
      </c>
      <c r="F4886" s="12" t="str" cm="1">
        <f t="array" ref="F4886">IF(AND(A4886="2021-03", ISNA(MATCH(B4886, _xlfn._xlws.FILTER(B:B, A:A="2021-04"), 0))), "Left", "Ativo")</f>
        <v>Ativo</v>
      </c>
    </row>
    <row r="4887" spans="1:6" x14ac:dyDescent="0.25">
      <c r="A4887" t="s">
        <v>1532</v>
      </c>
      <c r="B4887" t="s">
        <v>933</v>
      </c>
      <c r="C4887" s="10" t="str" cm="1">
        <f t="array" ref="C4887">IF(AND(A4887="2020-12", ISNA(MATCH(B4887, _xlfn._xlws.FILTER(B:B, A:A="2021-01"), 0))), "Left", "Ativo")</f>
        <v>Ativo</v>
      </c>
      <c r="D4887" s="10" t="str" cm="1">
        <f t="array" ref="D4887">IF(AND(A4887="2021-01", ISNA(MATCH(B4887, _xlfn._xlws.FILTER(B:B, A:A="2021-02"), 0))), "Left", "Ativo")</f>
        <v>Ativo</v>
      </c>
      <c r="E4887" s="10" t="str" cm="1">
        <f t="array" ref="E4887">IF(AND(A4887="2021-02", ISNA(MATCH(B4887, _xlfn._xlws.FILTER(B:B, A:A="2021-03"), 0))), "Left", "Ativo")</f>
        <v>Ativo</v>
      </c>
      <c r="F4887" s="12" t="str" cm="1">
        <f t="array" ref="F4887">IF(AND(A4887="2021-03", ISNA(MATCH(B4887, _xlfn._xlws.FILTER(B:B, A:A="2021-04"), 0))), "Left", "Ativo")</f>
        <v>Ativo</v>
      </c>
    </row>
    <row r="4888" spans="1:6" x14ac:dyDescent="0.25">
      <c r="A4888" t="s">
        <v>1532</v>
      </c>
      <c r="B4888" t="s">
        <v>934</v>
      </c>
      <c r="C4888" s="10" t="str" cm="1">
        <f t="array" ref="C4888">IF(AND(A4888="2020-12", ISNA(MATCH(B4888, _xlfn._xlws.FILTER(B:B, A:A="2021-01"), 0))), "Left", "Ativo")</f>
        <v>Ativo</v>
      </c>
      <c r="D4888" s="10" t="str" cm="1">
        <f t="array" ref="D4888">IF(AND(A4888="2021-01", ISNA(MATCH(B4888, _xlfn._xlws.FILTER(B:B, A:A="2021-02"), 0))), "Left", "Ativo")</f>
        <v>Ativo</v>
      </c>
      <c r="E4888" s="10" t="str" cm="1">
        <f t="array" ref="E4888">IF(AND(A4888="2021-02", ISNA(MATCH(B4888, _xlfn._xlws.FILTER(B:B, A:A="2021-03"), 0))), "Left", "Ativo")</f>
        <v>Ativo</v>
      </c>
      <c r="F4888" s="12" t="str" cm="1">
        <f t="array" ref="F4888">IF(AND(A4888="2021-03", ISNA(MATCH(B4888, _xlfn._xlws.FILTER(B:B, A:A="2021-04"), 0))), "Left", "Ativo")</f>
        <v>Ativo</v>
      </c>
    </row>
    <row r="4889" spans="1:6" x14ac:dyDescent="0.25">
      <c r="A4889" t="s">
        <v>1532</v>
      </c>
      <c r="B4889" t="s">
        <v>935</v>
      </c>
      <c r="C4889" s="10" t="str" cm="1">
        <f t="array" ref="C4889">IF(AND(A4889="2020-12", ISNA(MATCH(B4889, _xlfn._xlws.FILTER(B:B, A:A="2021-01"), 0))), "Left", "Ativo")</f>
        <v>Ativo</v>
      </c>
      <c r="D4889" s="10" t="str" cm="1">
        <f t="array" ref="D4889">IF(AND(A4889="2021-01", ISNA(MATCH(B4889, _xlfn._xlws.FILTER(B:B, A:A="2021-02"), 0))), "Left", "Ativo")</f>
        <v>Ativo</v>
      </c>
      <c r="E4889" s="10" t="str" cm="1">
        <f t="array" ref="E4889">IF(AND(A4889="2021-02", ISNA(MATCH(B4889, _xlfn._xlws.FILTER(B:B, A:A="2021-03"), 0))), "Left", "Ativo")</f>
        <v>Ativo</v>
      </c>
      <c r="F4889" s="12" t="str" cm="1">
        <f t="array" ref="F4889">IF(AND(A4889="2021-03", ISNA(MATCH(B4889, _xlfn._xlws.FILTER(B:B, A:A="2021-04"), 0))), "Left", "Ativo")</f>
        <v>Ativo</v>
      </c>
    </row>
    <row r="4890" spans="1:6" x14ac:dyDescent="0.25">
      <c r="A4890" t="s">
        <v>1532</v>
      </c>
      <c r="B4890" t="s">
        <v>936</v>
      </c>
      <c r="C4890" s="10" t="str" cm="1">
        <f t="array" ref="C4890">IF(AND(A4890="2020-12", ISNA(MATCH(B4890, _xlfn._xlws.FILTER(B:B, A:A="2021-01"), 0))), "Left", "Ativo")</f>
        <v>Ativo</v>
      </c>
      <c r="D4890" s="10" t="str" cm="1">
        <f t="array" ref="D4890">IF(AND(A4890="2021-01", ISNA(MATCH(B4890, _xlfn._xlws.FILTER(B:B, A:A="2021-02"), 0))), "Left", "Ativo")</f>
        <v>Ativo</v>
      </c>
      <c r="E4890" s="10" t="str" cm="1">
        <f t="array" ref="E4890">IF(AND(A4890="2021-02", ISNA(MATCH(B4890, _xlfn._xlws.FILTER(B:B, A:A="2021-03"), 0))), "Left", "Ativo")</f>
        <v>Ativo</v>
      </c>
      <c r="F4890" s="12" t="str" cm="1">
        <f t="array" ref="F4890">IF(AND(A4890="2021-03", ISNA(MATCH(B4890, _xlfn._xlws.FILTER(B:B, A:A="2021-04"), 0))), "Left", "Ativo")</f>
        <v>Ativo</v>
      </c>
    </row>
    <row r="4891" spans="1:6" x14ac:dyDescent="0.25">
      <c r="A4891" t="s">
        <v>1532</v>
      </c>
      <c r="B4891" t="s">
        <v>937</v>
      </c>
      <c r="C4891" s="10" t="str" cm="1">
        <f t="array" ref="C4891">IF(AND(A4891="2020-12", ISNA(MATCH(B4891, _xlfn._xlws.FILTER(B:B, A:A="2021-01"), 0))), "Left", "Ativo")</f>
        <v>Ativo</v>
      </c>
      <c r="D4891" s="10" t="str" cm="1">
        <f t="array" ref="D4891">IF(AND(A4891="2021-01", ISNA(MATCH(B4891, _xlfn._xlws.FILTER(B:B, A:A="2021-02"), 0))), "Left", "Ativo")</f>
        <v>Ativo</v>
      </c>
      <c r="E4891" s="10" t="str" cm="1">
        <f t="array" ref="E4891">IF(AND(A4891="2021-02", ISNA(MATCH(B4891, _xlfn._xlws.FILTER(B:B, A:A="2021-03"), 0))), "Left", "Ativo")</f>
        <v>Ativo</v>
      </c>
      <c r="F4891" s="12" t="str" cm="1">
        <f t="array" ref="F4891">IF(AND(A4891="2021-03", ISNA(MATCH(B4891, _xlfn._xlws.FILTER(B:B, A:A="2021-04"), 0))), "Left", "Ativo")</f>
        <v>Ativo</v>
      </c>
    </row>
    <row r="4892" spans="1:6" x14ac:dyDescent="0.25">
      <c r="A4892" t="s">
        <v>1532</v>
      </c>
      <c r="B4892" t="s">
        <v>938</v>
      </c>
      <c r="C4892" s="10" t="str" cm="1">
        <f t="array" ref="C4892">IF(AND(A4892="2020-12", ISNA(MATCH(B4892, _xlfn._xlws.FILTER(B:B, A:A="2021-01"), 0))), "Left", "Ativo")</f>
        <v>Ativo</v>
      </c>
      <c r="D4892" s="10" t="str" cm="1">
        <f t="array" ref="D4892">IF(AND(A4892="2021-01", ISNA(MATCH(B4892, _xlfn._xlws.FILTER(B:B, A:A="2021-02"), 0))), "Left", "Ativo")</f>
        <v>Ativo</v>
      </c>
      <c r="E4892" s="10" t="str" cm="1">
        <f t="array" ref="E4892">IF(AND(A4892="2021-02", ISNA(MATCH(B4892, _xlfn._xlws.FILTER(B:B, A:A="2021-03"), 0))), "Left", "Ativo")</f>
        <v>Ativo</v>
      </c>
      <c r="F4892" s="12" t="str" cm="1">
        <f t="array" ref="F4892">IF(AND(A4892="2021-03", ISNA(MATCH(B4892, _xlfn._xlws.FILTER(B:B, A:A="2021-04"), 0))), "Left", "Ativo")</f>
        <v>Ativo</v>
      </c>
    </row>
    <row r="4893" spans="1:6" x14ac:dyDescent="0.25">
      <c r="A4893" t="s">
        <v>1532</v>
      </c>
      <c r="B4893" t="s">
        <v>939</v>
      </c>
      <c r="C4893" s="10" t="str" cm="1">
        <f t="array" ref="C4893">IF(AND(A4893="2020-12", ISNA(MATCH(B4893, _xlfn._xlws.FILTER(B:B, A:A="2021-01"), 0))), "Left", "Ativo")</f>
        <v>Ativo</v>
      </c>
      <c r="D4893" s="10" t="str" cm="1">
        <f t="array" ref="D4893">IF(AND(A4893="2021-01", ISNA(MATCH(B4893, _xlfn._xlws.FILTER(B:B, A:A="2021-02"), 0))), "Left", "Ativo")</f>
        <v>Ativo</v>
      </c>
      <c r="E4893" s="10" t="str" cm="1">
        <f t="array" ref="E4893">IF(AND(A4893="2021-02", ISNA(MATCH(B4893, _xlfn._xlws.FILTER(B:B, A:A="2021-03"), 0))), "Left", "Ativo")</f>
        <v>Ativo</v>
      </c>
      <c r="F4893" s="12" t="str" cm="1">
        <f t="array" ref="F4893">IF(AND(A4893="2021-03", ISNA(MATCH(B4893, _xlfn._xlws.FILTER(B:B, A:A="2021-04"), 0))), "Left", "Ativo")</f>
        <v>Ativo</v>
      </c>
    </row>
    <row r="4894" spans="1:6" x14ac:dyDescent="0.25">
      <c r="A4894" t="s">
        <v>1532</v>
      </c>
      <c r="B4894" t="s">
        <v>940</v>
      </c>
      <c r="C4894" s="10" t="str" cm="1">
        <f t="array" ref="C4894">IF(AND(A4894="2020-12", ISNA(MATCH(B4894, _xlfn._xlws.FILTER(B:B, A:A="2021-01"), 0))), "Left", "Ativo")</f>
        <v>Ativo</v>
      </c>
      <c r="D4894" s="10" t="str" cm="1">
        <f t="array" ref="D4894">IF(AND(A4894="2021-01", ISNA(MATCH(B4894, _xlfn._xlws.FILTER(B:B, A:A="2021-02"), 0))), "Left", "Ativo")</f>
        <v>Ativo</v>
      </c>
      <c r="E4894" s="10" t="str" cm="1">
        <f t="array" ref="E4894">IF(AND(A4894="2021-02", ISNA(MATCH(B4894, _xlfn._xlws.FILTER(B:B, A:A="2021-03"), 0))), "Left", "Ativo")</f>
        <v>Ativo</v>
      </c>
      <c r="F4894" s="12" t="str" cm="1">
        <f t="array" ref="F4894">IF(AND(A4894="2021-03", ISNA(MATCH(B4894, _xlfn._xlws.FILTER(B:B, A:A="2021-04"), 0))), "Left", "Ativo")</f>
        <v>Ativo</v>
      </c>
    </row>
    <row r="4895" spans="1:6" x14ac:dyDescent="0.25">
      <c r="A4895" t="s">
        <v>1532</v>
      </c>
      <c r="B4895" t="s">
        <v>1070</v>
      </c>
      <c r="C4895" s="10" t="str" cm="1">
        <f t="array" ref="C4895">IF(AND(A4895="2020-12", ISNA(MATCH(B4895, _xlfn._xlws.FILTER(B:B, A:A="2021-01"), 0))), "Left", "Ativo")</f>
        <v>Ativo</v>
      </c>
      <c r="D4895" s="10" t="str" cm="1">
        <f t="array" ref="D4895">IF(AND(A4895="2021-01", ISNA(MATCH(B4895, _xlfn._xlws.FILTER(B:B, A:A="2021-02"), 0))), "Left", "Ativo")</f>
        <v>Ativo</v>
      </c>
      <c r="E4895" s="10" t="str" cm="1">
        <f t="array" ref="E4895">IF(AND(A4895="2021-02", ISNA(MATCH(B4895, _xlfn._xlws.FILTER(B:B, A:A="2021-03"), 0))), "Left", "Ativo")</f>
        <v>Ativo</v>
      </c>
      <c r="F4895" s="12" t="str" cm="1">
        <f t="array" ref="F4895">IF(AND(A4895="2021-03", ISNA(MATCH(B4895, _xlfn._xlws.FILTER(B:B, A:A="2021-04"), 0))), "Left", "Ativo")</f>
        <v>Ativo</v>
      </c>
    </row>
    <row r="4896" spans="1:6" x14ac:dyDescent="0.25">
      <c r="A4896" t="s">
        <v>1532</v>
      </c>
      <c r="B4896" t="s">
        <v>1071</v>
      </c>
      <c r="C4896" s="10" t="str" cm="1">
        <f t="array" ref="C4896">IF(AND(A4896="2020-12", ISNA(MATCH(B4896, _xlfn._xlws.FILTER(B:B, A:A="2021-01"), 0))), "Left", "Ativo")</f>
        <v>Ativo</v>
      </c>
      <c r="D4896" s="10" t="str" cm="1">
        <f t="array" ref="D4896">IF(AND(A4896="2021-01", ISNA(MATCH(B4896, _xlfn._xlws.FILTER(B:B, A:A="2021-02"), 0))), "Left", "Ativo")</f>
        <v>Ativo</v>
      </c>
      <c r="E4896" s="10" t="str" cm="1">
        <f t="array" ref="E4896">IF(AND(A4896="2021-02", ISNA(MATCH(B4896, _xlfn._xlws.FILTER(B:B, A:A="2021-03"), 0))), "Left", "Ativo")</f>
        <v>Ativo</v>
      </c>
      <c r="F4896" s="12" t="str" cm="1">
        <f t="array" ref="F4896">IF(AND(A4896="2021-03", ISNA(MATCH(B4896, _xlfn._xlws.FILTER(B:B, A:A="2021-04"), 0))), "Left", "Ativo")</f>
        <v>Ativo</v>
      </c>
    </row>
    <row r="4897" spans="1:6" x14ac:dyDescent="0.25">
      <c r="A4897" t="s">
        <v>1532</v>
      </c>
      <c r="B4897" t="s">
        <v>1072</v>
      </c>
      <c r="C4897" s="10" t="str" cm="1">
        <f t="array" ref="C4897">IF(AND(A4897="2020-12", ISNA(MATCH(B4897, _xlfn._xlws.FILTER(B:B, A:A="2021-01"), 0))), "Left", "Ativo")</f>
        <v>Ativo</v>
      </c>
      <c r="D4897" s="10" t="str" cm="1">
        <f t="array" ref="D4897">IF(AND(A4897="2021-01", ISNA(MATCH(B4897, _xlfn._xlws.FILTER(B:B, A:A="2021-02"), 0))), "Left", "Ativo")</f>
        <v>Ativo</v>
      </c>
      <c r="E4897" s="10" t="str" cm="1">
        <f t="array" ref="E4897">IF(AND(A4897="2021-02", ISNA(MATCH(B4897, _xlfn._xlws.FILTER(B:B, A:A="2021-03"), 0))), "Left", "Ativo")</f>
        <v>Ativo</v>
      </c>
      <c r="F4897" s="12" t="str" cm="1">
        <f t="array" ref="F4897">IF(AND(A4897="2021-03", ISNA(MATCH(B4897, _xlfn._xlws.FILTER(B:B, A:A="2021-04"), 0))), "Left", "Ativo")</f>
        <v>Ativo</v>
      </c>
    </row>
    <row r="4898" spans="1:6" x14ac:dyDescent="0.25">
      <c r="A4898" t="s">
        <v>1532</v>
      </c>
      <c r="B4898" t="s">
        <v>1073</v>
      </c>
      <c r="C4898" s="10" t="str" cm="1">
        <f t="array" ref="C4898">IF(AND(A4898="2020-12", ISNA(MATCH(B4898, _xlfn._xlws.FILTER(B:B, A:A="2021-01"), 0))), "Left", "Ativo")</f>
        <v>Ativo</v>
      </c>
      <c r="D4898" s="10" t="str" cm="1">
        <f t="array" ref="D4898">IF(AND(A4898="2021-01", ISNA(MATCH(B4898, _xlfn._xlws.FILTER(B:B, A:A="2021-02"), 0))), "Left", "Ativo")</f>
        <v>Ativo</v>
      </c>
      <c r="E4898" s="10" t="str" cm="1">
        <f t="array" ref="E4898">IF(AND(A4898="2021-02", ISNA(MATCH(B4898, _xlfn._xlws.FILTER(B:B, A:A="2021-03"), 0))), "Left", "Ativo")</f>
        <v>Ativo</v>
      </c>
      <c r="F4898" s="12" t="str" cm="1">
        <f t="array" ref="F4898">IF(AND(A4898="2021-03", ISNA(MATCH(B4898, _xlfn._xlws.FILTER(B:B, A:A="2021-04"), 0))), "Left", "Ativo")</f>
        <v>Ativo</v>
      </c>
    </row>
    <row r="4899" spans="1:6" x14ac:dyDescent="0.25">
      <c r="A4899" t="s">
        <v>1532</v>
      </c>
      <c r="B4899" t="s">
        <v>1074</v>
      </c>
      <c r="C4899" s="10" t="str" cm="1">
        <f t="array" ref="C4899">IF(AND(A4899="2020-12", ISNA(MATCH(B4899, _xlfn._xlws.FILTER(B:B, A:A="2021-01"), 0))), "Left", "Ativo")</f>
        <v>Ativo</v>
      </c>
      <c r="D4899" s="10" t="str" cm="1">
        <f t="array" ref="D4899">IF(AND(A4899="2021-01", ISNA(MATCH(B4899, _xlfn._xlws.FILTER(B:B, A:A="2021-02"), 0))), "Left", "Ativo")</f>
        <v>Ativo</v>
      </c>
      <c r="E4899" s="10" t="str" cm="1">
        <f t="array" ref="E4899">IF(AND(A4899="2021-02", ISNA(MATCH(B4899, _xlfn._xlws.FILTER(B:B, A:A="2021-03"), 0))), "Left", "Ativo")</f>
        <v>Ativo</v>
      </c>
      <c r="F4899" s="12" t="str" cm="1">
        <f t="array" ref="F4899">IF(AND(A4899="2021-03", ISNA(MATCH(B4899, _xlfn._xlws.FILTER(B:B, A:A="2021-04"), 0))), "Left", "Ativo")</f>
        <v>Ativo</v>
      </c>
    </row>
    <row r="4900" spans="1:6" x14ac:dyDescent="0.25">
      <c r="A4900" t="s">
        <v>1532</v>
      </c>
      <c r="B4900" t="s">
        <v>1075</v>
      </c>
      <c r="C4900" s="10" t="str" cm="1">
        <f t="array" ref="C4900">IF(AND(A4900="2020-12", ISNA(MATCH(B4900, _xlfn._xlws.FILTER(B:B, A:A="2021-01"), 0))), "Left", "Ativo")</f>
        <v>Ativo</v>
      </c>
      <c r="D4900" s="10" t="str" cm="1">
        <f t="array" ref="D4900">IF(AND(A4900="2021-01", ISNA(MATCH(B4900, _xlfn._xlws.FILTER(B:B, A:A="2021-02"), 0))), "Left", "Ativo")</f>
        <v>Ativo</v>
      </c>
      <c r="E4900" s="10" t="str" cm="1">
        <f t="array" ref="E4900">IF(AND(A4900="2021-02", ISNA(MATCH(B4900, _xlfn._xlws.FILTER(B:B, A:A="2021-03"), 0))), "Left", "Ativo")</f>
        <v>Ativo</v>
      </c>
      <c r="F4900" s="12" t="str" cm="1">
        <f t="array" ref="F4900">IF(AND(A4900="2021-03", ISNA(MATCH(B4900, _xlfn._xlws.FILTER(B:B, A:A="2021-04"), 0))), "Left", "Ativo")</f>
        <v>Ativo</v>
      </c>
    </row>
    <row r="4901" spans="1:6" x14ac:dyDescent="0.25">
      <c r="A4901" t="s">
        <v>1532</v>
      </c>
      <c r="B4901" t="s">
        <v>1076</v>
      </c>
      <c r="C4901" s="10" t="str" cm="1">
        <f t="array" ref="C4901">IF(AND(A4901="2020-12", ISNA(MATCH(B4901, _xlfn._xlws.FILTER(B:B, A:A="2021-01"), 0))), "Left", "Ativo")</f>
        <v>Ativo</v>
      </c>
      <c r="D4901" s="10" t="str" cm="1">
        <f t="array" ref="D4901">IF(AND(A4901="2021-01", ISNA(MATCH(B4901, _xlfn._xlws.FILTER(B:B, A:A="2021-02"), 0))), "Left", "Ativo")</f>
        <v>Ativo</v>
      </c>
      <c r="E4901" s="10" t="str" cm="1">
        <f t="array" ref="E4901">IF(AND(A4901="2021-02", ISNA(MATCH(B4901, _xlfn._xlws.FILTER(B:B, A:A="2021-03"), 0))), "Left", "Ativo")</f>
        <v>Ativo</v>
      </c>
      <c r="F4901" s="12" t="str" cm="1">
        <f t="array" ref="F4901">IF(AND(A4901="2021-03", ISNA(MATCH(B4901, _xlfn._xlws.FILTER(B:B, A:A="2021-04"), 0))), "Left", "Ativo")</f>
        <v>Ativo</v>
      </c>
    </row>
    <row r="4902" spans="1:6" x14ac:dyDescent="0.25">
      <c r="A4902" t="s">
        <v>1532</v>
      </c>
      <c r="B4902" t="s">
        <v>1077</v>
      </c>
      <c r="C4902" s="10" t="str" cm="1">
        <f t="array" ref="C4902">IF(AND(A4902="2020-12", ISNA(MATCH(B4902, _xlfn._xlws.FILTER(B:B, A:A="2021-01"), 0))), "Left", "Ativo")</f>
        <v>Ativo</v>
      </c>
      <c r="D4902" s="10" t="str" cm="1">
        <f t="array" ref="D4902">IF(AND(A4902="2021-01", ISNA(MATCH(B4902, _xlfn._xlws.FILTER(B:B, A:A="2021-02"), 0))), "Left", "Ativo")</f>
        <v>Ativo</v>
      </c>
      <c r="E4902" s="10" t="str" cm="1">
        <f t="array" ref="E4902">IF(AND(A4902="2021-02", ISNA(MATCH(B4902, _xlfn._xlws.FILTER(B:B, A:A="2021-03"), 0))), "Left", "Ativo")</f>
        <v>Ativo</v>
      </c>
      <c r="F4902" s="12" t="str" cm="1">
        <f t="array" ref="F4902">IF(AND(A4902="2021-03", ISNA(MATCH(B4902, _xlfn._xlws.FILTER(B:B, A:A="2021-04"), 0))), "Left", "Ativo")</f>
        <v>Ativo</v>
      </c>
    </row>
    <row r="4903" spans="1:6" x14ac:dyDescent="0.25">
      <c r="A4903" t="s">
        <v>1532</v>
      </c>
      <c r="B4903" t="s">
        <v>1078</v>
      </c>
      <c r="C4903" s="10" t="str" cm="1">
        <f t="array" ref="C4903">IF(AND(A4903="2020-12", ISNA(MATCH(B4903, _xlfn._xlws.FILTER(B:B, A:A="2021-01"), 0))), "Left", "Ativo")</f>
        <v>Ativo</v>
      </c>
      <c r="D4903" s="10" t="str" cm="1">
        <f t="array" ref="D4903">IF(AND(A4903="2021-01", ISNA(MATCH(B4903, _xlfn._xlws.FILTER(B:B, A:A="2021-02"), 0))), "Left", "Ativo")</f>
        <v>Ativo</v>
      </c>
      <c r="E4903" s="10" t="str" cm="1">
        <f t="array" ref="E4903">IF(AND(A4903="2021-02", ISNA(MATCH(B4903, _xlfn._xlws.FILTER(B:B, A:A="2021-03"), 0))), "Left", "Ativo")</f>
        <v>Ativo</v>
      </c>
      <c r="F4903" s="12" t="str" cm="1">
        <f t="array" ref="F4903">IF(AND(A4903="2021-03", ISNA(MATCH(B4903, _xlfn._xlws.FILTER(B:B, A:A="2021-04"), 0))), "Left", "Ativo")</f>
        <v>Ativo</v>
      </c>
    </row>
    <row r="4904" spans="1:6" x14ac:dyDescent="0.25">
      <c r="A4904" t="s">
        <v>1532</v>
      </c>
      <c r="B4904" t="s">
        <v>1079</v>
      </c>
      <c r="C4904" s="10" t="str" cm="1">
        <f t="array" ref="C4904">IF(AND(A4904="2020-12", ISNA(MATCH(B4904, _xlfn._xlws.FILTER(B:B, A:A="2021-01"), 0))), "Left", "Ativo")</f>
        <v>Ativo</v>
      </c>
      <c r="D4904" s="10" t="str" cm="1">
        <f t="array" ref="D4904">IF(AND(A4904="2021-01", ISNA(MATCH(B4904, _xlfn._xlws.FILTER(B:B, A:A="2021-02"), 0))), "Left", "Ativo")</f>
        <v>Ativo</v>
      </c>
      <c r="E4904" s="10" t="str" cm="1">
        <f t="array" ref="E4904">IF(AND(A4904="2021-02", ISNA(MATCH(B4904, _xlfn._xlws.FILTER(B:B, A:A="2021-03"), 0))), "Left", "Ativo")</f>
        <v>Ativo</v>
      </c>
      <c r="F4904" s="12" t="str" cm="1">
        <f t="array" ref="F4904">IF(AND(A4904="2021-03", ISNA(MATCH(B4904, _xlfn._xlws.FILTER(B:B, A:A="2021-04"), 0))), "Left", "Ativo")</f>
        <v>Ativo</v>
      </c>
    </row>
    <row r="4905" spans="1:6" x14ac:dyDescent="0.25">
      <c r="A4905" t="s">
        <v>1532</v>
      </c>
      <c r="B4905" t="s">
        <v>1080</v>
      </c>
      <c r="C4905" s="10" t="str" cm="1">
        <f t="array" ref="C4905">IF(AND(A4905="2020-12", ISNA(MATCH(B4905, _xlfn._xlws.FILTER(B:B, A:A="2021-01"), 0))), "Left", "Ativo")</f>
        <v>Ativo</v>
      </c>
      <c r="D4905" s="10" t="str" cm="1">
        <f t="array" ref="D4905">IF(AND(A4905="2021-01", ISNA(MATCH(B4905, _xlfn._xlws.FILTER(B:B, A:A="2021-02"), 0))), "Left", "Ativo")</f>
        <v>Ativo</v>
      </c>
      <c r="E4905" s="10" t="str" cm="1">
        <f t="array" ref="E4905">IF(AND(A4905="2021-02", ISNA(MATCH(B4905, _xlfn._xlws.FILTER(B:B, A:A="2021-03"), 0))), "Left", "Ativo")</f>
        <v>Ativo</v>
      </c>
      <c r="F4905" s="12" t="str" cm="1">
        <f t="array" ref="F4905">IF(AND(A4905="2021-03", ISNA(MATCH(B4905, _xlfn._xlws.FILTER(B:B, A:A="2021-04"), 0))), "Left", "Ativo")</f>
        <v>Ativo</v>
      </c>
    </row>
    <row r="4906" spans="1:6" x14ac:dyDescent="0.25">
      <c r="A4906" t="s">
        <v>1532</v>
      </c>
      <c r="B4906" t="s">
        <v>1081</v>
      </c>
      <c r="C4906" s="10" t="str" cm="1">
        <f t="array" ref="C4906">IF(AND(A4906="2020-12", ISNA(MATCH(B4906, _xlfn._xlws.FILTER(B:B, A:A="2021-01"), 0))), "Left", "Ativo")</f>
        <v>Ativo</v>
      </c>
      <c r="D4906" s="10" t="str" cm="1">
        <f t="array" ref="D4906">IF(AND(A4906="2021-01", ISNA(MATCH(B4906, _xlfn._xlws.FILTER(B:B, A:A="2021-02"), 0))), "Left", "Ativo")</f>
        <v>Ativo</v>
      </c>
      <c r="E4906" s="10" t="str" cm="1">
        <f t="array" ref="E4906">IF(AND(A4906="2021-02", ISNA(MATCH(B4906, _xlfn._xlws.FILTER(B:B, A:A="2021-03"), 0))), "Left", "Ativo")</f>
        <v>Ativo</v>
      </c>
      <c r="F4906" s="12" t="str" cm="1">
        <f t="array" ref="F4906">IF(AND(A4906="2021-03", ISNA(MATCH(B4906, _xlfn._xlws.FILTER(B:B, A:A="2021-04"), 0))), "Left", "Ativo")</f>
        <v>Ativo</v>
      </c>
    </row>
    <row r="4907" spans="1:6" x14ac:dyDescent="0.25">
      <c r="A4907" t="s">
        <v>1532</v>
      </c>
      <c r="B4907" t="s">
        <v>1082</v>
      </c>
      <c r="C4907" s="10" t="str" cm="1">
        <f t="array" ref="C4907">IF(AND(A4907="2020-12", ISNA(MATCH(B4907, _xlfn._xlws.FILTER(B:B, A:A="2021-01"), 0))), "Left", "Ativo")</f>
        <v>Ativo</v>
      </c>
      <c r="D4907" s="10" t="str" cm="1">
        <f t="array" ref="D4907">IF(AND(A4907="2021-01", ISNA(MATCH(B4907, _xlfn._xlws.FILTER(B:B, A:A="2021-02"), 0))), "Left", "Ativo")</f>
        <v>Ativo</v>
      </c>
      <c r="E4907" s="10" t="str" cm="1">
        <f t="array" ref="E4907">IF(AND(A4907="2021-02", ISNA(MATCH(B4907, _xlfn._xlws.FILTER(B:B, A:A="2021-03"), 0))), "Left", "Ativo")</f>
        <v>Ativo</v>
      </c>
      <c r="F4907" s="12" t="str" cm="1">
        <f t="array" ref="F4907">IF(AND(A4907="2021-03", ISNA(MATCH(B4907, _xlfn._xlws.FILTER(B:B, A:A="2021-04"), 0))), "Left", "Ativo")</f>
        <v>Ativo</v>
      </c>
    </row>
    <row r="4908" spans="1:6" x14ac:dyDescent="0.25">
      <c r="A4908" t="s">
        <v>1532</v>
      </c>
      <c r="B4908" t="s">
        <v>1083</v>
      </c>
      <c r="C4908" s="10" t="str" cm="1">
        <f t="array" ref="C4908">IF(AND(A4908="2020-12", ISNA(MATCH(B4908, _xlfn._xlws.FILTER(B:B, A:A="2021-01"), 0))), "Left", "Ativo")</f>
        <v>Ativo</v>
      </c>
      <c r="D4908" s="10" t="str" cm="1">
        <f t="array" ref="D4908">IF(AND(A4908="2021-01", ISNA(MATCH(B4908, _xlfn._xlws.FILTER(B:B, A:A="2021-02"), 0))), "Left", "Ativo")</f>
        <v>Ativo</v>
      </c>
      <c r="E4908" s="10" t="str" cm="1">
        <f t="array" ref="E4908">IF(AND(A4908="2021-02", ISNA(MATCH(B4908, _xlfn._xlws.FILTER(B:B, A:A="2021-03"), 0))), "Left", "Ativo")</f>
        <v>Ativo</v>
      </c>
      <c r="F4908" s="12" t="str" cm="1">
        <f t="array" ref="F4908">IF(AND(A4908="2021-03", ISNA(MATCH(B4908, _xlfn._xlws.FILTER(B:B, A:A="2021-04"), 0))), "Left", "Ativo")</f>
        <v>Ativo</v>
      </c>
    </row>
    <row r="4909" spans="1:6" x14ac:dyDescent="0.25">
      <c r="A4909" t="s">
        <v>1532</v>
      </c>
      <c r="B4909" t="s">
        <v>1084</v>
      </c>
      <c r="C4909" s="10" t="str" cm="1">
        <f t="array" ref="C4909">IF(AND(A4909="2020-12", ISNA(MATCH(B4909, _xlfn._xlws.FILTER(B:B, A:A="2021-01"), 0))), "Left", "Ativo")</f>
        <v>Ativo</v>
      </c>
      <c r="D4909" s="10" t="str" cm="1">
        <f t="array" ref="D4909">IF(AND(A4909="2021-01", ISNA(MATCH(B4909, _xlfn._xlws.FILTER(B:B, A:A="2021-02"), 0))), "Left", "Ativo")</f>
        <v>Ativo</v>
      </c>
      <c r="E4909" s="10" t="str" cm="1">
        <f t="array" ref="E4909">IF(AND(A4909="2021-02", ISNA(MATCH(B4909, _xlfn._xlws.FILTER(B:B, A:A="2021-03"), 0))), "Left", "Ativo")</f>
        <v>Ativo</v>
      </c>
      <c r="F4909" s="12" t="str" cm="1">
        <f t="array" ref="F4909">IF(AND(A4909="2021-03", ISNA(MATCH(B4909, _xlfn._xlws.FILTER(B:B, A:A="2021-04"), 0))), "Left", "Ativo")</f>
        <v>Ativo</v>
      </c>
    </row>
    <row r="4910" spans="1:6" x14ac:dyDescent="0.25">
      <c r="A4910" t="s">
        <v>1532</v>
      </c>
      <c r="B4910" t="s">
        <v>1085</v>
      </c>
      <c r="C4910" s="10" t="str" cm="1">
        <f t="array" ref="C4910">IF(AND(A4910="2020-12", ISNA(MATCH(B4910, _xlfn._xlws.FILTER(B:B, A:A="2021-01"), 0))), "Left", "Ativo")</f>
        <v>Ativo</v>
      </c>
      <c r="D4910" s="10" t="str" cm="1">
        <f t="array" ref="D4910">IF(AND(A4910="2021-01", ISNA(MATCH(B4910, _xlfn._xlws.FILTER(B:B, A:A="2021-02"), 0))), "Left", "Ativo")</f>
        <v>Ativo</v>
      </c>
      <c r="E4910" s="10" t="str" cm="1">
        <f t="array" ref="E4910">IF(AND(A4910="2021-02", ISNA(MATCH(B4910, _xlfn._xlws.FILTER(B:B, A:A="2021-03"), 0))), "Left", "Ativo")</f>
        <v>Ativo</v>
      </c>
      <c r="F4910" s="12" t="str" cm="1">
        <f t="array" ref="F4910">IF(AND(A4910="2021-03", ISNA(MATCH(B4910, _xlfn._xlws.FILTER(B:B, A:A="2021-04"), 0))), "Left", "Ativo")</f>
        <v>Ativo</v>
      </c>
    </row>
    <row r="4911" spans="1:6" x14ac:dyDescent="0.25">
      <c r="A4911" t="s">
        <v>1532</v>
      </c>
      <c r="B4911" t="s">
        <v>1086</v>
      </c>
      <c r="C4911" s="10" t="str" cm="1">
        <f t="array" ref="C4911">IF(AND(A4911="2020-12", ISNA(MATCH(B4911, _xlfn._xlws.FILTER(B:B, A:A="2021-01"), 0))), "Left", "Ativo")</f>
        <v>Ativo</v>
      </c>
      <c r="D4911" s="10" t="str" cm="1">
        <f t="array" ref="D4911">IF(AND(A4911="2021-01", ISNA(MATCH(B4911, _xlfn._xlws.FILTER(B:B, A:A="2021-02"), 0))), "Left", "Ativo")</f>
        <v>Ativo</v>
      </c>
      <c r="E4911" s="10" t="str" cm="1">
        <f t="array" ref="E4911">IF(AND(A4911="2021-02", ISNA(MATCH(B4911, _xlfn._xlws.FILTER(B:B, A:A="2021-03"), 0))), "Left", "Ativo")</f>
        <v>Ativo</v>
      </c>
      <c r="F4911" s="12" t="str" cm="1">
        <f t="array" ref="F4911">IF(AND(A4911="2021-03", ISNA(MATCH(B4911, _xlfn._xlws.FILTER(B:B, A:A="2021-04"), 0))), "Left", "Ativo")</f>
        <v>Ativo</v>
      </c>
    </row>
    <row r="4912" spans="1:6" x14ac:dyDescent="0.25">
      <c r="A4912" t="s">
        <v>1532</v>
      </c>
      <c r="B4912" t="s">
        <v>1087</v>
      </c>
      <c r="C4912" s="10" t="str" cm="1">
        <f t="array" ref="C4912">IF(AND(A4912="2020-12", ISNA(MATCH(B4912, _xlfn._xlws.FILTER(B:B, A:A="2021-01"), 0))), "Left", "Ativo")</f>
        <v>Ativo</v>
      </c>
      <c r="D4912" s="10" t="str" cm="1">
        <f t="array" ref="D4912">IF(AND(A4912="2021-01", ISNA(MATCH(B4912, _xlfn._xlws.FILTER(B:B, A:A="2021-02"), 0))), "Left", "Ativo")</f>
        <v>Ativo</v>
      </c>
      <c r="E4912" s="10" t="str" cm="1">
        <f t="array" ref="E4912">IF(AND(A4912="2021-02", ISNA(MATCH(B4912, _xlfn._xlws.FILTER(B:B, A:A="2021-03"), 0))), "Left", "Ativo")</f>
        <v>Ativo</v>
      </c>
      <c r="F4912" s="12" t="str" cm="1">
        <f t="array" ref="F4912">IF(AND(A4912="2021-03", ISNA(MATCH(B4912, _xlfn._xlws.FILTER(B:B, A:A="2021-04"), 0))), "Left", "Ativo")</f>
        <v>Ativo</v>
      </c>
    </row>
    <row r="4913" spans="1:6" x14ac:dyDescent="0.25">
      <c r="A4913" t="s">
        <v>1532</v>
      </c>
      <c r="B4913" t="s">
        <v>1088</v>
      </c>
      <c r="C4913" s="10" t="str" cm="1">
        <f t="array" ref="C4913">IF(AND(A4913="2020-12", ISNA(MATCH(B4913, _xlfn._xlws.FILTER(B:B, A:A="2021-01"), 0))), "Left", "Ativo")</f>
        <v>Ativo</v>
      </c>
      <c r="D4913" s="10" t="str" cm="1">
        <f t="array" ref="D4913">IF(AND(A4913="2021-01", ISNA(MATCH(B4913, _xlfn._xlws.FILTER(B:B, A:A="2021-02"), 0))), "Left", "Ativo")</f>
        <v>Ativo</v>
      </c>
      <c r="E4913" s="10" t="str" cm="1">
        <f t="array" ref="E4913">IF(AND(A4913="2021-02", ISNA(MATCH(B4913, _xlfn._xlws.FILTER(B:B, A:A="2021-03"), 0))), "Left", "Ativo")</f>
        <v>Ativo</v>
      </c>
      <c r="F4913" s="12" t="str" cm="1">
        <f t="array" ref="F4913">IF(AND(A4913="2021-03", ISNA(MATCH(B4913, _xlfn._xlws.FILTER(B:B, A:A="2021-04"), 0))), "Left", "Ativo")</f>
        <v>Ativo</v>
      </c>
    </row>
    <row r="4914" spans="1:6" x14ac:dyDescent="0.25">
      <c r="A4914" t="s">
        <v>1532</v>
      </c>
      <c r="B4914" t="s">
        <v>1089</v>
      </c>
      <c r="C4914" s="10" t="str" cm="1">
        <f t="array" ref="C4914">IF(AND(A4914="2020-12", ISNA(MATCH(B4914, _xlfn._xlws.FILTER(B:B, A:A="2021-01"), 0))), "Left", "Ativo")</f>
        <v>Ativo</v>
      </c>
      <c r="D4914" s="10" t="str" cm="1">
        <f t="array" ref="D4914">IF(AND(A4914="2021-01", ISNA(MATCH(B4914, _xlfn._xlws.FILTER(B:B, A:A="2021-02"), 0))), "Left", "Ativo")</f>
        <v>Ativo</v>
      </c>
      <c r="E4914" s="10" t="str" cm="1">
        <f t="array" ref="E4914">IF(AND(A4914="2021-02", ISNA(MATCH(B4914, _xlfn._xlws.FILTER(B:B, A:A="2021-03"), 0))), "Left", "Ativo")</f>
        <v>Ativo</v>
      </c>
      <c r="F4914" s="12" t="str" cm="1">
        <f t="array" ref="F4914">IF(AND(A4914="2021-03", ISNA(MATCH(B4914, _xlfn._xlws.FILTER(B:B, A:A="2021-04"), 0))), "Left", "Ativo")</f>
        <v>Ativo</v>
      </c>
    </row>
    <row r="4915" spans="1:6" x14ac:dyDescent="0.25">
      <c r="A4915" t="s">
        <v>1532</v>
      </c>
      <c r="B4915" t="s">
        <v>1090</v>
      </c>
      <c r="C4915" s="10" t="str" cm="1">
        <f t="array" ref="C4915">IF(AND(A4915="2020-12", ISNA(MATCH(B4915, _xlfn._xlws.FILTER(B:B, A:A="2021-01"), 0))), "Left", "Ativo")</f>
        <v>Ativo</v>
      </c>
      <c r="D4915" s="10" t="str" cm="1">
        <f t="array" ref="D4915">IF(AND(A4915="2021-01", ISNA(MATCH(B4915, _xlfn._xlws.FILTER(B:B, A:A="2021-02"), 0))), "Left", "Ativo")</f>
        <v>Ativo</v>
      </c>
      <c r="E4915" s="10" t="str" cm="1">
        <f t="array" ref="E4915">IF(AND(A4915="2021-02", ISNA(MATCH(B4915, _xlfn._xlws.FILTER(B:B, A:A="2021-03"), 0))), "Left", "Ativo")</f>
        <v>Ativo</v>
      </c>
      <c r="F4915" s="12" t="str" cm="1">
        <f t="array" ref="F4915">IF(AND(A4915="2021-03", ISNA(MATCH(B4915, _xlfn._xlws.FILTER(B:B, A:A="2021-04"), 0))), "Left", "Ativo")</f>
        <v>Ativo</v>
      </c>
    </row>
    <row r="4916" spans="1:6" x14ac:dyDescent="0.25">
      <c r="A4916" t="s">
        <v>1532</v>
      </c>
      <c r="B4916" t="s">
        <v>1149</v>
      </c>
      <c r="C4916" s="10" t="str" cm="1">
        <f t="array" ref="C4916">IF(AND(A4916="2020-12", ISNA(MATCH(B4916, _xlfn._xlws.FILTER(B:B, A:A="2021-01"), 0))), "Left", "Ativo")</f>
        <v>Ativo</v>
      </c>
      <c r="D4916" s="10" t="str" cm="1">
        <f t="array" ref="D4916">IF(AND(A4916="2021-01", ISNA(MATCH(B4916, _xlfn._xlws.FILTER(B:B, A:A="2021-02"), 0))), "Left", "Ativo")</f>
        <v>Ativo</v>
      </c>
      <c r="E4916" s="10" t="str" cm="1">
        <f t="array" ref="E4916">IF(AND(A4916="2021-02", ISNA(MATCH(B4916, _xlfn._xlws.FILTER(B:B, A:A="2021-03"), 0))), "Left", "Ativo")</f>
        <v>Ativo</v>
      </c>
      <c r="F4916" s="12" t="str" cm="1">
        <f t="array" ref="F4916">IF(AND(A4916="2021-03", ISNA(MATCH(B4916, _xlfn._xlws.FILTER(B:B, A:A="2021-04"), 0))), "Left", "Ativo")</f>
        <v>Ativo</v>
      </c>
    </row>
    <row r="4917" spans="1:6" x14ac:dyDescent="0.25">
      <c r="A4917" t="s">
        <v>1532</v>
      </c>
      <c r="B4917" t="s">
        <v>1150</v>
      </c>
      <c r="C4917" s="10" t="str" cm="1">
        <f t="array" ref="C4917">IF(AND(A4917="2020-12", ISNA(MATCH(B4917, _xlfn._xlws.FILTER(B:B, A:A="2021-01"), 0))), "Left", "Ativo")</f>
        <v>Ativo</v>
      </c>
      <c r="D4917" s="10" t="str" cm="1">
        <f t="array" ref="D4917">IF(AND(A4917="2021-01", ISNA(MATCH(B4917, _xlfn._xlws.FILTER(B:B, A:A="2021-02"), 0))), "Left", "Ativo")</f>
        <v>Ativo</v>
      </c>
      <c r="E4917" s="10" t="str" cm="1">
        <f t="array" ref="E4917">IF(AND(A4917="2021-02", ISNA(MATCH(B4917, _xlfn._xlws.FILTER(B:B, A:A="2021-03"), 0))), "Left", "Ativo")</f>
        <v>Ativo</v>
      </c>
      <c r="F4917" s="12" t="str" cm="1">
        <f t="array" ref="F4917">IF(AND(A4917="2021-03", ISNA(MATCH(B4917, _xlfn._xlws.FILTER(B:B, A:A="2021-04"), 0))), "Left", "Ativo")</f>
        <v>Ativo</v>
      </c>
    </row>
    <row r="4918" spans="1:6" x14ac:dyDescent="0.25">
      <c r="A4918" t="s">
        <v>1532</v>
      </c>
      <c r="B4918" t="s">
        <v>1151</v>
      </c>
      <c r="C4918" s="10" t="str" cm="1">
        <f t="array" ref="C4918">IF(AND(A4918="2020-12", ISNA(MATCH(B4918, _xlfn._xlws.FILTER(B:B, A:A="2021-01"), 0))), "Left", "Ativo")</f>
        <v>Ativo</v>
      </c>
      <c r="D4918" s="10" t="str" cm="1">
        <f t="array" ref="D4918">IF(AND(A4918="2021-01", ISNA(MATCH(B4918, _xlfn._xlws.FILTER(B:B, A:A="2021-02"), 0))), "Left", "Ativo")</f>
        <v>Ativo</v>
      </c>
      <c r="E4918" s="10" t="str" cm="1">
        <f t="array" ref="E4918">IF(AND(A4918="2021-02", ISNA(MATCH(B4918, _xlfn._xlws.FILTER(B:B, A:A="2021-03"), 0))), "Left", "Ativo")</f>
        <v>Ativo</v>
      </c>
      <c r="F4918" s="12" t="str" cm="1">
        <f t="array" ref="F4918">IF(AND(A4918="2021-03", ISNA(MATCH(B4918, _xlfn._xlws.FILTER(B:B, A:A="2021-04"), 0))), "Left", "Ativo")</f>
        <v>Ativo</v>
      </c>
    </row>
    <row r="4919" spans="1:6" x14ac:dyDescent="0.25">
      <c r="A4919" t="s">
        <v>1532</v>
      </c>
      <c r="B4919" t="s">
        <v>1152</v>
      </c>
      <c r="C4919" s="10" t="str" cm="1">
        <f t="array" ref="C4919">IF(AND(A4919="2020-12", ISNA(MATCH(B4919, _xlfn._xlws.FILTER(B:B, A:A="2021-01"), 0))), "Left", "Ativo")</f>
        <v>Ativo</v>
      </c>
      <c r="D4919" s="10" t="str" cm="1">
        <f t="array" ref="D4919">IF(AND(A4919="2021-01", ISNA(MATCH(B4919, _xlfn._xlws.FILTER(B:B, A:A="2021-02"), 0))), "Left", "Ativo")</f>
        <v>Ativo</v>
      </c>
      <c r="E4919" s="10" t="str" cm="1">
        <f t="array" ref="E4919">IF(AND(A4919="2021-02", ISNA(MATCH(B4919, _xlfn._xlws.FILTER(B:B, A:A="2021-03"), 0))), "Left", "Ativo")</f>
        <v>Ativo</v>
      </c>
      <c r="F4919" s="12" t="str" cm="1">
        <f t="array" ref="F4919">IF(AND(A4919="2021-03", ISNA(MATCH(B4919, _xlfn._xlws.FILTER(B:B, A:A="2021-04"), 0))), "Left", "Ativo")</f>
        <v>Ativo</v>
      </c>
    </row>
    <row r="4920" spans="1:6" x14ac:dyDescent="0.25">
      <c r="A4920" t="s">
        <v>1532</v>
      </c>
      <c r="B4920" t="s">
        <v>1153</v>
      </c>
      <c r="C4920" s="10" t="str" cm="1">
        <f t="array" ref="C4920">IF(AND(A4920="2020-12", ISNA(MATCH(B4920, _xlfn._xlws.FILTER(B:B, A:A="2021-01"), 0))), "Left", "Ativo")</f>
        <v>Ativo</v>
      </c>
      <c r="D4920" s="10" t="str" cm="1">
        <f t="array" ref="D4920">IF(AND(A4920="2021-01", ISNA(MATCH(B4920, _xlfn._xlws.FILTER(B:B, A:A="2021-02"), 0))), "Left", "Ativo")</f>
        <v>Ativo</v>
      </c>
      <c r="E4920" s="10" t="str" cm="1">
        <f t="array" ref="E4920">IF(AND(A4920="2021-02", ISNA(MATCH(B4920, _xlfn._xlws.FILTER(B:B, A:A="2021-03"), 0))), "Left", "Ativo")</f>
        <v>Ativo</v>
      </c>
      <c r="F4920" s="12" t="str" cm="1">
        <f t="array" ref="F4920">IF(AND(A4920="2021-03", ISNA(MATCH(B4920, _xlfn._xlws.FILTER(B:B, A:A="2021-04"), 0))), "Left", "Ativo")</f>
        <v>Ativo</v>
      </c>
    </row>
    <row r="4921" spans="1:6" x14ac:dyDescent="0.25">
      <c r="A4921" t="s">
        <v>1532</v>
      </c>
      <c r="B4921" t="s">
        <v>1154</v>
      </c>
      <c r="C4921" s="10" t="str" cm="1">
        <f t="array" ref="C4921">IF(AND(A4921="2020-12", ISNA(MATCH(B4921, _xlfn._xlws.FILTER(B:B, A:A="2021-01"), 0))), "Left", "Ativo")</f>
        <v>Ativo</v>
      </c>
      <c r="D4921" s="10" t="str" cm="1">
        <f t="array" ref="D4921">IF(AND(A4921="2021-01", ISNA(MATCH(B4921, _xlfn._xlws.FILTER(B:B, A:A="2021-02"), 0))), "Left", "Ativo")</f>
        <v>Ativo</v>
      </c>
      <c r="E4921" s="10" t="str" cm="1">
        <f t="array" ref="E4921">IF(AND(A4921="2021-02", ISNA(MATCH(B4921, _xlfn._xlws.FILTER(B:B, A:A="2021-03"), 0))), "Left", "Ativo")</f>
        <v>Ativo</v>
      </c>
      <c r="F4921" s="12" t="str" cm="1">
        <f t="array" ref="F4921">IF(AND(A4921="2021-03", ISNA(MATCH(B4921, _xlfn._xlws.FILTER(B:B, A:A="2021-04"), 0))), "Left", "Ativo")</f>
        <v>Ativo</v>
      </c>
    </row>
    <row r="4922" spans="1:6" x14ac:dyDescent="0.25">
      <c r="A4922" t="s">
        <v>1532</v>
      </c>
      <c r="B4922" t="s">
        <v>1155</v>
      </c>
      <c r="C4922" s="10" t="str" cm="1">
        <f t="array" ref="C4922">IF(AND(A4922="2020-12", ISNA(MATCH(B4922, _xlfn._xlws.FILTER(B:B, A:A="2021-01"), 0))), "Left", "Ativo")</f>
        <v>Ativo</v>
      </c>
      <c r="D4922" s="10" t="str" cm="1">
        <f t="array" ref="D4922">IF(AND(A4922="2021-01", ISNA(MATCH(B4922, _xlfn._xlws.FILTER(B:B, A:A="2021-02"), 0))), "Left", "Ativo")</f>
        <v>Ativo</v>
      </c>
      <c r="E4922" s="10" t="str" cm="1">
        <f t="array" ref="E4922">IF(AND(A4922="2021-02", ISNA(MATCH(B4922, _xlfn._xlws.FILTER(B:B, A:A="2021-03"), 0))), "Left", "Ativo")</f>
        <v>Ativo</v>
      </c>
      <c r="F4922" s="12" t="str" cm="1">
        <f t="array" ref="F4922">IF(AND(A4922="2021-03", ISNA(MATCH(B4922, _xlfn._xlws.FILTER(B:B, A:A="2021-04"), 0))), "Left", "Ativo")</f>
        <v>Ativo</v>
      </c>
    </row>
    <row r="4923" spans="1:6" x14ac:dyDescent="0.25">
      <c r="A4923" t="s">
        <v>1532</v>
      </c>
      <c r="B4923" t="s">
        <v>1158</v>
      </c>
      <c r="C4923" s="10" t="str" cm="1">
        <f t="array" ref="C4923">IF(AND(A4923="2020-12", ISNA(MATCH(B4923, _xlfn._xlws.FILTER(B:B, A:A="2021-01"), 0))), "Left", "Ativo")</f>
        <v>Ativo</v>
      </c>
      <c r="D4923" s="10" t="str" cm="1">
        <f t="array" ref="D4923">IF(AND(A4923="2021-01", ISNA(MATCH(B4923, _xlfn._xlws.FILTER(B:B, A:A="2021-02"), 0))), "Left", "Ativo")</f>
        <v>Ativo</v>
      </c>
      <c r="E4923" s="10" t="str" cm="1">
        <f t="array" ref="E4923">IF(AND(A4923="2021-02", ISNA(MATCH(B4923, _xlfn._xlws.FILTER(B:B, A:A="2021-03"), 0))), "Left", "Ativo")</f>
        <v>Ativo</v>
      </c>
      <c r="F4923" s="12" t="str" cm="1">
        <f t="array" ref="F4923">IF(AND(A4923="2021-03", ISNA(MATCH(B4923, _xlfn._xlws.FILTER(B:B, A:A="2021-04"), 0))), "Left", "Ativo")</f>
        <v>Ativo</v>
      </c>
    </row>
    <row r="4924" spans="1:6" x14ac:dyDescent="0.25">
      <c r="A4924" t="s">
        <v>1532</v>
      </c>
      <c r="B4924" t="s">
        <v>1159</v>
      </c>
      <c r="C4924" s="10" t="str" cm="1">
        <f t="array" ref="C4924">IF(AND(A4924="2020-12", ISNA(MATCH(B4924, _xlfn._xlws.FILTER(B:B, A:A="2021-01"), 0))), "Left", "Ativo")</f>
        <v>Ativo</v>
      </c>
      <c r="D4924" s="10" t="str" cm="1">
        <f t="array" ref="D4924">IF(AND(A4924="2021-01", ISNA(MATCH(B4924, _xlfn._xlws.FILTER(B:B, A:A="2021-02"), 0))), "Left", "Ativo")</f>
        <v>Ativo</v>
      </c>
      <c r="E4924" s="10" t="str" cm="1">
        <f t="array" ref="E4924">IF(AND(A4924="2021-02", ISNA(MATCH(B4924, _xlfn._xlws.FILTER(B:B, A:A="2021-03"), 0))), "Left", "Ativo")</f>
        <v>Ativo</v>
      </c>
      <c r="F4924" s="12" t="str" cm="1">
        <f t="array" ref="F4924">IF(AND(A4924="2021-03", ISNA(MATCH(B4924, _xlfn._xlws.FILTER(B:B, A:A="2021-04"), 0))), "Left", "Ativo")</f>
        <v>Ativo</v>
      </c>
    </row>
    <row r="4925" spans="1:6" x14ac:dyDescent="0.25">
      <c r="A4925" t="s">
        <v>1532</v>
      </c>
      <c r="B4925" t="s">
        <v>1160</v>
      </c>
      <c r="C4925" s="10" t="str" cm="1">
        <f t="array" ref="C4925">IF(AND(A4925="2020-12", ISNA(MATCH(B4925, _xlfn._xlws.FILTER(B:B, A:A="2021-01"), 0))), "Left", "Ativo")</f>
        <v>Ativo</v>
      </c>
      <c r="D4925" s="10" t="str" cm="1">
        <f t="array" ref="D4925">IF(AND(A4925="2021-01", ISNA(MATCH(B4925, _xlfn._xlws.FILTER(B:B, A:A="2021-02"), 0))), "Left", "Ativo")</f>
        <v>Ativo</v>
      </c>
      <c r="E4925" s="10" t="str" cm="1">
        <f t="array" ref="E4925">IF(AND(A4925="2021-02", ISNA(MATCH(B4925, _xlfn._xlws.FILTER(B:B, A:A="2021-03"), 0))), "Left", "Ativo")</f>
        <v>Ativo</v>
      </c>
      <c r="F4925" s="12" t="str" cm="1">
        <f t="array" ref="F4925">IF(AND(A4925="2021-03", ISNA(MATCH(B4925, _xlfn._xlws.FILTER(B:B, A:A="2021-04"), 0))), "Left", "Ativo")</f>
        <v>Ativo</v>
      </c>
    </row>
    <row r="4926" spans="1:6" x14ac:dyDescent="0.25">
      <c r="A4926" t="s">
        <v>1532</v>
      </c>
      <c r="B4926" t="s">
        <v>1205</v>
      </c>
      <c r="C4926" s="10" t="str" cm="1">
        <f t="array" ref="C4926">IF(AND(A4926="2020-12", ISNA(MATCH(B4926, _xlfn._xlws.FILTER(B:B, A:A="2021-01"), 0))), "Left", "Ativo")</f>
        <v>Ativo</v>
      </c>
      <c r="D4926" s="10" t="str" cm="1">
        <f t="array" ref="D4926">IF(AND(A4926="2021-01", ISNA(MATCH(B4926, _xlfn._xlws.FILTER(B:B, A:A="2021-02"), 0))), "Left", "Ativo")</f>
        <v>Ativo</v>
      </c>
      <c r="E4926" s="10" t="str" cm="1">
        <f t="array" ref="E4926">IF(AND(A4926="2021-02", ISNA(MATCH(B4926, _xlfn._xlws.FILTER(B:B, A:A="2021-03"), 0))), "Left", "Ativo")</f>
        <v>Ativo</v>
      </c>
      <c r="F4926" s="12" t="str" cm="1">
        <f t="array" ref="F4926">IF(AND(A4926="2021-03", ISNA(MATCH(B4926, _xlfn._xlws.FILTER(B:B, A:A="2021-04"), 0))), "Left", "Ativo")</f>
        <v>Ativo</v>
      </c>
    </row>
    <row r="4927" spans="1:6" x14ac:dyDescent="0.25">
      <c r="A4927" t="s">
        <v>1532</v>
      </c>
      <c r="B4927" t="s">
        <v>1206</v>
      </c>
      <c r="C4927" s="10" t="str" cm="1">
        <f t="array" ref="C4927">IF(AND(A4927="2020-12", ISNA(MATCH(B4927, _xlfn._xlws.FILTER(B:B, A:A="2021-01"), 0))), "Left", "Ativo")</f>
        <v>Ativo</v>
      </c>
      <c r="D4927" s="10" t="str" cm="1">
        <f t="array" ref="D4927">IF(AND(A4927="2021-01", ISNA(MATCH(B4927, _xlfn._xlws.FILTER(B:B, A:A="2021-02"), 0))), "Left", "Ativo")</f>
        <v>Ativo</v>
      </c>
      <c r="E4927" s="10" t="str" cm="1">
        <f t="array" ref="E4927">IF(AND(A4927="2021-02", ISNA(MATCH(B4927, _xlfn._xlws.FILTER(B:B, A:A="2021-03"), 0))), "Left", "Ativo")</f>
        <v>Ativo</v>
      </c>
      <c r="F4927" s="12" t="str" cm="1">
        <f t="array" ref="F4927">IF(AND(A4927="2021-03", ISNA(MATCH(B4927, _xlfn._xlws.FILTER(B:B, A:A="2021-04"), 0))), "Left", "Ativo")</f>
        <v>Ativo</v>
      </c>
    </row>
    <row r="4928" spans="1:6" x14ac:dyDescent="0.25">
      <c r="A4928" t="s">
        <v>1532</v>
      </c>
      <c r="B4928" t="s">
        <v>1207</v>
      </c>
      <c r="C4928" s="10" t="str" cm="1">
        <f t="array" ref="C4928">IF(AND(A4928="2020-12", ISNA(MATCH(B4928, _xlfn._xlws.FILTER(B:B, A:A="2021-01"), 0))), "Left", "Ativo")</f>
        <v>Ativo</v>
      </c>
      <c r="D4928" s="10" t="str" cm="1">
        <f t="array" ref="D4928">IF(AND(A4928="2021-01", ISNA(MATCH(B4928, _xlfn._xlws.FILTER(B:B, A:A="2021-02"), 0))), "Left", "Ativo")</f>
        <v>Ativo</v>
      </c>
      <c r="E4928" s="10" t="str" cm="1">
        <f t="array" ref="E4928">IF(AND(A4928="2021-02", ISNA(MATCH(B4928, _xlfn._xlws.FILTER(B:B, A:A="2021-03"), 0))), "Left", "Ativo")</f>
        <v>Ativo</v>
      </c>
      <c r="F4928" s="12" t="str" cm="1">
        <f t="array" ref="F4928">IF(AND(A4928="2021-03", ISNA(MATCH(B4928, _xlfn._xlws.FILTER(B:B, A:A="2021-04"), 0))), "Left", "Ativo")</f>
        <v>Ativo</v>
      </c>
    </row>
    <row r="4929" spans="1:6" x14ac:dyDescent="0.25">
      <c r="A4929" t="s">
        <v>1532</v>
      </c>
      <c r="B4929" t="s">
        <v>1208</v>
      </c>
      <c r="C4929" s="10" t="str" cm="1">
        <f t="array" ref="C4929">IF(AND(A4929="2020-12", ISNA(MATCH(B4929, _xlfn._xlws.FILTER(B:B, A:A="2021-01"), 0))), "Left", "Ativo")</f>
        <v>Ativo</v>
      </c>
      <c r="D4929" s="10" t="str" cm="1">
        <f t="array" ref="D4929">IF(AND(A4929="2021-01", ISNA(MATCH(B4929, _xlfn._xlws.FILTER(B:B, A:A="2021-02"), 0))), "Left", "Ativo")</f>
        <v>Ativo</v>
      </c>
      <c r="E4929" s="10" t="str" cm="1">
        <f t="array" ref="E4929">IF(AND(A4929="2021-02", ISNA(MATCH(B4929, _xlfn._xlws.FILTER(B:B, A:A="2021-03"), 0))), "Left", "Ativo")</f>
        <v>Ativo</v>
      </c>
      <c r="F4929" s="12" t="str" cm="1">
        <f t="array" ref="F4929">IF(AND(A4929="2021-03", ISNA(MATCH(B4929, _xlfn._xlws.FILTER(B:B, A:A="2021-04"), 0))), "Left", "Ativo")</f>
        <v>Ativo</v>
      </c>
    </row>
    <row r="4930" spans="1:6" x14ac:dyDescent="0.25">
      <c r="A4930" t="s">
        <v>1532</v>
      </c>
      <c r="B4930" t="s">
        <v>1209</v>
      </c>
      <c r="C4930" s="10" t="str" cm="1">
        <f t="array" ref="C4930">IF(AND(A4930="2020-12", ISNA(MATCH(B4930, _xlfn._xlws.FILTER(B:B, A:A="2021-01"), 0))), "Left", "Ativo")</f>
        <v>Ativo</v>
      </c>
      <c r="D4930" s="10" t="str" cm="1">
        <f t="array" ref="D4930">IF(AND(A4930="2021-01", ISNA(MATCH(B4930, _xlfn._xlws.FILTER(B:B, A:A="2021-02"), 0))), "Left", "Ativo")</f>
        <v>Ativo</v>
      </c>
      <c r="E4930" s="10" t="str" cm="1">
        <f t="array" ref="E4930">IF(AND(A4930="2021-02", ISNA(MATCH(B4930, _xlfn._xlws.FILTER(B:B, A:A="2021-03"), 0))), "Left", "Ativo")</f>
        <v>Ativo</v>
      </c>
      <c r="F4930" s="12" t="str" cm="1">
        <f t="array" ref="F4930">IF(AND(A4930="2021-03", ISNA(MATCH(B4930, _xlfn._xlws.FILTER(B:B, A:A="2021-04"), 0))), "Left", "Ativo")</f>
        <v>Ativo</v>
      </c>
    </row>
    <row r="4931" spans="1:6" x14ac:dyDescent="0.25">
      <c r="A4931" t="s">
        <v>1532</v>
      </c>
      <c r="B4931" t="s">
        <v>1210</v>
      </c>
      <c r="C4931" s="10" t="str" cm="1">
        <f t="array" ref="C4931">IF(AND(A4931="2020-12", ISNA(MATCH(B4931, _xlfn._xlws.FILTER(B:B, A:A="2021-01"), 0))), "Left", "Ativo")</f>
        <v>Ativo</v>
      </c>
      <c r="D4931" s="10" t="str" cm="1">
        <f t="array" ref="D4931">IF(AND(A4931="2021-01", ISNA(MATCH(B4931, _xlfn._xlws.FILTER(B:B, A:A="2021-02"), 0))), "Left", "Ativo")</f>
        <v>Ativo</v>
      </c>
      <c r="E4931" s="10" t="str" cm="1">
        <f t="array" ref="E4931">IF(AND(A4931="2021-02", ISNA(MATCH(B4931, _xlfn._xlws.FILTER(B:B, A:A="2021-03"), 0))), "Left", "Ativo")</f>
        <v>Ativo</v>
      </c>
      <c r="F4931" s="12" t="str" cm="1">
        <f t="array" ref="F4931">IF(AND(A4931="2021-03", ISNA(MATCH(B4931, _xlfn._xlws.FILTER(B:B, A:A="2021-04"), 0))), "Left", "Ativo")</f>
        <v>Ativo</v>
      </c>
    </row>
    <row r="4932" spans="1:6" x14ac:dyDescent="0.25">
      <c r="A4932" t="s">
        <v>1532</v>
      </c>
      <c r="B4932" t="s">
        <v>1211</v>
      </c>
      <c r="C4932" s="10" t="str" cm="1">
        <f t="array" ref="C4932">IF(AND(A4932="2020-12", ISNA(MATCH(B4932, _xlfn._xlws.FILTER(B:B, A:A="2021-01"), 0))), "Left", "Ativo")</f>
        <v>Ativo</v>
      </c>
      <c r="D4932" s="10" t="str" cm="1">
        <f t="array" ref="D4932">IF(AND(A4932="2021-01", ISNA(MATCH(B4932, _xlfn._xlws.FILTER(B:B, A:A="2021-02"), 0))), "Left", "Ativo")</f>
        <v>Ativo</v>
      </c>
      <c r="E4932" s="10" t="str" cm="1">
        <f t="array" ref="E4932">IF(AND(A4932="2021-02", ISNA(MATCH(B4932, _xlfn._xlws.FILTER(B:B, A:A="2021-03"), 0))), "Left", "Ativo")</f>
        <v>Ativo</v>
      </c>
      <c r="F4932" s="12" t="str" cm="1">
        <f t="array" ref="F4932">IF(AND(A4932="2021-03", ISNA(MATCH(B4932, _xlfn._xlws.FILTER(B:B, A:A="2021-04"), 0))), "Left", "Ativo")</f>
        <v>Ativo</v>
      </c>
    </row>
    <row r="4933" spans="1:6" x14ac:dyDescent="0.25">
      <c r="A4933" t="s">
        <v>1532</v>
      </c>
      <c r="B4933" t="s">
        <v>1212</v>
      </c>
      <c r="C4933" s="10" t="str" cm="1">
        <f t="array" ref="C4933">IF(AND(A4933="2020-12", ISNA(MATCH(B4933, _xlfn._xlws.FILTER(B:B, A:A="2021-01"), 0))), "Left", "Ativo")</f>
        <v>Ativo</v>
      </c>
      <c r="D4933" s="10" t="str" cm="1">
        <f t="array" ref="D4933">IF(AND(A4933="2021-01", ISNA(MATCH(B4933, _xlfn._xlws.FILTER(B:B, A:A="2021-02"), 0))), "Left", "Ativo")</f>
        <v>Ativo</v>
      </c>
      <c r="E4933" s="10" t="str" cm="1">
        <f t="array" ref="E4933">IF(AND(A4933="2021-02", ISNA(MATCH(B4933, _xlfn._xlws.FILTER(B:B, A:A="2021-03"), 0))), "Left", "Ativo")</f>
        <v>Ativo</v>
      </c>
      <c r="F4933" s="12" t="str" cm="1">
        <f t="array" ref="F4933">IF(AND(A4933="2021-03", ISNA(MATCH(B4933, _xlfn._xlws.FILTER(B:B, A:A="2021-04"), 0))), "Left", "Ativo")</f>
        <v>Ativo</v>
      </c>
    </row>
    <row r="4934" spans="1:6" x14ac:dyDescent="0.25">
      <c r="A4934" t="s">
        <v>1532</v>
      </c>
      <c r="B4934" t="s">
        <v>1213</v>
      </c>
      <c r="C4934" s="10" t="str" cm="1">
        <f t="array" ref="C4934">IF(AND(A4934="2020-12", ISNA(MATCH(B4934, _xlfn._xlws.FILTER(B:B, A:A="2021-01"), 0))), "Left", "Ativo")</f>
        <v>Ativo</v>
      </c>
      <c r="D4934" s="10" t="str" cm="1">
        <f t="array" ref="D4934">IF(AND(A4934="2021-01", ISNA(MATCH(B4934, _xlfn._xlws.FILTER(B:B, A:A="2021-02"), 0))), "Left", "Ativo")</f>
        <v>Ativo</v>
      </c>
      <c r="E4934" s="10" t="str" cm="1">
        <f t="array" ref="E4934">IF(AND(A4934="2021-02", ISNA(MATCH(B4934, _xlfn._xlws.FILTER(B:B, A:A="2021-03"), 0))), "Left", "Ativo")</f>
        <v>Ativo</v>
      </c>
      <c r="F4934" s="12" t="str" cm="1">
        <f t="array" ref="F4934">IF(AND(A4934="2021-03", ISNA(MATCH(B4934, _xlfn._xlws.FILTER(B:B, A:A="2021-04"), 0))), "Left", "Ativo")</f>
        <v>Ativo</v>
      </c>
    </row>
    <row r="4935" spans="1:6" x14ac:dyDescent="0.25">
      <c r="A4935" t="s">
        <v>1532</v>
      </c>
      <c r="B4935" t="s">
        <v>1214</v>
      </c>
      <c r="C4935" s="10" t="str" cm="1">
        <f t="array" ref="C4935">IF(AND(A4935="2020-12", ISNA(MATCH(B4935, _xlfn._xlws.FILTER(B:B, A:A="2021-01"), 0))), "Left", "Ativo")</f>
        <v>Ativo</v>
      </c>
      <c r="D4935" s="10" t="str" cm="1">
        <f t="array" ref="D4935">IF(AND(A4935="2021-01", ISNA(MATCH(B4935, _xlfn._xlws.FILTER(B:B, A:A="2021-02"), 0))), "Left", "Ativo")</f>
        <v>Ativo</v>
      </c>
      <c r="E4935" s="10" t="str" cm="1">
        <f t="array" ref="E4935">IF(AND(A4935="2021-02", ISNA(MATCH(B4935, _xlfn._xlws.FILTER(B:B, A:A="2021-03"), 0))), "Left", "Ativo")</f>
        <v>Ativo</v>
      </c>
      <c r="F4935" s="12" t="str" cm="1">
        <f t="array" ref="F4935">IF(AND(A4935="2021-03", ISNA(MATCH(B4935, _xlfn._xlws.FILTER(B:B, A:A="2021-04"), 0))), "Left", "Ativo")</f>
        <v>Ativo</v>
      </c>
    </row>
    <row r="4936" spans="1:6" x14ac:dyDescent="0.25">
      <c r="A4936" t="s">
        <v>1532</v>
      </c>
      <c r="B4936" t="s">
        <v>1215</v>
      </c>
      <c r="C4936" s="10" t="str" cm="1">
        <f t="array" ref="C4936">IF(AND(A4936="2020-12", ISNA(MATCH(B4936, _xlfn._xlws.FILTER(B:B, A:A="2021-01"), 0))), "Left", "Ativo")</f>
        <v>Ativo</v>
      </c>
      <c r="D4936" s="10" t="str" cm="1">
        <f t="array" ref="D4936">IF(AND(A4936="2021-01", ISNA(MATCH(B4936, _xlfn._xlws.FILTER(B:B, A:A="2021-02"), 0))), "Left", "Ativo")</f>
        <v>Ativo</v>
      </c>
      <c r="E4936" s="10" t="str" cm="1">
        <f t="array" ref="E4936">IF(AND(A4936="2021-02", ISNA(MATCH(B4936, _xlfn._xlws.FILTER(B:B, A:A="2021-03"), 0))), "Left", "Ativo")</f>
        <v>Ativo</v>
      </c>
      <c r="F4936" s="12" t="str" cm="1">
        <f t="array" ref="F4936">IF(AND(A4936="2021-03", ISNA(MATCH(B4936, _xlfn._xlws.FILTER(B:B, A:A="2021-04"), 0))), "Left", "Ativo")</f>
        <v>Ativo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J3:J6 K2:K6" calculatedColumn="1"/>
  </ignoredErrors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1EA4-E202-427A-A1B8-9F26E0E61FED}">
  <dimension ref="A1:C21"/>
  <sheetViews>
    <sheetView workbookViewId="0">
      <selection activeCell="N22" sqref="N22"/>
    </sheetView>
  </sheetViews>
  <sheetFormatPr defaultRowHeight="15" x14ac:dyDescent="0.25"/>
  <cols>
    <col min="3" max="3" width="11" style="2" bestFit="1" customWidth="1"/>
  </cols>
  <sheetData>
    <row r="1" spans="1:3" x14ac:dyDescent="0.25">
      <c r="A1" t="s">
        <v>1527</v>
      </c>
      <c r="B1" t="s">
        <v>1216</v>
      </c>
      <c r="C1" s="2" t="s">
        <v>1217</v>
      </c>
    </row>
    <row r="2" spans="1:3" x14ac:dyDescent="0.25">
      <c r="A2" t="s">
        <v>1533</v>
      </c>
      <c r="B2" t="s">
        <v>1536</v>
      </c>
      <c r="C2" s="2">
        <v>800</v>
      </c>
    </row>
    <row r="3" spans="1:3" x14ac:dyDescent="0.25">
      <c r="A3" t="s">
        <v>1533</v>
      </c>
      <c r="B3" t="s">
        <v>1537</v>
      </c>
      <c r="C3" s="2">
        <v>1500</v>
      </c>
    </row>
    <row r="4" spans="1:3" x14ac:dyDescent="0.25">
      <c r="A4" t="s">
        <v>1533</v>
      </c>
      <c r="B4" t="s">
        <v>1538</v>
      </c>
      <c r="C4" s="2">
        <v>1200</v>
      </c>
    </row>
    <row r="5" spans="1:3" x14ac:dyDescent="0.25">
      <c r="A5" t="s">
        <v>1533</v>
      </c>
      <c r="B5" t="s">
        <v>1539</v>
      </c>
      <c r="C5" s="2">
        <v>1500</v>
      </c>
    </row>
    <row r="6" spans="1:3" x14ac:dyDescent="0.25">
      <c r="A6" t="s">
        <v>1533</v>
      </c>
      <c r="B6" t="s">
        <v>1540</v>
      </c>
      <c r="C6" s="2">
        <v>1150</v>
      </c>
    </row>
    <row r="7" spans="1:3" x14ac:dyDescent="0.25">
      <c r="A7" t="s">
        <v>1533</v>
      </c>
      <c r="B7" t="s">
        <v>1541</v>
      </c>
      <c r="C7" s="2">
        <v>1100</v>
      </c>
    </row>
    <row r="8" spans="1:3" x14ac:dyDescent="0.25">
      <c r="A8" t="s">
        <v>1533</v>
      </c>
      <c r="B8" t="s">
        <v>1542</v>
      </c>
      <c r="C8" s="2">
        <v>1010</v>
      </c>
    </row>
    <row r="9" spans="1:3" x14ac:dyDescent="0.25">
      <c r="A9" t="s">
        <v>1533</v>
      </c>
      <c r="B9" t="s">
        <v>1543</v>
      </c>
      <c r="C9" s="2">
        <v>1600</v>
      </c>
    </row>
    <row r="10" spans="1:3" x14ac:dyDescent="0.25">
      <c r="A10" t="s">
        <v>1533</v>
      </c>
      <c r="B10" t="s">
        <v>1544</v>
      </c>
      <c r="C10" s="2">
        <v>950</v>
      </c>
    </row>
    <row r="11" spans="1:3" x14ac:dyDescent="0.25">
      <c r="A11" t="s">
        <v>1533</v>
      </c>
      <c r="B11" t="s">
        <v>1545</v>
      </c>
      <c r="C11" s="2">
        <v>900</v>
      </c>
    </row>
    <row r="12" spans="1:3" x14ac:dyDescent="0.25">
      <c r="A12" t="s">
        <v>1534</v>
      </c>
      <c r="B12" t="s">
        <v>1536</v>
      </c>
      <c r="C12" s="2">
        <v>750</v>
      </c>
    </row>
    <row r="13" spans="1:3" x14ac:dyDescent="0.25">
      <c r="A13" t="s">
        <v>1534</v>
      </c>
      <c r="B13" t="s">
        <v>1537</v>
      </c>
      <c r="C13" s="2">
        <v>1500</v>
      </c>
    </row>
    <row r="14" spans="1:3" x14ac:dyDescent="0.25">
      <c r="A14" t="s">
        <v>1534</v>
      </c>
      <c r="B14" t="s">
        <v>1538</v>
      </c>
      <c r="C14" s="2">
        <v>1200</v>
      </c>
    </row>
    <row r="15" spans="1:3" x14ac:dyDescent="0.25">
      <c r="A15" t="s">
        <v>1534</v>
      </c>
      <c r="B15" t="s">
        <v>1539</v>
      </c>
      <c r="C15" s="2">
        <v>1550</v>
      </c>
    </row>
    <row r="16" spans="1:3" x14ac:dyDescent="0.25">
      <c r="A16" t="s">
        <v>1534</v>
      </c>
      <c r="B16" t="s">
        <v>1540</v>
      </c>
      <c r="C16" s="2">
        <v>1150</v>
      </c>
    </row>
    <row r="17" spans="1:3" x14ac:dyDescent="0.25">
      <c r="A17" t="s">
        <v>1534</v>
      </c>
      <c r="B17" t="s">
        <v>1541</v>
      </c>
      <c r="C17" s="2">
        <v>1100</v>
      </c>
    </row>
    <row r="18" spans="1:3" x14ac:dyDescent="0.25">
      <c r="A18" t="s">
        <v>1534</v>
      </c>
      <c r="B18" t="s">
        <v>1542</v>
      </c>
      <c r="C18" s="2">
        <v>1010</v>
      </c>
    </row>
    <row r="19" spans="1:3" x14ac:dyDescent="0.25">
      <c r="A19" t="s">
        <v>1534</v>
      </c>
      <c r="B19" t="s">
        <v>1543</v>
      </c>
      <c r="C19" s="2">
        <v>1600</v>
      </c>
    </row>
    <row r="20" spans="1:3" x14ac:dyDescent="0.25">
      <c r="A20" t="s">
        <v>1534</v>
      </c>
      <c r="B20" t="s">
        <v>1546</v>
      </c>
      <c r="C20" s="2">
        <v>950</v>
      </c>
    </row>
    <row r="21" spans="1:3" x14ac:dyDescent="0.25">
      <c r="A21" t="s">
        <v>1534</v>
      </c>
      <c r="B21" t="s">
        <v>1545</v>
      </c>
      <c r="C21" s="2">
        <v>900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31E6-715F-48DE-8FE6-33B7AA03EECB}">
  <dimension ref="A1:C2636"/>
  <sheetViews>
    <sheetView workbookViewId="0">
      <selection activeCell="D17" sqref="D17"/>
    </sheetView>
  </sheetViews>
  <sheetFormatPr defaultRowHeight="15" x14ac:dyDescent="0.25"/>
  <cols>
    <col min="1" max="1" width="7.7109375" bestFit="1" customWidth="1"/>
    <col min="2" max="2" width="8" bestFit="1" customWidth="1"/>
    <col min="3" max="3" width="23.5703125" bestFit="1" customWidth="1"/>
  </cols>
  <sheetData>
    <row r="1" spans="1:3" x14ac:dyDescent="0.25">
      <c r="A1" t="s">
        <v>1527</v>
      </c>
      <c r="B1" t="s">
        <v>1220</v>
      </c>
      <c r="C1" t="s">
        <v>1221</v>
      </c>
    </row>
    <row r="2" spans="1:3" x14ac:dyDescent="0.25">
      <c r="A2" t="s">
        <v>1531</v>
      </c>
      <c r="B2" t="s">
        <v>11</v>
      </c>
      <c r="C2" t="s">
        <v>1219</v>
      </c>
    </row>
    <row r="3" spans="1:3" x14ac:dyDescent="0.25">
      <c r="A3" t="s">
        <v>1531</v>
      </c>
      <c r="B3" t="s">
        <v>12</v>
      </c>
      <c r="C3" t="s">
        <v>1219</v>
      </c>
    </row>
    <row r="4" spans="1:3" x14ac:dyDescent="0.25">
      <c r="A4" t="s">
        <v>1531</v>
      </c>
      <c r="B4" t="s">
        <v>13</v>
      </c>
      <c r="C4" t="s">
        <v>1219</v>
      </c>
    </row>
    <row r="5" spans="1:3" x14ac:dyDescent="0.25">
      <c r="A5" t="s">
        <v>1531</v>
      </c>
      <c r="B5" t="s">
        <v>18</v>
      </c>
      <c r="C5" t="s">
        <v>1219</v>
      </c>
    </row>
    <row r="6" spans="1:3" x14ac:dyDescent="0.25">
      <c r="A6" t="s">
        <v>1531</v>
      </c>
      <c r="B6" t="s">
        <v>19</v>
      </c>
      <c r="C6" t="s">
        <v>1219</v>
      </c>
    </row>
    <row r="7" spans="1:3" x14ac:dyDescent="0.25">
      <c r="A7" t="s">
        <v>1531</v>
      </c>
      <c r="B7" t="s">
        <v>20</v>
      </c>
      <c r="C7" t="s">
        <v>1219</v>
      </c>
    </row>
    <row r="8" spans="1:3" x14ac:dyDescent="0.25">
      <c r="A8" t="s">
        <v>1531</v>
      </c>
      <c r="B8" t="s">
        <v>21</v>
      </c>
      <c r="C8" t="s">
        <v>1219</v>
      </c>
    </row>
    <row r="9" spans="1:3" x14ac:dyDescent="0.25">
      <c r="A9" t="s">
        <v>1531</v>
      </c>
      <c r="B9" t="s">
        <v>22</v>
      </c>
      <c r="C9" t="s">
        <v>1219</v>
      </c>
    </row>
    <row r="10" spans="1:3" x14ac:dyDescent="0.25">
      <c r="A10" t="s">
        <v>1531</v>
      </c>
      <c r="B10" t="s">
        <v>23</v>
      </c>
      <c r="C10" t="s">
        <v>1219</v>
      </c>
    </row>
    <row r="11" spans="1:3" x14ac:dyDescent="0.25">
      <c r="A11" t="s">
        <v>1531</v>
      </c>
      <c r="B11" t="s">
        <v>24</v>
      </c>
      <c r="C11" t="s">
        <v>1219</v>
      </c>
    </row>
    <row r="12" spans="1:3" x14ac:dyDescent="0.25">
      <c r="A12" t="s">
        <v>1531</v>
      </c>
      <c r="B12" t="s">
        <v>25</v>
      </c>
      <c r="C12" t="s">
        <v>1219</v>
      </c>
    </row>
    <row r="13" spans="1:3" x14ac:dyDescent="0.25">
      <c r="A13" t="s">
        <v>1531</v>
      </c>
      <c r="B13" t="s">
        <v>26</v>
      </c>
      <c r="C13" t="s">
        <v>1219</v>
      </c>
    </row>
    <row r="14" spans="1:3" x14ac:dyDescent="0.25">
      <c r="A14" t="s">
        <v>1531</v>
      </c>
      <c r="B14" t="s">
        <v>27</v>
      </c>
      <c r="C14" t="s">
        <v>1219</v>
      </c>
    </row>
    <row r="15" spans="1:3" x14ac:dyDescent="0.25">
      <c r="A15" t="s">
        <v>1531</v>
      </c>
      <c r="B15" t="s">
        <v>28</v>
      </c>
      <c r="C15" t="s">
        <v>1219</v>
      </c>
    </row>
    <row r="16" spans="1:3" x14ac:dyDescent="0.25">
      <c r="A16" t="s">
        <v>1531</v>
      </c>
      <c r="B16" t="s">
        <v>29</v>
      </c>
      <c r="C16" t="s">
        <v>1219</v>
      </c>
    </row>
    <row r="17" spans="1:3" x14ac:dyDescent="0.25">
      <c r="A17" t="s">
        <v>1531</v>
      </c>
      <c r="B17" t="s">
        <v>30</v>
      </c>
      <c r="C17" t="s">
        <v>1219</v>
      </c>
    </row>
    <row r="18" spans="1:3" x14ac:dyDescent="0.25">
      <c r="A18" t="s">
        <v>1531</v>
      </c>
      <c r="B18" t="s">
        <v>31</v>
      </c>
      <c r="C18" t="s">
        <v>1219</v>
      </c>
    </row>
    <row r="19" spans="1:3" x14ac:dyDescent="0.25">
      <c r="A19" t="s">
        <v>1531</v>
      </c>
      <c r="B19" t="s">
        <v>32</v>
      </c>
      <c r="C19" t="s">
        <v>1219</v>
      </c>
    </row>
    <row r="20" spans="1:3" x14ac:dyDescent="0.25">
      <c r="A20" t="s">
        <v>1531</v>
      </c>
      <c r="B20" t="s">
        <v>33</v>
      </c>
      <c r="C20" t="s">
        <v>1219</v>
      </c>
    </row>
    <row r="21" spans="1:3" x14ac:dyDescent="0.25">
      <c r="A21" t="s">
        <v>1531</v>
      </c>
      <c r="B21" t="s">
        <v>34</v>
      </c>
      <c r="C21" t="s">
        <v>1219</v>
      </c>
    </row>
    <row r="22" spans="1:3" x14ac:dyDescent="0.25">
      <c r="A22" t="s">
        <v>1531</v>
      </c>
      <c r="B22" t="s">
        <v>35</v>
      </c>
      <c r="C22" t="s">
        <v>1219</v>
      </c>
    </row>
    <row r="23" spans="1:3" x14ac:dyDescent="0.25">
      <c r="A23" t="s">
        <v>1531</v>
      </c>
      <c r="B23" t="s">
        <v>36</v>
      </c>
      <c r="C23" t="s">
        <v>1219</v>
      </c>
    </row>
    <row r="24" spans="1:3" x14ac:dyDescent="0.25">
      <c r="A24" t="s">
        <v>1531</v>
      </c>
      <c r="B24" t="s">
        <v>37</v>
      </c>
      <c r="C24" t="s">
        <v>1219</v>
      </c>
    </row>
    <row r="25" spans="1:3" x14ac:dyDescent="0.25">
      <c r="A25" t="s">
        <v>1531</v>
      </c>
      <c r="B25" t="s">
        <v>38</v>
      </c>
      <c r="C25" t="s">
        <v>1219</v>
      </c>
    </row>
    <row r="26" spans="1:3" x14ac:dyDescent="0.25">
      <c r="A26" t="s">
        <v>1531</v>
      </c>
      <c r="B26" t="s">
        <v>39</v>
      </c>
      <c r="C26" t="s">
        <v>1219</v>
      </c>
    </row>
    <row r="27" spans="1:3" x14ac:dyDescent="0.25">
      <c r="A27" t="s">
        <v>1531</v>
      </c>
      <c r="B27" t="s">
        <v>40</v>
      </c>
      <c r="C27" t="s">
        <v>1219</v>
      </c>
    </row>
    <row r="28" spans="1:3" x14ac:dyDescent="0.25">
      <c r="A28" t="s">
        <v>1531</v>
      </c>
      <c r="B28" t="s">
        <v>41</v>
      </c>
      <c r="C28" t="s">
        <v>1219</v>
      </c>
    </row>
    <row r="29" spans="1:3" x14ac:dyDescent="0.25">
      <c r="A29" t="s">
        <v>1531</v>
      </c>
      <c r="B29" t="s">
        <v>42</v>
      </c>
      <c r="C29" t="s">
        <v>1219</v>
      </c>
    </row>
    <row r="30" spans="1:3" x14ac:dyDescent="0.25">
      <c r="A30" t="s">
        <v>1531</v>
      </c>
      <c r="B30" t="s">
        <v>43</v>
      </c>
      <c r="C30" t="s">
        <v>1219</v>
      </c>
    </row>
    <row r="31" spans="1:3" x14ac:dyDescent="0.25">
      <c r="A31" t="s">
        <v>1531</v>
      </c>
      <c r="B31" t="s">
        <v>44</v>
      </c>
      <c r="C31" t="s">
        <v>1219</v>
      </c>
    </row>
    <row r="32" spans="1:3" x14ac:dyDescent="0.25">
      <c r="A32" t="s">
        <v>1531</v>
      </c>
      <c r="B32" t="s">
        <v>45</v>
      </c>
      <c r="C32" t="s">
        <v>1219</v>
      </c>
    </row>
    <row r="33" spans="1:3" x14ac:dyDescent="0.25">
      <c r="A33" t="s">
        <v>1531</v>
      </c>
      <c r="B33" t="s">
        <v>1091</v>
      </c>
      <c r="C33" t="s">
        <v>1219</v>
      </c>
    </row>
    <row r="34" spans="1:3" x14ac:dyDescent="0.25">
      <c r="A34" t="s">
        <v>1531</v>
      </c>
      <c r="B34" t="s">
        <v>47</v>
      </c>
      <c r="C34" t="s">
        <v>1219</v>
      </c>
    </row>
    <row r="35" spans="1:3" x14ac:dyDescent="0.25">
      <c r="A35" t="s">
        <v>1531</v>
      </c>
      <c r="B35" t="s">
        <v>48</v>
      </c>
      <c r="C35" t="s">
        <v>1219</v>
      </c>
    </row>
    <row r="36" spans="1:3" x14ac:dyDescent="0.25">
      <c r="A36" t="s">
        <v>1531</v>
      </c>
      <c r="B36" t="s">
        <v>51</v>
      </c>
      <c r="C36" t="s">
        <v>1219</v>
      </c>
    </row>
    <row r="37" spans="1:3" x14ac:dyDescent="0.25">
      <c r="A37" t="s">
        <v>1531</v>
      </c>
      <c r="B37" t="s">
        <v>52</v>
      </c>
      <c r="C37" t="s">
        <v>1219</v>
      </c>
    </row>
    <row r="38" spans="1:3" x14ac:dyDescent="0.25">
      <c r="A38" t="s">
        <v>1531</v>
      </c>
      <c r="B38" t="s">
        <v>53</v>
      </c>
      <c r="C38" t="s">
        <v>1219</v>
      </c>
    </row>
    <row r="39" spans="1:3" x14ac:dyDescent="0.25">
      <c r="A39" t="s">
        <v>1531</v>
      </c>
      <c r="B39" t="s">
        <v>54</v>
      </c>
      <c r="C39" t="s">
        <v>1219</v>
      </c>
    </row>
    <row r="40" spans="1:3" x14ac:dyDescent="0.25">
      <c r="A40" t="s">
        <v>1531</v>
      </c>
      <c r="B40" t="s">
        <v>55</v>
      </c>
      <c r="C40" t="s">
        <v>1219</v>
      </c>
    </row>
    <row r="41" spans="1:3" x14ac:dyDescent="0.25">
      <c r="A41" t="s">
        <v>1531</v>
      </c>
      <c r="B41" t="s">
        <v>56</v>
      </c>
      <c r="C41" t="s">
        <v>1219</v>
      </c>
    </row>
    <row r="42" spans="1:3" x14ac:dyDescent="0.25">
      <c r="A42" t="s">
        <v>1531</v>
      </c>
      <c r="B42" t="s">
        <v>57</v>
      </c>
      <c r="C42" t="s">
        <v>1219</v>
      </c>
    </row>
    <row r="43" spans="1:3" x14ac:dyDescent="0.25">
      <c r="A43" t="s">
        <v>1531</v>
      </c>
      <c r="B43" t="s">
        <v>58</v>
      </c>
      <c r="C43" t="s">
        <v>1219</v>
      </c>
    </row>
    <row r="44" spans="1:3" x14ac:dyDescent="0.25">
      <c r="A44" t="s">
        <v>1531</v>
      </c>
      <c r="B44" t="s">
        <v>59</v>
      </c>
      <c r="C44" t="s">
        <v>1219</v>
      </c>
    </row>
    <row r="45" spans="1:3" x14ac:dyDescent="0.25">
      <c r="A45" t="s">
        <v>1531</v>
      </c>
      <c r="B45" t="s">
        <v>60</v>
      </c>
      <c r="C45" t="s">
        <v>1219</v>
      </c>
    </row>
    <row r="46" spans="1:3" x14ac:dyDescent="0.25">
      <c r="A46" t="s">
        <v>1531</v>
      </c>
      <c r="B46" t="s">
        <v>61</v>
      </c>
      <c r="C46" t="s">
        <v>1219</v>
      </c>
    </row>
    <row r="47" spans="1:3" x14ac:dyDescent="0.25">
      <c r="A47" t="s">
        <v>1531</v>
      </c>
      <c r="B47" t="s">
        <v>62</v>
      </c>
      <c r="C47" t="s">
        <v>1219</v>
      </c>
    </row>
    <row r="48" spans="1:3" x14ac:dyDescent="0.25">
      <c r="A48" t="s">
        <v>1531</v>
      </c>
      <c r="B48" t="s">
        <v>63</v>
      </c>
      <c r="C48" t="s">
        <v>1219</v>
      </c>
    </row>
    <row r="49" spans="1:3" x14ac:dyDescent="0.25">
      <c r="A49" t="s">
        <v>1531</v>
      </c>
      <c r="B49" t="s">
        <v>1092</v>
      </c>
      <c r="C49" t="s">
        <v>1219</v>
      </c>
    </row>
    <row r="50" spans="1:3" x14ac:dyDescent="0.25">
      <c r="A50" t="s">
        <v>1531</v>
      </c>
      <c r="B50" t="s">
        <v>65</v>
      </c>
      <c r="C50" t="s">
        <v>1219</v>
      </c>
    </row>
    <row r="51" spans="1:3" x14ac:dyDescent="0.25">
      <c r="A51" t="s">
        <v>1531</v>
      </c>
      <c r="B51" t="s">
        <v>66</v>
      </c>
      <c r="C51" t="s">
        <v>1219</v>
      </c>
    </row>
    <row r="52" spans="1:3" x14ac:dyDescent="0.25">
      <c r="A52" t="s">
        <v>1531</v>
      </c>
      <c r="B52" t="s">
        <v>67</v>
      </c>
      <c r="C52" t="s">
        <v>1219</v>
      </c>
    </row>
    <row r="53" spans="1:3" x14ac:dyDescent="0.25">
      <c r="A53" t="s">
        <v>1531</v>
      </c>
      <c r="B53" t="s">
        <v>68</v>
      </c>
      <c r="C53" t="s">
        <v>1219</v>
      </c>
    </row>
    <row r="54" spans="1:3" x14ac:dyDescent="0.25">
      <c r="A54" t="s">
        <v>1531</v>
      </c>
      <c r="B54" t="s">
        <v>70</v>
      </c>
      <c r="C54" t="s">
        <v>1219</v>
      </c>
    </row>
    <row r="55" spans="1:3" x14ac:dyDescent="0.25">
      <c r="A55" t="s">
        <v>1531</v>
      </c>
      <c r="B55" t="s">
        <v>72</v>
      </c>
      <c r="C55" t="s">
        <v>1219</v>
      </c>
    </row>
    <row r="56" spans="1:3" x14ac:dyDescent="0.25">
      <c r="A56" t="s">
        <v>1531</v>
      </c>
      <c r="B56" t="s">
        <v>74</v>
      </c>
      <c r="C56" t="s">
        <v>1219</v>
      </c>
    </row>
    <row r="57" spans="1:3" x14ac:dyDescent="0.25">
      <c r="A57" t="s">
        <v>1531</v>
      </c>
      <c r="B57" t="s">
        <v>76</v>
      </c>
      <c r="C57" t="s">
        <v>1219</v>
      </c>
    </row>
    <row r="58" spans="1:3" x14ac:dyDescent="0.25">
      <c r="A58" t="s">
        <v>1531</v>
      </c>
      <c r="B58" t="s">
        <v>78</v>
      </c>
      <c r="C58" t="s">
        <v>1219</v>
      </c>
    </row>
    <row r="59" spans="1:3" x14ac:dyDescent="0.25">
      <c r="A59" t="s">
        <v>1531</v>
      </c>
      <c r="B59" t="s">
        <v>80</v>
      </c>
      <c r="C59" t="s">
        <v>1219</v>
      </c>
    </row>
    <row r="60" spans="1:3" x14ac:dyDescent="0.25">
      <c r="A60" t="s">
        <v>1531</v>
      </c>
      <c r="B60" t="s">
        <v>82</v>
      </c>
      <c r="C60" t="s">
        <v>1219</v>
      </c>
    </row>
    <row r="61" spans="1:3" x14ac:dyDescent="0.25">
      <c r="A61" t="s">
        <v>1531</v>
      </c>
      <c r="B61" t="s">
        <v>85</v>
      </c>
      <c r="C61" t="s">
        <v>1219</v>
      </c>
    </row>
    <row r="62" spans="1:3" x14ac:dyDescent="0.25">
      <c r="A62" t="s">
        <v>1531</v>
      </c>
      <c r="B62" t="s">
        <v>87</v>
      </c>
      <c r="C62" t="s">
        <v>1219</v>
      </c>
    </row>
    <row r="63" spans="1:3" x14ac:dyDescent="0.25">
      <c r="A63" t="s">
        <v>1531</v>
      </c>
      <c r="B63" t="s">
        <v>89</v>
      </c>
      <c r="C63" t="s">
        <v>1219</v>
      </c>
    </row>
    <row r="64" spans="1:3" x14ac:dyDescent="0.25">
      <c r="A64" t="s">
        <v>1531</v>
      </c>
      <c r="B64" t="s">
        <v>91</v>
      </c>
      <c r="C64" t="s">
        <v>1219</v>
      </c>
    </row>
    <row r="65" spans="1:3" x14ac:dyDescent="0.25">
      <c r="A65" t="s">
        <v>1531</v>
      </c>
      <c r="B65" t="s">
        <v>93</v>
      </c>
      <c r="C65" t="s">
        <v>1219</v>
      </c>
    </row>
    <row r="66" spans="1:3" x14ac:dyDescent="0.25">
      <c r="A66" t="s">
        <v>1531</v>
      </c>
      <c r="B66" t="s">
        <v>95</v>
      </c>
      <c r="C66" t="s">
        <v>1219</v>
      </c>
    </row>
    <row r="67" spans="1:3" x14ac:dyDescent="0.25">
      <c r="A67" t="s">
        <v>1531</v>
      </c>
      <c r="B67" t="s">
        <v>1102</v>
      </c>
      <c r="C67" t="s">
        <v>1550</v>
      </c>
    </row>
    <row r="68" spans="1:3" x14ac:dyDescent="0.25">
      <c r="A68" t="s">
        <v>1531</v>
      </c>
      <c r="B68" t="s">
        <v>1103</v>
      </c>
      <c r="C68" t="s">
        <v>1550</v>
      </c>
    </row>
    <row r="69" spans="1:3" x14ac:dyDescent="0.25">
      <c r="A69" t="s">
        <v>1531</v>
      </c>
      <c r="B69" t="s">
        <v>1104</v>
      </c>
      <c r="C69" t="s">
        <v>1550</v>
      </c>
    </row>
    <row r="70" spans="1:3" x14ac:dyDescent="0.25">
      <c r="A70" t="s">
        <v>1531</v>
      </c>
      <c r="B70" t="s">
        <v>199</v>
      </c>
      <c r="C70" t="s">
        <v>1550</v>
      </c>
    </row>
    <row r="71" spans="1:3" x14ac:dyDescent="0.25">
      <c r="A71" t="s">
        <v>1531</v>
      </c>
      <c r="B71" t="s">
        <v>200</v>
      </c>
      <c r="C71" t="s">
        <v>1550</v>
      </c>
    </row>
    <row r="72" spans="1:3" x14ac:dyDescent="0.25">
      <c r="A72" t="s">
        <v>1531</v>
      </c>
      <c r="B72" t="s">
        <v>201</v>
      </c>
      <c r="C72" t="s">
        <v>1550</v>
      </c>
    </row>
    <row r="73" spans="1:3" x14ac:dyDescent="0.25">
      <c r="A73" t="s">
        <v>1531</v>
      </c>
      <c r="B73" t="s">
        <v>206</v>
      </c>
      <c r="C73" t="s">
        <v>1550</v>
      </c>
    </row>
    <row r="74" spans="1:3" x14ac:dyDescent="0.25">
      <c r="A74" t="s">
        <v>1531</v>
      </c>
      <c r="B74" t="s">
        <v>207</v>
      </c>
      <c r="C74" t="s">
        <v>1550</v>
      </c>
    </row>
    <row r="75" spans="1:3" x14ac:dyDescent="0.25">
      <c r="A75" t="s">
        <v>1531</v>
      </c>
      <c r="B75" t="s">
        <v>208</v>
      </c>
      <c r="C75" t="s">
        <v>1550</v>
      </c>
    </row>
    <row r="76" spans="1:3" x14ac:dyDescent="0.25">
      <c r="A76" t="s">
        <v>1531</v>
      </c>
      <c r="B76" t="s">
        <v>209</v>
      </c>
      <c r="C76" t="s">
        <v>1550</v>
      </c>
    </row>
    <row r="77" spans="1:3" x14ac:dyDescent="0.25">
      <c r="A77" t="s">
        <v>1531</v>
      </c>
      <c r="B77" t="s">
        <v>210</v>
      </c>
      <c r="C77" t="s">
        <v>1550</v>
      </c>
    </row>
    <row r="78" spans="1:3" x14ac:dyDescent="0.25">
      <c r="A78" t="s">
        <v>1531</v>
      </c>
      <c r="B78" t="s">
        <v>211</v>
      </c>
      <c r="C78" t="s">
        <v>1550</v>
      </c>
    </row>
    <row r="79" spans="1:3" x14ac:dyDescent="0.25">
      <c r="A79" t="s">
        <v>1531</v>
      </c>
      <c r="B79" t="s">
        <v>212</v>
      </c>
      <c r="C79" t="s">
        <v>1550</v>
      </c>
    </row>
    <row r="80" spans="1:3" x14ac:dyDescent="0.25">
      <c r="A80" t="s">
        <v>1531</v>
      </c>
      <c r="B80" t="s">
        <v>213</v>
      </c>
      <c r="C80" t="s">
        <v>1550</v>
      </c>
    </row>
    <row r="81" spans="1:3" x14ac:dyDescent="0.25">
      <c r="A81" t="s">
        <v>1531</v>
      </c>
      <c r="B81" t="s">
        <v>214</v>
      </c>
      <c r="C81" t="s">
        <v>1550</v>
      </c>
    </row>
    <row r="82" spans="1:3" x14ac:dyDescent="0.25">
      <c r="A82" t="s">
        <v>1531</v>
      </c>
      <c r="B82" t="s">
        <v>215</v>
      </c>
      <c r="C82" t="s">
        <v>1550</v>
      </c>
    </row>
    <row r="83" spans="1:3" x14ac:dyDescent="0.25">
      <c r="A83" t="s">
        <v>1531</v>
      </c>
      <c r="B83" t="s">
        <v>216</v>
      </c>
      <c r="C83" t="s">
        <v>1550</v>
      </c>
    </row>
    <row r="84" spans="1:3" x14ac:dyDescent="0.25">
      <c r="A84" t="s">
        <v>1531</v>
      </c>
      <c r="B84" t="s">
        <v>217</v>
      </c>
      <c r="C84" t="s">
        <v>1550</v>
      </c>
    </row>
    <row r="85" spans="1:3" x14ac:dyDescent="0.25">
      <c r="A85" t="s">
        <v>1531</v>
      </c>
      <c r="B85" t="s">
        <v>218</v>
      </c>
      <c r="C85" t="s">
        <v>1550</v>
      </c>
    </row>
    <row r="86" spans="1:3" x14ac:dyDescent="0.25">
      <c r="A86" t="s">
        <v>1531</v>
      </c>
      <c r="B86" t="s">
        <v>219</v>
      </c>
      <c r="C86" t="s">
        <v>1550</v>
      </c>
    </row>
    <row r="87" spans="1:3" x14ac:dyDescent="0.25">
      <c r="A87" t="s">
        <v>1531</v>
      </c>
      <c r="B87" t="s">
        <v>220</v>
      </c>
      <c r="C87" t="s">
        <v>1550</v>
      </c>
    </row>
    <row r="88" spans="1:3" x14ac:dyDescent="0.25">
      <c r="A88" t="s">
        <v>1531</v>
      </c>
      <c r="B88" t="s">
        <v>221</v>
      </c>
      <c r="C88" t="s">
        <v>1550</v>
      </c>
    </row>
    <row r="89" spans="1:3" x14ac:dyDescent="0.25">
      <c r="A89" t="s">
        <v>1531</v>
      </c>
      <c r="B89" t="s">
        <v>222</v>
      </c>
      <c r="C89" t="s">
        <v>1550</v>
      </c>
    </row>
    <row r="90" spans="1:3" x14ac:dyDescent="0.25">
      <c r="A90" t="s">
        <v>1531</v>
      </c>
      <c r="B90" t="s">
        <v>223</v>
      </c>
      <c r="C90" t="s">
        <v>1550</v>
      </c>
    </row>
    <row r="91" spans="1:3" x14ac:dyDescent="0.25">
      <c r="A91" t="s">
        <v>1531</v>
      </c>
      <c r="B91" t="s">
        <v>224</v>
      </c>
      <c r="C91" t="s">
        <v>1550</v>
      </c>
    </row>
    <row r="92" spans="1:3" x14ac:dyDescent="0.25">
      <c r="A92" t="s">
        <v>1531</v>
      </c>
      <c r="B92" t="s">
        <v>225</v>
      </c>
      <c r="C92" t="s">
        <v>1550</v>
      </c>
    </row>
    <row r="93" spans="1:3" x14ac:dyDescent="0.25">
      <c r="A93" t="s">
        <v>1531</v>
      </c>
      <c r="B93" t="s">
        <v>226</v>
      </c>
      <c r="C93" t="s">
        <v>1550</v>
      </c>
    </row>
    <row r="94" spans="1:3" x14ac:dyDescent="0.25">
      <c r="A94" t="s">
        <v>1531</v>
      </c>
      <c r="B94" t="s">
        <v>227</v>
      </c>
      <c r="C94" t="s">
        <v>1550</v>
      </c>
    </row>
    <row r="95" spans="1:3" x14ac:dyDescent="0.25">
      <c r="A95" t="s">
        <v>1531</v>
      </c>
      <c r="B95" t="s">
        <v>228</v>
      </c>
      <c r="C95" t="s">
        <v>1550</v>
      </c>
    </row>
    <row r="96" spans="1:3" x14ac:dyDescent="0.25">
      <c r="A96" t="s">
        <v>1531</v>
      </c>
      <c r="B96" t="s">
        <v>229</v>
      </c>
      <c r="C96" t="s">
        <v>1550</v>
      </c>
    </row>
    <row r="97" spans="1:3" x14ac:dyDescent="0.25">
      <c r="A97" t="s">
        <v>1531</v>
      </c>
      <c r="B97" t="s">
        <v>230</v>
      </c>
      <c r="C97" t="s">
        <v>1550</v>
      </c>
    </row>
    <row r="98" spans="1:3" x14ac:dyDescent="0.25">
      <c r="A98" t="s">
        <v>1531</v>
      </c>
      <c r="B98" t="s">
        <v>231</v>
      </c>
      <c r="C98" t="s">
        <v>1550</v>
      </c>
    </row>
    <row r="99" spans="1:3" x14ac:dyDescent="0.25">
      <c r="A99" t="s">
        <v>1531</v>
      </c>
      <c r="B99" t="s">
        <v>232</v>
      </c>
      <c r="C99" t="s">
        <v>1550</v>
      </c>
    </row>
    <row r="100" spans="1:3" x14ac:dyDescent="0.25">
      <c r="A100" t="s">
        <v>1531</v>
      </c>
      <c r="B100" t="s">
        <v>233</v>
      </c>
      <c r="C100" t="s">
        <v>1550</v>
      </c>
    </row>
    <row r="101" spans="1:3" x14ac:dyDescent="0.25">
      <c r="A101" t="s">
        <v>1531</v>
      </c>
      <c r="B101" t="s">
        <v>1105</v>
      </c>
      <c r="C101" t="s">
        <v>1550</v>
      </c>
    </row>
    <row r="102" spans="1:3" x14ac:dyDescent="0.25">
      <c r="A102" t="s">
        <v>1531</v>
      </c>
      <c r="B102" t="s">
        <v>235</v>
      </c>
      <c r="C102" t="s">
        <v>1550</v>
      </c>
    </row>
    <row r="103" spans="1:3" x14ac:dyDescent="0.25">
      <c r="A103" t="s">
        <v>1531</v>
      </c>
      <c r="B103" t="s">
        <v>236</v>
      </c>
      <c r="C103" t="s">
        <v>1550</v>
      </c>
    </row>
    <row r="104" spans="1:3" x14ac:dyDescent="0.25">
      <c r="A104" t="s">
        <v>1531</v>
      </c>
      <c r="B104" t="s">
        <v>239</v>
      </c>
      <c r="C104" t="s">
        <v>1550</v>
      </c>
    </row>
    <row r="105" spans="1:3" x14ac:dyDescent="0.25">
      <c r="A105" t="s">
        <v>1531</v>
      </c>
      <c r="B105" t="s">
        <v>240</v>
      </c>
      <c r="C105" t="s">
        <v>1550</v>
      </c>
    </row>
    <row r="106" spans="1:3" x14ac:dyDescent="0.25">
      <c r="A106" t="s">
        <v>1531</v>
      </c>
      <c r="B106" t="s">
        <v>241</v>
      </c>
      <c r="C106" t="s">
        <v>1550</v>
      </c>
    </row>
    <row r="107" spans="1:3" x14ac:dyDescent="0.25">
      <c r="A107" t="s">
        <v>1531</v>
      </c>
      <c r="B107" t="s">
        <v>242</v>
      </c>
      <c r="C107" t="s">
        <v>1550</v>
      </c>
    </row>
    <row r="108" spans="1:3" x14ac:dyDescent="0.25">
      <c r="A108" t="s">
        <v>1531</v>
      </c>
      <c r="B108" t="s">
        <v>243</v>
      </c>
      <c r="C108" t="s">
        <v>1550</v>
      </c>
    </row>
    <row r="109" spans="1:3" x14ac:dyDescent="0.25">
      <c r="A109" t="s">
        <v>1531</v>
      </c>
      <c r="B109" t="s">
        <v>244</v>
      </c>
      <c r="C109" t="s">
        <v>1550</v>
      </c>
    </row>
    <row r="110" spans="1:3" x14ac:dyDescent="0.25">
      <c r="A110" t="s">
        <v>1531</v>
      </c>
      <c r="B110" t="s">
        <v>245</v>
      </c>
      <c r="C110" t="s">
        <v>1550</v>
      </c>
    </row>
    <row r="111" spans="1:3" x14ac:dyDescent="0.25">
      <c r="A111" t="s">
        <v>1531</v>
      </c>
      <c r="B111" t="s">
        <v>246</v>
      </c>
      <c r="C111" t="s">
        <v>1550</v>
      </c>
    </row>
    <row r="112" spans="1:3" x14ac:dyDescent="0.25">
      <c r="A112" t="s">
        <v>1531</v>
      </c>
      <c r="B112" t="s">
        <v>247</v>
      </c>
      <c r="C112" t="s">
        <v>1550</v>
      </c>
    </row>
    <row r="113" spans="1:3" x14ac:dyDescent="0.25">
      <c r="A113" t="s">
        <v>1531</v>
      </c>
      <c r="B113" t="s">
        <v>248</v>
      </c>
      <c r="C113" t="s">
        <v>1550</v>
      </c>
    </row>
    <row r="114" spans="1:3" x14ac:dyDescent="0.25">
      <c r="A114" t="s">
        <v>1531</v>
      </c>
      <c r="B114" t="s">
        <v>249</v>
      </c>
      <c r="C114" t="s">
        <v>1550</v>
      </c>
    </row>
    <row r="115" spans="1:3" x14ac:dyDescent="0.25">
      <c r="A115" t="s">
        <v>1531</v>
      </c>
      <c r="B115" t="s">
        <v>250</v>
      </c>
      <c r="C115" t="s">
        <v>1550</v>
      </c>
    </row>
    <row r="116" spans="1:3" x14ac:dyDescent="0.25">
      <c r="A116" t="s">
        <v>1531</v>
      </c>
      <c r="B116" t="s">
        <v>251</v>
      </c>
      <c r="C116" t="s">
        <v>1550</v>
      </c>
    </row>
    <row r="117" spans="1:3" x14ac:dyDescent="0.25">
      <c r="A117" t="s">
        <v>1531</v>
      </c>
      <c r="B117" t="s">
        <v>1106</v>
      </c>
      <c r="C117" t="s">
        <v>1550</v>
      </c>
    </row>
    <row r="118" spans="1:3" x14ac:dyDescent="0.25">
      <c r="A118" t="s">
        <v>1531</v>
      </c>
      <c r="B118" t="s">
        <v>253</v>
      </c>
      <c r="C118" t="s">
        <v>1550</v>
      </c>
    </row>
    <row r="119" spans="1:3" x14ac:dyDescent="0.25">
      <c r="A119" t="s">
        <v>1531</v>
      </c>
      <c r="B119" t="s">
        <v>254</v>
      </c>
      <c r="C119" t="s">
        <v>1550</v>
      </c>
    </row>
    <row r="120" spans="1:3" x14ac:dyDescent="0.25">
      <c r="A120" t="s">
        <v>1531</v>
      </c>
      <c r="B120" t="s">
        <v>255</v>
      </c>
      <c r="C120" t="s">
        <v>1550</v>
      </c>
    </row>
    <row r="121" spans="1:3" x14ac:dyDescent="0.25">
      <c r="A121" t="s">
        <v>1531</v>
      </c>
      <c r="B121" t="s">
        <v>256</v>
      </c>
      <c r="C121" t="s">
        <v>1550</v>
      </c>
    </row>
    <row r="122" spans="1:3" x14ac:dyDescent="0.25">
      <c r="A122" t="s">
        <v>1531</v>
      </c>
      <c r="B122" t="s">
        <v>257</v>
      </c>
      <c r="C122" t="s">
        <v>1550</v>
      </c>
    </row>
    <row r="123" spans="1:3" x14ac:dyDescent="0.25">
      <c r="A123" t="s">
        <v>1531</v>
      </c>
      <c r="B123" t="s">
        <v>258</v>
      </c>
      <c r="C123" t="s">
        <v>1550</v>
      </c>
    </row>
    <row r="124" spans="1:3" x14ac:dyDescent="0.25">
      <c r="A124" t="s">
        <v>1531</v>
      </c>
      <c r="B124" t="s">
        <v>259</v>
      </c>
      <c r="C124" t="s">
        <v>1550</v>
      </c>
    </row>
    <row r="125" spans="1:3" x14ac:dyDescent="0.25">
      <c r="A125" t="s">
        <v>1531</v>
      </c>
      <c r="B125" t="s">
        <v>260</v>
      </c>
      <c r="C125" t="s">
        <v>1550</v>
      </c>
    </row>
    <row r="126" spans="1:3" x14ac:dyDescent="0.25">
      <c r="A126" t="s">
        <v>1531</v>
      </c>
      <c r="B126" t="s">
        <v>261</v>
      </c>
      <c r="C126" t="s">
        <v>1550</v>
      </c>
    </row>
    <row r="127" spans="1:3" x14ac:dyDescent="0.25">
      <c r="A127" t="s">
        <v>1531</v>
      </c>
      <c r="B127" t="s">
        <v>262</v>
      </c>
      <c r="C127" t="s">
        <v>1550</v>
      </c>
    </row>
    <row r="128" spans="1:3" x14ac:dyDescent="0.25">
      <c r="A128" t="s">
        <v>1531</v>
      </c>
      <c r="B128" t="s">
        <v>263</v>
      </c>
      <c r="C128" t="s">
        <v>1550</v>
      </c>
    </row>
    <row r="129" spans="1:3" x14ac:dyDescent="0.25">
      <c r="A129" t="s">
        <v>1531</v>
      </c>
      <c r="B129" t="s">
        <v>264</v>
      </c>
      <c r="C129" t="s">
        <v>1550</v>
      </c>
    </row>
    <row r="130" spans="1:3" x14ac:dyDescent="0.25">
      <c r="A130" t="s">
        <v>1531</v>
      </c>
      <c r="B130" t="s">
        <v>265</v>
      </c>
      <c r="C130" t="s">
        <v>1550</v>
      </c>
    </row>
    <row r="131" spans="1:3" x14ac:dyDescent="0.25">
      <c r="A131" t="s">
        <v>1531</v>
      </c>
      <c r="B131" t="s">
        <v>266</v>
      </c>
      <c r="C131" t="s">
        <v>1550</v>
      </c>
    </row>
    <row r="132" spans="1:3" x14ac:dyDescent="0.25">
      <c r="A132" t="s">
        <v>1531</v>
      </c>
      <c r="B132" t="s">
        <v>267</v>
      </c>
      <c r="C132" t="s">
        <v>1550</v>
      </c>
    </row>
    <row r="133" spans="1:3" x14ac:dyDescent="0.25">
      <c r="A133" t="s">
        <v>1531</v>
      </c>
      <c r="B133" t="s">
        <v>268</v>
      </c>
      <c r="C133" t="s">
        <v>1550</v>
      </c>
    </row>
    <row r="134" spans="1:3" x14ac:dyDescent="0.25">
      <c r="A134" t="s">
        <v>1531</v>
      </c>
      <c r="B134" t="s">
        <v>269</v>
      </c>
      <c r="C134" t="s">
        <v>1550</v>
      </c>
    </row>
    <row r="135" spans="1:3" x14ac:dyDescent="0.25">
      <c r="A135" t="s">
        <v>1531</v>
      </c>
      <c r="B135" t="s">
        <v>270</v>
      </c>
      <c r="C135" t="s">
        <v>1550</v>
      </c>
    </row>
    <row r="136" spans="1:3" x14ac:dyDescent="0.25">
      <c r="A136" t="s">
        <v>1531</v>
      </c>
      <c r="B136" t="s">
        <v>271</v>
      </c>
      <c r="C136" t="s">
        <v>1550</v>
      </c>
    </row>
    <row r="137" spans="1:3" x14ac:dyDescent="0.25">
      <c r="A137" t="s">
        <v>1531</v>
      </c>
      <c r="B137" t="s">
        <v>273</v>
      </c>
      <c r="C137" t="s">
        <v>1550</v>
      </c>
    </row>
    <row r="138" spans="1:3" x14ac:dyDescent="0.25">
      <c r="A138" t="s">
        <v>1531</v>
      </c>
      <c r="B138" t="s">
        <v>274</v>
      </c>
      <c r="C138" t="s">
        <v>1550</v>
      </c>
    </row>
    <row r="139" spans="1:3" x14ac:dyDescent="0.25">
      <c r="A139" t="s">
        <v>1531</v>
      </c>
      <c r="B139" t="s">
        <v>275</v>
      </c>
      <c r="C139" t="s">
        <v>1550</v>
      </c>
    </row>
    <row r="140" spans="1:3" x14ac:dyDescent="0.25">
      <c r="A140" t="s">
        <v>1531</v>
      </c>
      <c r="B140" t="s">
        <v>276</v>
      </c>
      <c r="C140" t="s">
        <v>1550</v>
      </c>
    </row>
    <row r="141" spans="1:3" x14ac:dyDescent="0.25">
      <c r="A141" t="s">
        <v>1531</v>
      </c>
      <c r="B141" t="s">
        <v>277</v>
      </c>
      <c r="C141" t="s">
        <v>1550</v>
      </c>
    </row>
    <row r="142" spans="1:3" x14ac:dyDescent="0.25">
      <c r="A142" t="s">
        <v>1531</v>
      </c>
      <c r="B142" t="s">
        <v>278</v>
      </c>
      <c r="C142" t="s">
        <v>1550</v>
      </c>
    </row>
    <row r="143" spans="1:3" x14ac:dyDescent="0.25">
      <c r="A143" t="s">
        <v>1531</v>
      </c>
      <c r="B143" t="s">
        <v>279</v>
      </c>
      <c r="C143" t="s">
        <v>1550</v>
      </c>
    </row>
    <row r="144" spans="1:3" x14ac:dyDescent="0.25">
      <c r="A144" t="s">
        <v>1531</v>
      </c>
      <c r="B144" t="s">
        <v>280</v>
      </c>
      <c r="C144" t="s">
        <v>1550</v>
      </c>
    </row>
    <row r="145" spans="1:3" x14ac:dyDescent="0.25">
      <c r="A145" t="s">
        <v>1531</v>
      </c>
      <c r="B145" t="s">
        <v>281</v>
      </c>
      <c r="C145" t="s">
        <v>1550</v>
      </c>
    </row>
    <row r="146" spans="1:3" x14ac:dyDescent="0.25">
      <c r="A146" t="s">
        <v>1531</v>
      </c>
      <c r="B146" t="s">
        <v>282</v>
      </c>
      <c r="C146" t="s">
        <v>1550</v>
      </c>
    </row>
    <row r="147" spans="1:3" x14ac:dyDescent="0.25">
      <c r="A147" t="s">
        <v>1531</v>
      </c>
      <c r="B147" t="s">
        <v>283</v>
      </c>
      <c r="C147" t="s">
        <v>1550</v>
      </c>
    </row>
    <row r="148" spans="1:3" x14ac:dyDescent="0.25">
      <c r="A148" t="s">
        <v>1531</v>
      </c>
      <c r="B148" t="s">
        <v>284</v>
      </c>
      <c r="C148" t="s">
        <v>1550</v>
      </c>
    </row>
    <row r="149" spans="1:3" x14ac:dyDescent="0.25">
      <c r="A149" t="s">
        <v>1531</v>
      </c>
      <c r="B149" t="s">
        <v>285</v>
      </c>
      <c r="C149" t="s">
        <v>1550</v>
      </c>
    </row>
    <row r="150" spans="1:3" x14ac:dyDescent="0.25">
      <c r="A150" t="s">
        <v>1531</v>
      </c>
      <c r="B150" t="s">
        <v>286</v>
      </c>
      <c r="C150" t="s">
        <v>1550</v>
      </c>
    </row>
    <row r="151" spans="1:3" x14ac:dyDescent="0.25">
      <c r="A151" t="s">
        <v>1531</v>
      </c>
      <c r="B151" t="s">
        <v>287</v>
      </c>
      <c r="C151" t="s">
        <v>1550</v>
      </c>
    </row>
    <row r="152" spans="1:3" x14ac:dyDescent="0.25">
      <c r="A152" t="s">
        <v>1531</v>
      </c>
      <c r="B152" t="s">
        <v>288</v>
      </c>
      <c r="C152" t="s">
        <v>1550</v>
      </c>
    </row>
    <row r="153" spans="1:3" x14ac:dyDescent="0.25">
      <c r="A153" t="s">
        <v>1531</v>
      </c>
      <c r="B153" t="s">
        <v>289</v>
      </c>
      <c r="C153" t="s">
        <v>1550</v>
      </c>
    </row>
    <row r="154" spans="1:3" x14ac:dyDescent="0.25">
      <c r="A154" t="s">
        <v>1531</v>
      </c>
      <c r="B154" t="s">
        <v>290</v>
      </c>
      <c r="C154" t="s">
        <v>1550</v>
      </c>
    </row>
    <row r="155" spans="1:3" x14ac:dyDescent="0.25">
      <c r="A155" t="s">
        <v>1531</v>
      </c>
      <c r="B155" t="s">
        <v>291</v>
      </c>
      <c r="C155" t="s">
        <v>1550</v>
      </c>
    </row>
    <row r="156" spans="1:3" x14ac:dyDescent="0.25">
      <c r="A156" t="s">
        <v>1531</v>
      </c>
      <c r="B156" t="s">
        <v>292</v>
      </c>
      <c r="C156" t="s">
        <v>1550</v>
      </c>
    </row>
    <row r="157" spans="1:3" x14ac:dyDescent="0.25">
      <c r="A157" t="s">
        <v>1531</v>
      </c>
      <c r="B157" t="s">
        <v>293</v>
      </c>
      <c r="C157" t="s">
        <v>1550</v>
      </c>
    </row>
    <row r="158" spans="1:3" x14ac:dyDescent="0.25">
      <c r="A158" t="s">
        <v>1531</v>
      </c>
      <c r="B158" t="s">
        <v>294</v>
      </c>
      <c r="C158" t="s">
        <v>1550</v>
      </c>
    </row>
    <row r="159" spans="1:3" x14ac:dyDescent="0.25">
      <c r="A159" t="s">
        <v>1531</v>
      </c>
      <c r="B159" t="s">
        <v>296</v>
      </c>
      <c r="C159" t="s">
        <v>1550</v>
      </c>
    </row>
    <row r="160" spans="1:3" x14ac:dyDescent="0.25">
      <c r="A160" t="s">
        <v>1531</v>
      </c>
      <c r="B160" t="s">
        <v>298</v>
      </c>
      <c r="C160" t="s">
        <v>1550</v>
      </c>
    </row>
    <row r="161" spans="1:3" x14ac:dyDescent="0.25">
      <c r="A161" t="s">
        <v>1531</v>
      </c>
      <c r="B161" t="s">
        <v>300</v>
      </c>
      <c r="C161" t="s">
        <v>1550</v>
      </c>
    </row>
    <row r="162" spans="1:3" x14ac:dyDescent="0.25">
      <c r="A162" t="s">
        <v>1531</v>
      </c>
      <c r="B162" t="s">
        <v>302</v>
      </c>
      <c r="C162" t="s">
        <v>1550</v>
      </c>
    </row>
    <row r="163" spans="1:3" x14ac:dyDescent="0.25">
      <c r="A163" t="s">
        <v>1531</v>
      </c>
      <c r="B163" t="s">
        <v>305</v>
      </c>
      <c r="C163" t="s">
        <v>1550</v>
      </c>
    </row>
    <row r="164" spans="1:3" x14ac:dyDescent="0.25">
      <c r="A164" t="s">
        <v>1531</v>
      </c>
      <c r="B164" t="s">
        <v>307</v>
      </c>
      <c r="C164" t="s">
        <v>1550</v>
      </c>
    </row>
    <row r="165" spans="1:3" x14ac:dyDescent="0.25">
      <c r="A165" t="s">
        <v>1531</v>
      </c>
      <c r="B165" t="s">
        <v>309</v>
      </c>
      <c r="C165" t="s">
        <v>1550</v>
      </c>
    </row>
    <row r="166" spans="1:3" x14ac:dyDescent="0.25">
      <c r="A166" t="s">
        <v>1531</v>
      </c>
      <c r="B166" t="s">
        <v>311</v>
      </c>
      <c r="C166" t="s">
        <v>1550</v>
      </c>
    </row>
    <row r="167" spans="1:3" x14ac:dyDescent="0.25">
      <c r="A167" t="s">
        <v>1531</v>
      </c>
      <c r="B167" t="s">
        <v>313</v>
      </c>
      <c r="C167" t="s">
        <v>1550</v>
      </c>
    </row>
    <row r="168" spans="1:3" x14ac:dyDescent="0.25">
      <c r="A168" t="s">
        <v>1531</v>
      </c>
      <c r="B168" t="s">
        <v>315</v>
      </c>
      <c r="C168" t="s">
        <v>1550</v>
      </c>
    </row>
    <row r="169" spans="1:3" x14ac:dyDescent="0.25">
      <c r="A169" t="s">
        <v>1531</v>
      </c>
      <c r="B169" t="s">
        <v>317</v>
      </c>
      <c r="C169" t="s">
        <v>1550</v>
      </c>
    </row>
    <row r="170" spans="1:3" x14ac:dyDescent="0.25">
      <c r="A170" t="s">
        <v>1531</v>
      </c>
      <c r="B170" t="s">
        <v>319</v>
      </c>
      <c r="C170" t="s">
        <v>1550</v>
      </c>
    </row>
    <row r="171" spans="1:3" x14ac:dyDescent="0.25">
      <c r="A171" t="s">
        <v>1531</v>
      </c>
      <c r="B171" t="s">
        <v>321</v>
      </c>
      <c r="C171" t="s">
        <v>1550</v>
      </c>
    </row>
    <row r="172" spans="1:3" x14ac:dyDescent="0.25">
      <c r="A172" t="s">
        <v>1531</v>
      </c>
      <c r="B172" t="s">
        <v>323</v>
      </c>
      <c r="C172" t="s">
        <v>1550</v>
      </c>
    </row>
    <row r="173" spans="1:3" x14ac:dyDescent="0.25">
      <c r="A173" t="s">
        <v>1531</v>
      </c>
      <c r="B173" t="s">
        <v>325</v>
      </c>
      <c r="C173" t="s">
        <v>1550</v>
      </c>
    </row>
    <row r="174" spans="1:3" x14ac:dyDescent="0.25">
      <c r="A174" t="s">
        <v>1531</v>
      </c>
      <c r="B174" t="s">
        <v>327</v>
      </c>
      <c r="C174" t="s">
        <v>1550</v>
      </c>
    </row>
    <row r="175" spans="1:3" x14ac:dyDescent="0.25">
      <c r="A175" t="s">
        <v>1531</v>
      </c>
      <c r="B175" t="s">
        <v>329</v>
      </c>
      <c r="C175" t="s">
        <v>1550</v>
      </c>
    </row>
    <row r="176" spans="1:3" x14ac:dyDescent="0.25">
      <c r="A176" t="s">
        <v>1531</v>
      </c>
      <c r="B176" t="s">
        <v>331</v>
      </c>
      <c r="C176" t="s">
        <v>1550</v>
      </c>
    </row>
    <row r="177" spans="1:3" x14ac:dyDescent="0.25">
      <c r="A177" t="s">
        <v>1531</v>
      </c>
      <c r="B177" t="s">
        <v>333</v>
      </c>
      <c r="C177" t="s">
        <v>1550</v>
      </c>
    </row>
    <row r="178" spans="1:3" x14ac:dyDescent="0.25">
      <c r="A178" t="s">
        <v>1531</v>
      </c>
      <c r="B178" t="s">
        <v>335</v>
      </c>
      <c r="C178" t="s">
        <v>1550</v>
      </c>
    </row>
    <row r="179" spans="1:3" x14ac:dyDescent="0.25">
      <c r="A179" t="s">
        <v>1531</v>
      </c>
      <c r="B179" t="s">
        <v>337</v>
      </c>
      <c r="C179" t="s">
        <v>1550</v>
      </c>
    </row>
    <row r="180" spans="1:3" x14ac:dyDescent="0.25">
      <c r="A180" t="s">
        <v>1531</v>
      </c>
      <c r="B180" t="s">
        <v>339</v>
      </c>
      <c r="C180" t="s">
        <v>1550</v>
      </c>
    </row>
    <row r="181" spans="1:3" x14ac:dyDescent="0.25">
      <c r="A181" t="s">
        <v>1531</v>
      </c>
      <c r="B181" t="s">
        <v>341</v>
      </c>
      <c r="C181" t="s">
        <v>1550</v>
      </c>
    </row>
    <row r="182" spans="1:3" x14ac:dyDescent="0.25">
      <c r="A182" t="s">
        <v>1531</v>
      </c>
      <c r="B182" t="s">
        <v>548</v>
      </c>
      <c r="C182" t="s">
        <v>1551</v>
      </c>
    </row>
    <row r="183" spans="1:3" x14ac:dyDescent="0.25">
      <c r="A183" t="s">
        <v>1531</v>
      </c>
      <c r="B183" t="s">
        <v>549</v>
      </c>
      <c r="C183" t="s">
        <v>1551</v>
      </c>
    </row>
    <row r="184" spans="1:3" x14ac:dyDescent="0.25">
      <c r="A184" t="s">
        <v>1531</v>
      </c>
      <c r="B184" t="s">
        <v>550</v>
      </c>
      <c r="C184" t="s">
        <v>1551</v>
      </c>
    </row>
    <row r="185" spans="1:3" x14ac:dyDescent="0.25">
      <c r="A185" t="s">
        <v>1531</v>
      </c>
      <c r="B185" t="s">
        <v>551</v>
      </c>
      <c r="C185" t="s">
        <v>1551</v>
      </c>
    </row>
    <row r="186" spans="1:3" x14ac:dyDescent="0.25">
      <c r="A186" t="s">
        <v>1531</v>
      </c>
      <c r="B186" t="s">
        <v>552</v>
      </c>
      <c r="C186" t="s">
        <v>1551</v>
      </c>
    </row>
    <row r="187" spans="1:3" x14ac:dyDescent="0.25">
      <c r="A187" t="s">
        <v>1531</v>
      </c>
      <c r="B187" t="s">
        <v>553</v>
      </c>
      <c r="C187" t="s">
        <v>1551</v>
      </c>
    </row>
    <row r="188" spans="1:3" x14ac:dyDescent="0.25">
      <c r="A188" t="s">
        <v>1531</v>
      </c>
      <c r="B188" t="s">
        <v>554</v>
      </c>
      <c r="C188" t="s">
        <v>1551</v>
      </c>
    </row>
    <row r="189" spans="1:3" x14ac:dyDescent="0.25">
      <c r="A189" t="s">
        <v>1531</v>
      </c>
      <c r="B189" t="s">
        <v>555</v>
      </c>
      <c r="C189" t="s">
        <v>1551</v>
      </c>
    </row>
    <row r="190" spans="1:3" x14ac:dyDescent="0.25">
      <c r="A190" t="s">
        <v>1531</v>
      </c>
      <c r="B190" t="s">
        <v>556</v>
      </c>
      <c r="C190" t="s">
        <v>1551</v>
      </c>
    </row>
    <row r="191" spans="1:3" x14ac:dyDescent="0.25">
      <c r="A191" t="s">
        <v>1531</v>
      </c>
      <c r="B191" t="s">
        <v>557</v>
      </c>
      <c r="C191" t="s">
        <v>1551</v>
      </c>
    </row>
    <row r="192" spans="1:3" x14ac:dyDescent="0.25">
      <c r="A192" t="s">
        <v>1531</v>
      </c>
      <c r="B192" t="s">
        <v>558</v>
      </c>
      <c r="C192" t="s">
        <v>1551</v>
      </c>
    </row>
    <row r="193" spans="1:3" x14ac:dyDescent="0.25">
      <c r="A193" t="s">
        <v>1531</v>
      </c>
      <c r="B193" t="s">
        <v>559</v>
      </c>
      <c r="C193" t="s">
        <v>1551</v>
      </c>
    </row>
    <row r="194" spans="1:3" x14ac:dyDescent="0.25">
      <c r="A194" t="s">
        <v>1531</v>
      </c>
      <c r="B194" t="s">
        <v>560</v>
      </c>
      <c r="C194" t="s">
        <v>1551</v>
      </c>
    </row>
    <row r="195" spans="1:3" x14ac:dyDescent="0.25">
      <c r="A195" t="s">
        <v>1531</v>
      </c>
      <c r="B195" t="s">
        <v>561</v>
      </c>
      <c r="C195" t="s">
        <v>1551</v>
      </c>
    </row>
    <row r="196" spans="1:3" x14ac:dyDescent="0.25">
      <c r="A196" t="s">
        <v>1531</v>
      </c>
      <c r="B196" t="s">
        <v>562</v>
      </c>
      <c r="C196" t="s">
        <v>1551</v>
      </c>
    </row>
    <row r="197" spans="1:3" x14ac:dyDescent="0.25">
      <c r="A197" t="s">
        <v>1531</v>
      </c>
      <c r="B197" t="s">
        <v>563</v>
      </c>
      <c r="C197" t="s">
        <v>1551</v>
      </c>
    </row>
    <row r="198" spans="1:3" x14ac:dyDescent="0.25">
      <c r="A198" t="s">
        <v>1531</v>
      </c>
      <c r="B198" t="s">
        <v>564</v>
      </c>
      <c r="C198" t="s">
        <v>1551</v>
      </c>
    </row>
    <row r="199" spans="1:3" x14ac:dyDescent="0.25">
      <c r="A199" t="s">
        <v>1531</v>
      </c>
      <c r="B199" t="s">
        <v>1028</v>
      </c>
      <c r="C199" t="s">
        <v>1551</v>
      </c>
    </row>
    <row r="200" spans="1:3" x14ac:dyDescent="0.25">
      <c r="A200" t="s">
        <v>1531</v>
      </c>
      <c r="B200" t="s">
        <v>1029</v>
      </c>
      <c r="C200" t="s">
        <v>1551</v>
      </c>
    </row>
    <row r="201" spans="1:3" x14ac:dyDescent="0.25">
      <c r="A201" t="s">
        <v>1531</v>
      </c>
      <c r="B201" t="s">
        <v>1030</v>
      </c>
      <c r="C201" t="s">
        <v>1551</v>
      </c>
    </row>
    <row r="202" spans="1:3" x14ac:dyDescent="0.25">
      <c r="A202" t="s">
        <v>1531</v>
      </c>
      <c r="B202" t="s">
        <v>1031</v>
      </c>
      <c r="C202" t="s">
        <v>1551</v>
      </c>
    </row>
    <row r="203" spans="1:3" x14ac:dyDescent="0.25">
      <c r="A203" t="s">
        <v>1531</v>
      </c>
      <c r="B203" t="s">
        <v>1032</v>
      </c>
      <c r="C203" t="s">
        <v>1551</v>
      </c>
    </row>
    <row r="204" spans="1:3" x14ac:dyDescent="0.25">
      <c r="A204" t="s">
        <v>1531</v>
      </c>
      <c r="B204" t="s">
        <v>1033</v>
      </c>
      <c r="C204" t="s">
        <v>1551</v>
      </c>
    </row>
    <row r="205" spans="1:3" x14ac:dyDescent="0.25">
      <c r="A205" t="s">
        <v>1531</v>
      </c>
      <c r="B205" t="s">
        <v>1034</v>
      </c>
      <c r="C205" t="s">
        <v>1551</v>
      </c>
    </row>
    <row r="206" spans="1:3" x14ac:dyDescent="0.25">
      <c r="A206" t="s">
        <v>1531</v>
      </c>
      <c r="B206" t="s">
        <v>1035</v>
      </c>
      <c r="C206" t="s">
        <v>1551</v>
      </c>
    </row>
    <row r="207" spans="1:3" x14ac:dyDescent="0.25">
      <c r="A207" t="s">
        <v>1531</v>
      </c>
      <c r="B207" t="s">
        <v>1036</v>
      </c>
      <c r="C207" t="s">
        <v>1551</v>
      </c>
    </row>
    <row r="208" spans="1:3" x14ac:dyDescent="0.25">
      <c r="A208" t="s">
        <v>1531</v>
      </c>
      <c r="B208" t="s">
        <v>1037</v>
      </c>
      <c r="C208" t="s">
        <v>1551</v>
      </c>
    </row>
    <row r="209" spans="1:3" x14ac:dyDescent="0.25">
      <c r="A209" t="s">
        <v>1531</v>
      </c>
      <c r="B209" t="s">
        <v>1038</v>
      </c>
      <c r="C209" t="s">
        <v>1551</v>
      </c>
    </row>
    <row r="210" spans="1:3" x14ac:dyDescent="0.25">
      <c r="A210" t="s">
        <v>1531</v>
      </c>
      <c r="B210" t="s">
        <v>1039</v>
      </c>
      <c r="C210" t="s">
        <v>1551</v>
      </c>
    </row>
    <row r="211" spans="1:3" x14ac:dyDescent="0.25">
      <c r="A211" t="s">
        <v>1531</v>
      </c>
      <c r="B211" t="s">
        <v>1040</v>
      </c>
      <c r="C211" t="s">
        <v>1551</v>
      </c>
    </row>
    <row r="212" spans="1:3" x14ac:dyDescent="0.25">
      <c r="A212" t="s">
        <v>1531</v>
      </c>
      <c r="B212" t="s">
        <v>1041</v>
      </c>
      <c r="C212" t="s">
        <v>1551</v>
      </c>
    </row>
    <row r="213" spans="1:3" x14ac:dyDescent="0.25">
      <c r="A213" t="s">
        <v>1531</v>
      </c>
      <c r="B213" t="s">
        <v>1042</v>
      </c>
      <c r="C213" t="s">
        <v>1551</v>
      </c>
    </row>
    <row r="214" spans="1:3" x14ac:dyDescent="0.25">
      <c r="A214" t="s">
        <v>1531</v>
      </c>
      <c r="B214" t="s">
        <v>1043</v>
      </c>
      <c r="C214" t="s">
        <v>1551</v>
      </c>
    </row>
    <row r="215" spans="1:3" x14ac:dyDescent="0.25">
      <c r="A215" t="s">
        <v>1531</v>
      </c>
      <c r="B215" t="s">
        <v>1044</v>
      </c>
      <c r="C215" t="s">
        <v>1551</v>
      </c>
    </row>
    <row r="216" spans="1:3" x14ac:dyDescent="0.25">
      <c r="A216" t="s">
        <v>1531</v>
      </c>
      <c r="B216" t="s">
        <v>1045</v>
      </c>
      <c r="C216" t="s">
        <v>1551</v>
      </c>
    </row>
    <row r="217" spans="1:3" x14ac:dyDescent="0.25">
      <c r="A217" t="s">
        <v>1531</v>
      </c>
      <c r="B217" t="s">
        <v>1046</v>
      </c>
      <c r="C217" t="s">
        <v>1551</v>
      </c>
    </row>
    <row r="218" spans="1:3" x14ac:dyDescent="0.25">
      <c r="A218" t="s">
        <v>1531</v>
      </c>
      <c r="B218" t="s">
        <v>1047</v>
      </c>
      <c r="C218" t="s">
        <v>1551</v>
      </c>
    </row>
    <row r="219" spans="1:3" x14ac:dyDescent="0.25">
      <c r="A219" t="s">
        <v>1531</v>
      </c>
      <c r="B219" t="s">
        <v>1048</v>
      </c>
      <c r="C219" t="s">
        <v>1551</v>
      </c>
    </row>
    <row r="220" spans="1:3" x14ac:dyDescent="0.25">
      <c r="A220" t="s">
        <v>1531</v>
      </c>
      <c r="B220" t="s">
        <v>1121</v>
      </c>
      <c r="C220" t="s">
        <v>1551</v>
      </c>
    </row>
    <row r="221" spans="1:3" x14ac:dyDescent="0.25">
      <c r="A221" t="s">
        <v>1531</v>
      </c>
      <c r="B221" t="s">
        <v>1122</v>
      </c>
      <c r="C221" t="s">
        <v>1551</v>
      </c>
    </row>
    <row r="222" spans="1:3" x14ac:dyDescent="0.25">
      <c r="A222" t="s">
        <v>1531</v>
      </c>
      <c r="B222" t="s">
        <v>1123</v>
      </c>
      <c r="C222" t="s">
        <v>1551</v>
      </c>
    </row>
    <row r="223" spans="1:3" x14ac:dyDescent="0.25">
      <c r="A223" t="s">
        <v>1531</v>
      </c>
      <c r="B223" t="s">
        <v>1124</v>
      </c>
      <c r="C223" t="s">
        <v>1551</v>
      </c>
    </row>
    <row r="224" spans="1:3" x14ac:dyDescent="0.25">
      <c r="A224" t="s">
        <v>1531</v>
      </c>
      <c r="B224" t="s">
        <v>1125</v>
      </c>
      <c r="C224" t="s">
        <v>1551</v>
      </c>
    </row>
    <row r="225" spans="1:3" x14ac:dyDescent="0.25">
      <c r="A225" t="s">
        <v>1531</v>
      </c>
      <c r="B225" t="s">
        <v>1126</v>
      </c>
      <c r="C225" t="s">
        <v>1551</v>
      </c>
    </row>
    <row r="226" spans="1:3" x14ac:dyDescent="0.25">
      <c r="A226" t="s">
        <v>1531</v>
      </c>
      <c r="B226" t="s">
        <v>1127</v>
      </c>
      <c r="C226" t="s">
        <v>1551</v>
      </c>
    </row>
    <row r="227" spans="1:3" x14ac:dyDescent="0.25">
      <c r="A227" t="s">
        <v>1531</v>
      </c>
      <c r="B227" t="s">
        <v>1128</v>
      </c>
      <c r="C227" t="s">
        <v>1551</v>
      </c>
    </row>
    <row r="228" spans="1:3" x14ac:dyDescent="0.25">
      <c r="A228" t="s">
        <v>1531</v>
      </c>
      <c r="B228" t="s">
        <v>1129</v>
      </c>
      <c r="C228" t="s">
        <v>1551</v>
      </c>
    </row>
    <row r="229" spans="1:3" x14ac:dyDescent="0.25">
      <c r="A229" t="s">
        <v>1531</v>
      </c>
      <c r="B229" t="s">
        <v>1130</v>
      </c>
      <c r="C229" t="s">
        <v>1551</v>
      </c>
    </row>
    <row r="230" spans="1:3" x14ac:dyDescent="0.25">
      <c r="A230" t="s">
        <v>1531</v>
      </c>
      <c r="B230" t="s">
        <v>1131</v>
      </c>
      <c r="C230" t="s">
        <v>1551</v>
      </c>
    </row>
    <row r="231" spans="1:3" x14ac:dyDescent="0.25">
      <c r="A231" t="s">
        <v>1531</v>
      </c>
      <c r="B231" t="s">
        <v>1132</v>
      </c>
      <c r="C231" t="s">
        <v>1551</v>
      </c>
    </row>
    <row r="232" spans="1:3" x14ac:dyDescent="0.25">
      <c r="A232" t="s">
        <v>1531</v>
      </c>
      <c r="B232" t="s">
        <v>575</v>
      </c>
      <c r="C232" t="s">
        <v>1551</v>
      </c>
    </row>
    <row r="233" spans="1:3" x14ac:dyDescent="0.25">
      <c r="A233" t="s">
        <v>1531</v>
      </c>
      <c r="B233" t="s">
        <v>576</v>
      </c>
      <c r="C233" t="s">
        <v>1551</v>
      </c>
    </row>
    <row r="234" spans="1:3" x14ac:dyDescent="0.25">
      <c r="A234" t="s">
        <v>1531</v>
      </c>
      <c r="B234" t="s">
        <v>577</v>
      </c>
      <c r="C234" t="s">
        <v>1551</v>
      </c>
    </row>
    <row r="235" spans="1:3" x14ac:dyDescent="0.25">
      <c r="A235" t="s">
        <v>1531</v>
      </c>
      <c r="B235" t="s">
        <v>582</v>
      </c>
      <c r="C235" t="s">
        <v>1551</v>
      </c>
    </row>
    <row r="236" spans="1:3" x14ac:dyDescent="0.25">
      <c r="A236" t="s">
        <v>1531</v>
      </c>
      <c r="B236" t="s">
        <v>583</v>
      </c>
      <c r="C236" t="s">
        <v>1551</v>
      </c>
    </row>
    <row r="237" spans="1:3" x14ac:dyDescent="0.25">
      <c r="A237" t="s">
        <v>1531</v>
      </c>
      <c r="B237" t="s">
        <v>584</v>
      </c>
      <c r="C237" t="s">
        <v>1551</v>
      </c>
    </row>
    <row r="238" spans="1:3" x14ac:dyDescent="0.25">
      <c r="A238" t="s">
        <v>1531</v>
      </c>
      <c r="B238" t="s">
        <v>585</v>
      </c>
      <c r="C238" t="s">
        <v>1551</v>
      </c>
    </row>
    <row r="239" spans="1:3" x14ac:dyDescent="0.25">
      <c r="A239" t="s">
        <v>1531</v>
      </c>
      <c r="B239" t="s">
        <v>586</v>
      </c>
      <c r="C239" t="s">
        <v>1551</v>
      </c>
    </row>
    <row r="240" spans="1:3" x14ac:dyDescent="0.25">
      <c r="A240" t="s">
        <v>1531</v>
      </c>
      <c r="B240" t="s">
        <v>587</v>
      </c>
      <c r="C240" t="s">
        <v>1551</v>
      </c>
    </row>
    <row r="241" spans="1:3" x14ac:dyDescent="0.25">
      <c r="A241" t="s">
        <v>1531</v>
      </c>
      <c r="B241" t="s">
        <v>588</v>
      </c>
      <c r="C241" t="s">
        <v>1551</v>
      </c>
    </row>
    <row r="242" spans="1:3" x14ac:dyDescent="0.25">
      <c r="A242" t="s">
        <v>1531</v>
      </c>
      <c r="B242" t="s">
        <v>589</v>
      </c>
      <c r="C242" t="s">
        <v>1551</v>
      </c>
    </row>
    <row r="243" spans="1:3" x14ac:dyDescent="0.25">
      <c r="A243" t="s">
        <v>1531</v>
      </c>
      <c r="B243" t="s">
        <v>590</v>
      </c>
      <c r="C243" t="s">
        <v>1551</v>
      </c>
    </row>
    <row r="244" spans="1:3" x14ac:dyDescent="0.25">
      <c r="A244" t="s">
        <v>1531</v>
      </c>
      <c r="B244" t="s">
        <v>591</v>
      </c>
      <c r="C244" t="s">
        <v>1551</v>
      </c>
    </row>
    <row r="245" spans="1:3" x14ac:dyDescent="0.25">
      <c r="A245" t="s">
        <v>1531</v>
      </c>
      <c r="B245" t="s">
        <v>592</v>
      </c>
      <c r="C245" t="s">
        <v>1551</v>
      </c>
    </row>
    <row r="246" spans="1:3" x14ac:dyDescent="0.25">
      <c r="A246" t="s">
        <v>1531</v>
      </c>
      <c r="B246" t="s">
        <v>593</v>
      </c>
      <c r="C246" t="s">
        <v>1551</v>
      </c>
    </row>
    <row r="247" spans="1:3" x14ac:dyDescent="0.25">
      <c r="A247" t="s">
        <v>1531</v>
      </c>
      <c r="B247" t="s">
        <v>594</v>
      </c>
      <c r="C247" t="s">
        <v>1551</v>
      </c>
    </row>
    <row r="248" spans="1:3" x14ac:dyDescent="0.25">
      <c r="A248" t="s">
        <v>1531</v>
      </c>
      <c r="B248" t="s">
        <v>595</v>
      </c>
      <c r="C248" t="s">
        <v>1551</v>
      </c>
    </row>
    <row r="249" spans="1:3" x14ac:dyDescent="0.25">
      <c r="A249" t="s">
        <v>1531</v>
      </c>
      <c r="B249" t="s">
        <v>596</v>
      </c>
      <c r="C249" t="s">
        <v>1551</v>
      </c>
    </row>
    <row r="250" spans="1:3" x14ac:dyDescent="0.25">
      <c r="A250" t="s">
        <v>1531</v>
      </c>
      <c r="B250" t="s">
        <v>597</v>
      </c>
      <c r="C250" t="s">
        <v>1551</v>
      </c>
    </row>
    <row r="251" spans="1:3" x14ac:dyDescent="0.25">
      <c r="A251" t="s">
        <v>1531</v>
      </c>
      <c r="B251" t="s">
        <v>598</v>
      </c>
      <c r="C251" t="s">
        <v>1551</v>
      </c>
    </row>
    <row r="252" spans="1:3" x14ac:dyDescent="0.25">
      <c r="A252" t="s">
        <v>1531</v>
      </c>
      <c r="B252" t="s">
        <v>599</v>
      </c>
      <c r="C252" t="s">
        <v>1551</v>
      </c>
    </row>
    <row r="253" spans="1:3" x14ac:dyDescent="0.25">
      <c r="A253" t="s">
        <v>1531</v>
      </c>
      <c r="B253" t="s">
        <v>600</v>
      </c>
      <c r="C253" t="s">
        <v>1551</v>
      </c>
    </row>
    <row r="254" spans="1:3" x14ac:dyDescent="0.25">
      <c r="A254" t="s">
        <v>1531</v>
      </c>
      <c r="B254" t="s">
        <v>601</v>
      </c>
      <c r="C254" t="s">
        <v>1551</v>
      </c>
    </row>
    <row r="255" spans="1:3" x14ac:dyDescent="0.25">
      <c r="A255" t="s">
        <v>1531</v>
      </c>
      <c r="B255" t="s">
        <v>602</v>
      </c>
      <c r="C255" t="s">
        <v>1551</v>
      </c>
    </row>
    <row r="256" spans="1:3" x14ac:dyDescent="0.25">
      <c r="A256" t="s">
        <v>1531</v>
      </c>
      <c r="B256" t="s">
        <v>603</v>
      </c>
      <c r="C256" t="s">
        <v>1551</v>
      </c>
    </row>
    <row r="257" spans="1:3" x14ac:dyDescent="0.25">
      <c r="A257" t="s">
        <v>1531</v>
      </c>
      <c r="B257" t="s">
        <v>604</v>
      </c>
      <c r="C257" t="s">
        <v>1551</v>
      </c>
    </row>
    <row r="258" spans="1:3" x14ac:dyDescent="0.25">
      <c r="A258" t="s">
        <v>1531</v>
      </c>
      <c r="B258" t="s">
        <v>605</v>
      </c>
      <c r="C258" t="s">
        <v>1551</v>
      </c>
    </row>
    <row r="259" spans="1:3" x14ac:dyDescent="0.25">
      <c r="A259" t="s">
        <v>1531</v>
      </c>
      <c r="B259" t="s">
        <v>606</v>
      </c>
      <c r="C259" t="s">
        <v>1551</v>
      </c>
    </row>
    <row r="260" spans="1:3" x14ac:dyDescent="0.25">
      <c r="A260" t="s">
        <v>1531</v>
      </c>
      <c r="B260" t="s">
        <v>607</v>
      </c>
      <c r="C260" t="s">
        <v>1551</v>
      </c>
    </row>
    <row r="261" spans="1:3" x14ac:dyDescent="0.25">
      <c r="A261" t="s">
        <v>1531</v>
      </c>
      <c r="B261" t="s">
        <v>608</v>
      </c>
      <c r="C261" t="s">
        <v>1551</v>
      </c>
    </row>
    <row r="262" spans="1:3" x14ac:dyDescent="0.25">
      <c r="A262" t="s">
        <v>1531</v>
      </c>
      <c r="B262" t="s">
        <v>609</v>
      </c>
      <c r="C262" t="s">
        <v>1551</v>
      </c>
    </row>
    <row r="263" spans="1:3" x14ac:dyDescent="0.25">
      <c r="A263" t="s">
        <v>1531</v>
      </c>
      <c r="B263" t="s">
        <v>1133</v>
      </c>
      <c r="C263" t="s">
        <v>1551</v>
      </c>
    </row>
    <row r="264" spans="1:3" x14ac:dyDescent="0.25">
      <c r="A264" t="s">
        <v>1531</v>
      </c>
      <c r="B264" t="s">
        <v>611</v>
      </c>
      <c r="C264" t="s">
        <v>1551</v>
      </c>
    </row>
    <row r="265" spans="1:3" x14ac:dyDescent="0.25">
      <c r="A265" t="s">
        <v>1531</v>
      </c>
      <c r="B265" t="s">
        <v>612</v>
      </c>
      <c r="C265" t="s">
        <v>1551</v>
      </c>
    </row>
    <row r="266" spans="1:3" x14ac:dyDescent="0.25">
      <c r="A266" t="s">
        <v>1531</v>
      </c>
      <c r="B266" t="s">
        <v>615</v>
      </c>
      <c r="C266" t="s">
        <v>1551</v>
      </c>
    </row>
    <row r="267" spans="1:3" x14ac:dyDescent="0.25">
      <c r="A267" t="s">
        <v>1531</v>
      </c>
      <c r="B267" t="s">
        <v>616</v>
      </c>
      <c r="C267" t="s">
        <v>1551</v>
      </c>
    </row>
    <row r="268" spans="1:3" x14ac:dyDescent="0.25">
      <c r="A268" t="s">
        <v>1531</v>
      </c>
      <c r="B268" t="s">
        <v>617</v>
      </c>
      <c r="C268" t="s">
        <v>1551</v>
      </c>
    </row>
    <row r="269" spans="1:3" x14ac:dyDescent="0.25">
      <c r="A269" t="s">
        <v>1531</v>
      </c>
      <c r="B269" t="s">
        <v>618</v>
      </c>
      <c r="C269" t="s">
        <v>1551</v>
      </c>
    </row>
    <row r="270" spans="1:3" x14ac:dyDescent="0.25">
      <c r="A270" t="s">
        <v>1531</v>
      </c>
      <c r="B270" t="s">
        <v>619</v>
      </c>
      <c r="C270" t="s">
        <v>1551</v>
      </c>
    </row>
    <row r="271" spans="1:3" x14ac:dyDescent="0.25">
      <c r="A271" t="s">
        <v>1531</v>
      </c>
      <c r="B271" t="s">
        <v>620</v>
      </c>
      <c r="C271" t="s">
        <v>1551</v>
      </c>
    </row>
    <row r="272" spans="1:3" x14ac:dyDescent="0.25">
      <c r="A272" t="s">
        <v>1531</v>
      </c>
      <c r="B272" t="s">
        <v>621</v>
      </c>
      <c r="C272" t="s">
        <v>1551</v>
      </c>
    </row>
    <row r="273" spans="1:3" x14ac:dyDescent="0.25">
      <c r="A273" t="s">
        <v>1531</v>
      </c>
      <c r="B273" t="s">
        <v>622</v>
      </c>
      <c r="C273" t="s">
        <v>1551</v>
      </c>
    </row>
    <row r="274" spans="1:3" x14ac:dyDescent="0.25">
      <c r="A274" t="s">
        <v>1531</v>
      </c>
      <c r="B274" t="s">
        <v>623</v>
      </c>
      <c r="C274" t="s">
        <v>1551</v>
      </c>
    </row>
    <row r="275" spans="1:3" x14ac:dyDescent="0.25">
      <c r="A275" t="s">
        <v>1531</v>
      </c>
      <c r="B275" t="s">
        <v>624</v>
      </c>
      <c r="C275" t="s">
        <v>1551</v>
      </c>
    </row>
    <row r="276" spans="1:3" x14ac:dyDescent="0.25">
      <c r="A276" t="s">
        <v>1531</v>
      </c>
      <c r="B276" t="s">
        <v>625</v>
      </c>
      <c r="C276" t="s">
        <v>1551</v>
      </c>
    </row>
    <row r="277" spans="1:3" x14ac:dyDescent="0.25">
      <c r="A277" t="s">
        <v>1531</v>
      </c>
      <c r="B277" t="s">
        <v>626</v>
      </c>
      <c r="C277" t="s">
        <v>1551</v>
      </c>
    </row>
    <row r="278" spans="1:3" x14ac:dyDescent="0.25">
      <c r="A278" t="s">
        <v>1531</v>
      </c>
      <c r="B278" t="s">
        <v>627</v>
      </c>
      <c r="C278" t="s">
        <v>1551</v>
      </c>
    </row>
    <row r="279" spans="1:3" x14ac:dyDescent="0.25">
      <c r="A279" t="s">
        <v>1531</v>
      </c>
      <c r="B279" t="s">
        <v>1134</v>
      </c>
      <c r="C279" t="s">
        <v>1551</v>
      </c>
    </row>
    <row r="280" spans="1:3" x14ac:dyDescent="0.25">
      <c r="A280" t="s">
        <v>1531</v>
      </c>
      <c r="B280" t="s">
        <v>629</v>
      </c>
      <c r="C280" t="s">
        <v>1551</v>
      </c>
    </row>
    <row r="281" spans="1:3" x14ac:dyDescent="0.25">
      <c r="A281" t="s">
        <v>1531</v>
      </c>
      <c r="B281" t="s">
        <v>630</v>
      </c>
      <c r="C281" t="s">
        <v>1551</v>
      </c>
    </row>
    <row r="282" spans="1:3" x14ac:dyDescent="0.25">
      <c r="A282" t="s">
        <v>1531</v>
      </c>
      <c r="B282" t="s">
        <v>631</v>
      </c>
      <c r="C282" t="s">
        <v>1551</v>
      </c>
    </row>
    <row r="283" spans="1:3" x14ac:dyDescent="0.25">
      <c r="A283" t="s">
        <v>1531</v>
      </c>
      <c r="B283" t="s">
        <v>632</v>
      </c>
      <c r="C283" t="s">
        <v>1551</v>
      </c>
    </row>
    <row r="284" spans="1:3" x14ac:dyDescent="0.25">
      <c r="A284" t="s">
        <v>1531</v>
      </c>
      <c r="B284" t="s">
        <v>633</v>
      </c>
      <c r="C284" t="s">
        <v>1551</v>
      </c>
    </row>
    <row r="285" spans="1:3" x14ac:dyDescent="0.25">
      <c r="A285" t="s">
        <v>1531</v>
      </c>
      <c r="B285" t="s">
        <v>634</v>
      </c>
      <c r="C285" t="s">
        <v>1551</v>
      </c>
    </row>
    <row r="286" spans="1:3" x14ac:dyDescent="0.25">
      <c r="A286" t="s">
        <v>1531</v>
      </c>
      <c r="B286" t="s">
        <v>635</v>
      </c>
      <c r="C286" t="s">
        <v>1551</v>
      </c>
    </row>
    <row r="287" spans="1:3" x14ac:dyDescent="0.25">
      <c r="A287" t="s">
        <v>1531</v>
      </c>
      <c r="B287" t="s">
        <v>636</v>
      </c>
      <c r="C287" t="s">
        <v>1551</v>
      </c>
    </row>
    <row r="288" spans="1:3" x14ac:dyDescent="0.25">
      <c r="A288" t="s">
        <v>1531</v>
      </c>
      <c r="B288" t="s">
        <v>637</v>
      </c>
      <c r="C288" t="s">
        <v>1551</v>
      </c>
    </row>
    <row r="289" spans="1:3" x14ac:dyDescent="0.25">
      <c r="A289" t="s">
        <v>1531</v>
      </c>
      <c r="B289" t="s">
        <v>638</v>
      </c>
      <c r="C289" t="s">
        <v>1551</v>
      </c>
    </row>
    <row r="290" spans="1:3" x14ac:dyDescent="0.25">
      <c r="A290" t="s">
        <v>1531</v>
      </c>
      <c r="B290" t="s">
        <v>639</v>
      </c>
      <c r="C290" t="s">
        <v>1551</v>
      </c>
    </row>
    <row r="291" spans="1:3" x14ac:dyDescent="0.25">
      <c r="A291" t="s">
        <v>1531</v>
      </c>
      <c r="B291" t="s">
        <v>640</v>
      </c>
      <c r="C291" t="s">
        <v>1551</v>
      </c>
    </row>
    <row r="292" spans="1:3" x14ac:dyDescent="0.25">
      <c r="A292" t="s">
        <v>1531</v>
      </c>
      <c r="B292" t="s">
        <v>641</v>
      </c>
      <c r="C292" t="s">
        <v>1551</v>
      </c>
    </row>
    <row r="293" spans="1:3" x14ac:dyDescent="0.25">
      <c r="A293" t="s">
        <v>1531</v>
      </c>
      <c r="B293" t="s">
        <v>642</v>
      </c>
      <c r="C293" t="s">
        <v>1551</v>
      </c>
    </row>
    <row r="294" spans="1:3" x14ac:dyDescent="0.25">
      <c r="A294" t="s">
        <v>1531</v>
      </c>
      <c r="B294" t="s">
        <v>643</v>
      </c>
      <c r="C294" t="s">
        <v>1551</v>
      </c>
    </row>
    <row r="295" spans="1:3" x14ac:dyDescent="0.25">
      <c r="A295" t="s">
        <v>1531</v>
      </c>
      <c r="B295" t="s">
        <v>644</v>
      </c>
      <c r="C295" t="s">
        <v>1551</v>
      </c>
    </row>
    <row r="296" spans="1:3" x14ac:dyDescent="0.25">
      <c r="A296" t="s">
        <v>1531</v>
      </c>
      <c r="B296" t="s">
        <v>645</v>
      </c>
      <c r="C296" t="s">
        <v>1551</v>
      </c>
    </row>
    <row r="297" spans="1:3" x14ac:dyDescent="0.25">
      <c r="A297" t="s">
        <v>1531</v>
      </c>
      <c r="B297" t="s">
        <v>647</v>
      </c>
      <c r="C297" t="s">
        <v>1551</v>
      </c>
    </row>
    <row r="298" spans="1:3" x14ac:dyDescent="0.25">
      <c r="A298" t="s">
        <v>1531</v>
      </c>
      <c r="B298" t="s">
        <v>650</v>
      </c>
      <c r="C298" t="s">
        <v>1551</v>
      </c>
    </row>
    <row r="299" spans="1:3" x14ac:dyDescent="0.25">
      <c r="A299" t="s">
        <v>1531</v>
      </c>
      <c r="B299" t="s">
        <v>652</v>
      </c>
      <c r="C299" t="s">
        <v>1551</v>
      </c>
    </row>
    <row r="300" spans="1:3" x14ac:dyDescent="0.25">
      <c r="A300" t="s">
        <v>1531</v>
      </c>
      <c r="B300" t="s">
        <v>654</v>
      </c>
      <c r="C300" t="s">
        <v>1551</v>
      </c>
    </row>
    <row r="301" spans="1:3" x14ac:dyDescent="0.25">
      <c r="A301" t="s">
        <v>1531</v>
      </c>
      <c r="B301" t="s">
        <v>656</v>
      </c>
      <c r="C301" t="s">
        <v>1551</v>
      </c>
    </row>
    <row r="302" spans="1:3" x14ac:dyDescent="0.25">
      <c r="A302" t="s">
        <v>1531</v>
      </c>
      <c r="B302" t="s">
        <v>658</v>
      </c>
      <c r="C302" t="s">
        <v>1551</v>
      </c>
    </row>
    <row r="303" spans="1:3" x14ac:dyDescent="0.25">
      <c r="A303" t="s">
        <v>1531</v>
      </c>
      <c r="B303" t="s">
        <v>660</v>
      </c>
      <c r="C303" t="s">
        <v>1551</v>
      </c>
    </row>
    <row r="304" spans="1:3" x14ac:dyDescent="0.25">
      <c r="A304" t="s">
        <v>1531</v>
      </c>
      <c r="B304" t="s">
        <v>662</v>
      </c>
      <c r="C304" t="s">
        <v>1551</v>
      </c>
    </row>
    <row r="305" spans="1:3" x14ac:dyDescent="0.25">
      <c r="A305" t="s">
        <v>1531</v>
      </c>
      <c r="B305" t="s">
        <v>664</v>
      </c>
      <c r="C305" t="s">
        <v>1551</v>
      </c>
    </row>
    <row r="306" spans="1:3" x14ac:dyDescent="0.25">
      <c r="A306" t="s">
        <v>1531</v>
      </c>
      <c r="B306" t="s">
        <v>666</v>
      </c>
      <c r="C306" t="s">
        <v>1551</v>
      </c>
    </row>
    <row r="307" spans="1:3" x14ac:dyDescent="0.25">
      <c r="A307" t="s">
        <v>1531</v>
      </c>
      <c r="B307" t="s">
        <v>668</v>
      </c>
      <c r="C307" t="s">
        <v>1551</v>
      </c>
    </row>
    <row r="308" spans="1:3" x14ac:dyDescent="0.25">
      <c r="A308" t="s">
        <v>1531</v>
      </c>
      <c r="B308" t="s">
        <v>670</v>
      </c>
      <c r="C308" t="s">
        <v>1551</v>
      </c>
    </row>
    <row r="309" spans="1:3" x14ac:dyDescent="0.25">
      <c r="A309" t="s">
        <v>1531</v>
      </c>
      <c r="B309" t="s">
        <v>672</v>
      </c>
      <c r="C309" t="s">
        <v>1551</v>
      </c>
    </row>
    <row r="310" spans="1:3" x14ac:dyDescent="0.25">
      <c r="A310" t="s">
        <v>1531</v>
      </c>
      <c r="B310" t="s">
        <v>674</v>
      </c>
      <c r="C310" t="s">
        <v>1551</v>
      </c>
    </row>
    <row r="311" spans="1:3" x14ac:dyDescent="0.25">
      <c r="A311" t="s">
        <v>1531</v>
      </c>
      <c r="B311" t="s">
        <v>676</v>
      </c>
      <c r="C311" t="s">
        <v>1551</v>
      </c>
    </row>
    <row r="312" spans="1:3" x14ac:dyDescent="0.25">
      <c r="A312" t="s">
        <v>1531</v>
      </c>
      <c r="B312" t="s">
        <v>678</v>
      </c>
      <c r="C312" t="s">
        <v>1551</v>
      </c>
    </row>
    <row r="313" spans="1:3" x14ac:dyDescent="0.25">
      <c r="A313" t="s">
        <v>1531</v>
      </c>
      <c r="B313" t="s">
        <v>681</v>
      </c>
      <c r="C313" t="s">
        <v>1551</v>
      </c>
    </row>
    <row r="314" spans="1:3" x14ac:dyDescent="0.25">
      <c r="A314" t="s">
        <v>1531</v>
      </c>
      <c r="B314" t="s">
        <v>683</v>
      </c>
      <c r="C314" t="s">
        <v>1551</v>
      </c>
    </row>
    <row r="315" spans="1:3" x14ac:dyDescent="0.25">
      <c r="A315" t="s">
        <v>1531</v>
      </c>
      <c r="B315" t="s">
        <v>685</v>
      </c>
      <c r="C315" t="s">
        <v>1551</v>
      </c>
    </row>
    <row r="316" spans="1:3" x14ac:dyDescent="0.25">
      <c r="A316" t="s">
        <v>1531</v>
      </c>
      <c r="B316" t="s">
        <v>687</v>
      </c>
      <c r="C316" t="s">
        <v>1551</v>
      </c>
    </row>
    <row r="317" spans="1:3" x14ac:dyDescent="0.25">
      <c r="A317" t="s">
        <v>1531</v>
      </c>
      <c r="B317" t="s">
        <v>689</v>
      </c>
      <c r="C317" t="s">
        <v>1551</v>
      </c>
    </row>
    <row r="318" spans="1:3" x14ac:dyDescent="0.25">
      <c r="A318" t="s">
        <v>1531</v>
      </c>
      <c r="B318" t="s">
        <v>691</v>
      </c>
      <c r="C318" t="s">
        <v>1551</v>
      </c>
    </row>
    <row r="319" spans="1:3" x14ac:dyDescent="0.25">
      <c r="A319" t="s">
        <v>1531</v>
      </c>
      <c r="B319" t="s">
        <v>693</v>
      </c>
      <c r="C319" t="s">
        <v>1551</v>
      </c>
    </row>
    <row r="320" spans="1:3" x14ac:dyDescent="0.25">
      <c r="A320" t="s">
        <v>1531</v>
      </c>
      <c r="B320" t="s">
        <v>695</v>
      </c>
      <c r="C320" t="s">
        <v>1551</v>
      </c>
    </row>
    <row r="321" spans="1:3" x14ac:dyDescent="0.25">
      <c r="A321" t="s">
        <v>1531</v>
      </c>
      <c r="B321" t="s">
        <v>697</v>
      </c>
      <c r="C321" t="s">
        <v>1551</v>
      </c>
    </row>
    <row r="322" spans="1:3" x14ac:dyDescent="0.25">
      <c r="A322" t="s">
        <v>1531</v>
      </c>
      <c r="B322" t="s">
        <v>699</v>
      </c>
      <c r="C322" t="s">
        <v>1551</v>
      </c>
    </row>
    <row r="323" spans="1:3" x14ac:dyDescent="0.25">
      <c r="A323" t="s">
        <v>1531</v>
      </c>
      <c r="B323" t="s">
        <v>701</v>
      </c>
      <c r="C323" t="s">
        <v>1551</v>
      </c>
    </row>
    <row r="324" spans="1:3" x14ac:dyDescent="0.25">
      <c r="A324" t="s">
        <v>1531</v>
      </c>
      <c r="B324" t="s">
        <v>703</v>
      </c>
      <c r="C324" t="s">
        <v>1551</v>
      </c>
    </row>
    <row r="325" spans="1:3" x14ac:dyDescent="0.25">
      <c r="A325" t="s">
        <v>1531</v>
      </c>
      <c r="B325" t="s">
        <v>705</v>
      </c>
      <c r="C325" t="s">
        <v>1551</v>
      </c>
    </row>
    <row r="326" spans="1:3" x14ac:dyDescent="0.25">
      <c r="A326" t="s">
        <v>1531</v>
      </c>
      <c r="B326" t="s">
        <v>707</v>
      </c>
      <c r="C326" t="s">
        <v>1551</v>
      </c>
    </row>
    <row r="327" spans="1:3" x14ac:dyDescent="0.25">
      <c r="A327" t="s">
        <v>1532</v>
      </c>
      <c r="B327" t="s">
        <v>108</v>
      </c>
      <c r="C327" t="s">
        <v>1552</v>
      </c>
    </row>
    <row r="328" spans="1:3" x14ac:dyDescent="0.25">
      <c r="A328" t="s">
        <v>1532</v>
      </c>
      <c r="B328" t="s">
        <v>109</v>
      </c>
      <c r="C328" t="s">
        <v>1552</v>
      </c>
    </row>
    <row r="329" spans="1:3" x14ac:dyDescent="0.25">
      <c r="A329" t="s">
        <v>1532</v>
      </c>
      <c r="B329" t="s">
        <v>110</v>
      </c>
      <c r="C329" t="s">
        <v>1552</v>
      </c>
    </row>
    <row r="330" spans="1:3" x14ac:dyDescent="0.25">
      <c r="A330" t="s">
        <v>1532</v>
      </c>
      <c r="B330" t="s">
        <v>111</v>
      </c>
      <c r="C330" t="s">
        <v>1552</v>
      </c>
    </row>
    <row r="331" spans="1:3" x14ac:dyDescent="0.25">
      <c r="A331" t="s">
        <v>1532</v>
      </c>
      <c r="B331" t="s">
        <v>112</v>
      </c>
      <c r="C331" t="s">
        <v>1552</v>
      </c>
    </row>
    <row r="332" spans="1:3" x14ac:dyDescent="0.25">
      <c r="A332" t="s">
        <v>1532</v>
      </c>
      <c r="B332" t="s">
        <v>114</v>
      </c>
      <c r="C332" t="s">
        <v>1552</v>
      </c>
    </row>
    <row r="333" spans="1:3" x14ac:dyDescent="0.25">
      <c r="A333" t="s">
        <v>1532</v>
      </c>
      <c r="B333" t="s">
        <v>115</v>
      </c>
      <c r="C333" t="s">
        <v>1552</v>
      </c>
    </row>
    <row r="334" spans="1:3" x14ac:dyDescent="0.25">
      <c r="A334" t="s">
        <v>1532</v>
      </c>
      <c r="B334" t="s">
        <v>117</v>
      </c>
      <c r="C334" t="s">
        <v>1552</v>
      </c>
    </row>
    <row r="335" spans="1:3" x14ac:dyDescent="0.25">
      <c r="A335" t="s">
        <v>1532</v>
      </c>
      <c r="B335" t="s">
        <v>118</v>
      </c>
      <c r="C335" t="s">
        <v>1552</v>
      </c>
    </row>
    <row r="336" spans="1:3" x14ac:dyDescent="0.25">
      <c r="A336" t="s">
        <v>1532</v>
      </c>
      <c r="B336" t="s">
        <v>119</v>
      </c>
      <c r="C336" t="s">
        <v>1552</v>
      </c>
    </row>
    <row r="337" spans="1:3" x14ac:dyDescent="0.25">
      <c r="A337" t="s">
        <v>1532</v>
      </c>
      <c r="B337" t="s">
        <v>120</v>
      </c>
      <c r="C337" t="s">
        <v>1552</v>
      </c>
    </row>
    <row r="338" spans="1:3" x14ac:dyDescent="0.25">
      <c r="A338" t="s">
        <v>1532</v>
      </c>
      <c r="B338" t="s">
        <v>121</v>
      </c>
      <c r="C338" t="s">
        <v>1552</v>
      </c>
    </row>
    <row r="339" spans="1:3" x14ac:dyDescent="0.25">
      <c r="A339" t="s">
        <v>1532</v>
      </c>
      <c r="B339" t="s">
        <v>122</v>
      </c>
      <c r="C339" t="s">
        <v>1552</v>
      </c>
    </row>
    <row r="340" spans="1:3" x14ac:dyDescent="0.25">
      <c r="A340" t="s">
        <v>1532</v>
      </c>
      <c r="B340" t="s">
        <v>123</v>
      </c>
      <c r="C340" t="s">
        <v>1552</v>
      </c>
    </row>
    <row r="341" spans="1:3" x14ac:dyDescent="0.25">
      <c r="A341" t="s">
        <v>1532</v>
      </c>
      <c r="B341" t="s">
        <v>124</v>
      </c>
      <c r="C341" t="s">
        <v>1552</v>
      </c>
    </row>
    <row r="342" spans="1:3" x14ac:dyDescent="0.25">
      <c r="A342" t="s">
        <v>1532</v>
      </c>
      <c r="B342" t="s">
        <v>125</v>
      </c>
      <c r="C342" t="s">
        <v>1552</v>
      </c>
    </row>
    <row r="343" spans="1:3" x14ac:dyDescent="0.25">
      <c r="A343" t="s">
        <v>1532</v>
      </c>
      <c r="B343" t="s">
        <v>126</v>
      </c>
      <c r="C343" t="s">
        <v>1552</v>
      </c>
    </row>
    <row r="344" spans="1:3" x14ac:dyDescent="0.25">
      <c r="A344" t="s">
        <v>1532</v>
      </c>
      <c r="B344" t="s">
        <v>127</v>
      </c>
      <c r="C344" t="s">
        <v>1552</v>
      </c>
    </row>
    <row r="345" spans="1:3" x14ac:dyDescent="0.25">
      <c r="A345" t="s">
        <v>1532</v>
      </c>
      <c r="B345" t="s">
        <v>128</v>
      </c>
      <c r="C345" t="s">
        <v>1552</v>
      </c>
    </row>
    <row r="346" spans="1:3" x14ac:dyDescent="0.25">
      <c r="A346" t="s">
        <v>1532</v>
      </c>
      <c r="B346" t="s">
        <v>129</v>
      </c>
      <c r="C346" t="s">
        <v>1552</v>
      </c>
    </row>
    <row r="347" spans="1:3" x14ac:dyDescent="0.25">
      <c r="A347" t="s">
        <v>1532</v>
      </c>
      <c r="B347" t="s">
        <v>130</v>
      </c>
      <c r="C347" t="s">
        <v>1552</v>
      </c>
    </row>
    <row r="348" spans="1:3" x14ac:dyDescent="0.25">
      <c r="A348" t="s">
        <v>1532</v>
      </c>
      <c r="B348" t="s">
        <v>131</v>
      </c>
      <c r="C348" t="s">
        <v>1552</v>
      </c>
    </row>
    <row r="349" spans="1:3" x14ac:dyDescent="0.25">
      <c r="A349" t="s">
        <v>1532</v>
      </c>
      <c r="B349" t="s">
        <v>132</v>
      </c>
      <c r="C349" t="s">
        <v>1552</v>
      </c>
    </row>
    <row r="350" spans="1:3" x14ac:dyDescent="0.25">
      <c r="A350" t="s">
        <v>1532</v>
      </c>
      <c r="B350" t="s">
        <v>133</v>
      </c>
      <c r="C350" t="s">
        <v>1552</v>
      </c>
    </row>
    <row r="351" spans="1:3" x14ac:dyDescent="0.25">
      <c r="A351" t="s">
        <v>1532</v>
      </c>
      <c r="B351" t="s">
        <v>134</v>
      </c>
      <c r="C351" t="s">
        <v>1552</v>
      </c>
    </row>
    <row r="352" spans="1:3" x14ac:dyDescent="0.25">
      <c r="A352" t="s">
        <v>1532</v>
      </c>
      <c r="B352" t="s">
        <v>135</v>
      </c>
      <c r="C352" t="s">
        <v>1552</v>
      </c>
    </row>
    <row r="353" spans="1:3" x14ac:dyDescent="0.25">
      <c r="A353" t="s">
        <v>1532</v>
      </c>
      <c r="B353" t="s">
        <v>136</v>
      </c>
      <c r="C353" t="s">
        <v>1552</v>
      </c>
    </row>
    <row r="354" spans="1:3" x14ac:dyDescent="0.25">
      <c r="A354" t="s">
        <v>1532</v>
      </c>
      <c r="B354" t="s">
        <v>137</v>
      </c>
      <c r="C354" t="s">
        <v>1552</v>
      </c>
    </row>
    <row r="355" spans="1:3" x14ac:dyDescent="0.25">
      <c r="A355" t="s">
        <v>1532</v>
      </c>
      <c r="B355" t="s">
        <v>138</v>
      </c>
      <c r="C355" t="s">
        <v>1552</v>
      </c>
    </row>
    <row r="356" spans="1:3" x14ac:dyDescent="0.25">
      <c r="A356" t="s">
        <v>1532</v>
      </c>
      <c r="B356" t="s">
        <v>139</v>
      </c>
      <c r="C356" t="s">
        <v>1552</v>
      </c>
    </row>
    <row r="357" spans="1:3" x14ac:dyDescent="0.25">
      <c r="A357" t="s">
        <v>1532</v>
      </c>
      <c r="B357" t="s">
        <v>140</v>
      </c>
      <c r="C357" t="s">
        <v>1552</v>
      </c>
    </row>
    <row r="358" spans="1:3" x14ac:dyDescent="0.25">
      <c r="A358" t="s">
        <v>1532</v>
      </c>
      <c r="B358" t="s">
        <v>141</v>
      </c>
      <c r="C358" t="s">
        <v>1552</v>
      </c>
    </row>
    <row r="359" spans="1:3" x14ac:dyDescent="0.25">
      <c r="A359" t="s">
        <v>1532</v>
      </c>
      <c r="B359" t="s">
        <v>142</v>
      </c>
      <c r="C359" t="s">
        <v>1552</v>
      </c>
    </row>
    <row r="360" spans="1:3" x14ac:dyDescent="0.25">
      <c r="A360" t="s">
        <v>1532</v>
      </c>
      <c r="B360" t="s">
        <v>143</v>
      </c>
      <c r="C360" t="s">
        <v>1552</v>
      </c>
    </row>
    <row r="361" spans="1:3" x14ac:dyDescent="0.25">
      <c r="A361" t="s">
        <v>1532</v>
      </c>
      <c r="B361" t="s">
        <v>144</v>
      </c>
      <c r="C361" t="s">
        <v>1552</v>
      </c>
    </row>
    <row r="362" spans="1:3" x14ac:dyDescent="0.25">
      <c r="A362" t="s">
        <v>1532</v>
      </c>
      <c r="B362" t="s">
        <v>145</v>
      </c>
      <c r="C362" t="s">
        <v>1552</v>
      </c>
    </row>
    <row r="363" spans="1:3" x14ac:dyDescent="0.25">
      <c r="A363" t="s">
        <v>1532</v>
      </c>
      <c r="B363" t="s">
        <v>146</v>
      </c>
      <c r="C363" t="s">
        <v>1552</v>
      </c>
    </row>
    <row r="364" spans="1:3" x14ac:dyDescent="0.25">
      <c r="A364" t="s">
        <v>1532</v>
      </c>
      <c r="B364" t="s">
        <v>147</v>
      </c>
      <c r="C364" t="s">
        <v>1552</v>
      </c>
    </row>
    <row r="365" spans="1:3" x14ac:dyDescent="0.25">
      <c r="A365" t="s">
        <v>1532</v>
      </c>
      <c r="B365" t="s">
        <v>148</v>
      </c>
      <c r="C365" t="s">
        <v>1552</v>
      </c>
    </row>
    <row r="366" spans="1:3" x14ac:dyDescent="0.25">
      <c r="A366" t="s">
        <v>1532</v>
      </c>
      <c r="B366" t="s">
        <v>149</v>
      </c>
      <c r="C366" t="s">
        <v>1552</v>
      </c>
    </row>
    <row r="367" spans="1:3" x14ac:dyDescent="0.25">
      <c r="A367" t="s">
        <v>1532</v>
      </c>
      <c r="B367" t="s">
        <v>150</v>
      </c>
      <c r="C367" t="s">
        <v>1552</v>
      </c>
    </row>
    <row r="368" spans="1:3" x14ac:dyDescent="0.25">
      <c r="A368" t="s">
        <v>1532</v>
      </c>
      <c r="B368" t="s">
        <v>151</v>
      </c>
      <c r="C368" t="s">
        <v>1552</v>
      </c>
    </row>
    <row r="369" spans="1:3" x14ac:dyDescent="0.25">
      <c r="A369" t="s">
        <v>1532</v>
      </c>
      <c r="B369" t="s">
        <v>152</v>
      </c>
      <c r="C369" t="s">
        <v>1552</v>
      </c>
    </row>
    <row r="370" spans="1:3" x14ac:dyDescent="0.25">
      <c r="A370" t="s">
        <v>1532</v>
      </c>
      <c r="B370" t="s">
        <v>153</v>
      </c>
      <c r="C370" t="s">
        <v>1552</v>
      </c>
    </row>
    <row r="371" spans="1:3" x14ac:dyDescent="0.25">
      <c r="A371" t="s">
        <v>1532</v>
      </c>
      <c r="B371" t="s">
        <v>154</v>
      </c>
      <c r="C371" t="s">
        <v>1552</v>
      </c>
    </row>
    <row r="372" spans="1:3" x14ac:dyDescent="0.25">
      <c r="A372" t="s">
        <v>1532</v>
      </c>
      <c r="B372" t="s">
        <v>155</v>
      </c>
      <c r="C372" t="s">
        <v>1552</v>
      </c>
    </row>
    <row r="373" spans="1:3" x14ac:dyDescent="0.25">
      <c r="A373" t="s">
        <v>1532</v>
      </c>
      <c r="B373" t="s">
        <v>156</v>
      </c>
      <c r="C373" t="s">
        <v>1552</v>
      </c>
    </row>
    <row r="374" spans="1:3" x14ac:dyDescent="0.25">
      <c r="A374" t="s">
        <v>1532</v>
      </c>
      <c r="B374" t="s">
        <v>157</v>
      </c>
      <c r="C374" t="s">
        <v>1552</v>
      </c>
    </row>
    <row r="375" spans="1:3" x14ac:dyDescent="0.25">
      <c r="A375" t="s">
        <v>1532</v>
      </c>
      <c r="B375" t="s">
        <v>158</v>
      </c>
      <c r="C375" t="s">
        <v>1552</v>
      </c>
    </row>
    <row r="376" spans="1:3" x14ac:dyDescent="0.25">
      <c r="A376" t="s">
        <v>1532</v>
      </c>
      <c r="B376" t="s">
        <v>159</v>
      </c>
      <c r="C376" t="s">
        <v>1552</v>
      </c>
    </row>
    <row r="377" spans="1:3" x14ac:dyDescent="0.25">
      <c r="A377" t="s">
        <v>1532</v>
      </c>
      <c r="B377" t="s">
        <v>160</v>
      </c>
      <c r="C377" t="s">
        <v>1552</v>
      </c>
    </row>
    <row r="378" spans="1:3" x14ac:dyDescent="0.25">
      <c r="A378" t="s">
        <v>1532</v>
      </c>
      <c r="B378" t="s">
        <v>161</v>
      </c>
      <c r="C378" t="s">
        <v>1552</v>
      </c>
    </row>
    <row r="379" spans="1:3" x14ac:dyDescent="0.25">
      <c r="A379" t="s">
        <v>1532</v>
      </c>
      <c r="B379" t="s">
        <v>165</v>
      </c>
      <c r="C379" t="s">
        <v>1552</v>
      </c>
    </row>
    <row r="380" spans="1:3" x14ac:dyDescent="0.25">
      <c r="A380" t="s">
        <v>1532</v>
      </c>
      <c r="B380" t="s">
        <v>167</v>
      </c>
      <c r="C380" t="s">
        <v>1552</v>
      </c>
    </row>
    <row r="381" spans="1:3" x14ac:dyDescent="0.25">
      <c r="A381" t="s">
        <v>1532</v>
      </c>
      <c r="B381" t="s">
        <v>171</v>
      </c>
      <c r="C381" t="s">
        <v>1552</v>
      </c>
    </row>
    <row r="382" spans="1:3" x14ac:dyDescent="0.25">
      <c r="A382" t="s">
        <v>1532</v>
      </c>
      <c r="B382" t="s">
        <v>173</v>
      </c>
      <c r="C382" t="s">
        <v>1552</v>
      </c>
    </row>
    <row r="383" spans="1:3" x14ac:dyDescent="0.25">
      <c r="A383" t="s">
        <v>1532</v>
      </c>
      <c r="B383" t="s">
        <v>177</v>
      </c>
      <c r="C383" t="s">
        <v>1552</v>
      </c>
    </row>
    <row r="384" spans="1:3" x14ac:dyDescent="0.25">
      <c r="A384" t="s">
        <v>1532</v>
      </c>
      <c r="B384" t="s">
        <v>179</v>
      </c>
      <c r="C384" t="s">
        <v>1552</v>
      </c>
    </row>
    <row r="385" spans="1:3" x14ac:dyDescent="0.25">
      <c r="A385" t="s">
        <v>1532</v>
      </c>
      <c r="B385" t="s">
        <v>183</v>
      </c>
      <c r="C385" t="s">
        <v>1552</v>
      </c>
    </row>
    <row r="386" spans="1:3" x14ac:dyDescent="0.25">
      <c r="A386" t="s">
        <v>1532</v>
      </c>
      <c r="B386" t="s">
        <v>185</v>
      </c>
      <c r="C386" t="s">
        <v>1552</v>
      </c>
    </row>
    <row r="387" spans="1:3" x14ac:dyDescent="0.25">
      <c r="A387" t="s">
        <v>1532</v>
      </c>
      <c r="B387" t="s">
        <v>350</v>
      </c>
      <c r="C387" t="s">
        <v>1550</v>
      </c>
    </row>
    <row r="388" spans="1:3" x14ac:dyDescent="0.25">
      <c r="A388" t="s">
        <v>1532</v>
      </c>
      <c r="B388" t="s">
        <v>351</v>
      </c>
      <c r="C388" t="s">
        <v>1550</v>
      </c>
    </row>
    <row r="389" spans="1:3" x14ac:dyDescent="0.25">
      <c r="A389" t="s">
        <v>1532</v>
      </c>
      <c r="B389" t="s">
        <v>352</v>
      </c>
      <c r="C389" t="s">
        <v>1550</v>
      </c>
    </row>
    <row r="390" spans="1:3" x14ac:dyDescent="0.25">
      <c r="A390" t="s">
        <v>1532</v>
      </c>
      <c r="B390" t="s">
        <v>353</v>
      </c>
      <c r="C390" t="s">
        <v>1550</v>
      </c>
    </row>
    <row r="391" spans="1:3" x14ac:dyDescent="0.25">
      <c r="A391" t="s">
        <v>1532</v>
      </c>
      <c r="B391" t="s">
        <v>354</v>
      </c>
      <c r="C391" t="s">
        <v>1550</v>
      </c>
    </row>
    <row r="392" spans="1:3" x14ac:dyDescent="0.25">
      <c r="A392" t="s">
        <v>1532</v>
      </c>
      <c r="B392" t="s">
        <v>355</v>
      </c>
      <c r="C392" t="s">
        <v>1550</v>
      </c>
    </row>
    <row r="393" spans="1:3" x14ac:dyDescent="0.25">
      <c r="A393" t="s">
        <v>1532</v>
      </c>
      <c r="B393" t="s">
        <v>356</v>
      </c>
      <c r="C393" t="s">
        <v>1550</v>
      </c>
    </row>
    <row r="394" spans="1:3" x14ac:dyDescent="0.25">
      <c r="A394" t="s">
        <v>1532</v>
      </c>
      <c r="B394" t="s">
        <v>357</v>
      </c>
      <c r="C394" t="s">
        <v>1550</v>
      </c>
    </row>
    <row r="395" spans="1:3" x14ac:dyDescent="0.25">
      <c r="A395" t="s">
        <v>1532</v>
      </c>
      <c r="B395" t="s">
        <v>358</v>
      </c>
      <c r="C395" t="s">
        <v>1550</v>
      </c>
    </row>
    <row r="396" spans="1:3" x14ac:dyDescent="0.25">
      <c r="A396" t="s">
        <v>1532</v>
      </c>
      <c r="B396" t="s">
        <v>359</v>
      </c>
      <c r="C396" t="s">
        <v>1550</v>
      </c>
    </row>
    <row r="397" spans="1:3" x14ac:dyDescent="0.25">
      <c r="A397" t="s">
        <v>1532</v>
      </c>
      <c r="B397" t="s">
        <v>360</v>
      </c>
      <c r="C397" t="s">
        <v>1550</v>
      </c>
    </row>
    <row r="398" spans="1:3" x14ac:dyDescent="0.25">
      <c r="A398" t="s">
        <v>1532</v>
      </c>
      <c r="B398" t="s">
        <v>361</v>
      </c>
      <c r="C398" t="s">
        <v>1550</v>
      </c>
    </row>
    <row r="399" spans="1:3" x14ac:dyDescent="0.25">
      <c r="A399" t="s">
        <v>1532</v>
      </c>
      <c r="B399" t="s">
        <v>362</v>
      </c>
      <c r="C399" t="s">
        <v>1550</v>
      </c>
    </row>
    <row r="400" spans="1:3" x14ac:dyDescent="0.25">
      <c r="A400" t="s">
        <v>1532</v>
      </c>
      <c r="B400" t="s">
        <v>363</v>
      </c>
      <c r="C400" t="s">
        <v>1550</v>
      </c>
    </row>
    <row r="401" spans="1:3" x14ac:dyDescent="0.25">
      <c r="A401" t="s">
        <v>1532</v>
      </c>
      <c r="B401" t="s">
        <v>364</v>
      </c>
      <c r="C401" t="s">
        <v>1550</v>
      </c>
    </row>
    <row r="402" spans="1:3" x14ac:dyDescent="0.25">
      <c r="A402" t="s">
        <v>1532</v>
      </c>
      <c r="B402" t="s">
        <v>365</v>
      </c>
      <c r="C402" t="s">
        <v>1550</v>
      </c>
    </row>
    <row r="403" spans="1:3" x14ac:dyDescent="0.25">
      <c r="A403" t="s">
        <v>1532</v>
      </c>
      <c r="B403" t="s">
        <v>366</v>
      </c>
      <c r="C403" t="s">
        <v>1550</v>
      </c>
    </row>
    <row r="404" spans="1:3" x14ac:dyDescent="0.25">
      <c r="A404" t="s">
        <v>1532</v>
      </c>
      <c r="B404" t="s">
        <v>367</v>
      </c>
      <c r="C404" t="s">
        <v>1550</v>
      </c>
    </row>
    <row r="405" spans="1:3" x14ac:dyDescent="0.25">
      <c r="A405" t="s">
        <v>1532</v>
      </c>
      <c r="B405" t="s">
        <v>368</v>
      </c>
      <c r="C405" t="s">
        <v>1550</v>
      </c>
    </row>
    <row r="406" spans="1:3" x14ac:dyDescent="0.25">
      <c r="A406" t="s">
        <v>1532</v>
      </c>
      <c r="B406" t="s">
        <v>369</v>
      </c>
      <c r="C406" t="s">
        <v>1550</v>
      </c>
    </row>
    <row r="407" spans="1:3" x14ac:dyDescent="0.25">
      <c r="A407" t="s">
        <v>1532</v>
      </c>
      <c r="B407" t="s">
        <v>370</v>
      </c>
      <c r="C407" t="s">
        <v>1550</v>
      </c>
    </row>
    <row r="408" spans="1:3" x14ac:dyDescent="0.25">
      <c r="A408" t="s">
        <v>1532</v>
      </c>
      <c r="B408" t="s">
        <v>371</v>
      </c>
      <c r="C408" t="s">
        <v>1550</v>
      </c>
    </row>
    <row r="409" spans="1:3" x14ac:dyDescent="0.25">
      <c r="A409" t="s">
        <v>1532</v>
      </c>
      <c r="B409" t="s">
        <v>372</v>
      </c>
      <c r="C409" t="s">
        <v>1550</v>
      </c>
    </row>
    <row r="410" spans="1:3" x14ac:dyDescent="0.25">
      <c r="A410" t="s">
        <v>1532</v>
      </c>
      <c r="B410" t="s">
        <v>373</v>
      </c>
      <c r="C410" t="s">
        <v>1550</v>
      </c>
    </row>
    <row r="411" spans="1:3" x14ac:dyDescent="0.25">
      <c r="A411" t="s">
        <v>1532</v>
      </c>
      <c r="B411" t="s">
        <v>374</v>
      </c>
      <c r="C411" t="s">
        <v>1550</v>
      </c>
    </row>
    <row r="412" spans="1:3" x14ac:dyDescent="0.25">
      <c r="A412" t="s">
        <v>1532</v>
      </c>
      <c r="B412" t="s">
        <v>375</v>
      </c>
      <c r="C412" t="s">
        <v>1550</v>
      </c>
    </row>
    <row r="413" spans="1:3" x14ac:dyDescent="0.25">
      <c r="A413" t="s">
        <v>1532</v>
      </c>
      <c r="B413" t="s">
        <v>376</v>
      </c>
      <c r="C413" t="s">
        <v>1550</v>
      </c>
    </row>
    <row r="414" spans="1:3" x14ac:dyDescent="0.25">
      <c r="A414" t="s">
        <v>1532</v>
      </c>
      <c r="B414" t="s">
        <v>1007</v>
      </c>
      <c r="C414" t="s">
        <v>1550</v>
      </c>
    </row>
    <row r="415" spans="1:3" x14ac:dyDescent="0.25">
      <c r="A415" t="s">
        <v>1532</v>
      </c>
      <c r="B415" t="s">
        <v>1008</v>
      </c>
      <c r="C415" t="s">
        <v>1550</v>
      </c>
    </row>
    <row r="416" spans="1:3" x14ac:dyDescent="0.25">
      <c r="A416" t="s">
        <v>1532</v>
      </c>
      <c r="B416" t="s">
        <v>1009</v>
      </c>
      <c r="C416" t="s">
        <v>1550</v>
      </c>
    </row>
    <row r="417" spans="1:3" x14ac:dyDescent="0.25">
      <c r="A417" t="s">
        <v>1532</v>
      </c>
      <c r="B417" t="s">
        <v>1010</v>
      </c>
      <c r="C417" t="s">
        <v>1550</v>
      </c>
    </row>
    <row r="418" spans="1:3" x14ac:dyDescent="0.25">
      <c r="A418" t="s">
        <v>1532</v>
      </c>
      <c r="B418" t="s">
        <v>1011</v>
      </c>
      <c r="C418" t="s">
        <v>1550</v>
      </c>
    </row>
    <row r="419" spans="1:3" x14ac:dyDescent="0.25">
      <c r="A419" t="s">
        <v>1532</v>
      </c>
      <c r="B419" t="s">
        <v>1012</v>
      </c>
      <c r="C419" t="s">
        <v>1550</v>
      </c>
    </row>
    <row r="420" spans="1:3" x14ac:dyDescent="0.25">
      <c r="A420" t="s">
        <v>1532</v>
      </c>
      <c r="B420" t="s">
        <v>1013</v>
      </c>
      <c r="C420" t="s">
        <v>1550</v>
      </c>
    </row>
    <row r="421" spans="1:3" x14ac:dyDescent="0.25">
      <c r="A421" t="s">
        <v>1532</v>
      </c>
      <c r="B421" t="s">
        <v>1014</v>
      </c>
      <c r="C421" t="s">
        <v>1550</v>
      </c>
    </row>
    <row r="422" spans="1:3" x14ac:dyDescent="0.25">
      <c r="A422" t="s">
        <v>1532</v>
      </c>
      <c r="B422" t="s">
        <v>1015</v>
      </c>
      <c r="C422" t="s">
        <v>1550</v>
      </c>
    </row>
    <row r="423" spans="1:3" x14ac:dyDescent="0.25">
      <c r="A423" t="s">
        <v>1532</v>
      </c>
      <c r="B423" t="s">
        <v>1016</v>
      </c>
      <c r="C423" t="s">
        <v>1550</v>
      </c>
    </row>
    <row r="424" spans="1:3" x14ac:dyDescent="0.25">
      <c r="A424" t="s">
        <v>1532</v>
      </c>
      <c r="B424" t="s">
        <v>1017</v>
      </c>
      <c r="C424" t="s">
        <v>1550</v>
      </c>
    </row>
    <row r="425" spans="1:3" x14ac:dyDescent="0.25">
      <c r="A425" t="s">
        <v>1532</v>
      </c>
      <c r="B425" t="s">
        <v>1018</v>
      </c>
      <c r="C425" t="s">
        <v>1550</v>
      </c>
    </row>
    <row r="426" spans="1:3" x14ac:dyDescent="0.25">
      <c r="A426" t="s">
        <v>1532</v>
      </c>
      <c r="B426" t="s">
        <v>1019</v>
      </c>
      <c r="C426" t="s">
        <v>1550</v>
      </c>
    </row>
    <row r="427" spans="1:3" x14ac:dyDescent="0.25">
      <c r="A427" t="s">
        <v>1532</v>
      </c>
      <c r="B427" t="s">
        <v>1020</v>
      </c>
      <c r="C427" t="s">
        <v>1550</v>
      </c>
    </row>
    <row r="428" spans="1:3" x14ac:dyDescent="0.25">
      <c r="A428" t="s">
        <v>1532</v>
      </c>
      <c r="B428" t="s">
        <v>1021</v>
      </c>
      <c r="C428" t="s">
        <v>1550</v>
      </c>
    </row>
    <row r="429" spans="1:3" x14ac:dyDescent="0.25">
      <c r="A429" t="s">
        <v>1532</v>
      </c>
      <c r="B429" t="s">
        <v>1022</v>
      </c>
      <c r="C429" t="s">
        <v>1550</v>
      </c>
    </row>
    <row r="430" spans="1:3" x14ac:dyDescent="0.25">
      <c r="A430" t="s">
        <v>1532</v>
      </c>
      <c r="B430" t="s">
        <v>1023</v>
      </c>
      <c r="C430" t="s">
        <v>1550</v>
      </c>
    </row>
    <row r="431" spans="1:3" x14ac:dyDescent="0.25">
      <c r="A431" t="s">
        <v>1532</v>
      </c>
      <c r="B431" t="s">
        <v>1024</v>
      </c>
      <c r="C431" t="s">
        <v>1550</v>
      </c>
    </row>
    <row r="432" spans="1:3" x14ac:dyDescent="0.25">
      <c r="A432" t="s">
        <v>1532</v>
      </c>
      <c r="B432" t="s">
        <v>1025</v>
      </c>
      <c r="C432" t="s">
        <v>1550</v>
      </c>
    </row>
    <row r="433" spans="1:3" x14ac:dyDescent="0.25">
      <c r="A433" t="s">
        <v>1532</v>
      </c>
      <c r="B433" t="s">
        <v>1026</v>
      </c>
      <c r="C433" t="s">
        <v>1550</v>
      </c>
    </row>
    <row r="434" spans="1:3" x14ac:dyDescent="0.25">
      <c r="A434" t="s">
        <v>1532</v>
      </c>
      <c r="B434" t="s">
        <v>1027</v>
      </c>
      <c r="C434" t="s">
        <v>1550</v>
      </c>
    </row>
    <row r="435" spans="1:3" x14ac:dyDescent="0.25">
      <c r="A435" t="s">
        <v>1532</v>
      </c>
      <c r="B435" t="s">
        <v>1107</v>
      </c>
      <c r="C435" t="s">
        <v>1550</v>
      </c>
    </row>
    <row r="436" spans="1:3" x14ac:dyDescent="0.25">
      <c r="A436" t="s">
        <v>1532</v>
      </c>
      <c r="B436" t="s">
        <v>1108</v>
      </c>
      <c r="C436" t="s">
        <v>1550</v>
      </c>
    </row>
    <row r="437" spans="1:3" x14ac:dyDescent="0.25">
      <c r="A437" t="s">
        <v>1532</v>
      </c>
      <c r="B437" t="s">
        <v>1109</v>
      </c>
      <c r="C437" t="s">
        <v>1550</v>
      </c>
    </row>
    <row r="438" spans="1:3" x14ac:dyDescent="0.25">
      <c r="A438" t="s">
        <v>1532</v>
      </c>
      <c r="B438" t="s">
        <v>1110</v>
      </c>
      <c r="C438" t="s">
        <v>1550</v>
      </c>
    </row>
    <row r="439" spans="1:3" x14ac:dyDescent="0.25">
      <c r="A439" t="s">
        <v>1532</v>
      </c>
      <c r="B439" t="s">
        <v>1111</v>
      </c>
      <c r="C439" t="s">
        <v>1550</v>
      </c>
    </row>
    <row r="440" spans="1:3" x14ac:dyDescent="0.25">
      <c r="A440" t="s">
        <v>1532</v>
      </c>
      <c r="B440" t="s">
        <v>1112</v>
      </c>
      <c r="C440" t="s">
        <v>1550</v>
      </c>
    </row>
    <row r="441" spans="1:3" x14ac:dyDescent="0.25">
      <c r="A441" t="s">
        <v>1532</v>
      </c>
      <c r="B441" t="s">
        <v>1113</v>
      </c>
      <c r="C441" t="s">
        <v>1550</v>
      </c>
    </row>
    <row r="442" spans="1:3" x14ac:dyDescent="0.25">
      <c r="A442" t="s">
        <v>1532</v>
      </c>
      <c r="B442" t="s">
        <v>1116</v>
      </c>
      <c r="C442" t="s">
        <v>1550</v>
      </c>
    </row>
    <row r="443" spans="1:3" x14ac:dyDescent="0.25">
      <c r="A443" t="s">
        <v>1532</v>
      </c>
      <c r="B443" t="s">
        <v>1117</v>
      </c>
      <c r="C443" t="s">
        <v>1550</v>
      </c>
    </row>
    <row r="444" spans="1:3" x14ac:dyDescent="0.25">
      <c r="A444" t="s">
        <v>1532</v>
      </c>
      <c r="B444" t="s">
        <v>1118</v>
      </c>
      <c r="C444" t="s">
        <v>1550</v>
      </c>
    </row>
    <row r="445" spans="1:3" x14ac:dyDescent="0.25">
      <c r="A445" t="s">
        <v>1532</v>
      </c>
      <c r="B445" t="s">
        <v>1172</v>
      </c>
      <c r="C445" t="s">
        <v>1550</v>
      </c>
    </row>
    <row r="446" spans="1:3" x14ac:dyDescent="0.25">
      <c r="A446" t="s">
        <v>1532</v>
      </c>
      <c r="B446" t="s">
        <v>1173</v>
      </c>
      <c r="C446" t="s">
        <v>1550</v>
      </c>
    </row>
    <row r="447" spans="1:3" x14ac:dyDescent="0.25">
      <c r="A447" t="s">
        <v>1532</v>
      </c>
      <c r="B447" t="s">
        <v>1174</v>
      </c>
      <c r="C447" t="s">
        <v>1550</v>
      </c>
    </row>
    <row r="448" spans="1:3" x14ac:dyDescent="0.25">
      <c r="A448" t="s">
        <v>1532</v>
      </c>
      <c r="B448" t="s">
        <v>1175</v>
      </c>
      <c r="C448" t="s">
        <v>1550</v>
      </c>
    </row>
    <row r="449" spans="1:3" x14ac:dyDescent="0.25">
      <c r="A449" t="s">
        <v>1532</v>
      </c>
      <c r="B449" t="s">
        <v>1176</v>
      </c>
      <c r="C449" t="s">
        <v>1550</v>
      </c>
    </row>
    <row r="450" spans="1:3" x14ac:dyDescent="0.25">
      <c r="A450" t="s">
        <v>1532</v>
      </c>
      <c r="B450" t="s">
        <v>1177</v>
      </c>
      <c r="C450" t="s">
        <v>1550</v>
      </c>
    </row>
    <row r="451" spans="1:3" x14ac:dyDescent="0.25">
      <c r="A451" t="s">
        <v>1532</v>
      </c>
      <c r="B451" t="s">
        <v>1178</v>
      </c>
      <c r="C451" t="s">
        <v>1550</v>
      </c>
    </row>
    <row r="452" spans="1:3" x14ac:dyDescent="0.25">
      <c r="A452" t="s">
        <v>1532</v>
      </c>
      <c r="B452" t="s">
        <v>1179</v>
      </c>
      <c r="C452" t="s">
        <v>1550</v>
      </c>
    </row>
    <row r="453" spans="1:3" x14ac:dyDescent="0.25">
      <c r="A453" t="s">
        <v>1532</v>
      </c>
      <c r="B453" t="s">
        <v>1180</v>
      </c>
      <c r="C453" t="s">
        <v>1550</v>
      </c>
    </row>
    <row r="454" spans="1:3" x14ac:dyDescent="0.25">
      <c r="A454" t="s">
        <v>1532</v>
      </c>
      <c r="B454" t="s">
        <v>1181</v>
      </c>
      <c r="C454" t="s">
        <v>1550</v>
      </c>
    </row>
    <row r="455" spans="1:3" x14ac:dyDescent="0.25">
      <c r="A455" t="s">
        <v>1532</v>
      </c>
      <c r="B455" t="s">
        <v>1182</v>
      </c>
      <c r="C455" t="s">
        <v>1550</v>
      </c>
    </row>
    <row r="456" spans="1:3" x14ac:dyDescent="0.25">
      <c r="A456" t="s">
        <v>1532</v>
      </c>
      <c r="B456" t="s">
        <v>387</v>
      </c>
      <c r="C456" t="s">
        <v>1550</v>
      </c>
    </row>
    <row r="457" spans="1:3" x14ac:dyDescent="0.25">
      <c r="A457" t="s">
        <v>1532</v>
      </c>
      <c r="B457" t="s">
        <v>388</v>
      </c>
      <c r="C457" t="s">
        <v>1550</v>
      </c>
    </row>
    <row r="458" spans="1:3" x14ac:dyDescent="0.25">
      <c r="A458" t="s">
        <v>1532</v>
      </c>
      <c r="B458" t="s">
        <v>389</v>
      </c>
      <c r="C458" t="s">
        <v>1550</v>
      </c>
    </row>
    <row r="459" spans="1:3" x14ac:dyDescent="0.25">
      <c r="A459" t="s">
        <v>1532</v>
      </c>
      <c r="B459" t="s">
        <v>394</v>
      </c>
      <c r="C459" t="s">
        <v>1550</v>
      </c>
    </row>
    <row r="460" spans="1:3" x14ac:dyDescent="0.25">
      <c r="A460" t="s">
        <v>1532</v>
      </c>
      <c r="B460" t="s">
        <v>395</v>
      </c>
      <c r="C460" t="s">
        <v>1550</v>
      </c>
    </row>
    <row r="461" spans="1:3" x14ac:dyDescent="0.25">
      <c r="A461" t="s">
        <v>1532</v>
      </c>
      <c r="B461" t="s">
        <v>396</v>
      </c>
      <c r="C461" t="s">
        <v>1550</v>
      </c>
    </row>
    <row r="462" spans="1:3" x14ac:dyDescent="0.25">
      <c r="A462" t="s">
        <v>1532</v>
      </c>
      <c r="B462" t="s">
        <v>397</v>
      </c>
      <c r="C462" t="s">
        <v>1550</v>
      </c>
    </row>
    <row r="463" spans="1:3" x14ac:dyDescent="0.25">
      <c r="A463" t="s">
        <v>1532</v>
      </c>
      <c r="B463" t="s">
        <v>398</v>
      </c>
      <c r="C463" t="s">
        <v>1550</v>
      </c>
    </row>
    <row r="464" spans="1:3" x14ac:dyDescent="0.25">
      <c r="A464" t="s">
        <v>1532</v>
      </c>
      <c r="B464" t="s">
        <v>399</v>
      </c>
      <c r="C464" t="s">
        <v>1550</v>
      </c>
    </row>
    <row r="465" spans="1:3" x14ac:dyDescent="0.25">
      <c r="A465" t="s">
        <v>1532</v>
      </c>
      <c r="B465" t="s">
        <v>400</v>
      </c>
      <c r="C465" t="s">
        <v>1550</v>
      </c>
    </row>
    <row r="466" spans="1:3" x14ac:dyDescent="0.25">
      <c r="A466" t="s">
        <v>1532</v>
      </c>
      <c r="B466" t="s">
        <v>401</v>
      </c>
      <c r="C466" t="s">
        <v>1550</v>
      </c>
    </row>
    <row r="467" spans="1:3" x14ac:dyDescent="0.25">
      <c r="A467" t="s">
        <v>1532</v>
      </c>
      <c r="B467" t="s">
        <v>402</v>
      </c>
      <c r="C467" t="s">
        <v>1550</v>
      </c>
    </row>
    <row r="468" spans="1:3" x14ac:dyDescent="0.25">
      <c r="A468" t="s">
        <v>1532</v>
      </c>
      <c r="B468" t="s">
        <v>403</v>
      </c>
      <c r="C468" t="s">
        <v>1550</v>
      </c>
    </row>
    <row r="469" spans="1:3" x14ac:dyDescent="0.25">
      <c r="A469" t="s">
        <v>1532</v>
      </c>
      <c r="B469" t="s">
        <v>404</v>
      </c>
      <c r="C469" t="s">
        <v>1550</v>
      </c>
    </row>
    <row r="470" spans="1:3" x14ac:dyDescent="0.25">
      <c r="A470" t="s">
        <v>1532</v>
      </c>
      <c r="B470" t="s">
        <v>405</v>
      </c>
      <c r="C470" t="s">
        <v>1550</v>
      </c>
    </row>
    <row r="471" spans="1:3" x14ac:dyDescent="0.25">
      <c r="A471" t="s">
        <v>1532</v>
      </c>
      <c r="B471" t="s">
        <v>406</v>
      </c>
      <c r="C471" t="s">
        <v>1550</v>
      </c>
    </row>
    <row r="472" spans="1:3" x14ac:dyDescent="0.25">
      <c r="A472" t="s">
        <v>1532</v>
      </c>
      <c r="B472" t="s">
        <v>407</v>
      </c>
      <c r="C472" t="s">
        <v>1550</v>
      </c>
    </row>
    <row r="473" spans="1:3" x14ac:dyDescent="0.25">
      <c r="A473" t="s">
        <v>1532</v>
      </c>
      <c r="B473" t="s">
        <v>408</v>
      </c>
      <c r="C473" t="s">
        <v>1550</v>
      </c>
    </row>
    <row r="474" spans="1:3" x14ac:dyDescent="0.25">
      <c r="A474" t="s">
        <v>1532</v>
      </c>
      <c r="B474" t="s">
        <v>409</v>
      </c>
      <c r="C474" t="s">
        <v>1550</v>
      </c>
    </row>
    <row r="475" spans="1:3" x14ac:dyDescent="0.25">
      <c r="A475" t="s">
        <v>1532</v>
      </c>
      <c r="B475" t="s">
        <v>410</v>
      </c>
      <c r="C475" t="s">
        <v>1550</v>
      </c>
    </row>
    <row r="476" spans="1:3" x14ac:dyDescent="0.25">
      <c r="A476" t="s">
        <v>1532</v>
      </c>
      <c r="B476" t="s">
        <v>411</v>
      </c>
      <c r="C476" t="s">
        <v>1550</v>
      </c>
    </row>
    <row r="477" spans="1:3" x14ac:dyDescent="0.25">
      <c r="A477" t="s">
        <v>1532</v>
      </c>
      <c r="B477" t="s">
        <v>412</v>
      </c>
      <c r="C477" t="s">
        <v>1550</v>
      </c>
    </row>
    <row r="478" spans="1:3" x14ac:dyDescent="0.25">
      <c r="A478" t="s">
        <v>1532</v>
      </c>
      <c r="B478" t="s">
        <v>420</v>
      </c>
      <c r="C478" t="s">
        <v>1550</v>
      </c>
    </row>
    <row r="479" spans="1:3" x14ac:dyDescent="0.25">
      <c r="A479" t="s">
        <v>1532</v>
      </c>
      <c r="B479" t="s">
        <v>422</v>
      </c>
      <c r="C479" t="s">
        <v>1550</v>
      </c>
    </row>
    <row r="480" spans="1:3" x14ac:dyDescent="0.25">
      <c r="A480" t="s">
        <v>1532</v>
      </c>
      <c r="B480" t="s">
        <v>428</v>
      </c>
      <c r="C480" t="s">
        <v>1550</v>
      </c>
    </row>
    <row r="481" spans="1:3" x14ac:dyDescent="0.25">
      <c r="A481" t="s">
        <v>1532</v>
      </c>
      <c r="B481" t="s">
        <v>430</v>
      </c>
      <c r="C481" t="s">
        <v>1550</v>
      </c>
    </row>
    <row r="482" spans="1:3" x14ac:dyDescent="0.25">
      <c r="A482" t="s">
        <v>1532</v>
      </c>
      <c r="B482" t="s">
        <v>434</v>
      </c>
      <c r="C482" t="s">
        <v>1550</v>
      </c>
    </row>
    <row r="483" spans="1:3" x14ac:dyDescent="0.25">
      <c r="A483" t="s">
        <v>1532</v>
      </c>
      <c r="B483" t="s">
        <v>436</v>
      </c>
      <c r="C483" t="s">
        <v>1550</v>
      </c>
    </row>
    <row r="484" spans="1:3" x14ac:dyDescent="0.25">
      <c r="A484" t="s">
        <v>1532</v>
      </c>
      <c r="B484" t="s">
        <v>440</v>
      </c>
      <c r="C484" t="s">
        <v>1550</v>
      </c>
    </row>
    <row r="485" spans="1:3" x14ac:dyDescent="0.25">
      <c r="A485" t="s">
        <v>1532</v>
      </c>
      <c r="B485" t="s">
        <v>442</v>
      </c>
      <c r="C485" t="s">
        <v>1550</v>
      </c>
    </row>
    <row r="486" spans="1:3" x14ac:dyDescent="0.25">
      <c r="A486" t="s">
        <v>1532</v>
      </c>
      <c r="B486" t="s">
        <v>446</v>
      </c>
      <c r="C486" t="s">
        <v>1550</v>
      </c>
    </row>
    <row r="487" spans="1:3" x14ac:dyDescent="0.25">
      <c r="A487" t="s">
        <v>1532</v>
      </c>
      <c r="B487" t="s">
        <v>448</v>
      </c>
      <c r="C487" t="s">
        <v>1550</v>
      </c>
    </row>
    <row r="488" spans="1:3" x14ac:dyDescent="0.25">
      <c r="A488" t="s">
        <v>1532</v>
      </c>
      <c r="B488" t="s">
        <v>452</v>
      </c>
      <c r="C488" t="s">
        <v>1550</v>
      </c>
    </row>
    <row r="489" spans="1:3" x14ac:dyDescent="0.25">
      <c r="A489" t="s">
        <v>1532</v>
      </c>
      <c r="B489" t="s">
        <v>454</v>
      </c>
      <c r="C489" t="s">
        <v>1550</v>
      </c>
    </row>
    <row r="490" spans="1:3" x14ac:dyDescent="0.25">
      <c r="A490" t="s">
        <v>1532</v>
      </c>
      <c r="B490" t="s">
        <v>461</v>
      </c>
      <c r="C490" t="s">
        <v>1550</v>
      </c>
    </row>
    <row r="491" spans="1:3" x14ac:dyDescent="0.25">
      <c r="A491" t="s">
        <v>1532</v>
      </c>
      <c r="B491" t="s">
        <v>463</v>
      </c>
      <c r="C491" t="s">
        <v>1550</v>
      </c>
    </row>
    <row r="492" spans="1:3" x14ac:dyDescent="0.25">
      <c r="A492" t="s">
        <v>1532</v>
      </c>
      <c r="B492" t="s">
        <v>467</v>
      </c>
      <c r="C492" t="s">
        <v>1550</v>
      </c>
    </row>
    <row r="493" spans="1:3" x14ac:dyDescent="0.25">
      <c r="A493" t="s">
        <v>1532</v>
      </c>
      <c r="B493" t="s">
        <v>469</v>
      </c>
      <c r="C493" t="s">
        <v>1550</v>
      </c>
    </row>
    <row r="494" spans="1:3" x14ac:dyDescent="0.25">
      <c r="A494" t="s">
        <v>1532</v>
      </c>
      <c r="B494" t="s">
        <v>737</v>
      </c>
      <c r="C494" t="s">
        <v>1551</v>
      </c>
    </row>
    <row r="495" spans="1:3" x14ac:dyDescent="0.25">
      <c r="A495" t="s">
        <v>1532</v>
      </c>
      <c r="B495" t="s">
        <v>738</v>
      </c>
      <c r="C495" t="s">
        <v>1551</v>
      </c>
    </row>
    <row r="496" spans="1:3" x14ac:dyDescent="0.25">
      <c r="A496" t="s">
        <v>1532</v>
      </c>
      <c r="B496" t="s">
        <v>739</v>
      </c>
      <c r="C496" t="s">
        <v>1551</v>
      </c>
    </row>
    <row r="497" spans="1:3" x14ac:dyDescent="0.25">
      <c r="A497" t="s">
        <v>1532</v>
      </c>
      <c r="B497" t="s">
        <v>740</v>
      </c>
      <c r="C497" t="s">
        <v>1551</v>
      </c>
    </row>
    <row r="498" spans="1:3" x14ac:dyDescent="0.25">
      <c r="A498" t="s">
        <v>1532</v>
      </c>
      <c r="B498" t="s">
        <v>741</v>
      </c>
      <c r="C498" t="s">
        <v>1551</v>
      </c>
    </row>
    <row r="499" spans="1:3" x14ac:dyDescent="0.25">
      <c r="A499" t="s">
        <v>1532</v>
      </c>
      <c r="B499" t="s">
        <v>742</v>
      </c>
      <c r="C499" t="s">
        <v>1551</v>
      </c>
    </row>
    <row r="500" spans="1:3" x14ac:dyDescent="0.25">
      <c r="A500" t="s">
        <v>1532</v>
      </c>
      <c r="B500" t="s">
        <v>743</v>
      </c>
      <c r="C500" t="s">
        <v>1551</v>
      </c>
    </row>
    <row r="501" spans="1:3" x14ac:dyDescent="0.25">
      <c r="A501" t="s">
        <v>1532</v>
      </c>
      <c r="B501" t="s">
        <v>744</v>
      </c>
      <c r="C501" t="s">
        <v>1551</v>
      </c>
    </row>
    <row r="502" spans="1:3" x14ac:dyDescent="0.25">
      <c r="A502" t="s">
        <v>1532</v>
      </c>
      <c r="B502" t="s">
        <v>745</v>
      </c>
      <c r="C502" t="s">
        <v>1551</v>
      </c>
    </row>
    <row r="503" spans="1:3" x14ac:dyDescent="0.25">
      <c r="A503" t="s">
        <v>1532</v>
      </c>
      <c r="B503" t="s">
        <v>746</v>
      </c>
      <c r="C503" t="s">
        <v>1551</v>
      </c>
    </row>
    <row r="504" spans="1:3" x14ac:dyDescent="0.25">
      <c r="A504" t="s">
        <v>1532</v>
      </c>
      <c r="B504" t="s">
        <v>747</v>
      </c>
      <c r="C504" t="s">
        <v>1551</v>
      </c>
    </row>
    <row r="505" spans="1:3" x14ac:dyDescent="0.25">
      <c r="A505" t="s">
        <v>1532</v>
      </c>
      <c r="B505" t="s">
        <v>748</v>
      </c>
      <c r="C505" t="s">
        <v>1551</v>
      </c>
    </row>
    <row r="506" spans="1:3" x14ac:dyDescent="0.25">
      <c r="A506" t="s">
        <v>1532</v>
      </c>
      <c r="B506" t="s">
        <v>749</v>
      </c>
      <c r="C506" t="s">
        <v>1551</v>
      </c>
    </row>
    <row r="507" spans="1:3" x14ac:dyDescent="0.25">
      <c r="A507" t="s">
        <v>1532</v>
      </c>
      <c r="B507" t="s">
        <v>750</v>
      </c>
      <c r="C507" t="s">
        <v>1551</v>
      </c>
    </row>
    <row r="508" spans="1:3" x14ac:dyDescent="0.25">
      <c r="A508" t="s">
        <v>1532</v>
      </c>
      <c r="B508" t="s">
        <v>751</v>
      </c>
      <c r="C508" t="s">
        <v>1551</v>
      </c>
    </row>
    <row r="509" spans="1:3" x14ac:dyDescent="0.25">
      <c r="A509" t="s">
        <v>1532</v>
      </c>
      <c r="B509" t="s">
        <v>752</v>
      </c>
      <c r="C509" t="s">
        <v>1551</v>
      </c>
    </row>
    <row r="510" spans="1:3" x14ac:dyDescent="0.25">
      <c r="A510" t="s">
        <v>1532</v>
      </c>
      <c r="B510" t="s">
        <v>1049</v>
      </c>
      <c r="C510" t="s">
        <v>1551</v>
      </c>
    </row>
    <row r="511" spans="1:3" x14ac:dyDescent="0.25">
      <c r="A511" t="s">
        <v>1532</v>
      </c>
      <c r="B511" t="s">
        <v>1050</v>
      </c>
      <c r="C511" t="s">
        <v>1551</v>
      </c>
    </row>
    <row r="512" spans="1:3" x14ac:dyDescent="0.25">
      <c r="A512" t="s">
        <v>1532</v>
      </c>
      <c r="B512" t="s">
        <v>1051</v>
      </c>
      <c r="C512" t="s">
        <v>1551</v>
      </c>
    </row>
    <row r="513" spans="1:3" x14ac:dyDescent="0.25">
      <c r="A513" t="s">
        <v>1532</v>
      </c>
      <c r="B513" t="s">
        <v>1052</v>
      </c>
      <c r="C513" t="s">
        <v>1551</v>
      </c>
    </row>
    <row r="514" spans="1:3" x14ac:dyDescent="0.25">
      <c r="A514" t="s">
        <v>1532</v>
      </c>
      <c r="B514" t="s">
        <v>1053</v>
      </c>
      <c r="C514" t="s">
        <v>1551</v>
      </c>
    </row>
    <row r="515" spans="1:3" x14ac:dyDescent="0.25">
      <c r="A515" t="s">
        <v>1532</v>
      </c>
      <c r="B515" t="s">
        <v>1054</v>
      </c>
      <c r="C515" t="s">
        <v>1551</v>
      </c>
    </row>
    <row r="516" spans="1:3" x14ac:dyDescent="0.25">
      <c r="A516" t="s">
        <v>1532</v>
      </c>
      <c r="B516" t="s">
        <v>1055</v>
      </c>
      <c r="C516" t="s">
        <v>1551</v>
      </c>
    </row>
    <row r="517" spans="1:3" x14ac:dyDescent="0.25">
      <c r="A517" t="s">
        <v>1532</v>
      </c>
      <c r="B517" t="s">
        <v>1056</v>
      </c>
      <c r="C517" t="s">
        <v>1551</v>
      </c>
    </row>
    <row r="518" spans="1:3" x14ac:dyDescent="0.25">
      <c r="A518" t="s">
        <v>1532</v>
      </c>
      <c r="B518" t="s">
        <v>1057</v>
      </c>
      <c r="C518" t="s">
        <v>1551</v>
      </c>
    </row>
    <row r="519" spans="1:3" x14ac:dyDescent="0.25">
      <c r="A519" t="s">
        <v>1532</v>
      </c>
      <c r="B519" t="s">
        <v>1058</v>
      </c>
      <c r="C519" t="s">
        <v>1551</v>
      </c>
    </row>
    <row r="520" spans="1:3" x14ac:dyDescent="0.25">
      <c r="A520" t="s">
        <v>1532</v>
      </c>
      <c r="B520" t="s">
        <v>1059</v>
      </c>
      <c r="C520" t="s">
        <v>1551</v>
      </c>
    </row>
    <row r="521" spans="1:3" x14ac:dyDescent="0.25">
      <c r="A521" t="s">
        <v>1532</v>
      </c>
      <c r="B521" t="s">
        <v>1060</v>
      </c>
      <c r="C521" t="s">
        <v>1551</v>
      </c>
    </row>
    <row r="522" spans="1:3" x14ac:dyDescent="0.25">
      <c r="A522" t="s">
        <v>1532</v>
      </c>
      <c r="B522" t="s">
        <v>1061</v>
      </c>
      <c r="C522" t="s">
        <v>1551</v>
      </c>
    </row>
    <row r="523" spans="1:3" x14ac:dyDescent="0.25">
      <c r="A523" t="s">
        <v>1532</v>
      </c>
      <c r="B523" t="s">
        <v>1062</v>
      </c>
      <c r="C523" t="s">
        <v>1551</v>
      </c>
    </row>
    <row r="524" spans="1:3" x14ac:dyDescent="0.25">
      <c r="A524" t="s">
        <v>1532</v>
      </c>
      <c r="B524" t="s">
        <v>1063</v>
      </c>
      <c r="C524" t="s">
        <v>1551</v>
      </c>
    </row>
    <row r="525" spans="1:3" x14ac:dyDescent="0.25">
      <c r="A525" t="s">
        <v>1532</v>
      </c>
      <c r="B525" t="s">
        <v>1064</v>
      </c>
      <c r="C525" t="s">
        <v>1551</v>
      </c>
    </row>
    <row r="526" spans="1:3" x14ac:dyDescent="0.25">
      <c r="A526" t="s">
        <v>1532</v>
      </c>
      <c r="B526" t="s">
        <v>1065</v>
      </c>
      <c r="C526" t="s">
        <v>1551</v>
      </c>
    </row>
    <row r="527" spans="1:3" x14ac:dyDescent="0.25">
      <c r="A527" t="s">
        <v>1532</v>
      </c>
      <c r="B527" t="s">
        <v>1066</v>
      </c>
      <c r="C527" t="s">
        <v>1551</v>
      </c>
    </row>
    <row r="528" spans="1:3" x14ac:dyDescent="0.25">
      <c r="A528" t="s">
        <v>1532</v>
      </c>
      <c r="B528" t="s">
        <v>1067</v>
      </c>
      <c r="C528" t="s">
        <v>1551</v>
      </c>
    </row>
    <row r="529" spans="1:3" x14ac:dyDescent="0.25">
      <c r="A529" t="s">
        <v>1532</v>
      </c>
      <c r="B529" t="s">
        <v>1068</v>
      </c>
      <c r="C529" t="s">
        <v>1551</v>
      </c>
    </row>
    <row r="530" spans="1:3" x14ac:dyDescent="0.25">
      <c r="A530" t="s">
        <v>1532</v>
      </c>
      <c r="B530" t="s">
        <v>1069</v>
      </c>
      <c r="C530" t="s">
        <v>1551</v>
      </c>
    </row>
    <row r="531" spans="1:3" x14ac:dyDescent="0.25">
      <c r="A531" t="s">
        <v>1532</v>
      </c>
      <c r="B531" t="s">
        <v>1135</v>
      </c>
      <c r="C531" t="s">
        <v>1551</v>
      </c>
    </row>
    <row r="532" spans="1:3" x14ac:dyDescent="0.25">
      <c r="A532" t="s">
        <v>1532</v>
      </c>
      <c r="B532" t="s">
        <v>1136</v>
      </c>
      <c r="C532" t="s">
        <v>1551</v>
      </c>
    </row>
    <row r="533" spans="1:3" x14ac:dyDescent="0.25">
      <c r="A533" t="s">
        <v>1532</v>
      </c>
      <c r="B533" t="s">
        <v>1137</v>
      </c>
      <c r="C533" t="s">
        <v>1551</v>
      </c>
    </row>
    <row r="534" spans="1:3" x14ac:dyDescent="0.25">
      <c r="A534" t="s">
        <v>1532</v>
      </c>
      <c r="B534" t="s">
        <v>1138</v>
      </c>
      <c r="C534" t="s">
        <v>1551</v>
      </c>
    </row>
    <row r="535" spans="1:3" x14ac:dyDescent="0.25">
      <c r="A535" t="s">
        <v>1532</v>
      </c>
      <c r="B535" t="s">
        <v>1139</v>
      </c>
      <c r="C535" t="s">
        <v>1551</v>
      </c>
    </row>
    <row r="536" spans="1:3" x14ac:dyDescent="0.25">
      <c r="A536" t="s">
        <v>1532</v>
      </c>
      <c r="B536" t="s">
        <v>1140</v>
      </c>
      <c r="C536" t="s">
        <v>1551</v>
      </c>
    </row>
    <row r="537" spans="1:3" x14ac:dyDescent="0.25">
      <c r="A537" t="s">
        <v>1532</v>
      </c>
      <c r="B537" t="s">
        <v>1141</v>
      </c>
      <c r="C537" t="s">
        <v>1551</v>
      </c>
    </row>
    <row r="538" spans="1:3" x14ac:dyDescent="0.25">
      <c r="A538" t="s">
        <v>1532</v>
      </c>
      <c r="B538" t="s">
        <v>1144</v>
      </c>
      <c r="C538" t="s">
        <v>1551</v>
      </c>
    </row>
    <row r="539" spans="1:3" x14ac:dyDescent="0.25">
      <c r="A539" t="s">
        <v>1532</v>
      </c>
      <c r="B539" t="s">
        <v>1145</v>
      </c>
      <c r="C539" t="s">
        <v>1551</v>
      </c>
    </row>
    <row r="540" spans="1:3" x14ac:dyDescent="0.25">
      <c r="A540" t="s">
        <v>1532</v>
      </c>
      <c r="B540" t="s">
        <v>1146</v>
      </c>
      <c r="C540" t="s">
        <v>1551</v>
      </c>
    </row>
    <row r="541" spans="1:3" x14ac:dyDescent="0.25">
      <c r="A541" t="s">
        <v>1532</v>
      </c>
      <c r="B541" t="s">
        <v>1194</v>
      </c>
      <c r="C541" t="s">
        <v>1551</v>
      </c>
    </row>
    <row r="542" spans="1:3" x14ac:dyDescent="0.25">
      <c r="A542" t="s">
        <v>1532</v>
      </c>
      <c r="B542" t="s">
        <v>1195</v>
      </c>
      <c r="C542" t="s">
        <v>1551</v>
      </c>
    </row>
    <row r="543" spans="1:3" x14ac:dyDescent="0.25">
      <c r="A543" t="s">
        <v>1532</v>
      </c>
      <c r="B543" t="s">
        <v>1196</v>
      </c>
      <c r="C543" t="s">
        <v>1551</v>
      </c>
    </row>
    <row r="544" spans="1:3" x14ac:dyDescent="0.25">
      <c r="A544" t="s">
        <v>1532</v>
      </c>
      <c r="B544" t="s">
        <v>1197</v>
      </c>
      <c r="C544" t="s">
        <v>1551</v>
      </c>
    </row>
    <row r="545" spans="1:3" x14ac:dyDescent="0.25">
      <c r="A545" t="s">
        <v>1532</v>
      </c>
      <c r="B545" t="s">
        <v>1198</v>
      </c>
      <c r="C545" t="s">
        <v>1551</v>
      </c>
    </row>
    <row r="546" spans="1:3" x14ac:dyDescent="0.25">
      <c r="A546" t="s">
        <v>1532</v>
      </c>
      <c r="B546" t="s">
        <v>1199</v>
      </c>
      <c r="C546" t="s">
        <v>1551</v>
      </c>
    </row>
    <row r="547" spans="1:3" x14ac:dyDescent="0.25">
      <c r="A547" t="s">
        <v>1532</v>
      </c>
      <c r="B547" t="s">
        <v>1200</v>
      </c>
      <c r="C547" t="s">
        <v>1551</v>
      </c>
    </row>
    <row r="548" spans="1:3" x14ac:dyDescent="0.25">
      <c r="A548" t="s">
        <v>1532</v>
      </c>
      <c r="B548" t="s">
        <v>1201</v>
      </c>
      <c r="C548" t="s">
        <v>1551</v>
      </c>
    </row>
    <row r="549" spans="1:3" x14ac:dyDescent="0.25">
      <c r="A549" t="s">
        <v>1532</v>
      </c>
      <c r="B549" t="s">
        <v>1202</v>
      </c>
      <c r="C549" t="s">
        <v>1551</v>
      </c>
    </row>
    <row r="550" spans="1:3" x14ac:dyDescent="0.25">
      <c r="A550" t="s">
        <v>1532</v>
      </c>
      <c r="B550" t="s">
        <v>1203</v>
      </c>
      <c r="C550" t="s">
        <v>1551</v>
      </c>
    </row>
    <row r="551" spans="1:3" x14ac:dyDescent="0.25">
      <c r="A551" t="s">
        <v>1532</v>
      </c>
      <c r="B551" t="s">
        <v>1204</v>
      </c>
      <c r="C551" t="s">
        <v>1551</v>
      </c>
    </row>
    <row r="552" spans="1:3" x14ac:dyDescent="0.25">
      <c r="A552" t="s">
        <v>1532</v>
      </c>
      <c r="B552" t="s">
        <v>763</v>
      </c>
      <c r="C552" t="s">
        <v>1551</v>
      </c>
    </row>
    <row r="553" spans="1:3" x14ac:dyDescent="0.25">
      <c r="A553" t="s">
        <v>1532</v>
      </c>
      <c r="B553" t="s">
        <v>764</v>
      </c>
      <c r="C553" t="s">
        <v>1551</v>
      </c>
    </row>
    <row r="554" spans="1:3" x14ac:dyDescent="0.25">
      <c r="A554" t="s">
        <v>1532</v>
      </c>
      <c r="B554" t="s">
        <v>765</v>
      </c>
      <c r="C554" t="s">
        <v>1551</v>
      </c>
    </row>
    <row r="555" spans="1:3" x14ac:dyDescent="0.25">
      <c r="A555" t="s">
        <v>1532</v>
      </c>
      <c r="B555" t="s">
        <v>770</v>
      </c>
      <c r="C555" t="s">
        <v>1551</v>
      </c>
    </row>
    <row r="556" spans="1:3" x14ac:dyDescent="0.25">
      <c r="A556" t="s">
        <v>1532</v>
      </c>
      <c r="B556" t="s">
        <v>771</v>
      </c>
      <c r="C556" t="s">
        <v>1551</v>
      </c>
    </row>
    <row r="557" spans="1:3" x14ac:dyDescent="0.25">
      <c r="A557" t="s">
        <v>1532</v>
      </c>
      <c r="B557" t="s">
        <v>772</v>
      </c>
      <c r="C557" t="s">
        <v>1551</v>
      </c>
    </row>
    <row r="558" spans="1:3" x14ac:dyDescent="0.25">
      <c r="A558" t="s">
        <v>1532</v>
      </c>
      <c r="B558" t="s">
        <v>773</v>
      </c>
      <c r="C558" t="s">
        <v>1551</v>
      </c>
    </row>
    <row r="559" spans="1:3" x14ac:dyDescent="0.25">
      <c r="A559" t="s">
        <v>1532</v>
      </c>
      <c r="B559" t="s">
        <v>774</v>
      </c>
      <c r="C559" t="s">
        <v>1551</v>
      </c>
    </row>
    <row r="560" spans="1:3" x14ac:dyDescent="0.25">
      <c r="A560" t="s">
        <v>1532</v>
      </c>
      <c r="B560" t="s">
        <v>775</v>
      </c>
      <c r="C560" t="s">
        <v>1551</v>
      </c>
    </row>
    <row r="561" spans="1:3" x14ac:dyDescent="0.25">
      <c r="A561" t="s">
        <v>1532</v>
      </c>
      <c r="B561" t="s">
        <v>776</v>
      </c>
      <c r="C561" t="s">
        <v>1551</v>
      </c>
    </row>
    <row r="562" spans="1:3" x14ac:dyDescent="0.25">
      <c r="A562" t="s">
        <v>1532</v>
      </c>
      <c r="B562" t="s">
        <v>777</v>
      </c>
      <c r="C562" t="s">
        <v>1551</v>
      </c>
    </row>
    <row r="563" spans="1:3" x14ac:dyDescent="0.25">
      <c r="A563" t="s">
        <v>1532</v>
      </c>
      <c r="B563" t="s">
        <v>778</v>
      </c>
      <c r="C563" t="s">
        <v>1551</v>
      </c>
    </row>
    <row r="564" spans="1:3" x14ac:dyDescent="0.25">
      <c r="A564" t="s">
        <v>1532</v>
      </c>
      <c r="B564" t="s">
        <v>779</v>
      </c>
      <c r="C564" t="s">
        <v>1551</v>
      </c>
    </row>
    <row r="565" spans="1:3" x14ac:dyDescent="0.25">
      <c r="A565" t="s">
        <v>1532</v>
      </c>
      <c r="B565" t="s">
        <v>780</v>
      </c>
      <c r="C565" t="s">
        <v>1551</v>
      </c>
    </row>
    <row r="566" spans="1:3" x14ac:dyDescent="0.25">
      <c r="A566" t="s">
        <v>1532</v>
      </c>
      <c r="B566" t="s">
        <v>781</v>
      </c>
      <c r="C566" t="s">
        <v>1551</v>
      </c>
    </row>
    <row r="567" spans="1:3" x14ac:dyDescent="0.25">
      <c r="A567" t="s">
        <v>1532</v>
      </c>
      <c r="B567" t="s">
        <v>782</v>
      </c>
      <c r="C567" t="s">
        <v>1551</v>
      </c>
    </row>
    <row r="568" spans="1:3" x14ac:dyDescent="0.25">
      <c r="A568" t="s">
        <v>1532</v>
      </c>
      <c r="B568" t="s">
        <v>783</v>
      </c>
      <c r="C568" t="s">
        <v>1551</v>
      </c>
    </row>
    <row r="569" spans="1:3" x14ac:dyDescent="0.25">
      <c r="A569" t="s">
        <v>1532</v>
      </c>
      <c r="B569" t="s">
        <v>784</v>
      </c>
      <c r="C569" t="s">
        <v>1551</v>
      </c>
    </row>
    <row r="570" spans="1:3" x14ac:dyDescent="0.25">
      <c r="A570" t="s">
        <v>1532</v>
      </c>
      <c r="B570" t="s">
        <v>785</v>
      </c>
      <c r="C570" t="s">
        <v>1551</v>
      </c>
    </row>
    <row r="571" spans="1:3" x14ac:dyDescent="0.25">
      <c r="A571" t="s">
        <v>1532</v>
      </c>
      <c r="B571" t="s">
        <v>786</v>
      </c>
      <c r="C571" t="s">
        <v>1551</v>
      </c>
    </row>
    <row r="572" spans="1:3" x14ac:dyDescent="0.25">
      <c r="A572" t="s">
        <v>1532</v>
      </c>
      <c r="B572" t="s">
        <v>787</v>
      </c>
      <c r="C572" t="s">
        <v>1551</v>
      </c>
    </row>
    <row r="573" spans="1:3" x14ac:dyDescent="0.25">
      <c r="A573" t="s">
        <v>1532</v>
      </c>
      <c r="B573" t="s">
        <v>788</v>
      </c>
      <c r="C573" t="s">
        <v>1551</v>
      </c>
    </row>
    <row r="574" spans="1:3" x14ac:dyDescent="0.25">
      <c r="A574" t="s">
        <v>1532</v>
      </c>
      <c r="B574" t="s">
        <v>794</v>
      </c>
      <c r="C574" t="s">
        <v>1551</v>
      </c>
    </row>
    <row r="575" spans="1:3" x14ac:dyDescent="0.25">
      <c r="A575" t="s">
        <v>1532</v>
      </c>
      <c r="B575" t="s">
        <v>795</v>
      </c>
      <c r="C575" t="s">
        <v>1551</v>
      </c>
    </row>
    <row r="576" spans="1:3" x14ac:dyDescent="0.25">
      <c r="A576" t="s">
        <v>1532</v>
      </c>
      <c r="B576" t="s">
        <v>796</v>
      </c>
      <c r="C576" t="s">
        <v>1551</v>
      </c>
    </row>
    <row r="577" spans="1:3" x14ac:dyDescent="0.25">
      <c r="A577" t="s">
        <v>1532</v>
      </c>
      <c r="B577" t="s">
        <v>797</v>
      </c>
      <c r="C577" t="s">
        <v>1551</v>
      </c>
    </row>
    <row r="578" spans="1:3" x14ac:dyDescent="0.25">
      <c r="A578" t="s">
        <v>1532</v>
      </c>
      <c r="B578" t="s">
        <v>798</v>
      </c>
      <c r="C578" t="s">
        <v>1551</v>
      </c>
    </row>
    <row r="579" spans="1:3" x14ac:dyDescent="0.25">
      <c r="A579" t="s">
        <v>1532</v>
      </c>
      <c r="B579" t="s">
        <v>799</v>
      </c>
      <c r="C579" t="s">
        <v>1551</v>
      </c>
    </row>
    <row r="580" spans="1:3" x14ac:dyDescent="0.25">
      <c r="A580" t="s">
        <v>1532</v>
      </c>
      <c r="B580" t="s">
        <v>800</v>
      </c>
      <c r="C580" t="s">
        <v>1551</v>
      </c>
    </row>
    <row r="581" spans="1:3" x14ac:dyDescent="0.25">
      <c r="A581" t="s">
        <v>1532</v>
      </c>
      <c r="B581" t="s">
        <v>803</v>
      </c>
      <c r="C581" t="s">
        <v>1551</v>
      </c>
    </row>
    <row r="582" spans="1:3" x14ac:dyDescent="0.25">
      <c r="A582" t="s">
        <v>1532</v>
      </c>
      <c r="B582" t="s">
        <v>804</v>
      </c>
      <c r="C582" t="s">
        <v>1551</v>
      </c>
    </row>
    <row r="583" spans="1:3" x14ac:dyDescent="0.25">
      <c r="A583" t="s">
        <v>1532</v>
      </c>
      <c r="B583" t="s">
        <v>805</v>
      </c>
      <c r="C583" t="s">
        <v>1551</v>
      </c>
    </row>
    <row r="584" spans="1:3" x14ac:dyDescent="0.25">
      <c r="A584" t="s">
        <v>1532</v>
      </c>
      <c r="B584" t="s">
        <v>806</v>
      </c>
      <c r="C584" t="s">
        <v>1551</v>
      </c>
    </row>
    <row r="585" spans="1:3" x14ac:dyDescent="0.25">
      <c r="A585" t="s">
        <v>1532</v>
      </c>
      <c r="B585" t="s">
        <v>807</v>
      </c>
      <c r="C585" t="s">
        <v>1551</v>
      </c>
    </row>
    <row r="586" spans="1:3" x14ac:dyDescent="0.25">
      <c r="A586" t="s">
        <v>1532</v>
      </c>
      <c r="B586" t="s">
        <v>808</v>
      </c>
      <c r="C586" t="s">
        <v>1551</v>
      </c>
    </row>
    <row r="587" spans="1:3" x14ac:dyDescent="0.25">
      <c r="A587" t="s">
        <v>1532</v>
      </c>
      <c r="B587" t="s">
        <v>809</v>
      </c>
      <c r="C587" t="s">
        <v>1551</v>
      </c>
    </row>
    <row r="588" spans="1:3" x14ac:dyDescent="0.25">
      <c r="A588" t="s">
        <v>1532</v>
      </c>
      <c r="B588" t="s">
        <v>810</v>
      </c>
      <c r="C588" t="s">
        <v>1551</v>
      </c>
    </row>
    <row r="589" spans="1:3" x14ac:dyDescent="0.25">
      <c r="A589" t="s">
        <v>1532</v>
      </c>
      <c r="B589" t="s">
        <v>811</v>
      </c>
      <c r="C589" t="s">
        <v>1551</v>
      </c>
    </row>
    <row r="590" spans="1:3" x14ac:dyDescent="0.25">
      <c r="A590" t="s">
        <v>1532</v>
      </c>
      <c r="B590" t="s">
        <v>812</v>
      </c>
      <c r="C590" t="s">
        <v>1551</v>
      </c>
    </row>
    <row r="591" spans="1:3" x14ac:dyDescent="0.25">
      <c r="A591" t="s">
        <v>1532</v>
      </c>
      <c r="B591" t="s">
        <v>813</v>
      </c>
      <c r="C591" t="s">
        <v>1551</v>
      </c>
    </row>
    <row r="592" spans="1:3" x14ac:dyDescent="0.25">
      <c r="A592" t="s">
        <v>1532</v>
      </c>
      <c r="B592" t="s">
        <v>814</v>
      </c>
      <c r="C592" t="s">
        <v>1551</v>
      </c>
    </row>
    <row r="593" spans="1:3" x14ac:dyDescent="0.25">
      <c r="A593" t="s">
        <v>1532</v>
      </c>
      <c r="B593" t="s">
        <v>815</v>
      </c>
      <c r="C593" t="s">
        <v>1551</v>
      </c>
    </row>
    <row r="594" spans="1:3" x14ac:dyDescent="0.25">
      <c r="A594" t="s">
        <v>1532</v>
      </c>
      <c r="B594" t="s">
        <v>816</v>
      </c>
      <c r="C594" t="s">
        <v>1551</v>
      </c>
    </row>
    <row r="595" spans="1:3" x14ac:dyDescent="0.25">
      <c r="A595" t="s">
        <v>1532</v>
      </c>
      <c r="B595" t="s">
        <v>817</v>
      </c>
      <c r="C595" t="s">
        <v>1551</v>
      </c>
    </row>
    <row r="596" spans="1:3" x14ac:dyDescent="0.25">
      <c r="A596" t="s">
        <v>1532</v>
      </c>
      <c r="B596" t="s">
        <v>818</v>
      </c>
      <c r="C596" t="s">
        <v>1551</v>
      </c>
    </row>
    <row r="597" spans="1:3" x14ac:dyDescent="0.25">
      <c r="A597" t="s">
        <v>1532</v>
      </c>
      <c r="B597" t="s">
        <v>819</v>
      </c>
      <c r="C597" t="s">
        <v>1551</v>
      </c>
    </row>
    <row r="598" spans="1:3" x14ac:dyDescent="0.25">
      <c r="A598" t="s">
        <v>1532</v>
      </c>
      <c r="B598" t="s">
        <v>820</v>
      </c>
      <c r="C598" t="s">
        <v>1551</v>
      </c>
    </row>
    <row r="599" spans="1:3" x14ac:dyDescent="0.25">
      <c r="A599" t="s">
        <v>1532</v>
      </c>
      <c r="B599" t="s">
        <v>821</v>
      </c>
      <c r="C599" t="s">
        <v>1551</v>
      </c>
    </row>
    <row r="600" spans="1:3" x14ac:dyDescent="0.25">
      <c r="A600" t="s">
        <v>1532</v>
      </c>
      <c r="B600" t="s">
        <v>822</v>
      </c>
      <c r="C600" t="s">
        <v>1551</v>
      </c>
    </row>
    <row r="601" spans="1:3" x14ac:dyDescent="0.25">
      <c r="A601" t="s">
        <v>1532</v>
      </c>
      <c r="B601" t="s">
        <v>823</v>
      </c>
      <c r="C601" t="s">
        <v>1551</v>
      </c>
    </row>
    <row r="602" spans="1:3" x14ac:dyDescent="0.25">
      <c r="A602" t="s">
        <v>1532</v>
      </c>
      <c r="B602" t="s">
        <v>824</v>
      </c>
      <c r="C602" t="s">
        <v>1551</v>
      </c>
    </row>
    <row r="603" spans="1:3" x14ac:dyDescent="0.25">
      <c r="A603" t="s">
        <v>1532</v>
      </c>
      <c r="B603" t="s">
        <v>825</v>
      </c>
      <c r="C603" t="s">
        <v>1551</v>
      </c>
    </row>
    <row r="604" spans="1:3" x14ac:dyDescent="0.25">
      <c r="A604" t="s">
        <v>1532</v>
      </c>
      <c r="B604" t="s">
        <v>826</v>
      </c>
      <c r="C604" t="s">
        <v>1551</v>
      </c>
    </row>
    <row r="605" spans="1:3" x14ac:dyDescent="0.25">
      <c r="A605" t="s">
        <v>1532</v>
      </c>
      <c r="B605" t="s">
        <v>827</v>
      </c>
      <c r="C605" t="s">
        <v>1551</v>
      </c>
    </row>
    <row r="606" spans="1:3" x14ac:dyDescent="0.25">
      <c r="A606" t="s">
        <v>1532</v>
      </c>
      <c r="B606" t="s">
        <v>828</v>
      </c>
      <c r="C606" t="s">
        <v>1551</v>
      </c>
    </row>
    <row r="607" spans="1:3" x14ac:dyDescent="0.25">
      <c r="A607" t="s">
        <v>1532</v>
      </c>
      <c r="B607" t="s">
        <v>829</v>
      </c>
      <c r="C607" t="s">
        <v>1551</v>
      </c>
    </row>
    <row r="608" spans="1:3" x14ac:dyDescent="0.25">
      <c r="A608" t="s">
        <v>1532</v>
      </c>
      <c r="B608" t="s">
        <v>830</v>
      </c>
      <c r="C608" t="s">
        <v>1551</v>
      </c>
    </row>
    <row r="609" spans="1:3" x14ac:dyDescent="0.25">
      <c r="A609" t="s">
        <v>1532</v>
      </c>
      <c r="B609" t="s">
        <v>837</v>
      </c>
      <c r="C609" t="s">
        <v>1551</v>
      </c>
    </row>
    <row r="610" spans="1:3" x14ac:dyDescent="0.25">
      <c r="A610" t="s">
        <v>1532</v>
      </c>
      <c r="B610" t="s">
        <v>839</v>
      </c>
      <c r="C610" t="s">
        <v>1551</v>
      </c>
    </row>
    <row r="611" spans="1:3" x14ac:dyDescent="0.25">
      <c r="A611" t="s">
        <v>1532</v>
      </c>
      <c r="B611" t="s">
        <v>843</v>
      </c>
      <c r="C611" t="s">
        <v>1551</v>
      </c>
    </row>
    <row r="612" spans="1:3" x14ac:dyDescent="0.25">
      <c r="A612" t="s">
        <v>1532</v>
      </c>
      <c r="B612" t="s">
        <v>845</v>
      </c>
      <c r="C612" t="s">
        <v>1551</v>
      </c>
    </row>
    <row r="613" spans="1:3" x14ac:dyDescent="0.25">
      <c r="A613" t="s">
        <v>1532</v>
      </c>
      <c r="B613" t="s">
        <v>849</v>
      </c>
      <c r="C613" t="s">
        <v>1551</v>
      </c>
    </row>
    <row r="614" spans="1:3" x14ac:dyDescent="0.25">
      <c r="A614" t="s">
        <v>1532</v>
      </c>
      <c r="B614" t="s">
        <v>851</v>
      </c>
      <c r="C614" t="s">
        <v>1551</v>
      </c>
    </row>
    <row r="615" spans="1:3" x14ac:dyDescent="0.25">
      <c r="A615" t="s">
        <v>1532</v>
      </c>
      <c r="B615" t="s">
        <v>855</v>
      </c>
      <c r="C615" t="s">
        <v>1551</v>
      </c>
    </row>
    <row r="616" spans="1:3" x14ac:dyDescent="0.25">
      <c r="A616" t="s">
        <v>1532</v>
      </c>
      <c r="B616" t="s">
        <v>857</v>
      </c>
      <c r="C616" t="s">
        <v>1551</v>
      </c>
    </row>
    <row r="617" spans="1:3" x14ac:dyDescent="0.25">
      <c r="A617" t="s">
        <v>1532</v>
      </c>
      <c r="B617" t="s">
        <v>861</v>
      </c>
      <c r="C617" t="s">
        <v>1551</v>
      </c>
    </row>
    <row r="618" spans="1:3" x14ac:dyDescent="0.25">
      <c r="A618" t="s">
        <v>1532</v>
      </c>
      <c r="B618" t="s">
        <v>863</v>
      </c>
      <c r="C618" t="s">
        <v>1551</v>
      </c>
    </row>
    <row r="619" spans="1:3" x14ac:dyDescent="0.25">
      <c r="A619" t="s">
        <v>1532</v>
      </c>
      <c r="B619" t="s">
        <v>869</v>
      </c>
      <c r="C619" t="s">
        <v>1551</v>
      </c>
    </row>
    <row r="620" spans="1:3" x14ac:dyDescent="0.25">
      <c r="A620" t="s">
        <v>1532</v>
      </c>
      <c r="B620" t="s">
        <v>871</v>
      </c>
      <c r="C620" t="s">
        <v>1551</v>
      </c>
    </row>
    <row r="621" spans="1:3" x14ac:dyDescent="0.25">
      <c r="A621" t="s">
        <v>1532</v>
      </c>
      <c r="B621" t="s">
        <v>875</v>
      </c>
      <c r="C621" t="s">
        <v>1551</v>
      </c>
    </row>
    <row r="622" spans="1:3" x14ac:dyDescent="0.25">
      <c r="A622" t="s">
        <v>1532</v>
      </c>
      <c r="B622" t="s">
        <v>877</v>
      </c>
      <c r="C622" t="s">
        <v>1551</v>
      </c>
    </row>
    <row r="623" spans="1:3" x14ac:dyDescent="0.25">
      <c r="A623" t="s">
        <v>1532</v>
      </c>
      <c r="B623" t="s">
        <v>881</v>
      </c>
      <c r="C623" t="s">
        <v>1551</v>
      </c>
    </row>
    <row r="624" spans="1:3" x14ac:dyDescent="0.25">
      <c r="A624" t="s">
        <v>1532</v>
      </c>
      <c r="B624" t="s">
        <v>883</v>
      </c>
      <c r="C624" t="s">
        <v>1551</v>
      </c>
    </row>
    <row r="625" spans="1:3" x14ac:dyDescent="0.25">
      <c r="A625" t="s">
        <v>1532</v>
      </c>
      <c r="B625" t="s">
        <v>887</v>
      </c>
      <c r="C625" t="s">
        <v>1551</v>
      </c>
    </row>
    <row r="626" spans="1:3" x14ac:dyDescent="0.25">
      <c r="A626" t="s">
        <v>1532</v>
      </c>
      <c r="B626" t="s">
        <v>889</v>
      </c>
      <c r="C626" t="s">
        <v>1551</v>
      </c>
    </row>
    <row r="627" spans="1:3" x14ac:dyDescent="0.25">
      <c r="A627" t="s">
        <v>1532</v>
      </c>
      <c r="B627" t="s">
        <v>893</v>
      </c>
      <c r="C627" t="s">
        <v>1551</v>
      </c>
    </row>
    <row r="628" spans="1:3" x14ac:dyDescent="0.25">
      <c r="A628" t="s">
        <v>1532</v>
      </c>
      <c r="B628" t="s">
        <v>895</v>
      </c>
      <c r="C628" t="s">
        <v>1551</v>
      </c>
    </row>
    <row r="629" spans="1:3" x14ac:dyDescent="0.25">
      <c r="A629" t="s">
        <v>1531</v>
      </c>
      <c r="B629" t="s">
        <v>1224</v>
      </c>
      <c r="C629" t="s">
        <v>1219</v>
      </c>
    </row>
    <row r="630" spans="1:3" x14ac:dyDescent="0.25">
      <c r="A630" t="s">
        <v>1531</v>
      </c>
      <c r="B630" t="s">
        <v>1225</v>
      </c>
      <c r="C630" t="s">
        <v>1219</v>
      </c>
    </row>
    <row r="631" spans="1:3" x14ac:dyDescent="0.25">
      <c r="A631" t="s">
        <v>1531</v>
      </c>
      <c r="B631" t="s">
        <v>1226</v>
      </c>
      <c r="C631" t="s">
        <v>1219</v>
      </c>
    </row>
    <row r="632" spans="1:3" x14ac:dyDescent="0.25">
      <c r="A632" t="s">
        <v>1531</v>
      </c>
      <c r="B632" t="s">
        <v>1227</v>
      </c>
      <c r="C632" t="s">
        <v>1219</v>
      </c>
    </row>
    <row r="633" spans="1:3" x14ac:dyDescent="0.25">
      <c r="A633" t="s">
        <v>1531</v>
      </c>
      <c r="B633" t="s">
        <v>1228</v>
      </c>
      <c r="C633" t="s">
        <v>1219</v>
      </c>
    </row>
    <row r="634" spans="1:3" x14ac:dyDescent="0.25">
      <c r="A634" t="s">
        <v>1531</v>
      </c>
      <c r="B634" t="s">
        <v>1229</v>
      </c>
      <c r="C634" t="s">
        <v>1219</v>
      </c>
    </row>
    <row r="635" spans="1:3" x14ac:dyDescent="0.25">
      <c r="A635" t="s">
        <v>1531</v>
      </c>
      <c r="B635" t="s">
        <v>1230</v>
      </c>
      <c r="C635" t="s">
        <v>1219</v>
      </c>
    </row>
    <row r="636" spans="1:3" x14ac:dyDescent="0.25">
      <c r="A636" t="s">
        <v>1531</v>
      </c>
      <c r="B636" t="s">
        <v>1231</v>
      </c>
      <c r="C636" t="s">
        <v>1219</v>
      </c>
    </row>
    <row r="637" spans="1:3" x14ac:dyDescent="0.25">
      <c r="A637" t="s">
        <v>1531</v>
      </c>
      <c r="B637" t="s">
        <v>1232</v>
      </c>
      <c r="C637" t="s">
        <v>1219</v>
      </c>
    </row>
    <row r="638" spans="1:3" x14ac:dyDescent="0.25">
      <c r="A638" t="s">
        <v>1531</v>
      </c>
      <c r="B638" t="s">
        <v>1233</v>
      </c>
      <c r="C638" t="s">
        <v>1219</v>
      </c>
    </row>
    <row r="639" spans="1:3" x14ac:dyDescent="0.25">
      <c r="A639" t="s">
        <v>1531</v>
      </c>
      <c r="B639" t="s">
        <v>1234</v>
      </c>
      <c r="C639" t="s">
        <v>1219</v>
      </c>
    </row>
    <row r="640" spans="1:3" x14ac:dyDescent="0.25">
      <c r="A640" t="s">
        <v>1531</v>
      </c>
      <c r="B640" t="s">
        <v>1235</v>
      </c>
      <c r="C640" t="s">
        <v>1219</v>
      </c>
    </row>
    <row r="641" spans="1:3" x14ac:dyDescent="0.25">
      <c r="A641" t="s">
        <v>1531</v>
      </c>
      <c r="B641" t="s">
        <v>1236</v>
      </c>
      <c r="C641" t="s">
        <v>1219</v>
      </c>
    </row>
    <row r="642" spans="1:3" x14ac:dyDescent="0.25">
      <c r="A642" t="s">
        <v>1531</v>
      </c>
      <c r="B642" t="s">
        <v>1237</v>
      </c>
      <c r="C642" t="s">
        <v>1219</v>
      </c>
    </row>
    <row r="643" spans="1:3" x14ac:dyDescent="0.25">
      <c r="A643" t="s">
        <v>1531</v>
      </c>
      <c r="B643" t="s">
        <v>1238</v>
      </c>
      <c r="C643" t="s">
        <v>1219</v>
      </c>
    </row>
    <row r="644" spans="1:3" x14ac:dyDescent="0.25">
      <c r="A644" t="s">
        <v>1531</v>
      </c>
      <c r="B644" t="s">
        <v>1239</v>
      </c>
      <c r="C644" t="s">
        <v>1219</v>
      </c>
    </row>
    <row r="645" spans="1:3" x14ac:dyDescent="0.25">
      <c r="A645" t="s">
        <v>1531</v>
      </c>
      <c r="B645" t="s">
        <v>1240</v>
      </c>
      <c r="C645" t="s">
        <v>1219</v>
      </c>
    </row>
    <row r="646" spans="1:3" x14ac:dyDescent="0.25">
      <c r="A646" t="s">
        <v>1531</v>
      </c>
      <c r="B646" t="s">
        <v>1241</v>
      </c>
      <c r="C646" t="s">
        <v>1219</v>
      </c>
    </row>
    <row r="647" spans="1:3" x14ac:dyDescent="0.25">
      <c r="A647" t="s">
        <v>1531</v>
      </c>
      <c r="B647" t="s">
        <v>1242</v>
      </c>
      <c r="C647" t="s">
        <v>1219</v>
      </c>
    </row>
    <row r="648" spans="1:3" x14ac:dyDescent="0.25">
      <c r="A648" t="s">
        <v>1531</v>
      </c>
      <c r="B648" t="s">
        <v>1243</v>
      </c>
      <c r="C648" t="s">
        <v>1219</v>
      </c>
    </row>
    <row r="649" spans="1:3" x14ac:dyDescent="0.25">
      <c r="A649" t="s">
        <v>1531</v>
      </c>
      <c r="B649" t="s">
        <v>1244</v>
      </c>
      <c r="C649" t="s">
        <v>1219</v>
      </c>
    </row>
    <row r="650" spans="1:3" x14ac:dyDescent="0.25">
      <c r="A650" t="s">
        <v>1531</v>
      </c>
      <c r="B650" t="s">
        <v>1245</v>
      </c>
      <c r="C650" t="s">
        <v>1219</v>
      </c>
    </row>
    <row r="651" spans="1:3" x14ac:dyDescent="0.25">
      <c r="A651" t="s">
        <v>1531</v>
      </c>
      <c r="B651" t="s">
        <v>1246</v>
      </c>
      <c r="C651" t="s">
        <v>1219</v>
      </c>
    </row>
    <row r="652" spans="1:3" x14ac:dyDescent="0.25">
      <c r="A652" t="s">
        <v>1531</v>
      </c>
      <c r="B652" t="s">
        <v>1247</v>
      </c>
      <c r="C652" t="s">
        <v>1219</v>
      </c>
    </row>
    <row r="653" spans="1:3" x14ac:dyDescent="0.25">
      <c r="A653" t="s">
        <v>1531</v>
      </c>
      <c r="B653" t="s">
        <v>1248</v>
      </c>
      <c r="C653" t="s">
        <v>1219</v>
      </c>
    </row>
    <row r="654" spans="1:3" x14ac:dyDescent="0.25">
      <c r="A654" t="s">
        <v>1531</v>
      </c>
      <c r="B654" t="s">
        <v>1249</v>
      </c>
      <c r="C654" t="s">
        <v>1219</v>
      </c>
    </row>
    <row r="655" spans="1:3" x14ac:dyDescent="0.25">
      <c r="A655" t="s">
        <v>1531</v>
      </c>
      <c r="B655" t="s">
        <v>1250</v>
      </c>
      <c r="C655" t="s">
        <v>1219</v>
      </c>
    </row>
    <row r="656" spans="1:3" x14ac:dyDescent="0.25">
      <c r="A656" t="s">
        <v>1531</v>
      </c>
      <c r="B656" t="s">
        <v>1251</v>
      </c>
      <c r="C656" t="s">
        <v>1219</v>
      </c>
    </row>
    <row r="657" spans="1:3" x14ac:dyDescent="0.25">
      <c r="A657" t="s">
        <v>1531</v>
      </c>
      <c r="B657" t="s">
        <v>1252</v>
      </c>
      <c r="C657" t="s">
        <v>1219</v>
      </c>
    </row>
    <row r="658" spans="1:3" x14ac:dyDescent="0.25">
      <c r="A658" t="s">
        <v>1531</v>
      </c>
      <c r="B658" t="s">
        <v>1253</v>
      </c>
      <c r="C658" t="s">
        <v>1219</v>
      </c>
    </row>
    <row r="659" spans="1:3" x14ac:dyDescent="0.25">
      <c r="A659" t="s">
        <v>1531</v>
      </c>
      <c r="B659" t="s">
        <v>1254</v>
      </c>
      <c r="C659" t="s">
        <v>1219</v>
      </c>
    </row>
    <row r="660" spans="1:3" x14ac:dyDescent="0.25">
      <c r="A660" t="s">
        <v>1531</v>
      </c>
      <c r="B660" t="s">
        <v>1255</v>
      </c>
      <c r="C660" t="s">
        <v>1219</v>
      </c>
    </row>
    <row r="661" spans="1:3" x14ac:dyDescent="0.25">
      <c r="A661" t="s">
        <v>1531</v>
      </c>
      <c r="B661" t="s">
        <v>1256</v>
      </c>
      <c r="C661" t="s">
        <v>1219</v>
      </c>
    </row>
    <row r="662" spans="1:3" x14ac:dyDescent="0.25">
      <c r="A662" t="s">
        <v>1531</v>
      </c>
      <c r="B662" t="s">
        <v>1257</v>
      </c>
      <c r="C662" t="s">
        <v>1219</v>
      </c>
    </row>
    <row r="663" spans="1:3" x14ac:dyDescent="0.25">
      <c r="A663" t="s">
        <v>1531</v>
      </c>
      <c r="B663" t="s">
        <v>1258</v>
      </c>
      <c r="C663" t="s">
        <v>1219</v>
      </c>
    </row>
    <row r="664" spans="1:3" x14ac:dyDescent="0.25">
      <c r="A664" t="s">
        <v>1531</v>
      </c>
      <c r="B664" t="s">
        <v>1259</v>
      </c>
      <c r="C664" t="s">
        <v>1219</v>
      </c>
    </row>
    <row r="665" spans="1:3" x14ac:dyDescent="0.25">
      <c r="A665" t="s">
        <v>1531</v>
      </c>
      <c r="B665" t="s">
        <v>1260</v>
      </c>
      <c r="C665" t="s">
        <v>1219</v>
      </c>
    </row>
    <row r="666" spans="1:3" x14ac:dyDescent="0.25">
      <c r="A666" t="s">
        <v>1531</v>
      </c>
      <c r="B666" t="s">
        <v>1261</v>
      </c>
      <c r="C666" t="s">
        <v>1219</v>
      </c>
    </row>
    <row r="667" spans="1:3" x14ac:dyDescent="0.25">
      <c r="A667" t="s">
        <v>1531</v>
      </c>
      <c r="B667" t="s">
        <v>1262</v>
      </c>
      <c r="C667" t="s">
        <v>1219</v>
      </c>
    </row>
    <row r="668" spans="1:3" x14ac:dyDescent="0.25">
      <c r="A668" t="s">
        <v>1531</v>
      </c>
      <c r="B668" t="s">
        <v>1263</v>
      </c>
      <c r="C668" t="s">
        <v>1219</v>
      </c>
    </row>
    <row r="669" spans="1:3" x14ac:dyDescent="0.25">
      <c r="A669" t="s">
        <v>1531</v>
      </c>
      <c r="B669" t="s">
        <v>1264</v>
      </c>
      <c r="C669" t="s">
        <v>1219</v>
      </c>
    </row>
    <row r="670" spans="1:3" x14ac:dyDescent="0.25">
      <c r="A670" t="s">
        <v>1531</v>
      </c>
      <c r="B670" t="s">
        <v>1265</v>
      </c>
      <c r="C670" t="s">
        <v>1219</v>
      </c>
    </row>
    <row r="671" spans="1:3" x14ac:dyDescent="0.25">
      <c r="A671" t="s">
        <v>1531</v>
      </c>
      <c r="B671" t="s">
        <v>1266</v>
      </c>
      <c r="C671" t="s">
        <v>1219</v>
      </c>
    </row>
    <row r="672" spans="1:3" x14ac:dyDescent="0.25">
      <c r="A672" t="s">
        <v>1531</v>
      </c>
      <c r="B672" t="s">
        <v>1267</v>
      </c>
      <c r="C672" t="s">
        <v>1219</v>
      </c>
    </row>
    <row r="673" spans="1:3" x14ac:dyDescent="0.25">
      <c r="A673" t="s">
        <v>1531</v>
      </c>
      <c r="B673" t="s">
        <v>1268</v>
      </c>
      <c r="C673" t="s">
        <v>1219</v>
      </c>
    </row>
    <row r="674" spans="1:3" x14ac:dyDescent="0.25">
      <c r="A674" t="s">
        <v>1531</v>
      </c>
      <c r="B674" t="s">
        <v>1269</v>
      </c>
      <c r="C674" t="s">
        <v>1219</v>
      </c>
    </row>
    <row r="675" spans="1:3" x14ac:dyDescent="0.25">
      <c r="A675" t="s">
        <v>1531</v>
      </c>
      <c r="B675" t="s">
        <v>1270</v>
      </c>
      <c r="C675" t="s">
        <v>1219</v>
      </c>
    </row>
    <row r="676" spans="1:3" x14ac:dyDescent="0.25">
      <c r="A676" t="s">
        <v>1531</v>
      </c>
      <c r="B676" t="s">
        <v>1271</v>
      </c>
      <c r="C676" t="s">
        <v>1219</v>
      </c>
    </row>
    <row r="677" spans="1:3" x14ac:dyDescent="0.25">
      <c r="A677" t="s">
        <v>1531</v>
      </c>
      <c r="B677" t="s">
        <v>1272</v>
      </c>
      <c r="C677" t="s">
        <v>1219</v>
      </c>
    </row>
    <row r="678" spans="1:3" x14ac:dyDescent="0.25">
      <c r="A678" t="s">
        <v>1531</v>
      </c>
      <c r="B678" t="s">
        <v>1273</v>
      </c>
      <c r="C678" t="s">
        <v>1219</v>
      </c>
    </row>
    <row r="679" spans="1:3" x14ac:dyDescent="0.25">
      <c r="A679" t="s">
        <v>1531</v>
      </c>
      <c r="B679" t="s">
        <v>1274</v>
      </c>
      <c r="C679" t="s">
        <v>1219</v>
      </c>
    </row>
    <row r="680" spans="1:3" x14ac:dyDescent="0.25">
      <c r="A680" t="s">
        <v>1531</v>
      </c>
      <c r="B680" t="s">
        <v>1276</v>
      </c>
      <c r="C680" t="s">
        <v>1219</v>
      </c>
    </row>
    <row r="681" spans="1:3" x14ac:dyDescent="0.25">
      <c r="A681" t="s">
        <v>1531</v>
      </c>
      <c r="B681" t="s">
        <v>1278</v>
      </c>
      <c r="C681" t="s">
        <v>1219</v>
      </c>
    </row>
    <row r="682" spans="1:3" x14ac:dyDescent="0.25">
      <c r="A682" t="s">
        <v>1531</v>
      </c>
      <c r="B682" t="s">
        <v>1280</v>
      </c>
      <c r="C682" t="s">
        <v>1219</v>
      </c>
    </row>
    <row r="683" spans="1:3" x14ac:dyDescent="0.25">
      <c r="A683" t="s">
        <v>1531</v>
      </c>
      <c r="B683" t="s">
        <v>1282</v>
      </c>
      <c r="C683" t="s">
        <v>1219</v>
      </c>
    </row>
    <row r="684" spans="1:3" x14ac:dyDescent="0.25">
      <c r="A684" t="s">
        <v>1531</v>
      </c>
      <c r="B684" t="s">
        <v>1284</v>
      </c>
      <c r="C684" t="s">
        <v>1219</v>
      </c>
    </row>
    <row r="685" spans="1:3" x14ac:dyDescent="0.25">
      <c r="A685" t="s">
        <v>1531</v>
      </c>
      <c r="B685" t="s">
        <v>1286</v>
      </c>
      <c r="C685" t="s">
        <v>1219</v>
      </c>
    </row>
    <row r="686" spans="1:3" x14ac:dyDescent="0.25">
      <c r="A686" t="s">
        <v>1531</v>
      </c>
      <c r="B686" t="s">
        <v>1288</v>
      </c>
      <c r="C686" t="s">
        <v>1219</v>
      </c>
    </row>
    <row r="687" spans="1:3" x14ac:dyDescent="0.25">
      <c r="A687" t="s">
        <v>1531</v>
      </c>
      <c r="B687" t="s">
        <v>1290</v>
      </c>
      <c r="C687" t="s">
        <v>1219</v>
      </c>
    </row>
    <row r="688" spans="1:3" x14ac:dyDescent="0.25">
      <c r="A688" t="s">
        <v>1531</v>
      </c>
      <c r="B688" t="s">
        <v>1292</v>
      </c>
      <c r="C688" t="s">
        <v>1219</v>
      </c>
    </row>
    <row r="689" spans="1:3" x14ac:dyDescent="0.25">
      <c r="A689" t="s">
        <v>1531</v>
      </c>
      <c r="B689" t="s">
        <v>1294</v>
      </c>
      <c r="C689" t="s">
        <v>1219</v>
      </c>
    </row>
    <row r="690" spans="1:3" x14ac:dyDescent="0.25">
      <c r="A690" t="s">
        <v>1531</v>
      </c>
      <c r="B690" t="s">
        <v>1296</v>
      </c>
      <c r="C690" t="s">
        <v>1219</v>
      </c>
    </row>
    <row r="691" spans="1:3" x14ac:dyDescent="0.25">
      <c r="A691" t="s">
        <v>1531</v>
      </c>
      <c r="B691" t="s">
        <v>1298</v>
      </c>
      <c r="C691" t="s">
        <v>1219</v>
      </c>
    </row>
    <row r="692" spans="1:3" x14ac:dyDescent="0.25">
      <c r="A692" t="s">
        <v>1531</v>
      </c>
      <c r="B692" t="s">
        <v>1300</v>
      </c>
      <c r="C692" t="s">
        <v>1219</v>
      </c>
    </row>
    <row r="693" spans="1:3" x14ac:dyDescent="0.25">
      <c r="A693" t="s">
        <v>1531</v>
      </c>
      <c r="B693" t="s">
        <v>1424</v>
      </c>
      <c r="C693" t="s">
        <v>1551</v>
      </c>
    </row>
    <row r="694" spans="1:3" x14ac:dyDescent="0.25">
      <c r="A694" t="s">
        <v>1531</v>
      </c>
      <c r="B694" t="s">
        <v>1425</v>
      </c>
      <c r="C694" t="s">
        <v>1551</v>
      </c>
    </row>
    <row r="695" spans="1:3" x14ac:dyDescent="0.25">
      <c r="A695" t="s">
        <v>1531</v>
      </c>
      <c r="B695" t="s">
        <v>1426</v>
      </c>
      <c r="C695" t="s">
        <v>1551</v>
      </c>
    </row>
    <row r="696" spans="1:3" x14ac:dyDescent="0.25">
      <c r="A696" t="s">
        <v>1531</v>
      </c>
      <c r="B696" t="s">
        <v>1427</v>
      </c>
      <c r="C696" t="s">
        <v>1551</v>
      </c>
    </row>
    <row r="697" spans="1:3" x14ac:dyDescent="0.25">
      <c r="A697" t="s">
        <v>1531</v>
      </c>
      <c r="B697" t="s">
        <v>1428</v>
      </c>
      <c r="C697" t="s">
        <v>1551</v>
      </c>
    </row>
    <row r="698" spans="1:3" x14ac:dyDescent="0.25">
      <c r="A698" t="s">
        <v>1531</v>
      </c>
      <c r="B698" t="s">
        <v>1429</v>
      </c>
      <c r="C698" t="s">
        <v>1551</v>
      </c>
    </row>
    <row r="699" spans="1:3" x14ac:dyDescent="0.25">
      <c r="A699" t="s">
        <v>1531</v>
      </c>
      <c r="B699" t="s">
        <v>1430</v>
      </c>
      <c r="C699" t="s">
        <v>1551</v>
      </c>
    </row>
    <row r="700" spans="1:3" x14ac:dyDescent="0.25">
      <c r="A700" t="s">
        <v>1531</v>
      </c>
      <c r="B700" t="s">
        <v>1431</v>
      </c>
      <c r="C700" t="s">
        <v>1551</v>
      </c>
    </row>
    <row r="701" spans="1:3" x14ac:dyDescent="0.25">
      <c r="A701" t="s">
        <v>1531</v>
      </c>
      <c r="B701" t="s">
        <v>1432</v>
      </c>
      <c r="C701" t="s">
        <v>1551</v>
      </c>
    </row>
    <row r="702" spans="1:3" x14ac:dyDescent="0.25">
      <c r="A702" t="s">
        <v>1531</v>
      </c>
      <c r="B702" t="s">
        <v>1433</v>
      </c>
      <c r="C702" t="s">
        <v>1551</v>
      </c>
    </row>
    <row r="703" spans="1:3" x14ac:dyDescent="0.25">
      <c r="A703" t="s">
        <v>1531</v>
      </c>
      <c r="B703" t="s">
        <v>1434</v>
      </c>
      <c r="C703" t="s">
        <v>1551</v>
      </c>
    </row>
    <row r="704" spans="1:3" x14ac:dyDescent="0.25">
      <c r="A704" t="s">
        <v>1531</v>
      </c>
      <c r="B704" t="s">
        <v>1435</v>
      </c>
      <c r="C704" t="s">
        <v>1551</v>
      </c>
    </row>
    <row r="705" spans="1:3" x14ac:dyDescent="0.25">
      <c r="A705" t="s">
        <v>1531</v>
      </c>
      <c r="B705" t="s">
        <v>1436</v>
      </c>
      <c r="C705" t="s">
        <v>1551</v>
      </c>
    </row>
    <row r="706" spans="1:3" x14ac:dyDescent="0.25">
      <c r="A706" t="s">
        <v>1531</v>
      </c>
      <c r="B706" t="s">
        <v>1437</v>
      </c>
      <c r="C706" t="s">
        <v>1551</v>
      </c>
    </row>
    <row r="707" spans="1:3" x14ac:dyDescent="0.25">
      <c r="A707" t="s">
        <v>1531</v>
      </c>
      <c r="B707" t="s">
        <v>1438</v>
      </c>
      <c r="C707" t="s">
        <v>1551</v>
      </c>
    </row>
    <row r="708" spans="1:3" x14ac:dyDescent="0.25">
      <c r="A708" t="s">
        <v>1531</v>
      </c>
      <c r="B708" t="s">
        <v>1439</v>
      </c>
      <c r="C708" t="s">
        <v>1551</v>
      </c>
    </row>
    <row r="709" spans="1:3" x14ac:dyDescent="0.25">
      <c r="A709" t="s">
        <v>1531</v>
      </c>
      <c r="B709" t="s">
        <v>1440</v>
      </c>
      <c r="C709" t="s">
        <v>1551</v>
      </c>
    </row>
    <row r="710" spans="1:3" x14ac:dyDescent="0.25">
      <c r="A710" t="s">
        <v>1531</v>
      </c>
      <c r="B710" t="s">
        <v>1441</v>
      </c>
      <c r="C710" t="s">
        <v>1551</v>
      </c>
    </row>
    <row r="711" spans="1:3" x14ac:dyDescent="0.25">
      <c r="A711" t="s">
        <v>1531</v>
      </c>
      <c r="B711" t="s">
        <v>1442</v>
      </c>
      <c r="C711" t="s">
        <v>1551</v>
      </c>
    </row>
    <row r="712" spans="1:3" x14ac:dyDescent="0.25">
      <c r="A712" t="s">
        <v>1531</v>
      </c>
      <c r="B712" t="s">
        <v>1443</v>
      </c>
      <c r="C712" t="s">
        <v>1551</v>
      </c>
    </row>
    <row r="713" spans="1:3" x14ac:dyDescent="0.25">
      <c r="A713" t="s">
        <v>1531</v>
      </c>
      <c r="B713" t="s">
        <v>1444</v>
      </c>
      <c r="C713" t="s">
        <v>1551</v>
      </c>
    </row>
    <row r="714" spans="1:3" x14ac:dyDescent="0.25">
      <c r="A714" t="s">
        <v>1531</v>
      </c>
      <c r="B714" t="s">
        <v>1445</v>
      </c>
      <c r="C714" t="s">
        <v>1551</v>
      </c>
    </row>
    <row r="715" spans="1:3" x14ac:dyDescent="0.25">
      <c r="A715" t="s">
        <v>1531</v>
      </c>
      <c r="B715" t="s">
        <v>1446</v>
      </c>
      <c r="C715" t="s">
        <v>1551</v>
      </c>
    </row>
    <row r="716" spans="1:3" x14ac:dyDescent="0.25">
      <c r="A716" t="s">
        <v>1531</v>
      </c>
      <c r="B716" t="s">
        <v>1447</v>
      </c>
      <c r="C716" t="s">
        <v>1551</v>
      </c>
    </row>
    <row r="717" spans="1:3" x14ac:dyDescent="0.25">
      <c r="A717" t="s">
        <v>1531</v>
      </c>
      <c r="B717" t="s">
        <v>1448</v>
      </c>
      <c r="C717" t="s">
        <v>1551</v>
      </c>
    </row>
    <row r="718" spans="1:3" x14ac:dyDescent="0.25">
      <c r="A718" t="s">
        <v>1531</v>
      </c>
      <c r="B718" t="s">
        <v>1449</v>
      </c>
      <c r="C718" t="s">
        <v>1551</v>
      </c>
    </row>
    <row r="719" spans="1:3" x14ac:dyDescent="0.25">
      <c r="A719" t="s">
        <v>1531</v>
      </c>
      <c r="B719" t="s">
        <v>1450</v>
      </c>
      <c r="C719" t="s">
        <v>1551</v>
      </c>
    </row>
    <row r="720" spans="1:3" x14ac:dyDescent="0.25">
      <c r="A720" t="s">
        <v>1531</v>
      </c>
      <c r="B720" t="s">
        <v>1452</v>
      </c>
      <c r="C720" t="s">
        <v>1551</v>
      </c>
    </row>
    <row r="721" spans="1:3" x14ac:dyDescent="0.25">
      <c r="A721" t="s">
        <v>1531</v>
      </c>
      <c r="B721" t="s">
        <v>1454</v>
      </c>
      <c r="C721" t="s">
        <v>1551</v>
      </c>
    </row>
    <row r="722" spans="1:3" x14ac:dyDescent="0.25">
      <c r="A722" t="s">
        <v>1531</v>
      </c>
      <c r="B722" t="s">
        <v>1456</v>
      </c>
      <c r="C722" t="s">
        <v>1551</v>
      </c>
    </row>
    <row r="723" spans="1:3" x14ac:dyDescent="0.25">
      <c r="A723" t="s">
        <v>1531</v>
      </c>
      <c r="B723" t="s">
        <v>1458</v>
      </c>
      <c r="C723" t="s">
        <v>1551</v>
      </c>
    </row>
    <row r="724" spans="1:3" x14ac:dyDescent="0.25">
      <c r="A724" t="s">
        <v>1531</v>
      </c>
      <c r="B724" t="s">
        <v>1460</v>
      </c>
      <c r="C724" t="s">
        <v>1551</v>
      </c>
    </row>
    <row r="725" spans="1:3" x14ac:dyDescent="0.25">
      <c r="A725" t="s">
        <v>1531</v>
      </c>
      <c r="B725" t="s">
        <v>1462</v>
      </c>
      <c r="C725" t="s">
        <v>1551</v>
      </c>
    </row>
    <row r="726" spans="1:3" x14ac:dyDescent="0.25">
      <c r="A726" t="s">
        <v>1532</v>
      </c>
      <c r="B726" t="s">
        <v>1303</v>
      </c>
      <c r="C726" t="s">
        <v>1552</v>
      </c>
    </row>
    <row r="727" spans="1:3" x14ac:dyDescent="0.25">
      <c r="A727" t="s">
        <v>1532</v>
      </c>
      <c r="B727" t="s">
        <v>1304</v>
      </c>
      <c r="C727" t="s">
        <v>1552</v>
      </c>
    </row>
    <row r="728" spans="1:3" x14ac:dyDescent="0.25">
      <c r="A728" t="s">
        <v>1532</v>
      </c>
      <c r="B728" t="s">
        <v>1305</v>
      </c>
      <c r="C728" t="s">
        <v>1552</v>
      </c>
    </row>
    <row r="729" spans="1:3" x14ac:dyDescent="0.25">
      <c r="A729" t="s">
        <v>1532</v>
      </c>
      <c r="B729" t="s">
        <v>1306</v>
      </c>
      <c r="C729" t="s">
        <v>1552</v>
      </c>
    </row>
    <row r="730" spans="1:3" x14ac:dyDescent="0.25">
      <c r="A730" t="s">
        <v>1532</v>
      </c>
      <c r="B730" t="s">
        <v>1307</v>
      </c>
      <c r="C730" t="s">
        <v>1552</v>
      </c>
    </row>
    <row r="731" spans="1:3" x14ac:dyDescent="0.25">
      <c r="A731" t="s">
        <v>1532</v>
      </c>
      <c r="B731" t="s">
        <v>1308</v>
      </c>
      <c r="C731" t="s">
        <v>1552</v>
      </c>
    </row>
    <row r="732" spans="1:3" x14ac:dyDescent="0.25">
      <c r="A732" t="s">
        <v>1532</v>
      </c>
      <c r="B732" t="s">
        <v>1309</v>
      </c>
      <c r="C732" t="s">
        <v>1552</v>
      </c>
    </row>
    <row r="733" spans="1:3" x14ac:dyDescent="0.25">
      <c r="A733" t="s">
        <v>1532</v>
      </c>
      <c r="B733" t="s">
        <v>1310</v>
      </c>
      <c r="C733" t="s">
        <v>1552</v>
      </c>
    </row>
    <row r="734" spans="1:3" x14ac:dyDescent="0.25">
      <c r="A734" t="s">
        <v>1532</v>
      </c>
      <c r="B734" t="s">
        <v>1311</v>
      </c>
      <c r="C734" t="s">
        <v>1552</v>
      </c>
    </row>
    <row r="735" spans="1:3" x14ac:dyDescent="0.25">
      <c r="A735" t="s">
        <v>1532</v>
      </c>
      <c r="B735" t="s">
        <v>1312</v>
      </c>
      <c r="C735" t="s">
        <v>1552</v>
      </c>
    </row>
    <row r="736" spans="1:3" x14ac:dyDescent="0.25">
      <c r="A736" t="s">
        <v>1532</v>
      </c>
      <c r="B736" t="s">
        <v>1313</v>
      </c>
      <c r="C736" t="s">
        <v>1552</v>
      </c>
    </row>
    <row r="737" spans="1:3" x14ac:dyDescent="0.25">
      <c r="A737" t="s">
        <v>1532</v>
      </c>
      <c r="B737" t="s">
        <v>1314</v>
      </c>
      <c r="C737" t="s">
        <v>1552</v>
      </c>
    </row>
    <row r="738" spans="1:3" x14ac:dyDescent="0.25">
      <c r="A738" t="s">
        <v>1532</v>
      </c>
      <c r="B738" t="s">
        <v>1315</v>
      </c>
      <c r="C738" t="s">
        <v>1552</v>
      </c>
    </row>
    <row r="739" spans="1:3" x14ac:dyDescent="0.25">
      <c r="A739" t="s">
        <v>1532</v>
      </c>
      <c r="B739" t="s">
        <v>1316</v>
      </c>
      <c r="C739" t="s">
        <v>1552</v>
      </c>
    </row>
    <row r="740" spans="1:3" x14ac:dyDescent="0.25">
      <c r="A740" t="s">
        <v>1532</v>
      </c>
      <c r="B740" t="s">
        <v>1317</v>
      </c>
      <c r="C740" t="s">
        <v>1552</v>
      </c>
    </row>
    <row r="741" spans="1:3" x14ac:dyDescent="0.25">
      <c r="A741" t="s">
        <v>1532</v>
      </c>
      <c r="B741" t="s">
        <v>1318</v>
      </c>
      <c r="C741" t="s">
        <v>1552</v>
      </c>
    </row>
    <row r="742" spans="1:3" x14ac:dyDescent="0.25">
      <c r="A742" t="s">
        <v>1532</v>
      </c>
      <c r="B742" t="s">
        <v>1319</v>
      </c>
      <c r="C742" t="s">
        <v>1552</v>
      </c>
    </row>
    <row r="743" spans="1:3" x14ac:dyDescent="0.25">
      <c r="A743" t="s">
        <v>1532</v>
      </c>
      <c r="B743" t="s">
        <v>1320</v>
      </c>
      <c r="C743" t="s">
        <v>1552</v>
      </c>
    </row>
    <row r="744" spans="1:3" x14ac:dyDescent="0.25">
      <c r="A744" t="s">
        <v>1532</v>
      </c>
      <c r="B744" t="s">
        <v>1321</v>
      </c>
      <c r="C744" t="s">
        <v>1552</v>
      </c>
    </row>
    <row r="745" spans="1:3" x14ac:dyDescent="0.25">
      <c r="A745" t="s">
        <v>1532</v>
      </c>
      <c r="B745" t="s">
        <v>1322</v>
      </c>
      <c r="C745" t="s">
        <v>1552</v>
      </c>
    </row>
    <row r="746" spans="1:3" x14ac:dyDescent="0.25">
      <c r="A746" t="s">
        <v>1532</v>
      </c>
      <c r="B746" t="s">
        <v>1323</v>
      </c>
      <c r="C746" t="s">
        <v>1552</v>
      </c>
    </row>
    <row r="747" spans="1:3" x14ac:dyDescent="0.25">
      <c r="A747" t="s">
        <v>1532</v>
      </c>
      <c r="B747" t="s">
        <v>1324</v>
      </c>
      <c r="C747" t="s">
        <v>1552</v>
      </c>
    </row>
    <row r="748" spans="1:3" x14ac:dyDescent="0.25">
      <c r="A748" t="s">
        <v>1532</v>
      </c>
      <c r="B748" t="s">
        <v>1325</v>
      </c>
      <c r="C748" t="s">
        <v>1552</v>
      </c>
    </row>
    <row r="749" spans="1:3" x14ac:dyDescent="0.25">
      <c r="A749" t="s">
        <v>1532</v>
      </c>
      <c r="B749" t="s">
        <v>1326</v>
      </c>
      <c r="C749" t="s">
        <v>1552</v>
      </c>
    </row>
    <row r="750" spans="1:3" x14ac:dyDescent="0.25">
      <c r="A750" t="s">
        <v>1532</v>
      </c>
      <c r="B750" t="s">
        <v>1327</v>
      </c>
      <c r="C750" t="s">
        <v>1552</v>
      </c>
    </row>
    <row r="751" spans="1:3" x14ac:dyDescent="0.25">
      <c r="A751" t="s">
        <v>1532</v>
      </c>
      <c r="B751" t="s">
        <v>1328</v>
      </c>
      <c r="C751" t="s">
        <v>1552</v>
      </c>
    </row>
    <row r="752" spans="1:3" x14ac:dyDescent="0.25">
      <c r="A752" t="s">
        <v>1532</v>
      </c>
      <c r="B752" t="s">
        <v>1329</v>
      </c>
      <c r="C752" t="s">
        <v>1552</v>
      </c>
    </row>
    <row r="753" spans="1:3" x14ac:dyDescent="0.25">
      <c r="A753" t="s">
        <v>1532</v>
      </c>
      <c r="B753" t="s">
        <v>1330</v>
      </c>
      <c r="C753" t="s">
        <v>1552</v>
      </c>
    </row>
    <row r="754" spans="1:3" x14ac:dyDescent="0.25">
      <c r="A754" t="s">
        <v>1532</v>
      </c>
      <c r="B754" t="s">
        <v>1331</v>
      </c>
      <c r="C754" t="s">
        <v>1552</v>
      </c>
    </row>
    <row r="755" spans="1:3" x14ac:dyDescent="0.25">
      <c r="A755" t="s">
        <v>1532</v>
      </c>
      <c r="B755" t="s">
        <v>1332</v>
      </c>
      <c r="C755" t="s">
        <v>1552</v>
      </c>
    </row>
    <row r="756" spans="1:3" x14ac:dyDescent="0.25">
      <c r="A756" t="s">
        <v>1532</v>
      </c>
      <c r="B756" t="s">
        <v>1333</v>
      </c>
      <c r="C756" t="s">
        <v>1552</v>
      </c>
    </row>
    <row r="757" spans="1:3" x14ac:dyDescent="0.25">
      <c r="A757" t="s">
        <v>1532</v>
      </c>
      <c r="B757" t="s">
        <v>1334</v>
      </c>
      <c r="C757" t="s">
        <v>1552</v>
      </c>
    </row>
    <row r="758" spans="1:3" x14ac:dyDescent="0.25">
      <c r="A758" t="s">
        <v>1532</v>
      </c>
      <c r="B758" t="s">
        <v>1335</v>
      </c>
      <c r="C758" t="s">
        <v>1552</v>
      </c>
    </row>
    <row r="759" spans="1:3" x14ac:dyDescent="0.25">
      <c r="A759" t="s">
        <v>1532</v>
      </c>
      <c r="B759" t="s">
        <v>1336</v>
      </c>
      <c r="C759" t="s">
        <v>1552</v>
      </c>
    </row>
    <row r="760" spans="1:3" x14ac:dyDescent="0.25">
      <c r="A760" t="s">
        <v>1532</v>
      </c>
      <c r="B760" t="s">
        <v>1337</v>
      </c>
      <c r="C760" t="s">
        <v>1552</v>
      </c>
    </row>
    <row r="761" spans="1:3" x14ac:dyDescent="0.25">
      <c r="A761" t="s">
        <v>1532</v>
      </c>
      <c r="B761" t="s">
        <v>1338</v>
      </c>
      <c r="C761" t="s">
        <v>1552</v>
      </c>
    </row>
    <row r="762" spans="1:3" x14ac:dyDescent="0.25">
      <c r="A762" t="s">
        <v>1532</v>
      </c>
      <c r="B762" t="s">
        <v>1339</v>
      </c>
      <c r="C762" t="s">
        <v>1552</v>
      </c>
    </row>
    <row r="763" spans="1:3" x14ac:dyDescent="0.25">
      <c r="A763" t="s">
        <v>1532</v>
      </c>
      <c r="B763" t="s">
        <v>1340</v>
      </c>
      <c r="C763" t="s">
        <v>1552</v>
      </c>
    </row>
    <row r="764" spans="1:3" x14ac:dyDescent="0.25">
      <c r="A764" t="s">
        <v>1532</v>
      </c>
      <c r="B764" t="s">
        <v>1341</v>
      </c>
      <c r="C764" t="s">
        <v>1552</v>
      </c>
    </row>
    <row r="765" spans="1:3" x14ac:dyDescent="0.25">
      <c r="A765" t="s">
        <v>1532</v>
      </c>
      <c r="B765" t="s">
        <v>1342</v>
      </c>
      <c r="C765" t="s">
        <v>1552</v>
      </c>
    </row>
    <row r="766" spans="1:3" x14ac:dyDescent="0.25">
      <c r="A766" t="s">
        <v>1532</v>
      </c>
      <c r="B766" t="s">
        <v>1343</v>
      </c>
      <c r="C766" t="s">
        <v>1552</v>
      </c>
    </row>
    <row r="767" spans="1:3" x14ac:dyDescent="0.25">
      <c r="A767" t="s">
        <v>1532</v>
      </c>
      <c r="B767" t="s">
        <v>1344</v>
      </c>
      <c r="C767" t="s">
        <v>1552</v>
      </c>
    </row>
    <row r="768" spans="1:3" x14ac:dyDescent="0.25">
      <c r="A768" t="s">
        <v>1532</v>
      </c>
      <c r="B768" t="s">
        <v>1345</v>
      </c>
      <c r="C768" t="s">
        <v>1552</v>
      </c>
    </row>
    <row r="769" spans="1:3" x14ac:dyDescent="0.25">
      <c r="A769" t="s">
        <v>1532</v>
      </c>
      <c r="B769" t="s">
        <v>1346</v>
      </c>
      <c r="C769" t="s">
        <v>1552</v>
      </c>
    </row>
    <row r="770" spans="1:3" x14ac:dyDescent="0.25">
      <c r="A770" t="s">
        <v>1532</v>
      </c>
      <c r="B770" t="s">
        <v>1347</v>
      </c>
      <c r="C770" t="s">
        <v>1552</v>
      </c>
    </row>
    <row r="771" spans="1:3" x14ac:dyDescent="0.25">
      <c r="A771" t="s">
        <v>1532</v>
      </c>
      <c r="B771" t="s">
        <v>1348</v>
      </c>
      <c r="C771" t="s">
        <v>1552</v>
      </c>
    </row>
    <row r="772" spans="1:3" x14ac:dyDescent="0.25">
      <c r="A772" t="s">
        <v>1532</v>
      </c>
      <c r="B772" t="s">
        <v>1349</v>
      </c>
      <c r="C772" t="s">
        <v>1552</v>
      </c>
    </row>
    <row r="773" spans="1:3" x14ac:dyDescent="0.25">
      <c r="A773" t="s">
        <v>1532</v>
      </c>
      <c r="B773" t="s">
        <v>1350</v>
      </c>
      <c r="C773" t="s">
        <v>1552</v>
      </c>
    </row>
    <row r="774" spans="1:3" x14ac:dyDescent="0.25">
      <c r="A774" t="s">
        <v>1532</v>
      </c>
      <c r="B774" t="s">
        <v>1351</v>
      </c>
      <c r="C774" t="s">
        <v>1552</v>
      </c>
    </row>
    <row r="775" spans="1:3" x14ac:dyDescent="0.25">
      <c r="A775" t="s">
        <v>1532</v>
      </c>
      <c r="B775" t="s">
        <v>1352</v>
      </c>
      <c r="C775" t="s">
        <v>1552</v>
      </c>
    </row>
    <row r="776" spans="1:3" x14ac:dyDescent="0.25">
      <c r="A776" t="s">
        <v>1532</v>
      </c>
      <c r="B776" t="s">
        <v>1353</v>
      </c>
      <c r="C776" t="s">
        <v>1552</v>
      </c>
    </row>
    <row r="777" spans="1:3" x14ac:dyDescent="0.25">
      <c r="A777" t="s">
        <v>1532</v>
      </c>
      <c r="B777" t="s">
        <v>1356</v>
      </c>
      <c r="C777" t="s">
        <v>1552</v>
      </c>
    </row>
    <row r="778" spans="1:3" x14ac:dyDescent="0.25">
      <c r="A778" t="s">
        <v>1532</v>
      </c>
      <c r="B778" t="s">
        <v>1358</v>
      </c>
      <c r="C778" t="s">
        <v>1552</v>
      </c>
    </row>
    <row r="779" spans="1:3" x14ac:dyDescent="0.25">
      <c r="A779" t="s">
        <v>1532</v>
      </c>
      <c r="B779" t="s">
        <v>1362</v>
      </c>
      <c r="C779" t="s">
        <v>1552</v>
      </c>
    </row>
    <row r="780" spans="1:3" x14ac:dyDescent="0.25">
      <c r="A780" t="s">
        <v>1532</v>
      </c>
      <c r="B780" t="s">
        <v>1364</v>
      </c>
      <c r="C780" t="s">
        <v>1552</v>
      </c>
    </row>
    <row r="781" spans="1:3" x14ac:dyDescent="0.25">
      <c r="A781" t="s">
        <v>1532</v>
      </c>
      <c r="B781" t="s">
        <v>1368</v>
      </c>
      <c r="C781" t="s">
        <v>1552</v>
      </c>
    </row>
    <row r="782" spans="1:3" x14ac:dyDescent="0.25">
      <c r="A782" t="s">
        <v>1532</v>
      </c>
      <c r="B782" t="s">
        <v>1370</v>
      </c>
      <c r="C782" t="s">
        <v>1552</v>
      </c>
    </row>
    <row r="783" spans="1:3" x14ac:dyDescent="0.25">
      <c r="A783" t="s">
        <v>1532</v>
      </c>
      <c r="B783" t="s">
        <v>1374</v>
      </c>
      <c r="C783" t="s">
        <v>1552</v>
      </c>
    </row>
    <row r="784" spans="1:3" x14ac:dyDescent="0.25">
      <c r="A784" t="s">
        <v>1532</v>
      </c>
      <c r="B784" t="s">
        <v>1376</v>
      </c>
      <c r="C784" t="s">
        <v>1552</v>
      </c>
    </row>
    <row r="785" spans="1:3" x14ac:dyDescent="0.25">
      <c r="A785" t="s">
        <v>1532</v>
      </c>
      <c r="B785" t="s">
        <v>1380</v>
      </c>
      <c r="C785" t="s">
        <v>1552</v>
      </c>
    </row>
    <row r="786" spans="1:3" x14ac:dyDescent="0.25">
      <c r="A786" t="s">
        <v>1532</v>
      </c>
      <c r="B786" t="s">
        <v>1473</v>
      </c>
      <c r="C786" t="s">
        <v>1551</v>
      </c>
    </row>
    <row r="787" spans="1:3" x14ac:dyDescent="0.25">
      <c r="A787" t="s">
        <v>1532</v>
      </c>
      <c r="B787" t="s">
        <v>1474</v>
      </c>
      <c r="C787" t="s">
        <v>1551</v>
      </c>
    </row>
    <row r="788" spans="1:3" x14ac:dyDescent="0.25">
      <c r="A788" t="s">
        <v>1532</v>
      </c>
      <c r="B788" t="s">
        <v>1475</v>
      </c>
      <c r="C788" t="s">
        <v>1551</v>
      </c>
    </row>
    <row r="789" spans="1:3" x14ac:dyDescent="0.25">
      <c r="A789" t="s">
        <v>1532</v>
      </c>
      <c r="B789" t="s">
        <v>1476</v>
      </c>
      <c r="C789" t="s">
        <v>1551</v>
      </c>
    </row>
    <row r="790" spans="1:3" x14ac:dyDescent="0.25">
      <c r="A790" t="s">
        <v>1532</v>
      </c>
      <c r="B790" t="s">
        <v>1477</v>
      </c>
      <c r="C790" t="s">
        <v>1551</v>
      </c>
    </row>
    <row r="791" spans="1:3" x14ac:dyDescent="0.25">
      <c r="A791" t="s">
        <v>1532</v>
      </c>
      <c r="B791" t="s">
        <v>1478</v>
      </c>
      <c r="C791" t="s">
        <v>1551</v>
      </c>
    </row>
    <row r="792" spans="1:3" x14ac:dyDescent="0.25">
      <c r="A792" t="s">
        <v>1532</v>
      </c>
      <c r="B792" t="s">
        <v>1479</v>
      </c>
      <c r="C792" t="s">
        <v>1551</v>
      </c>
    </row>
    <row r="793" spans="1:3" x14ac:dyDescent="0.25">
      <c r="A793" t="s">
        <v>1532</v>
      </c>
      <c r="B793" t="s">
        <v>1480</v>
      </c>
      <c r="C793" t="s">
        <v>1551</v>
      </c>
    </row>
    <row r="794" spans="1:3" x14ac:dyDescent="0.25">
      <c r="A794" t="s">
        <v>1532</v>
      </c>
      <c r="B794" t="s">
        <v>1481</v>
      </c>
      <c r="C794" t="s">
        <v>1551</v>
      </c>
    </row>
    <row r="795" spans="1:3" x14ac:dyDescent="0.25">
      <c r="A795" t="s">
        <v>1532</v>
      </c>
      <c r="B795" t="s">
        <v>1482</v>
      </c>
      <c r="C795" t="s">
        <v>1551</v>
      </c>
    </row>
    <row r="796" spans="1:3" x14ac:dyDescent="0.25">
      <c r="A796" t="s">
        <v>1532</v>
      </c>
      <c r="B796" t="s">
        <v>1483</v>
      </c>
      <c r="C796" t="s">
        <v>1551</v>
      </c>
    </row>
    <row r="797" spans="1:3" x14ac:dyDescent="0.25">
      <c r="A797" t="s">
        <v>1532</v>
      </c>
      <c r="B797" t="s">
        <v>1484</v>
      </c>
      <c r="C797" t="s">
        <v>1551</v>
      </c>
    </row>
    <row r="798" spans="1:3" x14ac:dyDescent="0.25">
      <c r="A798" t="s">
        <v>1532</v>
      </c>
      <c r="B798" t="s">
        <v>1485</v>
      </c>
      <c r="C798" t="s">
        <v>1551</v>
      </c>
    </row>
    <row r="799" spans="1:3" x14ac:dyDescent="0.25">
      <c r="A799" t="s">
        <v>1532</v>
      </c>
      <c r="B799" t="s">
        <v>1486</v>
      </c>
      <c r="C799" t="s">
        <v>1551</v>
      </c>
    </row>
    <row r="800" spans="1:3" x14ac:dyDescent="0.25">
      <c r="A800" t="s">
        <v>1532</v>
      </c>
      <c r="B800" t="s">
        <v>1487</v>
      </c>
      <c r="C800" t="s">
        <v>1551</v>
      </c>
    </row>
    <row r="801" spans="1:3" x14ac:dyDescent="0.25">
      <c r="A801" t="s">
        <v>1532</v>
      </c>
      <c r="B801" t="s">
        <v>1488</v>
      </c>
      <c r="C801" t="s">
        <v>1551</v>
      </c>
    </row>
    <row r="802" spans="1:3" x14ac:dyDescent="0.25">
      <c r="A802" t="s">
        <v>1532</v>
      </c>
      <c r="B802" t="s">
        <v>1489</v>
      </c>
      <c r="C802" t="s">
        <v>1551</v>
      </c>
    </row>
    <row r="803" spans="1:3" x14ac:dyDescent="0.25">
      <c r="A803" t="s">
        <v>1532</v>
      </c>
      <c r="B803" t="s">
        <v>1490</v>
      </c>
      <c r="C803" t="s">
        <v>1551</v>
      </c>
    </row>
    <row r="804" spans="1:3" x14ac:dyDescent="0.25">
      <c r="A804" t="s">
        <v>1532</v>
      </c>
      <c r="B804" t="s">
        <v>1491</v>
      </c>
      <c r="C804" t="s">
        <v>1551</v>
      </c>
    </row>
    <row r="805" spans="1:3" x14ac:dyDescent="0.25">
      <c r="A805" t="s">
        <v>1532</v>
      </c>
      <c r="B805" t="s">
        <v>1492</v>
      </c>
      <c r="C805" t="s">
        <v>1551</v>
      </c>
    </row>
    <row r="806" spans="1:3" x14ac:dyDescent="0.25">
      <c r="A806" t="s">
        <v>1532</v>
      </c>
      <c r="B806" t="s">
        <v>1493</v>
      </c>
      <c r="C806" t="s">
        <v>1551</v>
      </c>
    </row>
    <row r="807" spans="1:3" x14ac:dyDescent="0.25">
      <c r="A807" t="s">
        <v>1532</v>
      </c>
      <c r="B807" t="s">
        <v>1494</v>
      </c>
      <c r="C807" t="s">
        <v>1551</v>
      </c>
    </row>
    <row r="808" spans="1:3" x14ac:dyDescent="0.25">
      <c r="A808" t="s">
        <v>1532</v>
      </c>
      <c r="B808" t="s">
        <v>1495</v>
      </c>
      <c r="C808" t="s">
        <v>1551</v>
      </c>
    </row>
    <row r="809" spans="1:3" x14ac:dyDescent="0.25">
      <c r="A809" t="s">
        <v>1532</v>
      </c>
      <c r="B809" t="s">
        <v>1496</v>
      </c>
      <c r="C809" t="s">
        <v>1551</v>
      </c>
    </row>
    <row r="810" spans="1:3" x14ac:dyDescent="0.25">
      <c r="A810" t="s">
        <v>1532</v>
      </c>
      <c r="B810" t="s">
        <v>1497</v>
      </c>
      <c r="C810" t="s">
        <v>1551</v>
      </c>
    </row>
    <row r="811" spans="1:3" x14ac:dyDescent="0.25">
      <c r="A811" t="s">
        <v>1532</v>
      </c>
      <c r="B811" t="s">
        <v>1498</v>
      </c>
      <c r="C811" t="s">
        <v>1551</v>
      </c>
    </row>
    <row r="812" spans="1:3" x14ac:dyDescent="0.25">
      <c r="A812" t="s">
        <v>1532</v>
      </c>
      <c r="B812" t="s">
        <v>1500</v>
      </c>
      <c r="C812" t="s">
        <v>1551</v>
      </c>
    </row>
    <row r="813" spans="1:3" x14ac:dyDescent="0.25">
      <c r="A813" t="s">
        <v>1532</v>
      </c>
      <c r="B813" t="s">
        <v>1502</v>
      </c>
      <c r="C813" t="s">
        <v>1551</v>
      </c>
    </row>
    <row r="814" spans="1:3" x14ac:dyDescent="0.25">
      <c r="A814" t="s">
        <v>1532</v>
      </c>
      <c r="B814" t="s">
        <v>1506</v>
      </c>
      <c r="C814" t="s">
        <v>1551</v>
      </c>
    </row>
    <row r="815" spans="1:3" x14ac:dyDescent="0.25">
      <c r="A815" t="s">
        <v>1532</v>
      </c>
      <c r="B815" t="s">
        <v>1508</v>
      </c>
      <c r="C815" t="s">
        <v>1551</v>
      </c>
    </row>
    <row r="816" spans="1:3" x14ac:dyDescent="0.25">
      <c r="A816" t="s">
        <v>1531</v>
      </c>
      <c r="B816" t="s">
        <v>69</v>
      </c>
      <c r="C816" t="s">
        <v>1219</v>
      </c>
    </row>
    <row r="817" spans="1:3" x14ac:dyDescent="0.25">
      <c r="A817" t="s">
        <v>1531</v>
      </c>
      <c r="B817" t="s">
        <v>71</v>
      </c>
      <c r="C817" t="s">
        <v>1219</v>
      </c>
    </row>
    <row r="818" spans="1:3" x14ac:dyDescent="0.25">
      <c r="A818" t="s">
        <v>1531</v>
      </c>
      <c r="B818" t="s">
        <v>73</v>
      </c>
      <c r="C818" t="s">
        <v>1219</v>
      </c>
    </row>
    <row r="819" spans="1:3" x14ac:dyDescent="0.25">
      <c r="A819" t="s">
        <v>1531</v>
      </c>
      <c r="B819" t="s">
        <v>75</v>
      </c>
      <c r="C819" t="s">
        <v>1219</v>
      </c>
    </row>
    <row r="820" spans="1:3" x14ac:dyDescent="0.25">
      <c r="A820" t="s">
        <v>1531</v>
      </c>
      <c r="B820" t="s">
        <v>77</v>
      </c>
      <c r="C820" t="s">
        <v>1219</v>
      </c>
    </row>
    <row r="821" spans="1:3" x14ac:dyDescent="0.25">
      <c r="A821" t="s">
        <v>1531</v>
      </c>
      <c r="B821" t="s">
        <v>79</v>
      </c>
      <c r="C821" t="s">
        <v>1219</v>
      </c>
    </row>
    <row r="822" spans="1:3" x14ac:dyDescent="0.25">
      <c r="A822" t="s">
        <v>1531</v>
      </c>
      <c r="B822" t="s">
        <v>81</v>
      </c>
      <c r="C822" t="s">
        <v>1219</v>
      </c>
    </row>
    <row r="823" spans="1:3" x14ac:dyDescent="0.25">
      <c r="A823" t="s">
        <v>1531</v>
      </c>
      <c r="B823" t="s">
        <v>83</v>
      </c>
      <c r="C823" t="s">
        <v>1219</v>
      </c>
    </row>
    <row r="824" spans="1:3" x14ac:dyDescent="0.25">
      <c r="A824" t="s">
        <v>1531</v>
      </c>
      <c r="B824" t="s">
        <v>86</v>
      </c>
      <c r="C824" t="s">
        <v>1219</v>
      </c>
    </row>
    <row r="825" spans="1:3" x14ac:dyDescent="0.25">
      <c r="A825" t="s">
        <v>1531</v>
      </c>
      <c r="B825" t="s">
        <v>88</v>
      </c>
      <c r="C825" t="s">
        <v>1219</v>
      </c>
    </row>
    <row r="826" spans="1:3" x14ac:dyDescent="0.25">
      <c r="A826" t="s">
        <v>1531</v>
      </c>
      <c r="B826" t="s">
        <v>90</v>
      </c>
      <c r="C826" t="s">
        <v>1219</v>
      </c>
    </row>
    <row r="827" spans="1:3" x14ac:dyDescent="0.25">
      <c r="A827" t="s">
        <v>1531</v>
      </c>
      <c r="B827" t="s">
        <v>92</v>
      </c>
      <c r="C827" t="s">
        <v>1219</v>
      </c>
    </row>
    <row r="828" spans="1:3" x14ac:dyDescent="0.25">
      <c r="A828" t="s">
        <v>1531</v>
      </c>
      <c r="B828" t="s">
        <v>94</v>
      </c>
      <c r="C828" t="s">
        <v>1219</v>
      </c>
    </row>
    <row r="829" spans="1:3" x14ac:dyDescent="0.25">
      <c r="A829" t="s">
        <v>1531</v>
      </c>
      <c r="B829" t="s">
        <v>96</v>
      </c>
      <c r="C829" t="s">
        <v>1219</v>
      </c>
    </row>
    <row r="830" spans="1:3" x14ac:dyDescent="0.25">
      <c r="A830" t="s">
        <v>1531</v>
      </c>
      <c r="B830" t="s">
        <v>97</v>
      </c>
      <c r="C830" t="s">
        <v>1219</v>
      </c>
    </row>
    <row r="831" spans="1:3" x14ac:dyDescent="0.25">
      <c r="A831" t="s">
        <v>1531</v>
      </c>
      <c r="B831" t="s">
        <v>98</v>
      </c>
      <c r="C831" t="s">
        <v>1219</v>
      </c>
    </row>
    <row r="832" spans="1:3" x14ac:dyDescent="0.25">
      <c r="A832" t="s">
        <v>1531</v>
      </c>
      <c r="B832" t="s">
        <v>99</v>
      </c>
      <c r="C832" t="s">
        <v>1219</v>
      </c>
    </row>
    <row r="833" spans="1:3" x14ac:dyDescent="0.25">
      <c r="A833" t="s">
        <v>1531</v>
      </c>
      <c r="B833" t="s">
        <v>100</v>
      </c>
      <c r="C833" t="s">
        <v>1219</v>
      </c>
    </row>
    <row r="834" spans="1:3" x14ac:dyDescent="0.25">
      <c r="A834" t="s">
        <v>1531</v>
      </c>
      <c r="B834" t="s">
        <v>101</v>
      </c>
      <c r="C834" t="s">
        <v>1219</v>
      </c>
    </row>
    <row r="835" spans="1:3" x14ac:dyDescent="0.25">
      <c r="A835" t="s">
        <v>1531</v>
      </c>
      <c r="B835" t="s">
        <v>102</v>
      </c>
      <c r="C835" t="s">
        <v>1219</v>
      </c>
    </row>
    <row r="836" spans="1:3" x14ac:dyDescent="0.25">
      <c r="A836" t="s">
        <v>1531</v>
      </c>
      <c r="B836" t="s">
        <v>103</v>
      </c>
      <c r="C836" t="s">
        <v>1219</v>
      </c>
    </row>
    <row r="837" spans="1:3" x14ac:dyDescent="0.25">
      <c r="A837" t="s">
        <v>1531</v>
      </c>
      <c r="B837" t="s">
        <v>104</v>
      </c>
      <c r="C837" t="s">
        <v>1219</v>
      </c>
    </row>
    <row r="838" spans="1:3" x14ac:dyDescent="0.25">
      <c r="A838" t="s">
        <v>1531</v>
      </c>
      <c r="B838" t="s">
        <v>105</v>
      </c>
      <c r="C838" t="s">
        <v>1219</v>
      </c>
    </row>
    <row r="839" spans="1:3" x14ac:dyDescent="0.25">
      <c r="A839" t="s">
        <v>1531</v>
      </c>
      <c r="B839" t="s">
        <v>106</v>
      </c>
      <c r="C839" t="s">
        <v>1219</v>
      </c>
    </row>
    <row r="840" spans="1:3" x14ac:dyDescent="0.25">
      <c r="A840" t="s">
        <v>1531</v>
      </c>
      <c r="B840" t="s">
        <v>107</v>
      </c>
      <c r="C840" t="s">
        <v>1219</v>
      </c>
    </row>
    <row r="841" spans="1:3" x14ac:dyDescent="0.25">
      <c r="A841" t="s">
        <v>1531</v>
      </c>
      <c r="B841" t="s">
        <v>108</v>
      </c>
      <c r="C841" t="s">
        <v>1219</v>
      </c>
    </row>
    <row r="842" spans="1:3" x14ac:dyDescent="0.25">
      <c r="A842" t="s">
        <v>1531</v>
      </c>
      <c r="B842" t="s">
        <v>109</v>
      </c>
      <c r="C842" t="s">
        <v>1219</v>
      </c>
    </row>
    <row r="843" spans="1:3" x14ac:dyDescent="0.25">
      <c r="A843" t="s">
        <v>1531</v>
      </c>
      <c r="B843" t="s">
        <v>110</v>
      </c>
      <c r="C843" t="s">
        <v>1219</v>
      </c>
    </row>
    <row r="844" spans="1:3" x14ac:dyDescent="0.25">
      <c r="A844" t="s">
        <v>1531</v>
      </c>
      <c r="B844" t="s">
        <v>111</v>
      </c>
      <c r="C844" t="s">
        <v>1219</v>
      </c>
    </row>
    <row r="845" spans="1:3" x14ac:dyDescent="0.25">
      <c r="A845" t="s">
        <v>1531</v>
      </c>
      <c r="B845" t="s">
        <v>112</v>
      </c>
      <c r="C845" t="s">
        <v>1219</v>
      </c>
    </row>
    <row r="846" spans="1:3" x14ac:dyDescent="0.25">
      <c r="A846" t="s">
        <v>1531</v>
      </c>
      <c r="B846" t="s">
        <v>113</v>
      </c>
      <c r="C846" t="s">
        <v>1219</v>
      </c>
    </row>
    <row r="847" spans="1:3" x14ac:dyDescent="0.25">
      <c r="A847" t="s">
        <v>1531</v>
      </c>
      <c r="B847" t="s">
        <v>114</v>
      </c>
      <c r="C847" t="s">
        <v>1219</v>
      </c>
    </row>
    <row r="848" spans="1:3" x14ac:dyDescent="0.25">
      <c r="A848" t="s">
        <v>1531</v>
      </c>
      <c r="B848" t="s">
        <v>115</v>
      </c>
      <c r="C848" t="s">
        <v>1219</v>
      </c>
    </row>
    <row r="849" spans="1:3" x14ac:dyDescent="0.25">
      <c r="A849" t="s">
        <v>1531</v>
      </c>
      <c r="B849" t="s">
        <v>117</v>
      </c>
      <c r="C849" t="s">
        <v>1219</v>
      </c>
    </row>
    <row r="850" spans="1:3" x14ac:dyDescent="0.25">
      <c r="A850" t="s">
        <v>1531</v>
      </c>
      <c r="B850" t="s">
        <v>118</v>
      </c>
      <c r="C850" t="s">
        <v>1219</v>
      </c>
    </row>
    <row r="851" spans="1:3" x14ac:dyDescent="0.25">
      <c r="A851" t="s">
        <v>1531</v>
      </c>
      <c r="B851" t="s">
        <v>119</v>
      </c>
      <c r="C851" t="s">
        <v>1219</v>
      </c>
    </row>
    <row r="852" spans="1:3" x14ac:dyDescent="0.25">
      <c r="A852" t="s">
        <v>1531</v>
      </c>
      <c r="B852" t="s">
        <v>120</v>
      </c>
      <c r="C852" t="s">
        <v>1219</v>
      </c>
    </row>
    <row r="853" spans="1:3" x14ac:dyDescent="0.25">
      <c r="A853" t="s">
        <v>1531</v>
      </c>
      <c r="B853" t="s">
        <v>121</v>
      </c>
      <c r="C853" t="s">
        <v>1219</v>
      </c>
    </row>
    <row r="854" spans="1:3" x14ac:dyDescent="0.25">
      <c r="A854" t="s">
        <v>1531</v>
      </c>
      <c r="B854" t="s">
        <v>122</v>
      </c>
      <c r="C854" t="s">
        <v>1219</v>
      </c>
    </row>
    <row r="855" spans="1:3" x14ac:dyDescent="0.25">
      <c r="A855" t="s">
        <v>1531</v>
      </c>
      <c r="B855" t="s">
        <v>123</v>
      </c>
      <c r="C855" t="s">
        <v>1219</v>
      </c>
    </row>
    <row r="856" spans="1:3" x14ac:dyDescent="0.25">
      <c r="A856" t="s">
        <v>1531</v>
      </c>
      <c r="B856" t="s">
        <v>124</v>
      </c>
      <c r="C856" t="s">
        <v>1219</v>
      </c>
    </row>
    <row r="857" spans="1:3" x14ac:dyDescent="0.25">
      <c r="A857" t="s">
        <v>1531</v>
      </c>
      <c r="B857" t="s">
        <v>125</v>
      </c>
      <c r="C857" t="s">
        <v>1219</v>
      </c>
    </row>
    <row r="858" spans="1:3" x14ac:dyDescent="0.25">
      <c r="A858" t="s">
        <v>1531</v>
      </c>
      <c r="B858" t="s">
        <v>126</v>
      </c>
      <c r="C858" t="s">
        <v>1219</v>
      </c>
    </row>
    <row r="859" spans="1:3" x14ac:dyDescent="0.25">
      <c r="A859" t="s">
        <v>1531</v>
      </c>
      <c r="B859" t="s">
        <v>127</v>
      </c>
      <c r="C859" t="s">
        <v>1219</v>
      </c>
    </row>
    <row r="860" spans="1:3" x14ac:dyDescent="0.25">
      <c r="A860" t="s">
        <v>1531</v>
      </c>
      <c r="B860" t="s">
        <v>128</v>
      </c>
      <c r="C860" t="s">
        <v>1219</v>
      </c>
    </row>
    <row r="861" spans="1:3" x14ac:dyDescent="0.25">
      <c r="A861" t="s">
        <v>1531</v>
      </c>
      <c r="B861" t="s">
        <v>129</v>
      </c>
      <c r="C861" t="s">
        <v>1219</v>
      </c>
    </row>
    <row r="862" spans="1:3" x14ac:dyDescent="0.25">
      <c r="A862" t="s">
        <v>1531</v>
      </c>
      <c r="B862" t="s">
        <v>130</v>
      </c>
      <c r="C862" t="s">
        <v>1219</v>
      </c>
    </row>
    <row r="863" spans="1:3" x14ac:dyDescent="0.25">
      <c r="A863" t="s">
        <v>1531</v>
      </c>
      <c r="B863" t="s">
        <v>131</v>
      </c>
      <c r="C863" t="s">
        <v>1219</v>
      </c>
    </row>
    <row r="864" spans="1:3" x14ac:dyDescent="0.25">
      <c r="A864" t="s">
        <v>1531</v>
      </c>
      <c r="B864" t="s">
        <v>132</v>
      </c>
      <c r="C864" t="s">
        <v>1219</v>
      </c>
    </row>
    <row r="865" spans="1:3" x14ac:dyDescent="0.25">
      <c r="A865" t="s">
        <v>1531</v>
      </c>
      <c r="B865" t="s">
        <v>133</v>
      </c>
      <c r="C865" t="s">
        <v>1219</v>
      </c>
    </row>
    <row r="866" spans="1:3" x14ac:dyDescent="0.25">
      <c r="A866" t="s">
        <v>1531</v>
      </c>
      <c r="B866" t="s">
        <v>134</v>
      </c>
      <c r="C866" t="s">
        <v>1219</v>
      </c>
    </row>
    <row r="867" spans="1:3" x14ac:dyDescent="0.25">
      <c r="A867" t="s">
        <v>1531</v>
      </c>
      <c r="B867" t="s">
        <v>135</v>
      </c>
      <c r="C867" t="s">
        <v>1219</v>
      </c>
    </row>
    <row r="868" spans="1:3" x14ac:dyDescent="0.25">
      <c r="A868" t="s">
        <v>1531</v>
      </c>
      <c r="B868" t="s">
        <v>136</v>
      </c>
      <c r="C868" t="s">
        <v>1219</v>
      </c>
    </row>
    <row r="869" spans="1:3" x14ac:dyDescent="0.25">
      <c r="A869" t="s">
        <v>1531</v>
      </c>
      <c r="B869" t="s">
        <v>137</v>
      </c>
      <c r="C869" t="s">
        <v>1219</v>
      </c>
    </row>
    <row r="870" spans="1:3" x14ac:dyDescent="0.25">
      <c r="A870" t="s">
        <v>1531</v>
      </c>
      <c r="B870" t="s">
        <v>138</v>
      </c>
      <c r="C870" t="s">
        <v>1219</v>
      </c>
    </row>
    <row r="871" spans="1:3" x14ac:dyDescent="0.25">
      <c r="A871" t="s">
        <v>1531</v>
      </c>
      <c r="B871" t="s">
        <v>139</v>
      </c>
      <c r="C871" t="s">
        <v>1219</v>
      </c>
    </row>
    <row r="872" spans="1:3" x14ac:dyDescent="0.25">
      <c r="A872" t="s">
        <v>1531</v>
      </c>
      <c r="B872" t="s">
        <v>140</v>
      </c>
      <c r="C872" t="s">
        <v>1219</v>
      </c>
    </row>
    <row r="873" spans="1:3" x14ac:dyDescent="0.25">
      <c r="A873" t="s">
        <v>1531</v>
      </c>
      <c r="B873" t="s">
        <v>141</v>
      </c>
      <c r="C873" t="s">
        <v>1219</v>
      </c>
    </row>
    <row r="874" spans="1:3" x14ac:dyDescent="0.25">
      <c r="A874" t="s">
        <v>1531</v>
      </c>
      <c r="B874" t="s">
        <v>142</v>
      </c>
      <c r="C874" t="s">
        <v>1219</v>
      </c>
    </row>
    <row r="875" spans="1:3" x14ac:dyDescent="0.25">
      <c r="A875" t="s">
        <v>1531</v>
      </c>
      <c r="B875" t="s">
        <v>143</v>
      </c>
      <c r="C875" t="s">
        <v>1219</v>
      </c>
    </row>
    <row r="876" spans="1:3" x14ac:dyDescent="0.25">
      <c r="A876" t="s">
        <v>1531</v>
      </c>
      <c r="B876" t="s">
        <v>144</v>
      </c>
      <c r="C876" t="s">
        <v>1219</v>
      </c>
    </row>
    <row r="877" spans="1:3" x14ac:dyDescent="0.25">
      <c r="A877" t="s">
        <v>1531</v>
      </c>
      <c r="B877" t="s">
        <v>145</v>
      </c>
      <c r="C877" t="s">
        <v>1219</v>
      </c>
    </row>
    <row r="878" spans="1:3" x14ac:dyDescent="0.25">
      <c r="A878" t="s">
        <v>1531</v>
      </c>
      <c r="B878" t="s">
        <v>146</v>
      </c>
      <c r="C878" t="s">
        <v>1219</v>
      </c>
    </row>
    <row r="879" spans="1:3" x14ac:dyDescent="0.25">
      <c r="A879" t="s">
        <v>1531</v>
      </c>
      <c r="B879" t="s">
        <v>147</v>
      </c>
      <c r="C879" t="s">
        <v>1219</v>
      </c>
    </row>
    <row r="880" spans="1:3" x14ac:dyDescent="0.25">
      <c r="A880" t="s">
        <v>1531</v>
      </c>
      <c r="B880" t="s">
        <v>148</v>
      </c>
      <c r="C880" t="s">
        <v>1219</v>
      </c>
    </row>
    <row r="881" spans="1:3" x14ac:dyDescent="0.25">
      <c r="A881" t="s">
        <v>1531</v>
      </c>
      <c r="B881" t="s">
        <v>149</v>
      </c>
      <c r="C881" t="s">
        <v>1219</v>
      </c>
    </row>
    <row r="882" spans="1:3" x14ac:dyDescent="0.25">
      <c r="A882" t="s">
        <v>1531</v>
      </c>
      <c r="B882" t="s">
        <v>150</v>
      </c>
      <c r="C882" t="s">
        <v>1219</v>
      </c>
    </row>
    <row r="883" spans="1:3" x14ac:dyDescent="0.25">
      <c r="A883" t="s">
        <v>1531</v>
      </c>
      <c r="B883" t="s">
        <v>151</v>
      </c>
      <c r="C883" t="s">
        <v>1219</v>
      </c>
    </row>
    <row r="884" spans="1:3" x14ac:dyDescent="0.25">
      <c r="A884" t="s">
        <v>1531</v>
      </c>
      <c r="B884" t="s">
        <v>152</v>
      </c>
      <c r="C884" t="s">
        <v>1219</v>
      </c>
    </row>
    <row r="885" spans="1:3" x14ac:dyDescent="0.25">
      <c r="A885" t="s">
        <v>1531</v>
      </c>
      <c r="B885" t="s">
        <v>153</v>
      </c>
      <c r="C885" t="s">
        <v>1219</v>
      </c>
    </row>
    <row r="886" spans="1:3" x14ac:dyDescent="0.25">
      <c r="A886" t="s">
        <v>1531</v>
      </c>
      <c r="B886" t="s">
        <v>154</v>
      </c>
      <c r="C886" t="s">
        <v>1219</v>
      </c>
    </row>
    <row r="887" spans="1:3" x14ac:dyDescent="0.25">
      <c r="A887" t="s">
        <v>1531</v>
      </c>
      <c r="B887" t="s">
        <v>155</v>
      </c>
      <c r="C887" t="s">
        <v>1219</v>
      </c>
    </row>
    <row r="888" spans="1:3" x14ac:dyDescent="0.25">
      <c r="A888" t="s">
        <v>1531</v>
      </c>
      <c r="B888" t="s">
        <v>156</v>
      </c>
      <c r="C888" t="s">
        <v>1219</v>
      </c>
    </row>
    <row r="889" spans="1:3" x14ac:dyDescent="0.25">
      <c r="A889" t="s">
        <v>1531</v>
      </c>
      <c r="B889" t="s">
        <v>157</v>
      </c>
      <c r="C889" t="s">
        <v>1219</v>
      </c>
    </row>
    <row r="890" spans="1:3" x14ac:dyDescent="0.25">
      <c r="A890" t="s">
        <v>1531</v>
      </c>
      <c r="B890" t="s">
        <v>158</v>
      </c>
      <c r="C890" t="s">
        <v>1219</v>
      </c>
    </row>
    <row r="891" spans="1:3" x14ac:dyDescent="0.25">
      <c r="A891" t="s">
        <v>1531</v>
      </c>
      <c r="B891" t="s">
        <v>159</v>
      </c>
      <c r="C891" t="s">
        <v>1219</v>
      </c>
    </row>
    <row r="892" spans="1:3" x14ac:dyDescent="0.25">
      <c r="A892" t="s">
        <v>1531</v>
      </c>
      <c r="B892" t="s">
        <v>160</v>
      </c>
      <c r="C892" t="s">
        <v>1219</v>
      </c>
    </row>
    <row r="893" spans="1:3" x14ac:dyDescent="0.25">
      <c r="A893" t="s">
        <v>1531</v>
      </c>
      <c r="B893" t="s">
        <v>161</v>
      </c>
      <c r="C893" t="s">
        <v>1219</v>
      </c>
    </row>
    <row r="894" spans="1:3" x14ac:dyDescent="0.25">
      <c r="A894" t="s">
        <v>1531</v>
      </c>
      <c r="B894" t="s">
        <v>162</v>
      </c>
      <c r="C894" t="s">
        <v>1219</v>
      </c>
    </row>
    <row r="895" spans="1:3" x14ac:dyDescent="0.25">
      <c r="A895" t="s">
        <v>1531</v>
      </c>
      <c r="B895" t="s">
        <v>163</v>
      </c>
      <c r="C895" t="s">
        <v>1219</v>
      </c>
    </row>
    <row r="896" spans="1:3" x14ac:dyDescent="0.25">
      <c r="A896" t="s">
        <v>1531</v>
      </c>
      <c r="B896" t="s">
        <v>164</v>
      </c>
      <c r="C896" t="s">
        <v>1219</v>
      </c>
    </row>
    <row r="897" spans="1:3" x14ac:dyDescent="0.25">
      <c r="A897" t="s">
        <v>1531</v>
      </c>
      <c r="B897" t="s">
        <v>165</v>
      </c>
      <c r="C897" t="s">
        <v>1219</v>
      </c>
    </row>
    <row r="898" spans="1:3" x14ac:dyDescent="0.25">
      <c r="A898" t="s">
        <v>1531</v>
      </c>
      <c r="B898" t="s">
        <v>166</v>
      </c>
      <c r="C898" t="s">
        <v>1219</v>
      </c>
    </row>
    <row r="899" spans="1:3" x14ac:dyDescent="0.25">
      <c r="A899" t="s">
        <v>1531</v>
      </c>
      <c r="B899" t="s">
        <v>167</v>
      </c>
      <c r="C899" t="s">
        <v>1219</v>
      </c>
    </row>
    <row r="900" spans="1:3" x14ac:dyDescent="0.25">
      <c r="A900" t="s">
        <v>1531</v>
      </c>
      <c r="B900" t="s">
        <v>168</v>
      </c>
      <c r="C900" t="s">
        <v>1219</v>
      </c>
    </row>
    <row r="901" spans="1:3" x14ac:dyDescent="0.25">
      <c r="A901" t="s">
        <v>1531</v>
      </c>
      <c r="B901" t="s">
        <v>169</v>
      </c>
      <c r="C901" t="s">
        <v>1219</v>
      </c>
    </row>
    <row r="902" spans="1:3" x14ac:dyDescent="0.25">
      <c r="A902" t="s">
        <v>1531</v>
      </c>
      <c r="B902" t="s">
        <v>170</v>
      </c>
      <c r="C902" t="s">
        <v>1219</v>
      </c>
    </row>
    <row r="903" spans="1:3" x14ac:dyDescent="0.25">
      <c r="A903" t="s">
        <v>1531</v>
      </c>
      <c r="B903" t="s">
        <v>171</v>
      </c>
      <c r="C903" t="s">
        <v>1219</v>
      </c>
    </row>
    <row r="904" spans="1:3" x14ac:dyDescent="0.25">
      <c r="A904" t="s">
        <v>1531</v>
      </c>
      <c r="B904" t="s">
        <v>172</v>
      </c>
      <c r="C904" t="s">
        <v>1219</v>
      </c>
    </row>
    <row r="905" spans="1:3" x14ac:dyDescent="0.25">
      <c r="A905" t="s">
        <v>1531</v>
      </c>
      <c r="B905" t="s">
        <v>173</v>
      </c>
      <c r="C905" t="s">
        <v>1219</v>
      </c>
    </row>
    <row r="906" spans="1:3" x14ac:dyDescent="0.25">
      <c r="A906" t="s">
        <v>1531</v>
      </c>
      <c r="B906" t="s">
        <v>174</v>
      </c>
      <c r="C906" t="s">
        <v>1219</v>
      </c>
    </row>
    <row r="907" spans="1:3" x14ac:dyDescent="0.25">
      <c r="A907" t="s">
        <v>1531</v>
      </c>
      <c r="B907" t="s">
        <v>175</v>
      </c>
      <c r="C907" t="s">
        <v>1219</v>
      </c>
    </row>
    <row r="908" spans="1:3" x14ac:dyDescent="0.25">
      <c r="A908" t="s">
        <v>1531</v>
      </c>
      <c r="B908" t="s">
        <v>176</v>
      </c>
      <c r="C908" t="s">
        <v>1219</v>
      </c>
    </row>
    <row r="909" spans="1:3" x14ac:dyDescent="0.25">
      <c r="A909" t="s">
        <v>1531</v>
      </c>
      <c r="B909" t="s">
        <v>177</v>
      </c>
      <c r="C909" t="s">
        <v>1219</v>
      </c>
    </row>
    <row r="910" spans="1:3" x14ac:dyDescent="0.25">
      <c r="A910" t="s">
        <v>1531</v>
      </c>
      <c r="B910" t="s">
        <v>178</v>
      </c>
      <c r="C910" t="s">
        <v>1219</v>
      </c>
    </row>
    <row r="911" spans="1:3" x14ac:dyDescent="0.25">
      <c r="A911" t="s">
        <v>1531</v>
      </c>
      <c r="B911" t="s">
        <v>179</v>
      </c>
      <c r="C911" t="s">
        <v>1219</v>
      </c>
    </row>
    <row r="912" spans="1:3" x14ac:dyDescent="0.25">
      <c r="A912" t="s">
        <v>1531</v>
      </c>
      <c r="B912" t="s">
        <v>180</v>
      </c>
      <c r="C912" t="s">
        <v>1219</v>
      </c>
    </row>
    <row r="913" spans="1:3" x14ac:dyDescent="0.25">
      <c r="A913" t="s">
        <v>1531</v>
      </c>
      <c r="B913" t="s">
        <v>181</v>
      </c>
      <c r="C913" t="s">
        <v>1219</v>
      </c>
    </row>
    <row r="914" spans="1:3" x14ac:dyDescent="0.25">
      <c r="A914" t="s">
        <v>1531</v>
      </c>
      <c r="B914" t="s">
        <v>182</v>
      </c>
      <c r="C914" t="s">
        <v>1219</v>
      </c>
    </row>
    <row r="915" spans="1:3" x14ac:dyDescent="0.25">
      <c r="A915" t="s">
        <v>1531</v>
      </c>
      <c r="B915" t="s">
        <v>183</v>
      </c>
      <c r="C915" t="s">
        <v>1219</v>
      </c>
    </row>
    <row r="916" spans="1:3" x14ac:dyDescent="0.25">
      <c r="A916" t="s">
        <v>1531</v>
      </c>
      <c r="B916" t="s">
        <v>184</v>
      </c>
      <c r="C916" t="s">
        <v>1219</v>
      </c>
    </row>
    <row r="917" spans="1:3" x14ac:dyDescent="0.25">
      <c r="A917" t="s">
        <v>1531</v>
      </c>
      <c r="B917" t="s">
        <v>185</v>
      </c>
      <c r="C917" t="s">
        <v>1219</v>
      </c>
    </row>
    <row r="918" spans="1:3" x14ac:dyDescent="0.25">
      <c r="A918" t="s">
        <v>1531</v>
      </c>
      <c r="B918" t="s">
        <v>186</v>
      </c>
      <c r="C918" t="s">
        <v>1219</v>
      </c>
    </row>
    <row r="919" spans="1:3" x14ac:dyDescent="0.25">
      <c r="A919" t="s">
        <v>1531</v>
      </c>
      <c r="B919" t="s">
        <v>187</v>
      </c>
      <c r="C919" t="s">
        <v>1219</v>
      </c>
    </row>
    <row r="920" spans="1:3" x14ac:dyDescent="0.25">
      <c r="A920" t="s">
        <v>1531</v>
      </c>
      <c r="B920" t="s">
        <v>188</v>
      </c>
      <c r="C920" t="s">
        <v>1219</v>
      </c>
    </row>
    <row r="921" spans="1:3" x14ac:dyDescent="0.25">
      <c r="A921" t="s">
        <v>1531</v>
      </c>
      <c r="B921" t="s">
        <v>986</v>
      </c>
      <c r="C921" t="s">
        <v>1219</v>
      </c>
    </row>
    <row r="922" spans="1:3" x14ac:dyDescent="0.25">
      <c r="A922" t="s">
        <v>1531</v>
      </c>
      <c r="B922" t="s">
        <v>987</v>
      </c>
      <c r="C922" t="s">
        <v>1219</v>
      </c>
    </row>
    <row r="923" spans="1:3" x14ac:dyDescent="0.25">
      <c r="A923" t="s">
        <v>1531</v>
      </c>
      <c r="B923" t="s">
        <v>988</v>
      </c>
      <c r="C923" t="s">
        <v>1219</v>
      </c>
    </row>
    <row r="924" spans="1:3" x14ac:dyDescent="0.25">
      <c r="A924" t="s">
        <v>1531</v>
      </c>
      <c r="B924" t="s">
        <v>989</v>
      </c>
      <c r="C924" t="s">
        <v>1219</v>
      </c>
    </row>
    <row r="925" spans="1:3" x14ac:dyDescent="0.25">
      <c r="A925" t="s">
        <v>1531</v>
      </c>
      <c r="B925" t="s">
        <v>990</v>
      </c>
      <c r="C925" t="s">
        <v>1219</v>
      </c>
    </row>
    <row r="926" spans="1:3" x14ac:dyDescent="0.25">
      <c r="A926" t="s">
        <v>1531</v>
      </c>
      <c r="B926" t="s">
        <v>991</v>
      </c>
      <c r="C926" t="s">
        <v>1219</v>
      </c>
    </row>
    <row r="927" spans="1:3" x14ac:dyDescent="0.25">
      <c r="A927" t="s">
        <v>1531</v>
      </c>
      <c r="B927" t="s">
        <v>992</v>
      </c>
      <c r="C927" t="s">
        <v>1219</v>
      </c>
    </row>
    <row r="928" spans="1:3" x14ac:dyDescent="0.25">
      <c r="A928" t="s">
        <v>1531</v>
      </c>
      <c r="B928" t="s">
        <v>993</v>
      </c>
      <c r="C928" t="s">
        <v>1219</v>
      </c>
    </row>
    <row r="929" spans="1:3" x14ac:dyDescent="0.25">
      <c r="A929" t="s">
        <v>1531</v>
      </c>
      <c r="B929" t="s">
        <v>994</v>
      </c>
      <c r="C929" t="s">
        <v>1219</v>
      </c>
    </row>
    <row r="930" spans="1:3" x14ac:dyDescent="0.25">
      <c r="A930" t="s">
        <v>1531</v>
      </c>
      <c r="B930" t="s">
        <v>995</v>
      </c>
      <c r="C930" t="s">
        <v>1219</v>
      </c>
    </row>
    <row r="931" spans="1:3" x14ac:dyDescent="0.25">
      <c r="A931" t="s">
        <v>1531</v>
      </c>
      <c r="B931" t="s">
        <v>996</v>
      </c>
      <c r="C931" t="s">
        <v>1219</v>
      </c>
    </row>
    <row r="932" spans="1:3" x14ac:dyDescent="0.25">
      <c r="A932" t="s">
        <v>1531</v>
      </c>
      <c r="B932" t="s">
        <v>997</v>
      </c>
      <c r="C932" t="s">
        <v>1219</v>
      </c>
    </row>
    <row r="933" spans="1:3" x14ac:dyDescent="0.25">
      <c r="A933" t="s">
        <v>1531</v>
      </c>
      <c r="B933" t="s">
        <v>998</v>
      </c>
      <c r="C933" t="s">
        <v>1219</v>
      </c>
    </row>
    <row r="934" spans="1:3" x14ac:dyDescent="0.25">
      <c r="A934" t="s">
        <v>1531</v>
      </c>
      <c r="B934" t="s">
        <v>999</v>
      </c>
      <c r="C934" t="s">
        <v>1219</v>
      </c>
    </row>
    <row r="935" spans="1:3" x14ac:dyDescent="0.25">
      <c r="A935" t="s">
        <v>1531</v>
      </c>
      <c r="B935" t="s">
        <v>1000</v>
      </c>
      <c r="C935" t="s">
        <v>1219</v>
      </c>
    </row>
    <row r="936" spans="1:3" x14ac:dyDescent="0.25">
      <c r="A936" t="s">
        <v>1531</v>
      </c>
      <c r="B936" t="s">
        <v>1001</v>
      </c>
      <c r="C936" t="s">
        <v>1219</v>
      </c>
    </row>
    <row r="937" spans="1:3" x14ac:dyDescent="0.25">
      <c r="A937" t="s">
        <v>1531</v>
      </c>
      <c r="B937" t="s">
        <v>1002</v>
      </c>
      <c r="C937" t="s">
        <v>1219</v>
      </c>
    </row>
    <row r="938" spans="1:3" x14ac:dyDescent="0.25">
      <c r="A938" t="s">
        <v>1531</v>
      </c>
      <c r="B938" t="s">
        <v>1003</v>
      </c>
      <c r="C938" t="s">
        <v>1219</v>
      </c>
    </row>
    <row r="939" spans="1:3" x14ac:dyDescent="0.25">
      <c r="A939" t="s">
        <v>1531</v>
      </c>
      <c r="B939" t="s">
        <v>1004</v>
      </c>
      <c r="C939" t="s">
        <v>1219</v>
      </c>
    </row>
    <row r="940" spans="1:3" x14ac:dyDescent="0.25">
      <c r="A940" t="s">
        <v>1531</v>
      </c>
      <c r="B940" t="s">
        <v>1005</v>
      </c>
      <c r="C940" t="s">
        <v>1219</v>
      </c>
    </row>
    <row r="941" spans="1:3" x14ac:dyDescent="0.25">
      <c r="A941" t="s">
        <v>1531</v>
      </c>
      <c r="B941" t="s">
        <v>1006</v>
      </c>
      <c r="C941" t="s">
        <v>1219</v>
      </c>
    </row>
    <row r="942" spans="1:3" x14ac:dyDescent="0.25">
      <c r="A942" t="s">
        <v>1531</v>
      </c>
      <c r="B942" t="s">
        <v>1093</v>
      </c>
      <c r="C942" t="s">
        <v>1219</v>
      </c>
    </row>
    <row r="943" spans="1:3" x14ac:dyDescent="0.25">
      <c r="A943" t="s">
        <v>1531</v>
      </c>
      <c r="B943" t="s">
        <v>1094</v>
      </c>
      <c r="C943" t="s">
        <v>1219</v>
      </c>
    </row>
    <row r="944" spans="1:3" x14ac:dyDescent="0.25">
      <c r="A944" t="s">
        <v>1531</v>
      </c>
      <c r="B944" t="s">
        <v>1095</v>
      </c>
      <c r="C944" t="s">
        <v>1219</v>
      </c>
    </row>
    <row r="945" spans="1:3" x14ac:dyDescent="0.25">
      <c r="A945" t="s">
        <v>1531</v>
      </c>
      <c r="B945" t="s">
        <v>1096</v>
      </c>
      <c r="C945" t="s">
        <v>1219</v>
      </c>
    </row>
    <row r="946" spans="1:3" x14ac:dyDescent="0.25">
      <c r="A946" t="s">
        <v>1531</v>
      </c>
      <c r="B946" t="s">
        <v>1097</v>
      </c>
      <c r="C946" t="s">
        <v>1219</v>
      </c>
    </row>
    <row r="947" spans="1:3" x14ac:dyDescent="0.25">
      <c r="A947" t="s">
        <v>1531</v>
      </c>
      <c r="B947" t="s">
        <v>1098</v>
      </c>
      <c r="C947" t="s">
        <v>1219</v>
      </c>
    </row>
    <row r="948" spans="1:3" x14ac:dyDescent="0.25">
      <c r="A948" t="s">
        <v>1531</v>
      </c>
      <c r="B948" t="s">
        <v>1099</v>
      </c>
      <c r="C948" t="s">
        <v>1219</v>
      </c>
    </row>
    <row r="949" spans="1:3" x14ac:dyDescent="0.25">
      <c r="A949" t="s">
        <v>1531</v>
      </c>
      <c r="B949" t="s">
        <v>1100</v>
      </c>
      <c r="C949" t="s">
        <v>1219</v>
      </c>
    </row>
    <row r="950" spans="1:3" x14ac:dyDescent="0.25">
      <c r="A950" t="s">
        <v>1531</v>
      </c>
      <c r="B950" t="s">
        <v>1101</v>
      </c>
      <c r="C950" t="s">
        <v>1219</v>
      </c>
    </row>
    <row r="951" spans="1:3" x14ac:dyDescent="0.25">
      <c r="A951" t="s">
        <v>1531</v>
      </c>
      <c r="B951" t="s">
        <v>295</v>
      </c>
      <c r="C951" t="s">
        <v>1550</v>
      </c>
    </row>
    <row r="952" spans="1:3" x14ac:dyDescent="0.25">
      <c r="A952" t="s">
        <v>1531</v>
      </c>
      <c r="B952" t="s">
        <v>297</v>
      </c>
      <c r="C952" t="s">
        <v>1550</v>
      </c>
    </row>
    <row r="953" spans="1:3" x14ac:dyDescent="0.25">
      <c r="A953" t="s">
        <v>1531</v>
      </c>
      <c r="B953" t="s">
        <v>299</v>
      </c>
      <c r="C953" t="s">
        <v>1550</v>
      </c>
    </row>
    <row r="954" spans="1:3" x14ac:dyDescent="0.25">
      <c r="A954" t="s">
        <v>1531</v>
      </c>
      <c r="B954" t="s">
        <v>301</v>
      </c>
      <c r="C954" t="s">
        <v>1550</v>
      </c>
    </row>
    <row r="955" spans="1:3" x14ac:dyDescent="0.25">
      <c r="A955" t="s">
        <v>1531</v>
      </c>
      <c r="B955" t="s">
        <v>303</v>
      </c>
      <c r="C955" t="s">
        <v>1550</v>
      </c>
    </row>
    <row r="956" spans="1:3" x14ac:dyDescent="0.25">
      <c r="A956" t="s">
        <v>1531</v>
      </c>
      <c r="B956" t="s">
        <v>306</v>
      </c>
      <c r="C956" t="s">
        <v>1550</v>
      </c>
    </row>
    <row r="957" spans="1:3" x14ac:dyDescent="0.25">
      <c r="A957" t="s">
        <v>1531</v>
      </c>
      <c r="B957" t="s">
        <v>308</v>
      </c>
      <c r="C957" t="s">
        <v>1550</v>
      </c>
    </row>
    <row r="958" spans="1:3" x14ac:dyDescent="0.25">
      <c r="A958" t="s">
        <v>1531</v>
      </c>
      <c r="B958" t="s">
        <v>310</v>
      </c>
      <c r="C958" t="s">
        <v>1550</v>
      </c>
    </row>
    <row r="959" spans="1:3" x14ac:dyDescent="0.25">
      <c r="A959" t="s">
        <v>1531</v>
      </c>
      <c r="B959" t="s">
        <v>312</v>
      </c>
      <c r="C959" t="s">
        <v>1550</v>
      </c>
    </row>
    <row r="960" spans="1:3" x14ac:dyDescent="0.25">
      <c r="A960" t="s">
        <v>1531</v>
      </c>
      <c r="B960" t="s">
        <v>314</v>
      </c>
      <c r="C960" t="s">
        <v>1550</v>
      </c>
    </row>
    <row r="961" spans="1:3" x14ac:dyDescent="0.25">
      <c r="A961" t="s">
        <v>1531</v>
      </c>
      <c r="B961" t="s">
        <v>316</v>
      </c>
      <c r="C961" t="s">
        <v>1550</v>
      </c>
    </row>
    <row r="962" spans="1:3" x14ac:dyDescent="0.25">
      <c r="A962" t="s">
        <v>1531</v>
      </c>
      <c r="B962" t="s">
        <v>318</v>
      </c>
      <c r="C962" t="s">
        <v>1550</v>
      </c>
    </row>
    <row r="963" spans="1:3" x14ac:dyDescent="0.25">
      <c r="A963" t="s">
        <v>1531</v>
      </c>
      <c r="B963" t="s">
        <v>320</v>
      </c>
      <c r="C963" t="s">
        <v>1550</v>
      </c>
    </row>
    <row r="964" spans="1:3" x14ac:dyDescent="0.25">
      <c r="A964" t="s">
        <v>1531</v>
      </c>
      <c r="B964" t="s">
        <v>322</v>
      </c>
      <c r="C964" t="s">
        <v>1550</v>
      </c>
    </row>
    <row r="965" spans="1:3" x14ac:dyDescent="0.25">
      <c r="A965" t="s">
        <v>1531</v>
      </c>
      <c r="B965" t="s">
        <v>324</v>
      </c>
      <c r="C965" t="s">
        <v>1550</v>
      </c>
    </row>
    <row r="966" spans="1:3" x14ac:dyDescent="0.25">
      <c r="A966" t="s">
        <v>1531</v>
      </c>
      <c r="B966" t="s">
        <v>326</v>
      </c>
      <c r="C966" t="s">
        <v>1550</v>
      </c>
    </row>
    <row r="967" spans="1:3" x14ac:dyDescent="0.25">
      <c r="A967" t="s">
        <v>1531</v>
      </c>
      <c r="B967" t="s">
        <v>328</v>
      </c>
      <c r="C967" t="s">
        <v>1550</v>
      </c>
    </row>
    <row r="968" spans="1:3" x14ac:dyDescent="0.25">
      <c r="A968" t="s">
        <v>1531</v>
      </c>
      <c r="B968" t="s">
        <v>330</v>
      </c>
      <c r="C968" t="s">
        <v>1550</v>
      </c>
    </row>
    <row r="969" spans="1:3" x14ac:dyDescent="0.25">
      <c r="A969" t="s">
        <v>1531</v>
      </c>
      <c r="B969" t="s">
        <v>332</v>
      </c>
      <c r="C969" t="s">
        <v>1550</v>
      </c>
    </row>
    <row r="970" spans="1:3" x14ac:dyDescent="0.25">
      <c r="A970" t="s">
        <v>1531</v>
      </c>
      <c r="B970" t="s">
        <v>334</v>
      </c>
      <c r="C970" t="s">
        <v>1550</v>
      </c>
    </row>
    <row r="971" spans="1:3" x14ac:dyDescent="0.25">
      <c r="A971" t="s">
        <v>1531</v>
      </c>
      <c r="B971" t="s">
        <v>336</v>
      </c>
      <c r="C971" t="s">
        <v>1550</v>
      </c>
    </row>
    <row r="972" spans="1:3" x14ac:dyDescent="0.25">
      <c r="A972" t="s">
        <v>1531</v>
      </c>
      <c r="B972" t="s">
        <v>338</v>
      </c>
      <c r="C972" t="s">
        <v>1550</v>
      </c>
    </row>
    <row r="973" spans="1:3" x14ac:dyDescent="0.25">
      <c r="A973" t="s">
        <v>1531</v>
      </c>
      <c r="B973" t="s">
        <v>340</v>
      </c>
      <c r="C973" t="s">
        <v>1550</v>
      </c>
    </row>
    <row r="974" spans="1:3" x14ac:dyDescent="0.25">
      <c r="A974" t="s">
        <v>1531</v>
      </c>
      <c r="B974" t="s">
        <v>342</v>
      </c>
      <c r="C974" t="s">
        <v>1550</v>
      </c>
    </row>
    <row r="975" spans="1:3" x14ac:dyDescent="0.25">
      <c r="A975" t="s">
        <v>1531</v>
      </c>
      <c r="B975" t="s">
        <v>343</v>
      </c>
      <c r="C975" t="s">
        <v>1550</v>
      </c>
    </row>
    <row r="976" spans="1:3" x14ac:dyDescent="0.25">
      <c r="A976" t="s">
        <v>1531</v>
      </c>
      <c r="B976" t="s">
        <v>344</v>
      </c>
      <c r="C976" t="s">
        <v>1550</v>
      </c>
    </row>
    <row r="977" spans="1:3" x14ac:dyDescent="0.25">
      <c r="A977" t="s">
        <v>1531</v>
      </c>
      <c r="B977" t="s">
        <v>345</v>
      </c>
      <c r="C977" t="s">
        <v>1550</v>
      </c>
    </row>
    <row r="978" spans="1:3" x14ac:dyDescent="0.25">
      <c r="A978" t="s">
        <v>1531</v>
      </c>
      <c r="B978" t="s">
        <v>346</v>
      </c>
      <c r="C978" t="s">
        <v>1550</v>
      </c>
    </row>
    <row r="979" spans="1:3" x14ac:dyDescent="0.25">
      <c r="A979" t="s">
        <v>1531</v>
      </c>
      <c r="B979" t="s">
        <v>347</v>
      </c>
      <c r="C979" t="s">
        <v>1550</v>
      </c>
    </row>
    <row r="980" spans="1:3" x14ac:dyDescent="0.25">
      <c r="A980" t="s">
        <v>1531</v>
      </c>
      <c r="B980" t="s">
        <v>348</v>
      </c>
      <c r="C980" t="s">
        <v>1550</v>
      </c>
    </row>
    <row r="981" spans="1:3" x14ac:dyDescent="0.25">
      <c r="A981" t="s">
        <v>1531</v>
      </c>
      <c r="B981" t="s">
        <v>349</v>
      </c>
      <c r="C981" t="s">
        <v>1550</v>
      </c>
    </row>
    <row r="982" spans="1:3" x14ac:dyDescent="0.25">
      <c r="A982" t="s">
        <v>1531</v>
      </c>
      <c r="B982" t="s">
        <v>350</v>
      </c>
      <c r="C982" t="s">
        <v>1550</v>
      </c>
    </row>
    <row r="983" spans="1:3" x14ac:dyDescent="0.25">
      <c r="A983" t="s">
        <v>1531</v>
      </c>
      <c r="B983" t="s">
        <v>351</v>
      </c>
      <c r="C983" t="s">
        <v>1550</v>
      </c>
    </row>
    <row r="984" spans="1:3" x14ac:dyDescent="0.25">
      <c r="A984" t="s">
        <v>1531</v>
      </c>
      <c r="B984" t="s">
        <v>352</v>
      </c>
      <c r="C984" t="s">
        <v>1550</v>
      </c>
    </row>
    <row r="985" spans="1:3" x14ac:dyDescent="0.25">
      <c r="A985" t="s">
        <v>1531</v>
      </c>
      <c r="B985" t="s">
        <v>353</v>
      </c>
      <c r="C985" t="s">
        <v>1550</v>
      </c>
    </row>
    <row r="986" spans="1:3" x14ac:dyDescent="0.25">
      <c r="A986" t="s">
        <v>1531</v>
      </c>
      <c r="B986" t="s">
        <v>354</v>
      </c>
      <c r="C986" t="s">
        <v>1550</v>
      </c>
    </row>
    <row r="987" spans="1:3" x14ac:dyDescent="0.25">
      <c r="A987" t="s">
        <v>1531</v>
      </c>
      <c r="B987" t="s">
        <v>355</v>
      </c>
      <c r="C987" t="s">
        <v>1550</v>
      </c>
    </row>
    <row r="988" spans="1:3" x14ac:dyDescent="0.25">
      <c r="A988" t="s">
        <v>1531</v>
      </c>
      <c r="B988" t="s">
        <v>356</v>
      </c>
      <c r="C988" t="s">
        <v>1550</v>
      </c>
    </row>
    <row r="989" spans="1:3" x14ac:dyDescent="0.25">
      <c r="A989" t="s">
        <v>1531</v>
      </c>
      <c r="B989" t="s">
        <v>357</v>
      </c>
      <c r="C989" t="s">
        <v>1550</v>
      </c>
    </row>
    <row r="990" spans="1:3" x14ac:dyDescent="0.25">
      <c r="A990" t="s">
        <v>1531</v>
      </c>
      <c r="B990" t="s">
        <v>358</v>
      </c>
      <c r="C990" t="s">
        <v>1550</v>
      </c>
    </row>
    <row r="991" spans="1:3" x14ac:dyDescent="0.25">
      <c r="A991" t="s">
        <v>1531</v>
      </c>
      <c r="B991" t="s">
        <v>359</v>
      </c>
      <c r="C991" t="s">
        <v>1550</v>
      </c>
    </row>
    <row r="992" spans="1:3" x14ac:dyDescent="0.25">
      <c r="A992" t="s">
        <v>1531</v>
      </c>
      <c r="B992" t="s">
        <v>360</v>
      </c>
      <c r="C992" t="s">
        <v>1550</v>
      </c>
    </row>
    <row r="993" spans="1:3" x14ac:dyDescent="0.25">
      <c r="A993" t="s">
        <v>1531</v>
      </c>
      <c r="B993" t="s">
        <v>361</v>
      </c>
      <c r="C993" t="s">
        <v>1550</v>
      </c>
    </row>
    <row r="994" spans="1:3" x14ac:dyDescent="0.25">
      <c r="A994" t="s">
        <v>1531</v>
      </c>
      <c r="B994" t="s">
        <v>362</v>
      </c>
      <c r="C994" t="s">
        <v>1550</v>
      </c>
    </row>
    <row r="995" spans="1:3" x14ac:dyDescent="0.25">
      <c r="A995" t="s">
        <v>1531</v>
      </c>
      <c r="B995" t="s">
        <v>363</v>
      </c>
      <c r="C995" t="s">
        <v>1550</v>
      </c>
    </row>
    <row r="996" spans="1:3" x14ac:dyDescent="0.25">
      <c r="A996" t="s">
        <v>1531</v>
      </c>
      <c r="B996" t="s">
        <v>364</v>
      </c>
      <c r="C996" t="s">
        <v>1550</v>
      </c>
    </row>
    <row r="997" spans="1:3" x14ac:dyDescent="0.25">
      <c r="A997" t="s">
        <v>1531</v>
      </c>
      <c r="B997" t="s">
        <v>365</v>
      </c>
      <c r="C997" t="s">
        <v>1550</v>
      </c>
    </row>
    <row r="998" spans="1:3" x14ac:dyDescent="0.25">
      <c r="A998" t="s">
        <v>1531</v>
      </c>
      <c r="B998" t="s">
        <v>366</v>
      </c>
      <c r="C998" t="s">
        <v>1550</v>
      </c>
    </row>
    <row r="999" spans="1:3" x14ac:dyDescent="0.25">
      <c r="A999" t="s">
        <v>1531</v>
      </c>
      <c r="B999" t="s">
        <v>367</v>
      </c>
      <c r="C999" t="s">
        <v>1550</v>
      </c>
    </row>
    <row r="1000" spans="1:3" x14ac:dyDescent="0.25">
      <c r="A1000" t="s">
        <v>1531</v>
      </c>
      <c r="B1000" t="s">
        <v>368</v>
      </c>
      <c r="C1000" t="s">
        <v>1550</v>
      </c>
    </row>
    <row r="1001" spans="1:3" x14ac:dyDescent="0.25">
      <c r="A1001" t="s">
        <v>1531</v>
      </c>
      <c r="B1001" t="s">
        <v>369</v>
      </c>
      <c r="C1001" t="s">
        <v>1550</v>
      </c>
    </row>
    <row r="1002" spans="1:3" x14ac:dyDescent="0.25">
      <c r="A1002" t="s">
        <v>1531</v>
      </c>
      <c r="B1002" t="s">
        <v>370</v>
      </c>
      <c r="C1002" t="s">
        <v>1550</v>
      </c>
    </row>
    <row r="1003" spans="1:3" x14ac:dyDescent="0.25">
      <c r="A1003" t="s">
        <v>1531</v>
      </c>
      <c r="B1003" t="s">
        <v>371</v>
      </c>
      <c r="C1003" t="s">
        <v>1550</v>
      </c>
    </row>
    <row r="1004" spans="1:3" x14ac:dyDescent="0.25">
      <c r="A1004" t="s">
        <v>1531</v>
      </c>
      <c r="B1004" t="s">
        <v>372</v>
      </c>
      <c r="C1004" t="s">
        <v>1550</v>
      </c>
    </row>
    <row r="1005" spans="1:3" x14ac:dyDescent="0.25">
      <c r="A1005" t="s">
        <v>1531</v>
      </c>
      <c r="B1005" t="s">
        <v>373</v>
      </c>
      <c r="C1005" t="s">
        <v>1550</v>
      </c>
    </row>
    <row r="1006" spans="1:3" x14ac:dyDescent="0.25">
      <c r="A1006" t="s">
        <v>1531</v>
      </c>
      <c r="B1006" t="s">
        <v>374</v>
      </c>
      <c r="C1006" t="s">
        <v>1550</v>
      </c>
    </row>
    <row r="1007" spans="1:3" x14ac:dyDescent="0.25">
      <c r="A1007" t="s">
        <v>1531</v>
      </c>
      <c r="B1007" t="s">
        <v>375</v>
      </c>
      <c r="C1007" t="s">
        <v>1550</v>
      </c>
    </row>
    <row r="1008" spans="1:3" x14ac:dyDescent="0.25">
      <c r="A1008" t="s">
        <v>1531</v>
      </c>
      <c r="B1008" t="s">
        <v>376</v>
      </c>
      <c r="C1008" t="s">
        <v>1550</v>
      </c>
    </row>
    <row r="1009" spans="1:3" x14ac:dyDescent="0.25">
      <c r="A1009" t="s">
        <v>1531</v>
      </c>
      <c r="B1009" t="s">
        <v>1007</v>
      </c>
      <c r="C1009" t="s">
        <v>1550</v>
      </c>
    </row>
    <row r="1010" spans="1:3" x14ac:dyDescent="0.25">
      <c r="A1010" t="s">
        <v>1531</v>
      </c>
      <c r="B1010" t="s">
        <v>1008</v>
      </c>
      <c r="C1010" t="s">
        <v>1550</v>
      </c>
    </row>
    <row r="1011" spans="1:3" x14ac:dyDescent="0.25">
      <c r="A1011" t="s">
        <v>1531</v>
      </c>
      <c r="B1011" t="s">
        <v>1009</v>
      </c>
      <c r="C1011" t="s">
        <v>1550</v>
      </c>
    </row>
    <row r="1012" spans="1:3" x14ac:dyDescent="0.25">
      <c r="A1012" t="s">
        <v>1531</v>
      </c>
      <c r="B1012" t="s">
        <v>1010</v>
      </c>
      <c r="C1012" t="s">
        <v>1550</v>
      </c>
    </row>
    <row r="1013" spans="1:3" x14ac:dyDescent="0.25">
      <c r="A1013" t="s">
        <v>1531</v>
      </c>
      <c r="B1013" t="s">
        <v>1011</v>
      </c>
      <c r="C1013" t="s">
        <v>1550</v>
      </c>
    </row>
    <row r="1014" spans="1:3" x14ac:dyDescent="0.25">
      <c r="A1014" t="s">
        <v>1531</v>
      </c>
      <c r="B1014" t="s">
        <v>1012</v>
      </c>
      <c r="C1014" t="s">
        <v>1550</v>
      </c>
    </row>
    <row r="1015" spans="1:3" x14ac:dyDescent="0.25">
      <c r="A1015" t="s">
        <v>1531</v>
      </c>
      <c r="B1015" t="s">
        <v>1013</v>
      </c>
      <c r="C1015" t="s">
        <v>1550</v>
      </c>
    </row>
    <row r="1016" spans="1:3" x14ac:dyDescent="0.25">
      <c r="A1016" t="s">
        <v>1531</v>
      </c>
      <c r="B1016" t="s">
        <v>1014</v>
      </c>
      <c r="C1016" t="s">
        <v>1550</v>
      </c>
    </row>
    <row r="1017" spans="1:3" x14ac:dyDescent="0.25">
      <c r="A1017" t="s">
        <v>1531</v>
      </c>
      <c r="B1017" t="s">
        <v>1015</v>
      </c>
      <c r="C1017" t="s">
        <v>1550</v>
      </c>
    </row>
    <row r="1018" spans="1:3" x14ac:dyDescent="0.25">
      <c r="A1018" t="s">
        <v>1531</v>
      </c>
      <c r="B1018" t="s">
        <v>1016</v>
      </c>
      <c r="C1018" t="s">
        <v>1550</v>
      </c>
    </row>
    <row r="1019" spans="1:3" x14ac:dyDescent="0.25">
      <c r="A1019" t="s">
        <v>1531</v>
      </c>
      <c r="B1019" t="s">
        <v>1017</v>
      </c>
      <c r="C1019" t="s">
        <v>1550</v>
      </c>
    </row>
    <row r="1020" spans="1:3" x14ac:dyDescent="0.25">
      <c r="A1020" t="s">
        <v>1531</v>
      </c>
      <c r="B1020" t="s">
        <v>1018</v>
      </c>
      <c r="C1020" t="s">
        <v>1550</v>
      </c>
    </row>
    <row r="1021" spans="1:3" x14ac:dyDescent="0.25">
      <c r="A1021" t="s">
        <v>1531</v>
      </c>
      <c r="B1021" t="s">
        <v>1019</v>
      </c>
      <c r="C1021" t="s">
        <v>1550</v>
      </c>
    </row>
    <row r="1022" spans="1:3" x14ac:dyDescent="0.25">
      <c r="A1022" t="s">
        <v>1531</v>
      </c>
      <c r="B1022" t="s">
        <v>1020</v>
      </c>
      <c r="C1022" t="s">
        <v>1550</v>
      </c>
    </row>
    <row r="1023" spans="1:3" x14ac:dyDescent="0.25">
      <c r="A1023" t="s">
        <v>1531</v>
      </c>
      <c r="B1023" t="s">
        <v>1021</v>
      </c>
      <c r="C1023" t="s">
        <v>1550</v>
      </c>
    </row>
    <row r="1024" spans="1:3" x14ac:dyDescent="0.25">
      <c r="A1024" t="s">
        <v>1531</v>
      </c>
      <c r="B1024" t="s">
        <v>1022</v>
      </c>
      <c r="C1024" t="s">
        <v>1550</v>
      </c>
    </row>
    <row r="1025" spans="1:3" x14ac:dyDescent="0.25">
      <c r="A1025" t="s">
        <v>1531</v>
      </c>
      <c r="B1025" t="s">
        <v>1023</v>
      </c>
      <c r="C1025" t="s">
        <v>1550</v>
      </c>
    </row>
    <row r="1026" spans="1:3" x14ac:dyDescent="0.25">
      <c r="A1026" t="s">
        <v>1531</v>
      </c>
      <c r="B1026" t="s">
        <v>1024</v>
      </c>
      <c r="C1026" t="s">
        <v>1550</v>
      </c>
    </row>
    <row r="1027" spans="1:3" x14ac:dyDescent="0.25">
      <c r="A1027" t="s">
        <v>1531</v>
      </c>
      <c r="B1027" t="s">
        <v>1025</v>
      </c>
      <c r="C1027" t="s">
        <v>1550</v>
      </c>
    </row>
    <row r="1028" spans="1:3" x14ac:dyDescent="0.25">
      <c r="A1028" t="s">
        <v>1531</v>
      </c>
      <c r="B1028" t="s">
        <v>1026</v>
      </c>
      <c r="C1028" t="s">
        <v>1550</v>
      </c>
    </row>
    <row r="1029" spans="1:3" x14ac:dyDescent="0.25">
      <c r="A1029" t="s">
        <v>1531</v>
      </c>
      <c r="B1029" t="s">
        <v>1027</v>
      </c>
      <c r="C1029" t="s">
        <v>1550</v>
      </c>
    </row>
    <row r="1030" spans="1:3" x14ac:dyDescent="0.25">
      <c r="A1030" t="s">
        <v>1531</v>
      </c>
      <c r="B1030" t="s">
        <v>1107</v>
      </c>
      <c r="C1030" t="s">
        <v>1550</v>
      </c>
    </row>
    <row r="1031" spans="1:3" x14ac:dyDescent="0.25">
      <c r="A1031" t="s">
        <v>1531</v>
      </c>
      <c r="B1031" t="s">
        <v>1108</v>
      </c>
      <c r="C1031" t="s">
        <v>1550</v>
      </c>
    </row>
    <row r="1032" spans="1:3" x14ac:dyDescent="0.25">
      <c r="A1032" t="s">
        <v>1531</v>
      </c>
      <c r="B1032" t="s">
        <v>1109</v>
      </c>
      <c r="C1032" t="s">
        <v>1550</v>
      </c>
    </row>
    <row r="1033" spans="1:3" x14ac:dyDescent="0.25">
      <c r="A1033" t="s">
        <v>1531</v>
      </c>
      <c r="B1033" t="s">
        <v>1110</v>
      </c>
      <c r="C1033" t="s">
        <v>1550</v>
      </c>
    </row>
    <row r="1034" spans="1:3" x14ac:dyDescent="0.25">
      <c r="A1034" t="s">
        <v>1531</v>
      </c>
      <c r="B1034" t="s">
        <v>1111</v>
      </c>
      <c r="C1034" t="s">
        <v>1550</v>
      </c>
    </row>
    <row r="1035" spans="1:3" x14ac:dyDescent="0.25">
      <c r="A1035" t="s">
        <v>1531</v>
      </c>
      <c r="B1035" t="s">
        <v>1112</v>
      </c>
      <c r="C1035" t="s">
        <v>1550</v>
      </c>
    </row>
    <row r="1036" spans="1:3" x14ac:dyDescent="0.25">
      <c r="A1036" t="s">
        <v>1531</v>
      </c>
      <c r="B1036" t="s">
        <v>1113</v>
      </c>
      <c r="C1036" t="s">
        <v>1550</v>
      </c>
    </row>
    <row r="1037" spans="1:3" x14ac:dyDescent="0.25">
      <c r="A1037" t="s">
        <v>1531</v>
      </c>
      <c r="B1037" t="s">
        <v>1114</v>
      </c>
      <c r="C1037" t="s">
        <v>1550</v>
      </c>
    </row>
    <row r="1038" spans="1:3" x14ac:dyDescent="0.25">
      <c r="A1038" t="s">
        <v>1531</v>
      </c>
      <c r="B1038" t="s">
        <v>1115</v>
      </c>
      <c r="C1038" t="s">
        <v>1550</v>
      </c>
    </row>
    <row r="1039" spans="1:3" x14ac:dyDescent="0.25">
      <c r="A1039" t="s">
        <v>1531</v>
      </c>
      <c r="B1039" t="s">
        <v>1116</v>
      </c>
      <c r="C1039" t="s">
        <v>1550</v>
      </c>
    </row>
    <row r="1040" spans="1:3" x14ac:dyDescent="0.25">
      <c r="A1040" t="s">
        <v>1531</v>
      </c>
      <c r="B1040" t="s">
        <v>1117</v>
      </c>
      <c r="C1040" t="s">
        <v>1550</v>
      </c>
    </row>
    <row r="1041" spans="1:3" x14ac:dyDescent="0.25">
      <c r="A1041" t="s">
        <v>1531</v>
      </c>
      <c r="B1041" t="s">
        <v>1118</v>
      </c>
      <c r="C1041" t="s">
        <v>1550</v>
      </c>
    </row>
    <row r="1042" spans="1:3" x14ac:dyDescent="0.25">
      <c r="A1042" t="s">
        <v>1531</v>
      </c>
      <c r="B1042" t="s">
        <v>387</v>
      </c>
      <c r="C1042" t="s">
        <v>1550</v>
      </c>
    </row>
    <row r="1043" spans="1:3" x14ac:dyDescent="0.25">
      <c r="A1043" t="s">
        <v>1531</v>
      </c>
      <c r="B1043" t="s">
        <v>388</v>
      </c>
      <c r="C1043" t="s">
        <v>1550</v>
      </c>
    </row>
    <row r="1044" spans="1:3" x14ac:dyDescent="0.25">
      <c r="A1044" t="s">
        <v>1531</v>
      </c>
      <c r="B1044" t="s">
        <v>389</v>
      </c>
      <c r="C1044" t="s">
        <v>1550</v>
      </c>
    </row>
    <row r="1045" spans="1:3" x14ac:dyDescent="0.25">
      <c r="A1045" t="s">
        <v>1531</v>
      </c>
      <c r="B1045" t="s">
        <v>394</v>
      </c>
      <c r="C1045" t="s">
        <v>1550</v>
      </c>
    </row>
    <row r="1046" spans="1:3" x14ac:dyDescent="0.25">
      <c r="A1046" t="s">
        <v>1531</v>
      </c>
      <c r="B1046" t="s">
        <v>395</v>
      </c>
      <c r="C1046" t="s">
        <v>1550</v>
      </c>
    </row>
    <row r="1047" spans="1:3" x14ac:dyDescent="0.25">
      <c r="A1047" t="s">
        <v>1531</v>
      </c>
      <c r="B1047" t="s">
        <v>396</v>
      </c>
      <c r="C1047" t="s">
        <v>1550</v>
      </c>
    </row>
    <row r="1048" spans="1:3" x14ac:dyDescent="0.25">
      <c r="A1048" t="s">
        <v>1531</v>
      </c>
      <c r="B1048" t="s">
        <v>397</v>
      </c>
      <c r="C1048" t="s">
        <v>1550</v>
      </c>
    </row>
    <row r="1049" spans="1:3" x14ac:dyDescent="0.25">
      <c r="A1049" t="s">
        <v>1531</v>
      </c>
      <c r="B1049" t="s">
        <v>398</v>
      </c>
      <c r="C1049" t="s">
        <v>1550</v>
      </c>
    </row>
    <row r="1050" spans="1:3" x14ac:dyDescent="0.25">
      <c r="A1050" t="s">
        <v>1531</v>
      </c>
      <c r="B1050" t="s">
        <v>399</v>
      </c>
      <c r="C1050" t="s">
        <v>1550</v>
      </c>
    </row>
    <row r="1051" spans="1:3" x14ac:dyDescent="0.25">
      <c r="A1051" t="s">
        <v>1531</v>
      </c>
      <c r="B1051" t="s">
        <v>400</v>
      </c>
      <c r="C1051" t="s">
        <v>1550</v>
      </c>
    </row>
    <row r="1052" spans="1:3" x14ac:dyDescent="0.25">
      <c r="A1052" t="s">
        <v>1531</v>
      </c>
      <c r="B1052" t="s">
        <v>401</v>
      </c>
      <c r="C1052" t="s">
        <v>1550</v>
      </c>
    </row>
    <row r="1053" spans="1:3" x14ac:dyDescent="0.25">
      <c r="A1053" t="s">
        <v>1531</v>
      </c>
      <c r="B1053" t="s">
        <v>402</v>
      </c>
      <c r="C1053" t="s">
        <v>1550</v>
      </c>
    </row>
    <row r="1054" spans="1:3" x14ac:dyDescent="0.25">
      <c r="A1054" t="s">
        <v>1531</v>
      </c>
      <c r="B1054" t="s">
        <v>403</v>
      </c>
      <c r="C1054" t="s">
        <v>1550</v>
      </c>
    </row>
    <row r="1055" spans="1:3" x14ac:dyDescent="0.25">
      <c r="A1055" t="s">
        <v>1531</v>
      </c>
      <c r="B1055" t="s">
        <v>404</v>
      </c>
      <c r="C1055" t="s">
        <v>1550</v>
      </c>
    </row>
    <row r="1056" spans="1:3" x14ac:dyDescent="0.25">
      <c r="A1056" t="s">
        <v>1531</v>
      </c>
      <c r="B1056" t="s">
        <v>405</v>
      </c>
      <c r="C1056" t="s">
        <v>1550</v>
      </c>
    </row>
    <row r="1057" spans="1:3" x14ac:dyDescent="0.25">
      <c r="A1057" t="s">
        <v>1531</v>
      </c>
      <c r="B1057" t="s">
        <v>406</v>
      </c>
      <c r="C1057" t="s">
        <v>1550</v>
      </c>
    </row>
    <row r="1058" spans="1:3" x14ac:dyDescent="0.25">
      <c r="A1058" t="s">
        <v>1531</v>
      </c>
      <c r="B1058" t="s">
        <v>407</v>
      </c>
      <c r="C1058" t="s">
        <v>1550</v>
      </c>
    </row>
    <row r="1059" spans="1:3" x14ac:dyDescent="0.25">
      <c r="A1059" t="s">
        <v>1531</v>
      </c>
      <c r="B1059" t="s">
        <v>408</v>
      </c>
      <c r="C1059" t="s">
        <v>1550</v>
      </c>
    </row>
    <row r="1060" spans="1:3" x14ac:dyDescent="0.25">
      <c r="A1060" t="s">
        <v>1531</v>
      </c>
      <c r="B1060" t="s">
        <v>409</v>
      </c>
      <c r="C1060" t="s">
        <v>1550</v>
      </c>
    </row>
    <row r="1061" spans="1:3" x14ac:dyDescent="0.25">
      <c r="A1061" t="s">
        <v>1531</v>
      </c>
      <c r="B1061" t="s">
        <v>410</v>
      </c>
      <c r="C1061" t="s">
        <v>1550</v>
      </c>
    </row>
    <row r="1062" spans="1:3" x14ac:dyDescent="0.25">
      <c r="A1062" t="s">
        <v>1531</v>
      </c>
      <c r="B1062" t="s">
        <v>411</v>
      </c>
      <c r="C1062" t="s">
        <v>1550</v>
      </c>
    </row>
    <row r="1063" spans="1:3" x14ac:dyDescent="0.25">
      <c r="A1063" t="s">
        <v>1531</v>
      </c>
      <c r="B1063" t="s">
        <v>412</v>
      </c>
      <c r="C1063" t="s">
        <v>1550</v>
      </c>
    </row>
    <row r="1064" spans="1:3" x14ac:dyDescent="0.25">
      <c r="A1064" t="s">
        <v>1531</v>
      </c>
      <c r="B1064" t="s">
        <v>413</v>
      </c>
      <c r="C1064" t="s">
        <v>1550</v>
      </c>
    </row>
    <row r="1065" spans="1:3" x14ac:dyDescent="0.25">
      <c r="A1065" t="s">
        <v>1531</v>
      </c>
      <c r="B1065" t="s">
        <v>414</v>
      </c>
      <c r="C1065" t="s">
        <v>1550</v>
      </c>
    </row>
    <row r="1066" spans="1:3" x14ac:dyDescent="0.25">
      <c r="A1066" t="s">
        <v>1531</v>
      </c>
      <c r="B1066" t="s">
        <v>415</v>
      </c>
      <c r="C1066" t="s">
        <v>1550</v>
      </c>
    </row>
    <row r="1067" spans="1:3" x14ac:dyDescent="0.25">
      <c r="A1067" t="s">
        <v>1531</v>
      </c>
      <c r="B1067" t="s">
        <v>416</v>
      </c>
      <c r="C1067" t="s">
        <v>1550</v>
      </c>
    </row>
    <row r="1068" spans="1:3" x14ac:dyDescent="0.25">
      <c r="A1068" t="s">
        <v>1531</v>
      </c>
      <c r="B1068" t="s">
        <v>417</v>
      </c>
      <c r="C1068" t="s">
        <v>1550</v>
      </c>
    </row>
    <row r="1069" spans="1:3" x14ac:dyDescent="0.25">
      <c r="A1069" t="s">
        <v>1531</v>
      </c>
      <c r="B1069" t="s">
        <v>418</v>
      </c>
      <c r="C1069" t="s">
        <v>1550</v>
      </c>
    </row>
    <row r="1070" spans="1:3" x14ac:dyDescent="0.25">
      <c r="A1070" t="s">
        <v>1531</v>
      </c>
      <c r="B1070" t="s">
        <v>419</v>
      </c>
      <c r="C1070" t="s">
        <v>1550</v>
      </c>
    </row>
    <row r="1071" spans="1:3" x14ac:dyDescent="0.25">
      <c r="A1071" t="s">
        <v>1531</v>
      </c>
      <c r="B1071" t="s">
        <v>420</v>
      </c>
      <c r="C1071" t="s">
        <v>1550</v>
      </c>
    </row>
    <row r="1072" spans="1:3" x14ac:dyDescent="0.25">
      <c r="A1072" t="s">
        <v>1531</v>
      </c>
      <c r="B1072" t="s">
        <v>421</v>
      </c>
      <c r="C1072" t="s">
        <v>1550</v>
      </c>
    </row>
    <row r="1073" spans="1:3" x14ac:dyDescent="0.25">
      <c r="A1073" t="s">
        <v>1531</v>
      </c>
      <c r="B1073" t="s">
        <v>1119</v>
      </c>
      <c r="C1073" t="s">
        <v>1550</v>
      </c>
    </row>
    <row r="1074" spans="1:3" x14ac:dyDescent="0.25">
      <c r="A1074" t="s">
        <v>1531</v>
      </c>
      <c r="B1074" t="s">
        <v>423</v>
      </c>
      <c r="C1074" t="s">
        <v>1550</v>
      </c>
    </row>
    <row r="1075" spans="1:3" x14ac:dyDescent="0.25">
      <c r="A1075" t="s">
        <v>1531</v>
      </c>
      <c r="B1075" t="s">
        <v>424</v>
      </c>
      <c r="C1075" t="s">
        <v>1550</v>
      </c>
    </row>
    <row r="1076" spans="1:3" x14ac:dyDescent="0.25">
      <c r="A1076" t="s">
        <v>1531</v>
      </c>
      <c r="B1076" t="s">
        <v>427</v>
      </c>
      <c r="C1076" t="s">
        <v>1550</v>
      </c>
    </row>
    <row r="1077" spans="1:3" x14ac:dyDescent="0.25">
      <c r="A1077" t="s">
        <v>1531</v>
      </c>
      <c r="B1077" t="s">
        <v>428</v>
      </c>
      <c r="C1077" t="s">
        <v>1550</v>
      </c>
    </row>
    <row r="1078" spans="1:3" x14ac:dyDescent="0.25">
      <c r="A1078" t="s">
        <v>1531</v>
      </c>
      <c r="B1078" t="s">
        <v>429</v>
      </c>
      <c r="C1078" t="s">
        <v>1550</v>
      </c>
    </row>
    <row r="1079" spans="1:3" x14ac:dyDescent="0.25">
      <c r="A1079" t="s">
        <v>1531</v>
      </c>
      <c r="B1079" t="s">
        <v>430</v>
      </c>
      <c r="C1079" t="s">
        <v>1550</v>
      </c>
    </row>
    <row r="1080" spans="1:3" x14ac:dyDescent="0.25">
      <c r="A1080" t="s">
        <v>1531</v>
      </c>
      <c r="B1080" t="s">
        <v>431</v>
      </c>
      <c r="C1080" t="s">
        <v>1550</v>
      </c>
    </row>
    <row r="1081" spans="1:3" x14ac:dyDescent="0.25">
      <c r="A1081" t="s">
        <v>1531</v>
      </c>
      <c r="B1081" t="s">
        <v>432</v>
      </c>
      <c r="C1081" t="s">
        <v>1550</v>
      </c>
    </row>
    <row r="1082" spans="1:3" x14ac:dyDescent="0.25">
      <c r="A1082" t="s">
        <v>1531</v>
      </c>
      <c r="B1082" t="s">
        <v>433</v>
      </c>
      <c r="C1082" t="s">
        <v>1550</v>
      </c>
    </row>
    <row r="1083" spans="1:3" x14ac:dyDescent="0.25">
      <c r="A1083" t="s">
        <v>1531</v>
      </c>
      <c r="B1083" t="s">
        <v>434</v>
      </c>
      <c r="C1083" t="s">
        <v>1550</v>
      </c>
    </row>
    <row r="1084" spans="1:3" x14ac:dyDescent="0.25">
      <c r="A1084" t="s">
        <v>1531</v>
      </c>
      <c r="B1084" t="s">
        <v>435</v>
      </c>
      <c r="C1084" t="s">
        <v>1550</v>
      </c>
    </row>
    <row r="1085" spans="1:3" x14ac:dyDescent="0.25">
      <c r="A1085" t="s">
        <v>1531</v>
      </c>
      <c r="B1085" t="s">
        <v>436</v>
      </c>
      <c r="C1085" t="s">
        <v>1550</v>
      </c>
    </row>
    <row r="1086" spans="1:3" x14ac:dyDescent="0.25">
      <c r="A1086" t="s">
        <v>1531</v>
      </c>
      <c r="B1086" t="s">
        <v>437</v>
      </c>
      <c r="C1086" t="s">
        <v>1550</v>
      </c>
    </row>
    <row r="1087" spans="1:3" x14ac:dyDescent="0.25">
      <c r="A1087" t="s">
        <v>1531</v>
      </c>
      <c r="B1087" t="s">
        <v>438</v>
      </c>
      <c r="C1087" t="s">
        <v>1550</v>
      </c>
    </row>
    <row r="1088" spans="1:3" x14ac:dyDescent="0.25">
      <c r="A1088" t="s">
        <v>1531</v>
      </c>
      <c r="B1088" t="s">
        <v>439</v>
      </c>
      <c r="C1088" t="s">
        <v>1550</v>
      </c>
    </row>
    <row r="1089" spans="1:3" x14ac:dyDescent="0.25">
      <c r="A1089" t="s">
        <v>1531</v>
      </c>
      <c r="B1089" t="s">
        <v>1120</v>
      </c>
      <c r="C1089" t="s">
        <v>1550</v>
      </c>
    </row>
    <row r="1090" spans="1:3" x14ac:dyDescent="0.25">
      <c r="A1090" t="s">
        <v>1531</v>
      </c>
      <c r="B1090" t="s">
        <v>441</v>
      </c>
      <c r="C1090" t="s">
        <v>1550</v>
      </c>
    </row>
    <row r="1091" spans="1:3" x14ac:dyDescent="0.25">
      <c r="A1091" t="s">
        <v>1531</v>
      </c>
      <c r="B1091" t="s">
        <v>442</v>
      </c>
      <c r="C1091" t="s">
        <v>1550</v>
      </c>
    </row>
    <row r="1092" spans="1:3" x14ac:dyDescent="0.25">
      <c r="A1092" t="s">
        <v>1531</v>
      </c>
      <c r="B1092" t="s">
        <v>443</v>
      </c>
      <c r="C1092" t="s">
        <v>1550</v>
      </c>
    </row>
    <row r="1093" spans="1:3" x14ac:dyDescent="0.25">
      <c r="A1093" t="s">
        <v>1531</v>
      </c>
      <c r="B1093" t="s">
        <v>444</v>
      </c>
      <c r="C1093" t="s">
        <v>1550</v>
      </c>
    </row>
    <row r="1094" spans="1:3" x14ac:dyDescent="0.25">
      <c r="A1094" t="s">
        <v>1531</v>
      </c>
      <c r="B1094" t="s">
        <v>445</v>
      </c>
      <c r="C1094" t="s">
        <v>1550</v>
      </c>
    </row>
    <row r="1095" spans="1:3" x14ac:dyDescent="0.25">
      <c r="A1095" t="s">
        <v>1531</v>
      </c>
      <c r="B1095" t="s">
        <v>446</v>
      </c>
      <c r="C1095" t="s">
        <v>1550</v>
      </c>
    </row>
    <row r="1096" spans="1:3" x14ac:dyDescent="0.25">
      <c r="A1096" t="s">
        <v>1531</v>
      </c>
      <c r="B1096" t="s">
        <v>447</v>
      </c>
      <c r="C1096" t="s">
        <v>1550</v>
      </c>
    </row>
    <row r="1097" spans="1:3" x14ac:dyDescent="0.25">
      <c r="A1097" t="s">
        <v>1531</v>
      </c>
      <c r="B1097" t="s">
        <v>448</v>
      </c>
      <c r="C1097" t="s">
        <v>1550</v>
      </c>
    </row>
    <row r="1098" spans="1:3" x14ac:dyDescent="0.25">
      <c r="A1098" t="s">
        <v>1531</v>
      </c>
      <c r="B1098" t="s">
        <v>449</v>
      </c>
      <c r="C1098" t="s">
        <v>1550</v>
      </c>
    </row>
    <row r="1099" spans="1:3" x14ac:dyDescent="0.25">
      <c r="A1099" t="s">
        <v>1531</v>
      </c>
      <c r="B1099" t="s">
        <v>450</v>
      </c>
      <c r="C1099" t="s">
        <v>1550</v>
      </c>
    </row>
    <row r="1100" spans="1:3" x14ac:dyDescent="0.25">
      <c r="A1100" t="s">
        <v>1531</v>
      </c>
      <c r="B1100" t="s">
        <v>451</v>
      </c>
      <c r="C1100" t="s">
        <v>1550</v>
      </c>
    </row>
    <row r="1101" spans="1:3" x14ac:dyDescent="0.25">
      <c r="A1101" t="s">
        <v>1531</v>
      </c>
      <c r="B1101" t="s">
        <v>452</v>
      </c>
      <c r="C1101" t="s">
        <v>1550</v>
      </c>
    </row>
    <row r="1102" spans="1:3" x14ac:dyDescent="0.25">
      <c r="A1102" t="s">
        <v>1531</v>
      </c>
      <c r="B1102" t="s">
        <v>453</v>
      </c>
      <c r="C1102" t="s">
        <v>1550</v>
      </c>
    </row>
    <row r="1103" spans="1:3" x14ac:dyDescent="0.25">
      <c r="A1103" t="s">
        <v>1531</v>
      </c>
      <c r="B1103" t="s">
        <v>454</v>
      </c>
      <c r="C1103" t="s">
        <v>1550</v>
      </c>
    </row>
    <row r="1104" spans="1:3" x14ac:dyDescent="0.25">
      <c r="A1104" t="s">
        <v>1531</v>
      </c>
      <c r="B1104" t="s">
        <v>455</v>
      </c>
      <c r="C1104" t="s">
        <v>1550</v>
      </c>
    </row>
    <row r="1105" spans="1:3" x14ac:dyDescent="0.25">
      <c r="A1105" t="s">
        <v>1531</v>
      </c>
      <c r="B1105" t="s">
        <v>456</v>
      </c>
      <c r="C1105" t="s">
        <v>1550</v>
      </c>
    </row>
    <row r="1106" spans="1:3" x14ac:dyDescent="0.25">
      <c r="A1106" t="s">
        <v>1531</v>
      </c>
      <c r="B1106" t="s">
        <v>457</v>
      </c>
      <c r="C1106" t="s">
        <v>1550</v>
      </c>
    </row>
    <row r="1107" spans="1:3" x14ac:dyDescent="0.25">
      <c r="A1107" t="s">
        <v>1531</v>
      </c>
      <c r="B1107" t="s">
        <v>458</v>
      </c>
      <c r="C1107" t="s">
        <v>1550</v>
      </c>
    </row>
    <row r="1108" spans="1:3" x14ac:dyDescent="0.25">
      <c r="A1108" t="s">
        <v>1531</v>
      </c>
      <c r="B1108" t="s">
        <v>459</v>
      </c>
      <c r="C1108" t="s">
        <v>1550</v>
      </c>
    </row>
    <row r="1109" spans="1:3" x14ac:dyDescent="0.25">
      <c r="A1109" t="s">
        <v>1531</v>
      </c>
      <c r="B1109" t="s">
        <v>461</v>
      </c>
      <c r="C1109" t="s">
        <v>1550</v>
      </c>
    </row>
    <row r="1110" spans="1:3" x14ac:dyDescent="0.25">
      <c r="A1110" t="s">
        <v>1531</v>
      </c>
      <c r="B1110" t="s">
        <v>462</v>
      </c>
      <c r="C1110" t="s">
        <v>1550</v>
      </c>
    </row>
    <row r="1111" spans="1:3" x14ac:dyDescent="0.25">
      <c r="A1111" t="s">
        <v>1531</v>
      </c>
      <c r="B1111" t="s">
        <v>463</v>
      </c>
      <c r="C1111" t="s">
        <v>1550</v>
      </c>
    </row>
    <row r="1112" spans="1:3" x14ac:dyDescent="0.25">
      <c r="A1112" t="s">
        <v>1531</v>
      </c>
      <c r="B1112" t="s">
        <v>464</v>
      </c>
      <c r="C1112" t="s">
        <v>1550</v>
      </c>
    </row>
    <row r="1113" spans="1:3" x14ac:dyDescent="0.25">
      <c r="A1113" t="s">
        <v>1531</v>
      </c>
      <c r="B1113" t="s">
        <v>465</v>
      </c>
      <c r="C1113" t="s">
        <v>1550</v>
      </c>
    </row>
    <row r="1114" spans="1:3" x14ac:dyDescent="0.25">
      <c r="A1114" t="s">
        <v>1531</v>
      </c>
      <c r="B1114" t="s">
        <v>466</v>
      </c>
      <c r="C1114" t="s">
        <v>1550</v>
      </c>
    </row>
    <row r="1115" spans="1:3" x14ac:dyDescent="0.25">
      <c r="A1115" t="s">
        <v>1531</v>
      </c>
      <c r="B1115" t="s">
        <v>467</v>
      </c>
      <c r="C1115" t="s">
        <v>1550</v>
      </c>
    </row>
    <row r="1116" spans="1:3" x14ac:dyDescent="0.25">
      <c r="A1116" t="s">
        <v>1531</v>
      </c>
      <c r="B1116" t="s">
        <v>468</v>
      </c>
      <c r="C1116" t="s">
        <v>1550</v>
      </c>
    </row>
    <row r="1117" spans="1:3" x14ac:dyDescent="0.25">
      <c r="A1117" t="s">
        <v>1531</v>
      </c>
      <c r="B1117" t="s">
        <v>469</v>
      </c>
      <c r="C1117" t="s">
        <v>1550</v>
      </c>
    </row>
    <row r="1118" spans="1:3" x14ac:dyDescent="0.25">
      <c r="A1118" t="s">
        <v>1531</v>
      </c>
      <c r="B1118" t="s">
        <v>470</v>
      </c>
      <c r="C1118" t="s">
        <v>1550</v>
      </c>
    </row>
    <row r="1119" spans="1:3" x14ac:dyDescent="0.25">
      <c r="A1119" t="s">
        <v>1531</v>
      </c>
      <c r="B1119" t="s">
        <v>471</v>
      </c>
      <c r="C1119" t="s">
        <v>1550</v>
      </c>
    </row>
    <row r="1120" spans="1:3" x14ac:dyDescent="0.25">
      <c r="A1120" t="s">
        <v>1531</v>
      </c>
      <c r="B1120" t="s">
        <v>472</v>
      </c>
      <c r="C1120" t="s">
        <v>1550</v>
      </c>
    </row>
    <row r="1121" spans="1:3" x14ac:dyDescent="0.25">
      <c r="A1121" t="s">
        <v>1531</v>
      </c>
      <c r="B1121" t="s">
        <v>473</v>
      </c>
      <c r="C1121" t="s">
        <v>1550</v>
      </c>
    </row>
    <row r="1122" spans="1:3" x14ac:dyDescent="0.25">
      <c r="A1122" t="s">
        <v>1531</v>
      </c>
      <c r="B1122" t="s">
        <v>474</v>
      </c>
      <c r="C1122" t="s">
        <v>1550</v>
      </c>
    </row>
    <row r="1123" spans="1:3" x14ac:dyDescent="0.25">
      <c r="A1123" t="s">
        <v>1531</v>
      </c>
      <c r="B1123" t="s">
        <v>475</v>
      </c>
      <c r="C1123" t="s">
        <v>1550</v>
      </c>
    </row>
    <row r="1124" spans="1:3" x14ac:dyDescent="0.25">
      <c r="A1124" t="s">
        <v>1531</v>
      </c>
      <c r="B1124" t="s">
        <v>476</v>
      </c>
      <c r="C1124" t="s">
        <v>1550</v>
      </c>
    </row>
    <row r="1125" spans="1:3" x14ac:dyDescent="0.25">
      <c r="A1125" t="s">
        <v>1531</v>
      </c>
      <c r="B1125" t="s">
        <v>477</v>
      </c>
      <c r="C1125" t="s">
        <v>1550</v>
      </c>
    </row>
    <row r="1126" spans="1:3" x14ac:dyDescent="0.25">
      <c r="A1126" t="s">
        <v>1531</v>
      </c>
      <c r="B1126" t="s">
        <v>478</v>
      </c>
      <c r="C1126" t="s">
        <v>1550</v>
      </c>
    </row>
    <row r="1127" spans="1:3" x14ac:dyDescent="0.25">
      <c r="A1127" t="s">
        <v>1531</v>
      </c>
      <c r="B1127" t="s">
        <v>479</v>
      </c>
      <c r="C1127" t="s">
        <v>1550</v>
      </c>
    </row>
    <row r="1128" spans="1:3" x14ac:dyDescent="0.25">
      <c r="A1128" t="s">
        <v>1531</v>
      </c>
      <c r="B1128" t="s">
        <v>480</v>
      </c>
      <c r="C1128" t="s">
        <v>1550</v>
      </c>
    </row>
    <row r="1129" spans="1:3" x14ac:dyDescent="0.25">
      <c r="A1129" t="s">
        <v>1531</v>
      </c>
      <c r="B1129" t="s">
        <v>481</v>
      </c>
      <c r="C1129" t="s">
        <v>1550</v>
      </c>
    </row>
    <row r="1130" spans="1:3" x14ac:dyDescent="0.25">
      <c r="A1130" t="s">
        <v>1531</v>
      </c>
      <c r="B1130" t="s">
        <v>482</v>
      </c>
      <c r="C1130" t="s">
        <v>1550</v>
      </c>
    </row>
    <row r="1131" spans="1:3" x14ac:dyDescent="0.25">
      <c r="A1131" t="s">
        <v>1531</v>
      </c>
      <c r="B1131" t="s">
        <v>483</v>
      </c>
      <c r="C1131" t="s">
        <v>1550</v>
      </c>
    </row>
    <row r="1132" spans="1:3" x14ac:dyDescent="0.25">
      <c r="A1132" t="s">
        <v>1531</v>
      </c>
      <c r="B1132" t="s">
        <v>484</v>
      </c>
      <c r="C1132" t="s">
        <v>1550</v>
      </c>
    </row>
    <row r="1133" spans="1:3" x14ac:dyDescent="0.25">
      <c r="A1133" t="s">
        <v>1531</v>
      </c>
      <c r="B1133" t="s">
        <v>485</v>
      </c>
      <c r="C1133" t="s">
        <v>1550</v>
      </c>
    </row>
    <row r="1134" spans="1:3" x14ac:dyDescent="0.25">
      <c r="A1134" t="s">
        <v>1531</v>
      </c>
      <c r="B1134" t="s">
        <v>486</v>
      </c>
      <c r="C1134" t="s">
        <v>1550</v>
      </c>
    </row>
    <row r="1135" spans="1:3" x14ac:dyDescent="0.25">
      <c r="A1135" t="s">
        <v>1531</v>
      </c>
      <c r="B1135" t="s">
        <v>487</v>
      </c>
      <c r="C1135" t="s">
        <v>1550</v>
      </c>
    </row>
    <row r="1136" spans="1:3" x14ac:dyDescent="0.25">
      <c r="A1136" t="s">
        <v>1531</v>
      </c>
      <c r="B1136" t="s">
        <v>488</v>
      </c>
      <c r="C1136" t="s">
        <v>1550</v>
      </c>
    </row>
    <row r="1137" spans="1:3" x14ac:dyDescent="0.25">
      <c r="A1137" t="s">
        <v>1531</v>
      </c>
      <c r="B1137" t="s">
        <v>489</v>
      </c>
      <c r="C1137" t="s">
        <v>1550</v>
      </c>
    </row>
    <row r="1138" spans="1:3" x14ac:dyDescent="0.25">
      <c r="A1138" t="s">
        <v>1531</v>
      </c>
      <c r="B1138" t="s">
        <v>490</v>
      </c>
      <c r="C1138" t="s">
        <v>1550</v>
      </c>
    </row>
    <row r="1139" spans="1:3" x14ac:dyDescent="0.25">
      <c r="A1139" t="s">
        <v>1531</v>
      </c>
      <c r="B1139" t="s">
        <v>491</v>
      </c>
      <c r="C1139" t="s">
        <v>1550</v>
      </c>
    </row>
    <row r="1140" spans="1:3" x14ac:dyDescent="0.25">
      <c r="A1140" t="s">
        <v>1531</v>
      </c>
      <c r="B1140" t="s">
        <v>493</v>
      </c>
      <c r="C1140" t="s">
        <v>1550</v>
      </c>
    </row>
    <row r="1141" spans="1:3" x14ac:dyDescent="0.25">
      <c r="A1141" t="s">
        <v>1531</v>
      </c>
      <c r="B1141" t="s">
        <v>494</v>
      </c>
      <c r="C1141" t="s">
        <v>1550</v>
      </c>
    </row>
    <row r="1142" spans="1:3" x14ac:dyDescent="0.25">
      <c r="A1142" t="s">
        <v>1531</v>
      </c>
      <c r="B1142" t="s">
        <v>495</v>
      </c>
      <c r="C1142" t="s">
        <v>1550</v>
      </c>
    </row>
    <row r="1143" spans="1:3" x14ac:dyDescent="0.25">
      <c r="A1143" t="s">
        <v>1531</v>
      </c>
      <c r="B1143" t="s">
        <v>496</v>
      </c>
      <c r="C1143" t="s">
        <v>1550</v>
      </c>
    </row>
    <row r="1144" spans="1:3" x14ac:dyDescent="0.25">
      <c r="A1144" t="s">
        <v>1531</v>
      </c>
      <c r="B1144" t="s">
        <v>497</v>
      </c>
      <c r="C1144" t="s">
        <v>1550</v>
      </c>
    </row>
    <row r="1145" spans="1:3" x14ac:dyDescent="0.25">
      <c r="A1145" t="s">
        <v>1531</v>
      </c>
      <c r="B1145" t="s">
        <v>498</v>
      </c>
      <c r="C1145" t="s">
        <v>1550</v>
      </c>
    </row>
    <row r="1146" spans="1:3" x14ac:dyDescent="0.25">
      <c r="A1146" t="s">
        <v>1531</v>
      </c>
      <c r="B1146" t="s">
        <v>499</v>
      </c>
      <c r="C1146" t="s">
        <v>1550</v>
      </c>
    </row>
    <row r="1147" spans="1:3" x14ac:dyDescent="0.25">
      <c r="A1147" t="s">
        <v>1531</v>
      </c>
      <c r="B1147" t="s">
        <v>500</v>
      </c>
      <c r="C1147" t="s">
        <v>1550</v>
      </c>
    </row>
    <row r="1148" spans="1:3" x14ac:dyDescent="0.25">
      <c r="A1148" t="s">
        <v>1531</v>
      </c>
      <c r="B1148" t="s">
        <v>501</v>
      </c>
      <c r="C1148" t="s">
        <v>1550</v>
      </c>
    </row>
    <row r="1149" spans="1:3" x14ac:dyDescent="0.25">
      <c r="A1149" t="s">
        <v>1531</v>
      </c>
      <c r="B1149" t="s">
        <v>502</v>
      </c>
      <c r="C1149" t="s">
        <v>1550</v>
      </c>
    </row>
    <row r="1150" spans="1:3" x14ac:dyDescent="0.25">
      <c r="A1150" t="s">
        <v>1531</v>
      </c>
      <c r="B1150" t="s">
        <v>503</v>
      </c>
      <c r="C1150" t="s">
        <v>1550</v>
      </c>
    </row>
    <row r="1151" spans="1:3" x14ac:dyDescent="0.25">
      <c r="A1151" t="s">
        <v>1531</v>
      </c>
      <c r="B1151" t="s">
        <v>504</v>
      </c>
      <c r="C1151" t="s">
        <v>1550</v>
      </c>
    </row>
    <row r="1152" spans="1:3" x14ac:dyDescent="0.25">
      <c r="A1152" t="s">
        <v>1531</v>
      </c>
      <c r="B1152" t="s">
        <v>505</v>
      </c>
      <c r="C1152" t="s">
        <v>1550</v>
      </c>
    </row>
    <row r="1153" spans="1:3" x14ac:dyDescent="0.25">
      <c r="A1153" t="s">
        <v>1531</v>
      </c>
      <c r="B1153" t="s">
        <v>506</v>
      </c>
      <c r="C1153" t="s">
        <v>1550</v>
      </c>
    </row>
    <row r="1154" spans="1:3" x14ac:dyDescent="0.25">
      <c r="A1154" t="s">
        <v>1531</v>
      </c>
      <c r="B1154" t="s">
        <v>507</v>
      </c>
      <c r="C1154" t="s">
        <v>1550</v>
      </c>
    </row>
    <row r="1155" spans="1:3" x14ac:dyDescent="0.25">
      <c r="A1155" t="s">
        <v>1531</v>
      </c>
      <c r="B1155" t="s">
        <v>508</v>
      </c>
      <c r="C1155" t="s">
        <v>1550</v>
      </c>
    </row>
    <row r="1156" spans="1:3" x14ac:dyDescent="0.25">
      <c r="A1156" t="s">
        <v>1531</v>
      </c>
      <c r="B1156" t="s">
        <v>509</v>
      </c>
      <c r="C1156" t="s">
        <v>1550</v>
      </c>
    </row>
    <row r="1157" spans="1:3" x14ac:dyDescent="0.25">
      <c r="A1157" t="s">
        <v>1531</v>
      </c>
      <c r="B1157" t="s">
        <v>510</v>
      </c>
      <c r="C1157" t="s">
        <v>1550</v>
      </c>
    </row>
    <row r="1158" spans="1:3" x14ac:dyDescent="0.25">
      <c r="A1158" t="s">
        <v>1531</v>
      </c>
      <c r="B1158" t="s">
        <v>511</v>
      </c>
      <c r="C1158" t="s">
        <v>1550</v>
      </c>
    </row>
    <row r="1159" spans="1:3" x14ac:dyDescent="0.25">
      <c r="A1159" t="s">
        <v>1531</v>
      </c>
      <c r="B1159" t="s">
        <v>512</v>
      </c>
      <c r="C1159" t="s">
        <v>1550</v>
      </c>
    </row>
    <row r="1160" spans="1:3" x14ac:dyDescent="0.25">
      <c r="A1160" t="s">
        <v>1531</v>
      </c>
      <c r="B1160" t="s">
        <v>513</v>
      </c>
      <c r="C1160" t="s">
        <v>1550</v>
      </c>
    </row>
    <row r="1161" spans="1:3" x14ac:dyDescent="0.25">
      <c r="A1161" t="s">
        <v>1531</v>
      </c>
      <c r="B1161" t="s">
        <v>514</v>
      </c>
      <c r="C1161" t="s">
        <v>1550</v>
      </c>
    </row>
    <row r="1162" spans="1:3" x14ac:dyDescent="0.25">
      <c r="A1162" t="s">
        <v>1531</v>
      </c>
      <c r="B1162" t="s">
        <v>515</v>
      </c>
      <c r="C1162" t="s">
        <v>1550</v>
      </c>
    </row>
    <row r="1163" spans="1:3" x14ac:dyDescent="0.25">
      <c r="A1163" t="s">
        <v>1531</v>
      </c>
      <c r="B1163" t="s">
        <v>516</v>
      </c>
      <c r="C1163" t="s">
        <v>1550</v>
      </c>
    </row>
    <row r="1164" spans="1:3" x14ac:dyDescent="0.25">
      <c r="A1164" t="s">
        <v>1531</v>
      </c>
      <c r="B1164" t="s">
        <v>517</v>
      </c>
      <c r="C1164" t="s">
        <v>1550</v>
      </c>
    </row>
    <row r="1165" spans="1:3" x14ac:dyDescent="0.25">
      <c r="A1165" t="s">
        <v>1531</v>
      </c>
      <c r="B1165" t="s">
        <v>518</v>
      </c>
      <c r="C1165" t="s">
        <v>1550</v>
      </c>
    </row>
    <row r="1166" spans="1:3" x14ac:dyDescent="0.25">
      <c r="A1166" t="s">
        <v>1531</v>
      </c>
      <c r="B1166" t="s">
        <v>519</v>
      </c>
      <c r="C1166" t="s">
        <v>1550</v>
      </c>
    </row>
    <row r="1167" spans="1:3" x14ac:dyDescent="0.25">
      <c r="A1167" t="s">
        <v>1531</v>
      </c>
      <c r="B1167" t="s">
        <v>520</v>
      </c>
      <c r="C1167" t="s">
        <v>1550</v>
      </c>
    </row>
    <row r="1168" spans="1:3" x14ac:dyDescent="0.25">
      <c r="A1168" t="s">
        <v>1531</v>
      </c>
      <c r="B1168" t="s">
        <v>521</v>
      </c>
      <c r="C1168" t="s">
        <v>1550</v>
      </c>
    </row>
    <row r="1169" spans="1:3" x14ac:dyDescent="0.25">
      <c r="A1169" t="s">
        <v>1531</v>
      </c>
      <c r="B1169" t="s">
        <v>522</v>
      </c>
      <c r="C1169" t="s">
        <v>1550</v>
      </c>
    </row>
    <row r="1170" spans="1:3" x14ac:dyDescent="0.25">
      <c r="A1170" t="s">
        <v>1531</v>
      </c>
      <c r="B1170" t="s">
        <v>523</v>
      </c>
      <c r="C1170" t="s">
        <v>1550</v>
      </c>
    </row>
    <row r="1171" spans="1:3" x14ac:dyDescent="0.25">
      <c r="A1171" t="s">
        <v>1531</v>
      </c>
      <c r="B1171" t="s">
        <v>524</v>
      </c>
      <c r="C1171" t="s">
        <v>1550</v>
      </c>
    </row>
    <row r="1172" spans="1:3" x14ac:dyDescent="0.25">
      <c r="A1172" t="s">
        <v>1531</v>
      </c>
      <c r="B1172" t="s">
        <v>525</v>
      </c>
      <c r="C1172" t="s">
        <v>1550</v>
      </c>
    </row>
    <row r="1173" spans="1:3" x14ac:dyDescent="0.25">
      <c r="A1173" t="s">
        <v>1531</v>
      </c>
      <c r="B1173" t="s">
        <v>526</v>
      </c>
      <c r="C1173" t="s">
        <v>1550</v>
      </c>
    </row>
    <row r="1174" spans="1:3" x14ac:dyDescent="0.25">
      <c r="A1174" t="s">
        <v>1531</v>
      </c>
      <c r="B1174" t="s">
        <v>527</v>
      </c>
      <c r="C1174" t="s">
        <v>1550</v>
      </c>
    </row>
    <row r="1175" spans="1:3" x14ac:dyDescent="0.25">
      <c r="A1175" t="s">
        <v>1531</v>
      </c>
      <c r="B1175" t="s">
        <v>528</v>
      </c>
      <c r="C1175" t="s">
        <v>1550</v>
      </c>
    </row>
    <row r="1176" spans="1:3" x14ac:dyDescent="0.25">
      <c r="A1176" t="s">
        <v>1531</v>
      </c>
      <c r="B1176" t="s">
        <v>529</v>
      </c>
      <c r="C1176" t="s">
        <v>1550</v>
      </c>
    </row>
    <row r="1177" spans="1:3" x14ac:dyDescent="0.25">
      <c r="A1177" t="s">
        <v>1531</v>
      </c>
      <c r="B1177" t="s">
        <v>530</v>
      </c>
      <c r="C1177" t="s">
        <v>1550</v>
      </c>
    </row>
    <row r="1178" spans="1:3" x14ac:dyDescent="0.25">
      <c r="A1178" t="s">
        <v>1531</v>
      </c>
      <c r="B1178" t="s">
        <v>531</v>
      </c>
      <c r="C1178" t="s">
        <v>1550</v>
      </c>
    </row>
    <row r="1179" spans="1:3" x14ac:dyDescent="0.25">
      <c r="A1179" t="s">
        <v>1531</v>
      </c>
      <c r="B1179" t="s">
        <v>532</v>
      </c>
      <c r="C1179" t="s">
        <v>1550</v>
      </c>
    </row>
    <row r="1180" spans="1:3" x14ac:dyDescent="0.25">
      <c r="A1180" t="s">
        <v>1531</v>
      </c>
      <c r="B1180" t="s">
        <v>533</v>
      </c>
      <c r="C1180" t="s">
        <v>1550</v>
      </c>
    </row>
    <row r="1181" spans="1:3" x14ac:dyDescent="0.25">
      <c r="A1181" t="s">
        <v>1531</v>
      </c>
      <c r="B1181" t="s">
        <v>534</v>
      </c>
      <c r="C1181" t="s">
        <v>1550</v>
      </c>
    </row>
    <row r="1182" spans="1:3" x14ac:dyDescent="0.25">
      <c r="A1182" t="s">
        <v>1531</v>
      </c>
      <c r="B1182" t="s">
        <v>535</v>
      </c>
      <c r="C1182" t="s">
        <v>1550</v>
      </c>
    </row>
    <row r="1183" spans="1:3" x14ac:dyDescent="0.25">
      <c r="A1183" t="s">
        <v>1531</v>
      </c>
      <c r="B1183" t="s">
        <v>536</v>
      </c>
      <c r="C1183" t="s">
        <v>1550</v>
      </c>
    </row>
    <row r="1184" spans="1:3" x14ac:dyDescent="0.25">
      <c r="A1184" t="s">
        <v>1531</v>
      </c>
      <c r="B1184" t="s">
        <v>537</v>
      </c>
      <c r="C1184" t="s">
        <v>1550</v>
      </c>
    </row>
    <row r="1185" spans="1:3" x14ac:dyDescent="0.25">
      <c r="A1185" t="s">
        <v>1531</v>
      </c>
      <c r="B1185" t="s">
        <v>538</v>
      </c>
      <c r="C1185" t="s">
        <v>1550</v>
      </c>
    </row>
    <row r="1186" spans="1:3" x14ac:dyDescent="0.25">
      <c r="A1186" t="s">
        <v>1531</v>
      </c>
      <c r="B1186" t="s">
        <v>539</v>
      </c>
      <c r="C1186" t="s">
        <v>1550</v>
      </c>
    </row>
    <row r="1187" spans="1:3" x14ac:dyDescent="0.25">
      <c r="A1187" t="s">
        <v>1531</v>
      </c>
      <c r="B1187" t="s">
        <v>540</v>
      </c>
      <c r="C1187" t="s">
        <v>1550</v>
      </c>
    </row>
    <row r="1188" spans="1:3" x14ac:dyDescent="0.25">
      <c r="A1188" t="s">
        <v>1531</v>
      </c>
      <c r="B1188" t="s">
        <v>541</v>
      </c>
      <c r="C1188" t="s">
        <v>1550</v>
      </c>
    </row>
    <row r="1189" spans="1:3" x14ac:dyDescent="0.25">
      <c r="A1189" t="s">
        <v>1531</v>
      </c>
      <c r="B1189" t="s">
        <v>542</v>
      </c>
      <c r="C1189" t="s">
        <v>1550</v>
      </c>
    </row>
    <row r="1190" spans="1:3" x14ac:dyDescent="0.25">
      <c r="A1190" t="s">
        <v>1531</v>
      </c>
      <c r="B1190" t="s">
        <v>543</v>
      </c>
      <c r="C1190" t="s">
        <v>1550</v>
      </c>
    </row>
    <row r="1191" spans="1:3" x14ac:dyDescent="0.25">
      <c r="A1191" t="s">
        <v>1531</v>
      </c>
      <c r="B1191" t="s">
        <v>544</v>
      </c>
      <c r="C1191" t="s">
        <v>1550</v>
      </c>
    </row>
    <row r="1192" spans="1:3" x14ac:dyDescent="0.25">
      <c r="A1192" t="s">
        <v>1531</v>
      </c>
      <c r="B1192" t="s">
        <v>545</v>
      </c>
      <c r="C1192" t="s">
        <v>1550</v>
      </c>
    </row>
    <row r="1193" spans="1:3" x14ac:dyDescent="0.25">
      <c r="A1193" t="s">
        <v>1531</v>
      </c>
      <c r="B1193" t="s">
        <v>546</v>
      </c>
      <c r="C1193" t="s">
        <v>1550</v>
      </c>
    </row>
    <row r="1194" spans="1:3" x14ac:dyDescent="0.25">
      <c r="A1194" t="s">
        <v>1531</v>
      </c>
      <c r="B1194" t="s">
        <v>547</v>
      </c>
      <c r="C1194" t="s">
        <v>1550</v>
      </c>
    </row>
    <row r="1195" spans="1:3" x14ac:dyDescent="0.25">
      <c r="A1195" t="s">
        <v>1531</v>
      </c>
      <c r="B1195" t="s">
        <v>646</v>
      </c>
      <c r="C1195" t="s">
        <v>1551</v>
      </c>
    </row>
    <row r="1196" spans="1:3" x14ac:dyDescent="0.25">
      <c r="A1196" t="s">
        <v>1531</v>
      </c>
      <c r="B1196" t="s">
        <v>649</v>
      </c>
      <c r="C1196" t="s">
        <v>1551</v>
      </c>
    </row>
    <row r="1197" spans="1:3" x14ac:dyDescent="0.25">
      <c r="A1197" t="s">
        <v>1531</v>
      </c>
      <c r="B1197" t="s">
        <v>651</v>
      </c>
      <c r="C1197" t="s">
        <v>1551</v>
      </c>
    </row>
    <row r="1198" spans="1:3" x14ac:dyDescent="0.25">
      <c r="A1198" t="s">
        <v>1531</v>
      </c>
      <c r="B1198" t="s">
        <v>653</v>
      </c>
      <c r="C1198" t="s">
        <v>1551</v>
      </c>
    </row>
    <row r="1199" spans="1:3" x14ac:dyDescent="0.25">
      <c r="A1199" t="s">
        <v>1531</v>
      </c>
      <c r="B1199" t="s">
        <v>655</v>
      </c>
      <c r="C1199" t="s">
        <v>1551</v>
      </c>
    </row>
    <row r="1200" spans="1:3" x14ac:dyDescent="0.25">
      <c r="A1200" t="s">
        <v>1531</v>
      </c>
      <c r="B1200" t="s">
        <v>657</v>
      </c>
      <c r="C1200" t="s">
        <v>1551</v>
      </c>
    </row>
    <row r="1201" spans="1:3" x14ac:dyDescent="0.25">
      <c r="A1201" t="s">
        <v>1531</v>
      </c>
      <c r="B1201" t="s">
        <v>659</v>
      </c>
      <c r="C1201" t="s">
        <v>1551</v>
      </c>
    </row>
    <row r="1202" spans="1:3" x14ac:dyDescent="0.25">
      <c r="A1202" t="s">
        <v>1531</v>
      </c>
      <c r="B1202" t="s">
        <v>661</v>
      </c>
      <c r="C1202" t="s">
        <v>1551</v>
      </c>
    </row>
    <row r="1203" spans="1:3" x14ac:dyDescent="0.25">
      <c r="A1203" t="s">
        <v>1531</v>
      </c>
      <c r="B1203" t="s">
        <v>663</v>
      </c>
      <c r="C1203" t="s">
        <v>1551</v>
      </c>
    </row>
    <row r="1204" spans="1:3" x14ac:dyDescent="0.25">
      <c r="A1204" t="s">
        <v>1531</v>
      </c>
      <c r="B1204" t="s">
        <v>665</v>
      </c>
      <c r="C1204" t="s">
        <v>1551</v>
      </c>
    </row>
    <row r="1205" spans="1:3" x14ac:dyDescent="0.25">
      <c r="A1205" t="s">
        <v>1531</v>
      </c>
      <c r="B1205" t="s">
        <v>667</v>
      </c>
      <c r="C1205" t="s">
        <v>1551</v>
      </c>
    </row>
    <row r="1206" spans="1:3" x14ac:dyDescent="0.25">
      <c r="A1206" t="s">
        <v>1531</v>
      </c>
      <c r="B1206" t="s">
        <v>669</v>
      </c>
      <c r="C1206" t="s">
        <v>1551</v>
      </c>
    </row>
    <row r="1207" spans="1:3" x14ac:dyDescent="0.25">
      <c r="A1207" t="s">
        <v>1531</v>
      </c>
      <c r="B1207" t="s">
        <v>671</v>
      </c>
      <c r="C1207" t="s">
        <v>1551</v>
      </c>
    </row>
    <row r="1208" spans="1:3" x14ac:dyDescent="0.25">
      <c r="A1208" t="s">
        <v>1531</v>
      </c>
      <c r="B1208" t="s">
        <v>673</v>
      </c>
      <c r="C1208" t="s">
        <v>1551</v>
      </c>
    </row>
    <row r="1209" spans="1:3" x14ac:dyDescent="0.25">
      <c r="A1209" t="s">
        <v>1531</v>
      </c>
      <c r="B1209" t="s">
        <v>675</v>
      </c>
      <c r="C1209" t="s">
        <v>1551</v>
      </c>
    </row>
    <row r="1210" spans="1:3" x14ac:dyDescent="0.25">
      <c r="A1210" t="s">
        <v>1531</v>
      </c>
      <c r="B1210" t="s">
        <v>677</v>
      </c>
      <c r="C1210" t="s">
        <v>1551</v>
      </c>
    </row>
    <row r="1211" spans="1:3" x14ac:dyDescent="0.25">
      <c r="A1211" t="s">
        <v>1531</v>
      </c>
      <c r="B1211" t="s">
        <v>679</v>
      </c>
      <c r="C1211" t="s">
        <v>1551</v>
      </c>
    </row>
    <row r="1212" spans="1:3" x14ac:dyDescent="0.25">
      <c r="A1212" t="s">
        <v>1531</v>
      </c>
      <c r="B1212" t="s">
        <v>682</v>
      </c>
      <c r="C1212" t="s">
        <v>1551</v>
      </c>
    </row>
    <row r="1213" spans="1:3" x14ac:dyDescent="0.25">
      <c r="A1213" t="s">
        <v>1531</v>
      </c>
      <c r="B1213" t="s">
        <v>684</v>
      </c>
      <c r="C1213" t="s">
        <v>1551</v>
      </c>
    </row>
    <row r="1214" spans="1:3" x14ac:dyDescent="0.25">
      <c r="A1214" t="s">
        <v>1531</v>
      </c>
      <c r="B1214" t="s">
        <v>686</v>
      </c>
      <c r="C1214" t="s">
        <v>1551</v>
      </c>
    </row>
    <row r="1215" spans="1:3" x14ac:dyDescent="0.25">
      <c r="A1215" t="s">
        <v>1531</v>
      </c>
      <c r="B1215" t="s">
        <v>688</v>
      </c>
      <c r="C1215" t="s">
        <v>1551</v>
      </c>
    </row>
    <row r="1216" spans="1:3" x14ac:dyDescent="0.25">
      <c r="A1216" t="s">
        <v>1531</v>
      </c>
      <c r="B1216" t="s">
        <v>690</v>
      </c>
      <c r="C1216" t="s">
        <v>1551</v>
      </c>
    </row>
    <row r="1217" spans="1:3" x14ac:dyDescent="0.25">
      <c r="A1217" t="s">
        <v>1531</v>
      </c>
      <c r="B1217" t="s">
        <v>692</v>
      </c>
      <c r="C1217" t="s">
        <v>1551</v>
      </c>
    </row>
    <row r="1218" spans="1:3" x14ac:dyDescent="0.25">
      <c r="A1218" t="s">
        <v>1531</v>
      </c>
      <c r="B1218" t="s">
        <v>694</v>
      </c>
      <c r="C1218" t="s">
        <v>1551</v>
      </c>
    </row>
    <row r="1219" spans="1:3" x14ac:dyDescent="0.25">
      <c r="A1219" t="s">
        <v>1531</v>
      </c>
      <c r="B1219" t="s">
        <v>696</v>
      </c>
      <c r="C1219" t="s">
        <v>1551</v>
      </c>
    </row>
    <row r="1220" spans="1:3" x14ac:dyDescent="0.25">
      <c r="A1220" t="s">
        <v>1531</v>
      </c>
      <c r="B1220" t="s">
        <v>698</v>
      </c>
      <c r="C1220" t="s">
        <v>1551</v>
      </c>
    </row>
    <row r="1221" spans="1:3" x14ac:dyDescent="0.25">
      <c r="A1221" t="s">
        <v>1531</v>
      </c>
      <c r="B1221" t="s">
        <v>700</v>
      </c>
      <c r="C1221" t="s">
        <v>1551</v>
      </c>
    </row>
    <row r="1222" spans="1:3" x14ac:dyDescent="0.25">
      <c r="A1222" t="s">
        <v>1531</v>
      </c>
      <c r="B1222" t="s">
        <v>702</v>
      </c>
      <c r="C1222" t="s">
        <v>1551</v>
      </c>
    </row>
    <row r="1223" spans="1:3" x14ac:dyDescent="0.25">
      <c r="A1223" t="s">
        <v>1531</v>
      </c>
      <c r="B1223" t="s">
        <v>704</v>
      </c>
      <c r="C1223" t="s">
        <v>1551</v>
      </c>
    </row>
    <row r="1224" spans="1:3" x14ac:dyDescent="0.25">
      <c r="A1224" t="s">
        <v>1531</v>
      </c>
      <c r="B1224" t="s">
        <v>706</v>
      </c>
      <c r="C1224" t="s">
        <v>1551</v>
      </c>
    </row>
    <row r="1225" spans="1:3" x14ac:dyDescent="0.25">
      <c r="A1225" t="s">
        <v>1531</v>
      </c>
      <c r="B1225" t="s">
        <v>708</v>
      </c>
      <c r="C1225" t="s">
        <v>1551</v>
      </c>
    </row>
    <row r="1226" spans="1:3" x14ac:dyDescent="0.25">
      <c r="A1226" t="s">
        <v>1531</v>
      </c>
      <c r="B1226" t="s">
        <v>709</v>
      </c>
      <c r="C1226" t="s">
        <v>1551</v>
      </c>
    </row>
    <row r="1227" spans="1:3" x14ac:dyDescent="0.25">
      <c r="A1227" t="s">
        <v>1531</v>
      </c>
      <c r="B1227" t="s">
        <v>710</v>
      </c>
      <c r="C1227" t="s">
        <v>1551</v>
      </c>
    </row>
    <row r="1228" spans="1:3" x14ac:dyDescent="0.25">
      <c r="A1228" t="s">
        <v>1531</v>
      </c>
      <c r="B1228" t="s">
        <v>711</v>
      </c>
      <c r="C1228" t="s">
        <v>1551</v>
      </c>
    </row>
    <row r="1229" spans="1:3" x14ac:dyDescent="0.25">
      <c r="A1229" t="s">
        <v>1531</v>
      </c>
      <c r="B1229" t="s">
        <v>712</v>
      </c>
      <c r="C1229" t="s">
        <v>1551</v>
      </c>
    </row>
    <row r="1230" spans="1:3" x14ac:dyDescent="0.25">
      <c r="A1230" t="s">
        <v>1531</v>
      </c>
      <c r="B1230" t="s">
        <v>713</v>
      </c>
      <c r="C1230" t="s">
        <v>1551</v>
      </c>
    </row>
    <row r="1231" spans="1:3" x14ac:dyDescent="0.25">
      <c r="A1231" t="s">
        <v>1531</v>
      </c>
      <c r="B1231" t="s">
        <v>714</v>
      </c>
      <c r="C1231" t="s">
        <v>1551</v>
      </c>
    </row>
    <row r="1232" spans="1:3" x14ac:dyDescent="0.25">
      <c r="A1232" t="s">
        <v>1531</v>
      </c>
      <c r="B1232" t="s">
        <v>715</v>
      </c>
      <c r="C1232" t="s">
        <v>1551</v>
      </c>
    </row>
    <row r="1233" spans="1:3" x14ac:dyDescent="0.25">
      <c r="A1233" t="s">
        <v>1531</v>
      </c>
      <c r="B1233" t="s">
        <v>716</v>
      </c>
      <c r="C1233" t="s">
        <v>1551</v>
      </c>
    </row>
    <row r="1234" spans="1:3" x14ac:dyDescent="0.25">
      <c r="A1234" t="s">
        <v>1531</v>
      </c>
      <c r="B1234" t="s">
        <v>717</v>
      </c>
      <c r="C1234" t="s">
        <v>1551</v>
      </c>
    </row>
    <row r="1235" spans="1:3" x14ac:dyDescent="0.25">
      <c r="A1235" t="s">
        <v>1531</v>
      </c>
      <c r="B1235" t="s">
        <v>718</v>
      </c>
      <c r="C1235" t="s">
        <v>1551</v>
      </c>
    </row>
    <row r="1236" spans="1:3" x14ac:dyDescent="0.25">
      <c r="A1236" t="s">
        <v>1531</v>
      </c>
      <c r="B1236" t="s">
        <v>719</v>
      </c>
      <c r="C1236" t="s">
        <v>1551</v>
      </c>
    </row>
    <row r="1237" spans="1:3" x14ac:dyDescent="0.25">
      <c r="A1237" t="s">
        <v>1531</v>
      </c>
      <c r="B1237" t="s">
        <v>720</v>
      </c>
      <c r="C1237" t="s">
        <v>1551</v>
      </c>
    </row>
    <row r="1238" spans="1:3" x14ac:dyDescent="0.25">
      <c r="A1238" t="s">
        <v>1531</v>
      </c>
      <c r="B1238" t="s">
        <v>721</v>
      </c>
      <c r="C1238" t="s">
        <v>1551</v>
      </c>
    </row>
    <row r="1239" spans="1:3" x14ac:dyDescent="0.25">
      <c r="A1239" t="s">
        <v>1531</v>
      </c>
      <c r="B1239" t="s">
        <v>722</v>
      </c>
      <c r="C1239" t="s">
        <v>1551</v>
      </c>
    </row>
    <row r="1240" spans="1:3" x14ac:dyDescent="0.25">
      <c r="A1240" t="s">
        <v>1531</v>
      </c>
      <c r="B1240" t="s">
        <v>723</v>
      </c>
      <c r="C1240" t="s">
        <v>1551</v>
      </c>
    </row>
    <row r="1241" spans="1:3" x14ac:dyDescent="0.25">
      <c r="A1241" t="s">
        <v>1531</v>
      </c>
      <c r="B1241" t="s">
        <v>724</v>
      </c>
      <c r="C1241" t="s">
        <v>1551</v>
      </c>
    </row>
    <row r="1242" spans="1:3" x14ac:dyDescent="0.25">
      <c r="A1242" t="s">
        <v>1531</v>
      </c>
      <c r="B1242" t="s">
        <v>725</v>
      </c>
      <c r="C1242" t="s">
        <v>1551</v>
      </c>
    </row>
    <row r="1243" spans="1:3" x14ac:dyDescent="0.25">
      <c r="A1243" t="s">
        <v>1531</v>
      </c>
      <c r="B1243" t="s">
        <v>726</v>
      </c>
      <c r="C1243" t="s">
        <v>1551</v>
      </c>
    </row>
    <row r="1244" spans="1:3" x14ac:dyDescent="0.25">
      <c r="A1244" t="s">
        <v>1531</v>
      </c>
      <c r="B1244" t="s">
        <v>727</v>
      </c>
      <c r="C1244" t="s">
        <v>1551</v>
      </c>
    </row>
    <row r="1245" spans="1:3" x14ac:dyDescent="0.25">
      <c r="A1245" t="s">
        <v>1531</v>
      </c>
      <c r="B1245" t="s">
        <v>728</v>
      </c>
      <c r="C1245" t="s">
        <v>1551</v>
      </c>
    </row>
    <row r="1246" spans="1:3" x14ac:dyDescent="0.25">
      <c r="A1246" t="s">
        <v>1531</v>
      </c>
      <c r="B1246" t="s">
        <v>729</v>
      </c>
      <c r="C1246" t="s">
        <v>1551</v>
      </c>
    </row>
    <row r="1247" spans="1:3" x14ac:dyDescent="0.25">
      <c r="A1247" t="s">
        <v>1531</v>
      </c>
      <c r="B1247" t="s">
        <v>730</v>
      </c>
      <c r="C1247" t="s">
        <v>1551</v>
      </c>
    </row>
    <row r="1248" spans="1:3" x14ac:dyDescent="0.25">
      <c r="A1248" t="s">
        <v>1531</v>
      </c>
      <c r="B1248" t="s">
        <v>731</v>
      </c>
      <c r="C1248" t="s">
        <v>1551</v>
      </c>
    </row>
    <row r="1249" spans="1:3" x14ac:dyDescent="0.25">
      <c r="A1249" t="s">
        <v>1531</v>
      </c>
      <c r="B1249" t="s">
        <v>732</v>
      </c>
      <c r="C1249" t="s">
        <v>1551</v>
      </c>
    </row>
    <row r="1250" spans="1:3" x14ac:dyDescent="0.25">
      <c r="A1250" t="s">
        <v>1531</v>
      </c>
      <c r="B1250" t="s">
        <v>733</v>
      </c>
      <c r="C1250" t="s">
        <v>1551</v>
      </c>
    </row>
    <row r="1251" spans="1:3" x14ac:dyDescent="0.25">
      <c r="A1251" t="s">
        <v>1531</v>
      </c>
      <c r="B1251" t="s">
        <v>734</v>
      </c>
      <c r="C1251" t="s">
        <v>1551</v>
      </c>
    </row>
    <row r="1252" spans="1:3" x14ac:dyDescent="0.25">
      <c r="A1252" t="s">
        <v>1531</v>
      </c>
      <c r="B1252" t="s">
        <v>735</v>
      </c>
      <c r="C1252" t="s">
        <v>1551</v>
      </c>
    </row>
    <row r="1253" spans="1:3" x14ac:dyDescent="0.25">
      <c r="A1253" t="s">
        <v>1531</v>
      </c>
      <c r="B1253" t="s">
        <v>736</v>
      </c>
      <c r="C1253" t="s">
        <v>1551</v>
      </c>
    </row>
    <row r="1254" spans="1:3" x14ac:dyDescent="0.25">
      <c r="A1254" t="s">
        <v>1531</v>
      </c>
      <c r="B1254" t="s">
        <v>737</v>
      </c>
      <c r="C1254" t="s">
        <v>1551</v>
      </c>
    </row>
    <row r="1255" spans="1:3" x14ac:dyDescent="0.25">
      <c r="A1255" t="s">
        <v>1531</v>
      </c>
      <c r="B1255" t="s">
        <v>738</v>
      </c>
      <c r="C1255" t="s">
        <v>1551</v>
      </c>
    </row>
    <row r="1256" spans="1:3" x14ac:dyDescent="0.25">
      <c r="A1256" t="s">
        <v>1531</v>
      </c>
      <c r="B1256" t="s">
        <v>739</v>
      </c>
      <c r="C1256" t="s">
        <v>1551</v>
      </c>
    </row>
    <row r="1257" spans="1:3" x14ac:dyDescent="0.25">
      <c r="A1257" t="s">
        <v>1531</v>
      </c>
      <c r="B1257" t="s">
        <v>740</v>
      </c>
      <c r="C1257" t="s">
        <v>1551</v>
      </c>
    </row>
    <row r="1258" spans="1:3" x14ac:dyDescent="0.25">
      <c r="A1258" t="s">
        <v>1531</v>
      </c>
      <c r="B1258" t="s">
        <v>741</v>
      </c>
      <c r="C1258" t="s">
        <v>1551</v>
      </c>
    </row>
    <row r="1259" spans="1:3" x14ac:dyDescent="0.25">
      <c r="A1259" t="s">
        <v>1531</v>
      </c>
      <c r="B1259" t="s">
        <v>742</v>
      </c>
      <c r="C1259" t="s">
        <v>1551</v>
      </c>
    </row>
    <row r="1260" spans="1:3" x14ac:dyDescent="0.25">
      <c r="A1260" t="s">
        <v>1531</v>
      </c>
      <c r="B1260" t="s">
        <v>743</v>
      </c>
      <c r="C1260" t="s">
        <v>1551</v>
      </c>
    </row>
    <row r="1261" spans="1:3" x14ac:dyDescent="0.25">
      <c r="A1261" t="s">
        <v>1531</v>
      </c>
      <c r="B1261" t="s">
        <v>744</v>
      </c>
      <c r="C1261" t="s">
        <v>1551</v>
      </c>
    </row>
    <row r="1262" spans="1:3" x14ac:dyDescent="0.25">
      <c r="A1262" t="s">
        <v>1531</v>
      </c>
      <c r="B1262" t="s">
        <v>745</v>
      </c>
      <c r="C1262" t="s">
        <v>1551</v>
      </c>
    </row>
    <row r="1263" spans="1:3" x14ac:dyDescent="0.25">
      <c r="A1263" t="s">
        <v>1531</v>
      </c>
      <c r="B1263" t="s">
        <v>746</v>
      </c>
      <c r="C1263" t="s">
        <v>1551</v>
      </c>
    </row>
    <row r="1264" spans="1:3" x14ac:dyDescent="0.25">
      <c r="A1264" t="s">
        <v>1531</v>
      </c>
      <c r="B1264" t="s">
        <v>747</v>
      </c>
      <c r="C1264" t="s">
        <v>1551</v>
      </c>
    </row>
    <row r="1265" spans="1:3" x14ac:dyDescent="0.25">
      <c r="A1265" t="s">
        <v>1531</v>
      </c>
      <c r="B1265" t="s">
        <v>748</v>
      </c>
      <c r="C1265" t="s">
        <v>1551</v>
      </c>
    </row>
    <row r="1266" spans="1:3" x14ac:dyDescent="0.25">
      <c r="A1266" t="s">
        <v>1531</v>
      </c>
      <c r="B1266" t="s">
        <v>749</v>
      </c>
      <c r="C1266" t="s">
        <v>1551</v>
      </c>
    </row>
    <row r="1267" spans="1:3" x14ac:dyDescent="0.25">
      <c r="A1267" t="s">
        <v>1531</v>
      </c>
      <c r="B1267" t="s">
        <v>750</v>
      </c>
      <c r="C1267" t="s">
        <v>1551</v>
      </c>
    </row>
    <row r="1268" spans="1:3" x14ac:dyDescent="0.25">
      <c r="A1268" t="s">
        <v>1531</v>
      </c>
      <c r="B1268" t="s">
        <v>751</v>
      </c>
      <c r="C1268" t="s">
        <v>1551</v>
      </c>
    </row>
    <row r="1269" spans="1:3" x14ac:dyDescent="0.25">
      <c r="A1269" t="s">
        <v>1531</v>
      </c>
      <c r="B1269" t="s">
        <v>752</v>
      </c>
      <c r="C1269" t="s">
        <v>1551</v>
      </c>
    </row>
    <row r="1270" spans="1:3" x14ac:dyDescent="0.25">
      <c r="A1270" t="s">
        <v>1531</v>
      </c>
      <c r="B1270" t="s">
        <v>1049</v>
      </c>
      <c r="C1270" t="s">
        <v>1551</v>
      </c>
    </row>
    <row r="1271" spans="1:3" x14ac:dyDescent="0.25">
      <c r="A1271" t="s">
        <v>1531</v>
      </c>
      <c r="B1271" t="s">
        <v>1050</v>
      </c>
      <c r="C1271" t="s">
        <v>1551</v>
      </c>
    </row>
    <row r="1272" spans="1:3" x14ac:dyDescent="0.25">
      <c r="A1272" t="s">
        <v>1531</v>
      </c>
      <c r="B1272" t="s">
        <v>1051</v>
      </c>
      <c r="C1272" t="s">
        <v>1551</v>
      </c>
    </row>
    <row r="1273" spans="1:3" x14ac:dyDescent="0.25">
      <c r="A1273" t="s">
        <v>1531</v>
      </c>
      <c r="B1273" t="s">
        <v>1052</v>
      </c>
      <c r="C1273" t="s">
        <v>1551</v>
      </c>
    </row>
    <row r="1274" spans="1:3" x14ac:dyDescent="0.25">
      <c r="A1274" t="s">
        <v>1531</v>
      </c>
      <c r="B1274" t="s">
        <v>1053</v>
      </c>
      <c r="C1274" t="s">
        <v>1551</v>
      </c>
    </row>
    <row r="1275" spans="1:3" x14ac:dyDescent="0.25">
      <c r="A1275" t="s">
        <v>1531</v>
      </c>
      <c r="B1275" t="s">
        <v>1054</v>
      </c>
      <c r="C1275" t="s">
        <v>1551</v>
      </c>
    </row>
    <row r="1276" spans="1:3" x14ac:dyDescent="0.25">
      <c r="A1276" t="s">
        <v>1531</v>
      </c>
      <c r="B1276" t="s">
        <v>1055</v>
      </c>
      <c r="C1276" t="s">
        <v>1551</v>
      </c>
    </row>
    <row r="1277" spans="1:3" x14ac:dyDescent="0.25">
      <c r="A1277" t="s">
        <v>1531</v>
      </c>
      <c r="B1277" t="s">
        <v>1056</v>
      </c>
      <c r="C1277" t="s">
        <v>1551</v>
      </c>
    </row>
    <row r="1278" spans="1:3" x14ac:dyDescent="0.25">
      <c r="A1278" t="s">
        <v>1531</v>
      </c>
      <c r="B1278" t="s">
        <v>1057</v>
      </c>
      <c r="C1278" t="s">
        <v>1551</v>
      </c>
    </row>
    <row r="1279" spans="1:3" x14ac:dyDescent="0.25">
      <c r="A1279" t="s">
        <v>1531</v>
      </c>
      <c r="B1279" t="s">
        <v>1058</v>
      </c>
      <c r="C1279" t="s">
        <v>1551</v>
      </c>
    </row>
    <row r="1280" spans="1:3" x14ac:dyDescent="0.25">
      <c r="A1280" t="s">
        <v>1531</v>
      </c>
      <c r="B1280" t="s">
        <v>1059</v>
      </c>
      <c r="C1280" t="s">
        <v>1551</v>
      </c>
    </row>
    <row r="1281" spans="1:3" x14ac:dyDescent="0.25">
      <c r="A1281" t="s">
        <v>1531</v>
      </c>
      <c r="B1281" t="s">
        <v>1060</v>
      </c>
      <c r="C1281" t="s">
        <v>1551</v>
      </c>
    </row>
    <row r="1282" spans="1:3" x14ac:dyDescent="0.25">
      <c r="A1282" t="s">
        <v>1531</v>
      </c>
      <c r="B1282" t="s">
        <v>1061</v>
      </c>
      <c r="C1282" t="s">
        <v>1551</v>
      </c>
    </row>
    <row r="1283" spans="1:3" x14ac:dyDescent="0.25">
      <c r="A1283" t="s">
        <v>1531</v>
      </c>
      <c r="B1283" t="s">
        <v>1062</v>
      </c>
      <c r="C1283" t="s">
        <v>1551</v>
      </c>
    </row>
    <row r="1284" spans="1:3" x14ac:dyDescent="0.25">
      <c r="A1284" t="s">
        <v>1531</v>
      </c>
      <c r="B1284" t="s">
        <v>1063</v>
      </c>
      <c r="C1284" t="s">
        <v>1551</v>
      </c>
    </row>
    <row r="1285" spans="1:3" x14ac:dyDescent="0.25">
      <c r="A1285" t="s">
        <v>1531</v>
      </c>
      <c r="B1285" t="s">
        <v>1064</v>
      </c>
      <c r="C1285" t="s">
        <v>1551</v>
      </c>
    </row>
    <row r="1286" spans="1:3" x14ac:dyDescent="0.25">
      <c r="A1286" t="s">
        <v>1531</v>
      </c>
      <c r="B1286" t="s">
        <v>1065</v>
      </c>
      <c r="C1286" t="s">
        <v>1551</v>
      </c>
    </row>
    <row r="1287" spans="1:3" x14ac:dyDescent="0.25">
      <c r="A1287" t="s">
        <v>1531</v>
      </c>
      <c r="B1287" t="s">
        <v>1066</v>
      </c>
      <c r="C1287" t="s">
        <v>1551</v>
      </c>
    </row>
    <row r="1288" spans="1:3" x14ac:dyDescent="0.25">
      <c r="A1288" t="s">
        <v>1531</v>
      </c>
      <c r="B1288" t="s">
        <v>1067</v>
      </c>
      <c r="C1288" t="s">
        <v>1551</v>
      </c>
    </row>
    <row r="1289" spans="1:3" x14ac:dyDescent="0.25">
      <c r="A1289" t="s">
        <v>1531</v>
      </c>
      <c r="B1289" t="s">
        <v>1068</v>
      </c>
      <c r="C1289" t="s">
        <v>1551</v>
      </c>
    </row>
    <row r="1290" spans="1:3" x14ac:dyDescent="0.25">
      <c r="A1290" t="s">
        <v>1531</v>
      </c>
      <c r="B1290" t="s">
        <v>1069</v>
      </c>
      <c r="C1290" t="s">
        <v>1551</v>
      </c>
    </row>
    <row r="1291" spans="1:3" x14ac:dyDescent="0.25">
      <c r="A1291" t="s">
        <v>1531</v>
      </c>
      <c r="B1291" t="s">
        <v>1135</v>
      </c>
      <c r="C1291" t="s">
        <v>1551</v>
      </c>
    </row>
    <row r="1292" spans="1:3" x14ac:dyDescent="0.25">
      <c r="A1292" t="s">
        <v>1531</v>
      </c>
      <c r="B1292" t="s">
        <v>1136</v>
      </c>
      <c r="C1292" t="s">
        <v>1551</v>
      </c>
    </row>
    <row r="1293" spans="1:3" x14ac:dyDescent="0.25">
      <c r="A1293" t="s">
        <v>1531</v>
      </c>
      <c r="B1293" t="s">
        <v>1137</v>
      </c>
      <c r="C1293" t="s">
        <v>1551</v>
      </c>
    </row>
    <row r="1294" spans="1:3" x14ac:dyDescent="0.25">
      <c r="A1294" t="s">
        <v>1531</v>
      </c>
      <c r="B1294" t="s">
        <v>1138</v>
      </c>
      <c r="C1294" t="s">
        <v>1551</v>
      </c>
    </row>
    <row r="1295" spans="1:3" x14ac:dyDescent="0.25">
      <c r="A1295" t="s">
        <v>1531</v>
      </c>
      <c r="B1295" t="s">
        <v>1139</v>
      </c>
      <c r="C1295" t="s">
        <v>1551</v>
      </c>
    </row>
    <row r="1296" spans="1:3" x14ac:dyDescent="0.25">
      <c r="A1296" t="s">
        <v>1531</v>
      </c>
      <c r="B1296" t="s">
        <v>1140</v>
      </c>
      <c r="C1296" t="s">
        <v>1551</v>
      </c>
    </row>
    <row r="1297" spans="1:3" x14ac:dyDescent="0.25">
      <c r="A1297" t="s">
        <v>1531</v>
      </c>
      <c r="B1297" t="s">
        <v>1141</v>
      </c>
      <c r="C1297" t="s">
        <v>1551</v>
      </c>
    </row>
    <row r="1298" spans="1:3" x14ac:dyDescent="0.25">
      <c r="A1298" t="s">
        <v>1531</v>
      </c>
      <c r="B1298" t="s">
        <v>1142</v>
      </c>
      <c r="C1298" t="s">
        <v>1551</v>
      </c>
    </row>
    <row r="1299" spans="1:3" x14ac:dyDescent="0.25">
      <c r="A1299" t="s">
        <v>1531</v>
      </c>
      <c r="B1299" t="s">
        <v>1143</v>
      </c>
      <c r="C1299" t="s">
        <v>1551</v>
      </c>
    </row>
    <row r="1300" spans="1:3" x14ac:dyDescent="0.25">
      <c r="A1300" t="s">
        <v>1531</v>
      </c>
      <c r="B1300" t="s">
        <v>1144</v>
      </c>
      <c r="C1300" t="s">
        <v>1551</v>
      </c>
    </row>
    <row r="1301" spans="1:3" x14ac:dyDescent="0.25">
      <c r="A1301" t="s">
        <v>1531</v>
      </c>
      <c r="B1301" t="s">
        <v>1145</v>
      </c>
      <c r="C1301" t="s">
        <v>1551</v>
      </c>
    </row>
    <row r="1302" spans="1:3" x14ac:dyDescent="0.25">
      <c r="A1302" t="s">
        <v>1531</v>
      </c>
      <c r="B1302" t="s">
        <v>1146</v>
      </c>
      <c r="C1302" t="s">
        <v>1551</v>
      </c>
    </row>
    <row r="1303" spans="1:3" x14ac:dyDescent="0.25">
      <c r="A1303" t="s">
        <v>1531</v>
      </c>
      <c r="B1303" t="s">
        <v>763</v>
      </c>
      <c r="C1303" t="s">
        <v>1551</v>
      </c>
    </row>
    <row r="1304" spans="1:3" x14ac:dyDescent="0.25">
      <c r="A1304" t="s">
        <v>1531</v>
      </c>
      <c r="B1304" t="s">
        <v>764</v>
      </c>
      <c r="C1304" t="s">
        <v>1551</v>
      </c>
    </row>
    <row r="1305" spans="1:3" x14ac:dyDescent="0.25">
      <c r="A1305" t="s">
        <v>1531</v>
      </c>
      <c r="B1305" t="s">
        <v>765</v>
      </c>
      <c r="C1305" t="s">
        <v>1551</v>
      </c>
    </row>
    <row r="1306" spans="1:3" x14ac:dyDescent="0.25">
      <c r="A1306" t="s">
        <v>1531</v>
      </c>
      <c r="B1306" t="s">
        <v>770</v>
      </c>
      <c r="C1306" t="s">
        <v>1551</v>
      </c>
    </row>
    <row r="1307" spans="1:3" x14ac:dyDescent="0.25">
      <c r="A1307" t="s">
        <v>1531</v>
      </c>
      <c r="B1307" t="s">
        <v>771</v>
      </c>
      <c r="C1307" t="s">
        <v>1551</v>
      </c>
    </row>
    <row r="1308" spans="1:3" x14ac:dyDescent="0.25">
      <c r="A1308" t="s">
        <v>1531</v>
      </c>
      <c r="B1308" t="s">
        <v>772</v>
      </c>
      <c r="C1308" t="s">
        <v>1551</v>
      </c>
    </row>
    <row r="1309" spans="1:3" x14ac:dyDescent="0.25">
      <c r="A1309" t="s">
        <v>1531</v>
      </c>
      <c r="B1309" t="s">
        <v>773</v>
      </c>
      <c r="C1309" t="s">
        <v>1551</v>
      </c>
    </row>
    <row r="1310" spans="1:3" x14ac:dyDescent="0.25">
      <c r="A1310" t="s">
        <v>1531</v>
      </c>
      <c r="B1310" t="s">
        <v>774</v>
      </c>
      <c r="C1310" t="s">
        <v>1551</v>
      </c>
    </row>
    <row r="1311" spans="1:3" x14ac:dyDescent="0.25">
      <c r="A1311" t="s">
        <v>1531</v>
      </c>
      <c r="B1311" t="s">
        <v>775</v>
      </c>
      <c r="C1311" t="s">
        <v>1551</v>
      </c>
    </row>
    <row r="1312" spans="1:3" x14ac:dyDescent="0.25">
      <c r="A1312" t="s">
        <v>1531</v>
      </c>
      <c r="B1312" t="s">
        <v>776</v>
      </c>
      <c r="C1312" t="s">
        <v>1551</v>
      </c>
    </row>
    <row r="1313" spans="1:3" x14ac:dyDescent="0.25">
      <c r="A1313" t="s">
        <v>1531</v>
      </c>
      <c r="B1313" t="s">
        <v>777</v>
      </c>
      <c r="C1313" t="s">
        <v>1551</v>
      </c>
    </row>
    <row r="1314" spans="1:3" x14ac:dyDescent="0.25">
      <c r="A1314" t="s">
        <v>1531</v>
      </c>
      <c r="B1314" t="s">
        <v>778</v>
      </c>
      <c r="C1314" t="s">
        <v>1551</v>
      </c>
    </row>
    <row r="1315" spans="1:3" x14ac:dyDescent="0.25">
      <c r="A1315" t="s">
        <v>1531</v>
      </c>
      <c r="B1315" t="s">
        <v>779</v>
      </c>
      <c r="C1315" t="s">
        <v>1551</v>
      </c>
    </row>
    <row r="1316" spans="1:3" x14ac:dyDescent="0.25">
      <c r="A1316" t="s">
        <v>1531</v>
      </c>
      <c r="B1316" t="s">
        <v>780</v>
      </c>
      <c r="C1316" t="s">
        <v>1551</v>
      </c>
    </row>
    <row r="1317" spans="1:3" x14ac:dyDescent="0.25">
      <c r="A1317" t="s">
        <v>1531</v>
      </c>
      <c r="B1317" t="s">
        <v>781</v>
      </c>
      <c r="C1317" t="s">
        <v>1551</v>
      </c>
    </row>
    <row r="1318" spans="1:3" x14ac:dyDescent="0.25">
      <c r="A1318" t="s">
        <v>1531</v>
      </c>
      <c r="B1318" t="s">
        <v>782</v>
      </c>
      <c r="C1318" t="s">
        <v>1551</v>
      </c>
    </row>
    <row r="1319" spans="1:3" x14ac:dyDescent="0.25">
      <c r="A1319" t="s">
        <v>1531</v>
      </c>
      <c r="B1319" t="s">
        <v>783</v>
      </c>
      <c r="C1319" t="s">
        <v>1551</v>
      </c>
    </row>
    <row r="1320" spans="1:3" x14ac:dyDescent="0.25">
      <c r="A1320" t="s">
        <v>1531</v>
      </c>
      <c r="B1320" t="s">
        <v>784</v>
      </c>
      <c r="C1320" t="s">
        <v>1551</v>
      </c>
    </row>
    <row r="1321" spans="1:3" x14ac:dyDescent="0.25">
      <c r="A1321" t="s">
        <v>1531</v>
      </c>
      <c r="B1321" t="s">
        <v>785</v>
      </c>
      <c r="C1321" t="s">
        <v>1551</v>
      </c>
    </row>
    <row r="1322" spans="1:3" x14ac:dyDescent="0.25">
      <c r="A1322" t="s">
        <v>1531</v>
      </c>
      <c r="B1322" t="s">
        <v>786</v>
      </c>
      <c r="C1322" t="s">
        <v>1551</v>
      </c>
    </row>
    <row r="1323" spans="1:3" x14ac:dyDescent="0.25">
      <c r="A1323" t="s">
        <v>1531</v>
      </c>
      <c r="B1323" t="s">
        <v>787</v>
      </c>
      <c r="C1323" t="s">
        <v>1551</v>
      </c>
    </row>
    <row r="1324" spans="1:3" x14ac:dyDescent="0.25">
      <c r="A1324" t="s">
        <v>1531</v>
      </c>
      <c r="B1324" t="s">
        <v>788</v>
      </c>
      <c r="C1324" t="s">
        <v>1551</v>
      </c>
    </row>
    <row r="1325" spans="1:3" x14ac:dyDescent="0.25">
      <c r="A1325" t="s">
        <v>1531</v>
      </c>
      <c r="B1325" t="s">
        <v>789</v>
      </c>
      <c r="C1325" t="s">
        <v>1551</v>
      </c>
    </row>
    <row r="1326" spans="1:3" x14ac:dyDescent="0.25">
      <c r="A1326" t="s">
        <v>1531</v>
      </c>
      <c r="B1326" t="s">
        <v>790</v>
      </c>
      <c r="C1326" t="s">
        <v>1551</v>
      </c>
    </row>
    <row r="1327" spans="1:3" x14ac:dyDescent="0.25">
      <c r="A1327" t="s">
        <v>1531</v>
      </c>
      <c r="B1327" t="s">
        <v>791</v>
      </c>
      <c r="C1327" t="s">
        <v>1551</v>
      </c>
    </row>
    <row r="1328" spans="1:3" x14ac:dyDescent="0.25">
      <c r="A1328" t="s">
        <v>1531</v>
      </c>
      <c r="B1328" t="s">
        <v>792</v>
      </c>
      <c r="C1328" t="s">
        <v>1551</v>
      </c>
    </row>
    <row r="1329" spans="1:3" x14ac:dyDescent="0.25">
      <c r="A1329" t="s">
        <v>1531</v>
      </c>
      <c r="B1329" t="s">
        <v>793</v>
      </c>
      <c r="C1329" t="s">
        <v>1551</v>
      </c>
    </row>
    <row r="1330" spans="1:3" x14ac:dyDescent="0.25">
      <c r="A1330" t="s">
        <v>1531</v>
      </c>
      <c r="B1330" t="s">
        <v>794</v>
      </c>
      <c r="C1330" t="s">
        <v>1551</v>
      </c>
    </row>
    <row r="1331" spans="1:3" x14ac:dyDescent="0.25">
      <c r="A1331" t="s">
        <v>1531</v>
      </c>
      <c r="B1331" t="s">
        <v>795</v>
      </c>
      <c r="C1331" t="s">
        <v>1551</v>
      </c>
    </row>
    <row r="1332" spans="1:3" x14ac:dyDescent="0.25">
      <c r="A1332" t="s">
        <v>1531</v>
      </c>
      <c r="B1332" t="s">
        <v>796</v>
      </c>
      <c r="C1332" t="s">
        <v>1551</v>
      </c>
    </row>
    <row r="1333" spans="1:3" x14ac:dyDescent="0.25">
      <c r="A1333" t="s">
        <v>1531</v>
      </c>
      <c r="B1333" t="s">
        <v>797</v>
      </c>
      <c r="C1333" t="s">
        <v>1551</v>
      </c>
    </row>
    <row r="1334" spans="1:3" x14ac:dyDescent="0.25">
      <c r="A1334" t="s">
        <v>1531</v>
      </c>
      <c r="B1334" t="s">
        <v>1147</v>
      </c>
      <c r="C1334" t="s">
        <v>1551</v>
      </c>
    </row>
    <row r="1335" spans="1:3" x14ac:dyDescent="0.25">
      <c r="A1335" t="s">
        <v>1531</v>
      </c>
      <c r="B1335" t="s">
        <v>799</v>
      </c>
      <c r="C1335" t="s">
        <v>1551</v>
      </c>
    </row>
    <row r="1336" spans="1:3" x14ac:dyDescent="0.25">
      <c r="A1336" t="s">
        <v>1531</v>
      </c>
      <c r="B1336" t="s">
        <v>800</v>
      </c>
      <c r="C1336" t="s">
        <v>1551</v>
      </c>
    </row>
    <row r="1337" spans="1:3" x14ac:dyDescent="0.25">
      <c r="A1337" t="s">
        <v>1531</v>
      </c>
      <c r="B1337" t="s">
        <v>803</v>
      </c>
      <c r="C1337" t="s">
        <v>1551</v>
      </c>
    </row>
    <row r="1338" spans="1:3" x14ac:dyDescent="0.25">
      <c r="A1338" t="s">
        <v>1531</v>
      </c>
      <c r="B1338" t="s">
        <v>804</v>
      </c>
      <c r="C1338" t="s">
        <v>1551</v>
      </c>
    </row>
    <row r="1339" spans="1:3" x14ac:dyDescent="0.25">
      <c r="A1339" t="s">
        <v>1531</v>
      </c>
      <c r="B1339" t="s">
        <v>805</v>
      </c>
      <c r="C1339" t="s">
        <v>1551</v>
      </c>
    </row>
    <row r="1340" spans="1:3" x14ac:dyDescent="0.25">
      <c r="A1340" t="s">
        <v>1531</v>
      </c>
      <c r="B1340" t="s">
        <v>806</v>
      </c>
      <c r="C1340" t="s">
        <v>1551</v>
      </c>
    </row>
    <row r="1341" spans="1:3" x14ac:dyDescent="0.25">
      <c r="A1341" t="s">
        <v>1531</v>
      </c>
      <c r="B1341" t="s">
        <v>807</v>
      </c>
      <c r="C1341" t="s">
        <v>1551</v>
      </c>
    </row>
    <row r="1342" spans="1:3" x14ac:dyDescent="0.25">
      <c r="A1342" t="s">
        <v>1531</v>
      </c>
      <c r="B1342" t="s">
        <v>808</v>
      </c>
      <c r="C1342" t="s">
        <v>1551</v>
      </c>
    </row>
    <row r="1343" spans="1:3" x14ac:dyDescent="0.25">
      <c r="A1343" t="s">
        <v>1531</v>
      </c>
      <c r="B1343" t="s">
        <v>809</v>
      </c>
      <c r="C1343" t="s">
        <v>1551</v>
      </c>
    </row>
    <row r="1344" spans="1:3" x14ac:dyDescent="0.25">
      <c r="A1344" t="s">
        <v>1531</v>
      </c>
      <c r="B1344" t="s">
        <v>810</v>
      </c>
      <c r="C1344" t="s">
        <v>1551</v>
      </c>
    </row>
    <row r="1345" spans="1:3" x14ac:dyDescent="0.25">
      <c r="A1345" t="s">
        <v>1531</v>
      </c>
      <c r="B1345" t="s">
        <v>811</v>
      </c>
      <c r="C1345" t="s">
        <v>1551</v>
      </c>
    </row>
    <row r="1346" spans="1:3" x14ac:dyDescent="0.25">
      <c r="A1346" t="s">
        <v>1531</v>
      </c>
      <c r="B1346" t="s">
        <v>812</v>
      </c>
      <c r="C1346" t="s">
        <v>1551</v>
      </c>
    </row>
    <row r="1347" spans="1:3" x14ac:dyDescent="0.25">
      <c r="A1347" t="s">
        <v>1531</v>
      </c>
      <c r="B1347" t="s">
        <v>813</v>
      </c>
      <c r="C1347" t="s">
        <v>1551</v>
      </c>
    </row>
    <row r="1348" spans="1:3" x14ac:dyDescent="0.25">
      <c r="A1348" t="s">
        <v>1531</v>
      </c>
      <c r="B1348" t="s">
        <v>814</v>
      </c>
      <c r="C1348" t="s">
        <v>1551</v>
      </c>
    </row>
    <row r="1349" spans="1:3" x14ac:dyDescent="0.25">
      <c r="A1349" t="s">
        <v>1531</v>
      </c>
      <c r="B1349" t="s">
        <v>815</v>
      </c>
      <c r="C1349" t="s">
        <v>1551</v>
      </c>
    </row>
    <row r="1350" spans="1:3" x14ac:dyDescent="0.25">
      <c r="A1350" t="s">
        <v>1531</v>
      </c>
      <c r="B1350" t="s">
        <v>1148</v>
      </c>
      <c r="C1350" t="s">
        <v>1551</v>
      </c>
    </row>
    <row r="1351" spans="1:3" x14ac:dyDescent="0.25">
      <c r="A1351" t="s">
        <v>1531</v>
      </c>
      <c r="B1351" t="s">
        <v>817</v>
      </c>
      <c r="C1351" t="s">
        <v>1551</v>
      </c>
    </row>
    <row r="1352" spans="1:3" x14ac:dyDescent="0.25">
      <c r="A1352" t="s">
        <v>1531</v>
      </c>
      <c r="B1352" t="s">
        <v>818</v>
      </c>
      <c r="C1352" t="s">
        <v>1551</v>
      </c>
    </row>
    <row r="1353" spans="1:3" x14ac:dyDescent="0.25">
      <c r="A1353" t="s">
        <v>1531</v>
      </c>
      <c r="B1353" t="s">
        <v>819</v>
      </c>
      <c r="C1353" t="s">
        <v>1551</v>
      </c>
    </row>
    <row r="1354" spans="1:3" x14ac:dyDescent="0.25">
      <c r="A1354" t="s">
        <v>1531</v>
      </c>
      <c r="B1354" t="s">
        <v>820</v>
      </c>
      <c r="C1354" t="s">
        <v>1551</v>
      </c>
    </row>
    <row r="1355" spans="1:3" x14ac:dyDescent="0.25">
      <c r="A1355" t="s">
        <v>1531</v>
      </c>
      <c r="B1355" t="s">
        <v>821</v>
      </c>
      <c r="C1355" t="s">
        <v>1551</v>
      </c>
    </row>
    <row r="1356" spans="1:3" x14ac:dyDescent="0.25">
      <c r="A1356" t="s">
        <v>1531</v>
      </c>
      <c r="B1356" t="s">
        <v>822</v>
      </c>
      <c r="C1356" t="s">
        <v>1551</v>
      </c>
    </row>
    <row r="1357" spans="1:3" x14ac:dyDescent="0.25">
      <c r="A1357" t="s">
        <v>1531</v>
      </c>
      <c r="B1357" t="s">
        <v>823</v>
      </c>
      <c r="C1357" t="s">
        <v>1551</v>
      </c>
    </row>
    <row r="1358" spans="1:3" x14ac:dyDescent="0.25">
      <c r="A1358" t="s">
        <v>1531</v>
      </c>
      <c r="B1358" t="s">
        <v>824</v>
      </c>
      <c r="C1358" t="s">
        <v>1551</v>
      </c>
    </row>
    <row r="1359" spans="1:3" x14ac:dyDescent="0.25">
      <c r="A1359" t="s">
        <v>1531</v>
      </c>
      <c r="B1359" t="s">
        <v>825</v>
      </c>
      <c r="C1359" t="s">
        <v>1551</v>
      </c>
    </row>
    <row r="1360" spans="1:3" x14ac:dyDescent="0.25">
      <c r="A1360" t="s">
        <v>1531</v>
      </c>
      <c r="B1360" t="s">
        <v>826</v>
      </c>
      <c r="C1360" t="s">
        <v>1551</v>
      </c>
    </row>
    <row r="1361" spans="1:3" x14ac:dyDescent="0.25">
      <c r="A1361" t="s">
        <v>1531</v>
      </c>
      <c r="B1361" t="s">
        <v>827</v>
      </c>
      <c r="C1361" t="s">
        <v>1551</v>
      </c>
    </row>
    <row r="1362" spans="1:3" x14ac:dyDescent="0.25">
      <c r="A1362" t="s">
        <v>1531</v>
      </c>
      <c r="B1362" t="s">
        <v>828</v>
      </c>
      <c r="C1362" t="s">
        <v>1551</v>
      </c>
    </row>
    <row r="1363" spans="1:3" x14ac:dyDescent="0.25">
      <c r="A1363" t="s">
        <v>1531</v>
      </c>
      <c r="B1363" t="s">
        <v>829</v>
      </c>
      <c r="C1363" t="s">
        <v>1551</v>
      </c>
    </row>
    <row r="1364" spans="1:3" x14ac:dyDescent="0.25">
      <c r="A1364" t="s">
        <v>1531</v>
      </c>
      <c r="B1364" t="s">
        <v>830</v>
      </c>
      <c r="C1364" t="s">
        <v>1551</v>
      </c>
    </row>
    <row r="1365" spans="1:3" x14ac:dyDescent="0.25">
      <c r="A1365" t="s">
        <v>1531</v>
      </c>
      <c r="B1365" t="s">
        <v>831</v>
      </c>
      <c r="C1365" t="s">
        <v>1551</v>
      </c>
    </row>
    <row r="1366" spans="1:3" x14ac:dyDescent="0.25">
      <c r="A1366" t="s">
        <v>1531</v>
      </c>
      <c r="B1366" t="s">
        <v>832</v>
      </c>
      <c r="C1366" t="s">
        <v>1551</v>
      </c>
    </row>
    <row r="1367" spans="1:3" x14ac:dyDescent="0.25">
      <c r="A1367" t="s">
        <v>1531</v>
      </c>
      <c r="B1367" t="s">
        <v>833</v>
      </c>
      <c r="C1367" t="s">
        <v>1551</v>
      </c>
    </row>
    <row r="1368" spans="1:3" x14ac:dyDescent="0.25">
      <c r="A1368" t="s">
        <v>1531</v>
      </c>
      <c r="B1368" t="s">
        <v>834</v>
      </c>
      <c r="C1368" t="s">
        <v>1551</v>
      </c>
    </row>
    <row r="1369" spans="1:3" x14ac:dyDescent="0.25">
      <c r="A1369" t="s">
        <v>1531</v>
      </c>
      <c r="B1369" t="s">
        <v>835</v>
      </c>
      <c r="C1369" t="s">
        <v>1551</v>
      </c>
    </row>
    <row r="1370" spans="1:3" x14ac:dyDescent="0.25">
      <c r="A1370" t="s">
        <v>1531</v>
      </c>
      <c r="B1370" t="s">
        <v>837</v>
      </c>
      <c r="C1370" t="s">
        <v>1551</v>
      </c>
    </row>
    <row r="1371" spans="1:3" x14ac:dyDescent="0.25">
      <c r="A1371" t="s">
        <v>1531</v>
      </c>
      <c r="B1371" t="s">
        <v>838</v>
      </c>
      <c r="C1371" t="s">
        <v>1551</v>
      </c>
    </row>
    <row r="1372" spans="1:3" x14ac:dyDescent="0.25">
      <c r="A1372" t="s">
        <v>1531</v>
      </c>
      <c r="B1372" t="s">
        <v>839</v>
      </c>
      <c r="C1372" t="s">
        <v>1551</v>
      </c>
    </row>
    <row r="1373" spans="1:3" x14ac:dyDescent="0.25">
      <c r="A1373" t="s">
        <v>1531</v>
      </c>
      <c r="B1373" t="s">
        <v>840</v>
      </c>
      <c r="C1373" t="s">
        <v>1551</v>
      </c>
    </row>
    <row r="1374" spans="1:3" x14ac:dyDescent="0.25">
      <c r="A1374" t="s">
        <v>1531</v>
      </c>
      <c r="B1374" t="s">
        <v>841</v>
      </c>
      <c r="C1374" t="s">
        <v>1551</v>
      </c>
    </row>
    <row r="1375" spans="1:3" x14ac:dyDescent="0.25">
      <c r="A1375" t="s">
        <v>1531</v>
      </c>
      <c r="B1375" t="s">
        <v>842</v>
      </c>
      <c r="C1375" t="s">
        <v>1551</v>
      </c>
    </row>
    <row r="1376" spans="1:3" x14ac:dyDescent="0.25">
      <c r="A1376" t="s">
        <v>1531</v>
      </c>
      <c r="B1376" t="s">
        <v>843</v>
      </c>
      <c r="C1376" t="s">
        <v>1551</v>
      </c>
    </row>
    <row r="1377" spans="1:3" x14ac:dyDescent="0.25">
      <c r="A1377" t="s">
        <v>1531</v>
      </c>
      <c r="B1377" t="s">
        <v>844</v>
      </c>
      <c r="C1377" t="s">
        <v>1551</v>
      </c>
    </row>
    <row r="1378" spans="1:3" x14ac:dyDescent="0.25">
      <c r="A1378" t="s">
        <v>1531</v>
      </c>
      <c r="B1378" t="s">
        <v>845</v>
      </c>
      <c r="C1378" t="s">
        <v>1551</v>
      </c>
    </row>
    <row r="1379" spans="1:3" x14ac:dyDescent="0.25">
      <c r="A1379" t="s">
        <v>1531</v>
      </c>
      <c r="B1379" t="s">
        <v>846</v>
      </c>
      <c r="C1379" t="s">
        <v>1551</v>
      </c>
    </row>
    <row r="1380" spans="1:3" x14ac:dyDescent="0.25">
      <c r="A1380" t="s">
        <v>1531</v>
      </c>
      <c r="B1380" t="s">
        <v>847</v>
      </c>
      <c r="C1380" t="s">
        <v>1551</v>
      </c>
    </row>
    <row r="1381" spans="1:3" x14ac:dyDescent="0.25">
      <c r="A1381" t="s">
        <v>1531</v>
      </c>
      <c r="B1381" t="s">
        <v>848</v>
      </c>
      <c r="C1381" t="s">
        <v>1551</v>
      </c>
    </row>
    <row r="1382" spans="1:3" x14ac:dyDescent="0.25">
      <c r="A1382" t="s">
        <v>1531</v>
      </c>
      <c r="B1382" t="s">
        <v>849</v>
      </c>
      <c r="C1382" t="s">
        <v>1551</v>
      </c>
    </row>
    <row r="1383" spans="1:3" x14ac:dyDescent="0.25">
      <c r="A1383" t="s">
        <v>1531</v>
      </c>
      <c r="B1383" t="s">
        <v>850</v>
      </c>
      <c r="C1383" t="s">
        <v>1551</v>
      </c>
    </row>
    <row r="1384" spans="1:3" x14ac:dyDescent="0.25">
      <c r="A1384" t="s">
        <v>1531</v>
      </c>
      <c r="B1384" t="s">
        <v>851</v>
      </c>
      <c r="C1384" t="s">
        <v>1551</v>
      </c>
    </row>
    <row r="1385" spans="1:3" x14ac:dyDescent="0.25">
      <c r="A1385" t="s">
        <v>1531</v>
      </c>
      <c r="B1385" t="s">
        <v>852</v>
      </c>
      <c r="C1385" t="s">
        <v>1551</v>
      </c>
    </row>
    <row r="1386" spans="1:3" x14ac:dyDescent="0.25">
      <c r="A1386" t="s">
        <v>1531</v>
      </c>
      <c r="B1386" t="s">
        <v>853</v>
      </c>
      <c r="C1386" t="s">
        <v>1551</v>
      </c>
    </row>
    <row r="1387" spans="1:3" x14ac:dyDescent="0.25">
      <c r="A1387" t="s">
        <v>1531</v>
      </c>
      <c r="B1387" t="s">
        <v>854</v>
      </c>
      <c r="C1387" t="s">
        <v>1551</v>
      </c>
    </row>
    <row r="1388" spans="1:3" x14ac:dyDescent="0.25">
      <c r="A1388" t="s">
        <v>1531</v>
      </c>
      <c r="B1388" t="s">
        <v>855</v>
      </c>
      <c r="C1388" t="s">
        <v>1551</v>
      </c>
    </row>
    <row r="1389" spans="1:3" x14ac:dyDescent="0.25">
      <c r="A1389" t="s">
        <v>1531</v>
      </c>
      <c r="B1389" t="s">
        <v>856</v>
      </c>
      <c r="C1389" t="s">
        <v>1551</v>
      </c>
    </row>
    <row r="1390" spans="1:3" x14ac:dyDescent="0.25">
      <c r="A1390" t="s">
        <v>1531</v>
      </c>
      <c r="B1390" t="s">
        <v>857</v>
      </c>
      <c r="C1390" t="s">
        <v>1551</v>
      </c>
    </row>
    <row r="1391" spans="1:3" x14ac:dyDescent="0.25">
      <c r="A1391" t="s">
        <v>1531</v>
      </c>
      <c r="B1391" t="s">
        <v>858</v>
      </c>
      <c r="C1391" t="s">
        <v>1551</v>
      </c>
    </row>
    <row r="1392" spans="1:3" x14ac:dyDescent="0.25">
      <c r="A1392" t="s">
        <v>1531</v>
      </c>
      <c r="B1392" t="s">
        <v>859</v>
      </c>
      <c r="C1392" t="s">
        <v>1551</v>
      </c>
    </row>
    <row r="1393" spans="1:3" x14ac:dyDescent="0.25">
      <c r="A1393" t="s">
        <v>1531</v>
      </c>
      <c r="B1393" t="s">
        <v>860</v>
      </c>
      <c r="C1393" t="s">
        <v>1551</v>
      </c>
    </row>
    <row r="1394" spans="1:3" x14ac:dyDescent="0.25">
      <c r="A1394" t="s">
        <v>1531</v>
      </c>
      <c r="B1394" t="s">
        <v>861</v>
      </c>
      <c r="C1394" t="s">
        <v>1551</v>
      </c>
    </row>
    <row r="1395" spans="1:3" x14ac:dyDescent="0.25">
      <c r="A1395" t="s">
        <v>1531</v>
      </c>
      <c r="B1395" t="s">
        <v>862</v>
      </c>
      <c r="C1395" t="s">
        <v>1551</v>
      </c>
    </row>
    <row r="1396" spans="1:3" x14ac:dyDescent="0.25">
      <c r="A1396" t="s">
        <v>1531</v>
      </c>
      <c r="B1396" t="s">
        <v>863</v>
      </c>
      <c r="C1396" t="s">
        <v>1551</v>
      </c>
    </row>
    <row r="1397" spans="1:3" x14ac:dyDescent="0.25">
      <c r="A1397" t="s">
        <v>1531</v>
      </c>
      <c r="B1397" t="s">
        <v>864</v>
      </c>
      <c r="C1397" t="s">
        <v>1551</v>
      </c>
    </row>
    <row r="1398" spans="1:3" x14ac:dyDescent="0.25">
      <c r="A1398" t="s">
        <v>1531</v>
      </c>
      <c r="B1398" t="s">
        <v>865</v>
      </c>
      <c r="C1398" t="s">
        <v>1551</v>
      </c>
    </row>
    <row r="1399" spans="1:3" x14ac:dyDescent="0.25">
      <c r="A1399" t="s">
        <v>1531</v>
      </c>
      <c r="B1399" t="s">
        <v>866</v>
      </c>
      <c r="C1399" t="s">
        <v>1551</v>
      </c>
    </row>
    <row r="1400" spans="1:3" x14ac:dyDescent="0.25">
      <c r="A1400" t="s">
        <v>1531</v>
      </c>
      <c r="B1400" t="s">
        <v>867</v>
      </c>
      <c r="C1400" t="s">
        <v>1551</v>
      </c>
    </row>
    <row r="1401" spans="1:3" x14ac:dyDescent="0.25">
      <c r="A1401" t="s">
        <v>1531</v>
      </c>
      <c r="B1401" t="s">
        <v>869</v>
      </c>
      <c r="C1401" t="s">
        <v>1551</v>
      </c>
    </row>
    <row r="1402" spans="1:3" x14ac:dyDescent="0.25">
      <c r="A1402" t="s">
        <v>1531</v>
      </c>
      <c r="B1402" t="s">
        <v>870</v>
      </c>
      <c r="C1402" t="s">
        <v>1551</v>
      </c>
    </row>
    <row r="1403" spans="1:3" x14ac:dyDescent="0.25">
      <c r="A1403" t="s">
        <v>1531</v>
      </c>
      <c r="B1403" t="s">
        <v>871</v>
      </c>
      <c r="C1403" t="s">
        <v>1551</v>
      </c>
    </row>
    <row r="1404" spans="1:3" x14ac:dyDescent="0.25">
      <c r="A1404" t="s">
        <v>1531</v>
      </c>
      <c r="B1404" t="s">
        <v>872</v>
      </c>
      <c r="C1404" t="s">
        <v>1551</v>
      </c>
    </row>
    <row r="1405" spans="1:3" x14ac:dyDescent="0.25">
      <c r="A1405" t="s">
        <v>1531</v>
      </c>
      <c r="B1405" t="s">
        <v>873</v>
      </c>
      <c r="C1405" t="s">
        <v>1551</v>
      </c>
    </row>
    <row r="1406" spans="1:3" x14ac:dyDescent="0.25">
      <c r="A1406" t="s">
        <v>1531</v>
      </c>
      <c r="B1406" t="s">
        <v>874</v>
      </c>
      <c r="C1406" t="s">
        <v>1551</v>
      </c>
    </row>
    <row r="1407" spans="1:3" x14ac:dyDescent="0.25">
      <c r="A1407" t="s">
        <v>1531</v>
      </c>
      <c r="B1407" t="s">
        <v>875</v>
      </c>
      <c r="C1407" t="s">
        <v>1551</v>
      </c>
    </row>
    <row r="1408" spans="1:3" x14ac:dyDescent="0.25">
      <c r="A1408" t="s">
        <v>1531</v>
      </c>
      <c r="B1408" t="s">
        <v>876</v>
      </c>
      <c r="C1408" t="s">
        <v>1551</v>
      </c>
    </row>
    <row r="1409" spans="1:3" x14ac:dyDescent="0.25">
      <c r="A1409" t="s">
        <v>1531</v>
      </c>
      <c r="B1409" t="s">
        <v>877</v>
      </c>
      <c r="C1409" t="s">
        <v>1551</v>
      </c>
    </row>
    <row r="1410" spans="1:3" x14ac:dyDescent="0.25">
      <c r="A1410" t="s">
        <v>1531</v>
      </c>
      <c r="B1410" t="s">
        <v>878</v>
      </c>
      <c r="C1410" t="s">
        <v>1551</v>
      </c>
    </row>
    <row r="1411" spans="1:3" x14ac:dyDescent="0.25">
      <c r="A1411" t="s">
        <v>1531</v>
      </c>
      <c r="B1411" t="s">
        <v>879</v>
      </c>
      <c r="C1411" t="s">
        <v>1551</v>
      </c>
    </row>
    <row r="1412" spans="1:3" x14ac:dyDescent="0.25">
      <c r="A1412" t="s">
        <v>1531</v>
      </c>
      <c r="B1412" t="s">
        <v>880</v>
      </c>
      <c r="C1412" t="s">
        <v>1551</v>
      </c>
    </row>
    <row r="1413" spans="1:3" x14ac:dyDescent="0.25">
      <c r="A1413" t="s">
        <v>1531</v>
      </c>
      <c r="B1413" t="s">
        <v>881</v>
      </c>
      <c r="C1413" t="s">
        <v>1551</v>
      </c>
    </row>
    <row r="1414" spans="1:3" x14ac:dyDescent="0.25">
      <c r="A1414" t="s">
        <v>1531</v>
      </c>
      <c r="B1414" t="s">
        <v>882</v>
      </c>
      <c r="C1414" t="s">
        <v>1551</v>
      </c>
    </row>
    <row r="1415" spans="1:3" x14ac:dyDescent="0.25">
      <c r="A1415" t="s">
        <v>1531</v>
      </c>
      <c r="B1415" t="s">
        <v>883</v>
      </c>
      <c r="C1415" t="s">
        <v>1551</v>
      </c>
    </row>
    <row r="1416" spans="1:3" x14ac:dyDescent="0.25">
      <c r="A1416" t="s">
        <v>1531</v>
      </c>
      <c r="B1416" t="s">
        <v>884</v>
      </c>
      <c r="C1416" t="s">
        <v>1551</v>
      </c>
    </row>
    <row r="1417" spans="1:3" x14ac:dyDescent="0.25">
      <c r="A1417" t="s">
        <v>1531</v>
      </c>
      <c r="B1417" t="s">
        <v>885</v>
      </c>
      <c r="C1417" t="s">
        <v>1551</v>
      </c>
    </row>
    <row r="1418" spans="1:3" x14ac:dyDescent="0.25">
      <c r="A1418" t="s">
        <v>1531</v>
      </c>
      <c r="B1418" t="s">
        <v>886</v>
      </c>
      <c r="C1418" t="s">
        <v>1551</v>
      </c>
    </row>
    <row r="1419" spans="1:3" x14ac:dyDescent="0.25">
      <c r="A1419" t="s">
        <v>1531</v>
      </c>
      <c r="B1419" t="s">
        <v>887</v>
      </c>
      <c r="C1419" t="s">
        <v>1551</v>
      </c>
    </row>
    <row r="1420" spans="1:3" x14ac:dyDescent="0.25">
      <c r="A1420" t="s">
        <v>1531</v>
      </c>
      <c r="B1420" t="s">
        <v>888</v>
      </c>
      <c r="C1420" t="s">
        <v>1551</v>
      </c>
    </row>
    <row r="1421" spans="1:3" x14ac:dyDescent="0.25">
      <c r="A1421" t="s">
        <v>1531</v>
      </c>
      <c r="B1421" t="s">
        <v>889</v>
      </c>
      <c r="C1421" t="s">
        <v>1551</v>
      </c>
    </row>
    <row r="1422" spans="1:3" x14ac:dyDescent="0.25">
      <c r="A1422" t="s">
        <v>1531</v>
      </c>
      <c r="B1422" t="s">
        <v>890</v>
      </c>
      <c r="C1422" t="s">
        <v>1551</v>
      </c>
    </row>
    <row r="1423" spans="1:3" x14ac:dyDescent="0.25">
      <c r="A1423" t="s">
        <v>1531</v>
      </c>
      <c r="B1423" t="s">
        <v>891</v>
      </c>
      <c r="C1423" t="s">
        <v>1551</v>
      </c>
    </row>
    <row r="1424" spans="1:3" x14ac:dyDescent="0.25">
      <c r="A1424" t="s">
        <v>1531</v>
      </c>
      <c r="B1424" t="s">
        <v>892</v>
      </c>
      <c r="C1424" t="s">
        <v>1551</v>
      </c>
    </row>
    <row r="1425" spans="1:3" x14ac:dyDescent="0.25">
      <c r="A1425" t="s">
        <v>1531</v>
      </c>
      <c r="B1425" t="s">
        <v>893</v>
      </c>
      <c r="C1425" t="s">
        <v>1551</v>
      </c>
    </row>
    <row r="1426" spans="1:3" x14ac:dyDescent="0.25">
      <c r="A1426" t="s">
        <v>1531</v>
      </c>
      <c r="B1426" t="s">
        <v>894</v>
      </c>
      <c r="C1426" t="s">
        <v>1551</v>
      </c>
    </row>
    <row r="1427" spans="1:3" x14ac:dyDescent="0.25">
      <c r="A1427" t="s">
        <v>1531</v>
      </c>
      <c r="B1427" t="s">
        <v>895</v>
      </c>
      <c r="C1427" t="s">
        <v>1551</v>
      </c>
    </row>
    <row r="1428" spans="1:3" x14ac:dyDescent="0.25">
      <c r="A1428" t="s">
        <v>1531</v>
      </c>
      <c r="B1428" t="s">
        <v>896</v>
      </c>
      <c r="C1428" t="s">
        <v>1551</v>
      </c>
    </row>
    <row r="1429" spans="1:3" x14ac:dyDescent="0.25">
      <c r="A1429" t="s">
        <v>1531</v>
      </c>
      <c r="B1429" t="s">
        <v>897</v>
      </c>
      <c r="C1429" t="s">
        <v>1551</v>
      </c>
    </row>
    <row r="1430" spans="1:3" x14ac:dyDescent="0.25">
      <c r="A1430" t="s">
        <v>1531</v>
      </c>
      <c r="B1430" t="s">
        <v>898</v>
      </c>
      <c r="C1430" t="s">
        <v>1551</v>
      </c>
    </row>
    <row r="1431" spans="1:3" x14ac:dyDescent="0.25">
      <c r="A1431" t="s">
        <v>1531</v>
      </c>
      <c r="B1431" t="s">
        <v>899</v>
      </c>
      <c r="C1431" t="s">
        <v>1551</v>
      </c>
    </row>
    <row r="1432" spans="1:3" x14ac:dyDescent="0.25">
      <c r="A1432" t="s">
        <v>1531</v>
      </c>
      <c r="B1432" t="s">
        <v>900</v>
      </c>
      <c r="C1432" t="s">
        <v>1551</v>
      </c>
    </row>
    <row r="1433" spans="1:3" x14ac:dyDescent="0.25">
      <c r="A1433" t="s">
        <v>1531</v>
      </c>
      <c r="B1433" t="s">
        <v>901</v>
      </c>
      <c r="C1433" t="s">
        <v>1551</v>
      </c>
    </row>
    <row r="1434" spans="1:3" x14ac:dyDescent="0.25">
      <c r="A1434" t="s">
        <v>1531</v>
      </c>
      <c r="B1434" t="s">
        <v>902</v>
      </c>
      <c r="C1434" t="s">
        <v>1551</v>
      </c>
    </row>
    <row r="1435" spans="1:3" x14ac:dyDescent="0.25">
      <c r="A1435" t="s">
        <v>1531</v>
      </c>
      <c r="B1435" t="s">
        <v>903</v>
      </c>
      <c r="C1435" t="s">
        <v>1551</v>
      </c>
    </row>
    <row r="1436" spans="1:3" x14ac:dyDescent="0.25">
      <c r="A1436" t="s">
        <v>1531</v>
      </c>
      <c r="B1436" t="s">
        <v>904</v>
      </c>
      <c r="C1436" t="s">
        <v>1551</v>
      </c>
    </row>
    <row r="1437" spans="1:3" x14ac:dyDescent="0.25">
      <c r="A1437" t="s">
        <v>1531</v>
      </c>
      <c r="B1437" t="s">
        <v>905</v>
      </c>
      <c r="C1437" t="s">
        <v>1551</v>
      </c>
    </row>
    <row r="1438" spans="1:3" x14ac:dyDescent="0.25">
      <c r="A1438" t="s">
        <v>1531</v>
      </c>
      <c r="B1438" t="s">
        <v>906</v>
      </c>
      <c r="C1438" t="s">
        <v>1551</v>
      </c>
    </row>
    <row r="1439" spans="1:3" x14ac:dyDescent="0.25">
      <c r="A1439" t="s">
        <v>1531</v>
      </c>
      <c r="B1439" t="s">
        <v>907</v>
      </c>
      <c r="C1439" t="s">
        <v>1551</v>
      </c>
    </row>
    <row r="1440" spans="1:3" x14ac:dyDescent="0.25">
      <c r="A1440" t="s">
        <v>1531</v>
      </c>
      <c r="B1440" t="s">
        <v>908</v>
      </c>
      <c r="C1440" t="s">
        <v>1551</v>
      </c>
    </row>
    <row r="1441" spans="1:3" x14ac:dyDescent="0.25">
      <c r="A1441" t="s">
        <v>1531</v>
      </c>
      <c r="B1441" t="s">
        <v>909</v>
      </c>
      <c r="C1441" t="s">
        <v>1551</v>
      </c>
    </row>
    <row r="1442" spans="1:3" x14ac:dyDescent="0.25">
      <c r="A1442" t="s">
        <v>1531</v>
      </c>
      <c r="B1442" t="s">
        <v>910</v>
      </c>
      <c r="C1442" t="s">
        <v>1551</v>
      </c>
    </row>
    <row r="1443" spans="1:3" x14ac:dyDescent="0.25">
      <c r="A1443" t="s">
        <v>1531</v>
      </c>
      <c r="B1443" t="s">
        <v>911</v>
      </c>
      <c r="C1443" t="s">
        <v>1551</v>
      </c>
    </row>
    <row r="1444" spans="1:3" x14ac:dyDescent="0.25">
      <c r="A1444" t="s">
        <v>1531</v>
      </c>
      <c r="B1444" t="s">
        <v>912</v>
      </c>
      <c r="C1444" t="s">
        <v>1551</v>
      </c>
    </row>
    <row r="1445" spans="1:3" x14ac:dyDescent="0.25">
      <c r="A1445" t="s">
        <v>1531</v>
      </c>
      <c r="B1445" t="s">
        <v>913</v>
      </c>
      <c r="C1445" t="s">
        <v>1551</v>
      </c>
    </row>
    <row r="1446" spans="1:3" x14ac:dyDescent="0.25">
      <c r="A1446" t="s">
        <v>1531</v>
      </c>
      <c r="B1446" t="s">
        <v>914</v>
      </c>
      <c r="C1446" t="s">
        <v>1551</v>
      </c>
    </row>
    <row r="1447" spans="1:3" x14ac:dyDescent="0.25">
      <c r="A1447" t="s">
        <v>1531</v>
      </c>
      <c r="B1447" t="s">
        <v>915</v>
      </c>
      <c r="C1447" t="s">
        <v>1551</v>
      </c>
    </row>
    <row r="1448" spans="1:3" x14ac:dyDescent="0.25">
      <c r="A1448" t="s">
        <v>1531</v>
      </c>
      <c r="B1448" t="s">
        <v>916</v>
      </c>
      <c r="C1448" t="s">
        <v>1551</v>
      </c>
    </row>
    <row r="1449" spans="1:3" x14ac:dyDescent="0.25">
      <c r="A1449" t="s">
        <v>1531</v>
      </c>
      <c r="B1449" t="s">
        <v>917</v>
      </c>
      <c r="C1449" t="s">
        <v>1551</v>
      </c>
    </row>
    <row r="1450" spans="1:3" x14ac:dyDescent="0.25">
      <c r="A1450" t="s">
        <v>1531</v>
      </c>
      <c r="B1450" t="s">
        <v>918</v>
      </c>
      <c r="C1450" t="s">
        <v>1551</v>
      </c>
    </row>
    <row r="1451" spans="1:3" x14ac:dyDescent="0.25">
      <c r="A1451" t="s">
        <v>1531</v>
      </c>
      <c r="B1451" t="s">
        <v>919</v>
      </c>
      <c r="C1451" t="s">
        <v>1551</v>
      </c>
    </row>
    <row r="1452" spans="1:3" x14ac:dyDescent="0.25">
      <c r="A1452" t="s">
        <v>1531</v>
      </c>
      <c r="B1452" t="s">
        <v>920</v>
      </c>
      <c r="C1452" t="s">
        <v>1551</v>
      </c>
    </row>
    <row r="1453" spans="1:3" x14ac:dyDescent="0.25">
      <c r="A1453" t="s">
        <v>1531</v>
      </c>
      <c r="B1453" t="s">
        <v>921</v>
      </c>
      <c r="C1453" t="s">
        <v>1551</v>
      </c>
    </row>
    <row r="1454" spans="1:3" x14ac:dyDescent="0.25">
      <c r="A1454" t="s">
        <v>1531</v>
      </c>
      <c r="B1454" t="s">
        <v>922</v>
      </c>
      <c r="C1454" t="s">
        <v>1551</v>
      </c>
    </row>
    <row r="1455" spans="1:3" x14ac:dyDescent="0.25">
      <c r="A1455" t="s">
        <v>1531</v>
      </c>
      <c r="B1455" t="s">
        <v>923</v>
      </c>
      <c r="C1455" t="s">
        <v>1551</v>
      </c>
    </row>
    <row r="1456" spans="1:3" x14ac:dyDescent="0.25">
      <c r="A1456" t="s">
        <v>1531</v>
      </c>
      <c r="B1456" t="s">
        <v>924</v>
      </c>
      <c r="C1456" t="s">
        <v>1551</v>
      </c>
    </row>
    <row r="1457" spans="1:3" x14ac:dyDescent="0.25">
      <c r="A1457" t="s">
        <v>1531</v>
      </c>
      <c r="B1457" t="s">
        <v>925</v>
      </c>
      <c r="C1457" t="s">
        <v>1551</v>
      </c>
    </row>
    <row r="1458" spans="1:3" x14ac:dyDescent="0.25">
      <c r="A1458" t="s">
        <v>1531</v>
      </c>
      <c r="B1458" t="s">
        <v>926</v>
      </c>
      <c r="C1458" t="s">
        <v>1551</v>
      </c>
    </row>
    <row r="1459" spans="1:3" x14ac:dyDescent="0.25">
      <c r="A1459" t="s">
        <v>1531</v>
      </c>
      <c r="B1459" t="s">
        <v>927</v>
      </c>
      <c r="C1459" t="s">
        <v>1551</v>
      </c>
    </row>
    <row r="1460" spans="1:3" x14ac:dyDescent="0.25">
      <c r="A1460" t="s">
        <v>1531</v>
      </c>
      <c r="B1460" t="s">
        <v>928</v>
      </c>
      <c r="C1460" t="s">
        <v>1551</v>
      </c>
    </row>
    <row r="1461" spans="1:3" x14ac:dyDescent="0.25">
      <c r="A1461" t="s">
        <v>1531</v>
      </c>
      <c r="B1461" t="s">
        <v>929</v>
      </c>
      <c r="C1461" t="s">
        <v>1551</v>
      </c>
    </row>
    <row r="1462" spans="1:3" x14ac:dyDescent="0.25">
      <c r="A1462" t="s">
        <v>1531</v>
      </c>
      <c r="B1462" t="s">
        <v>930</v>
      </c>
      <c r="C1462" t="s">
        <v>1551</v>
      </c>
    </row>
    <row r="1463" spans="1:3" x14ac:dyDescent="0.25">
      <c r="A1463" t="s">
        <v>1531</v>
      </c>
      <c r="B1463" t="s">
        <v>931</v>
      </c>
      <c r="C1463" t="s">
        <v>1551</v>
      </c>
    </row>
    <row r="1464" spans="1:3" x14ac:dyDescent="0.25">
      <c r="A1464" t="s">
        <v>1531</v>
      </c>
      <c r="B1464" t="s">
        <v>932</v>
      </c>
      <c r="C1464" t="s">
        <v>1551</v>
      </c>
    </row>
    <row r="1465" spans="1:3" x14ac:dyDescent="0.25">
      <c r="A1465" t="s">
        <v>1531</v>
      </c>
      <c r="B1465" t="s">
        <v>933</v>
      </c>
      <c r="C1465" t="s">
        <v>1551</v>
      </c>
    </row>
    <row r="1466" spans="1:3" x14ac:dyDescent="0.25">
      <c r="A1466" t="s">
        <v>1531</v>
      </c>
      <c r="B1466" t="s">
        <v>934</v>
      </c>
      <c r="C1466" t="s">
        <v>1551</v>
      </c>
    </row>
    <row r="1467" spans="1:3" x14ac:dyDescent="0.25">
      <c r="A1467" t="s">
        <v>1531</v>
      </c>
      <c r="B1467" t="s">
        <v>935</v>
      </c>
      <c r="C1467" t="s">
        <v>1551</v>
      </c>
    </row>
    <row r="1468" spans="1:3" x14ac:dyDescent="0.25">
      <c r="A1468" t="s">
        <v>1531</v>
      </c>
      <c r="B1468" t="s">
        <v>936</v>
      </c>
      <c r="C1468" t="s">
        <v>1551</v>
      </c>
    </row>
    <row r="1469" spans="1:3" x14ac:dyDescent="0.25">
      <c r="A1469" t="s">
        <v>1531</v>
      </c>
      <c r="B1469" t="s">
        <v>937</v>
      </c>
      <c r="C1469" t="s">
        <v>1551</v>
      </c>
    </row>
    <row r="1470" spans="1:3" x14ac:dyDescent="0.25">
      <c r="A1470" t="s">
        <v>1531</v>
      </c>
      <c r="B1470" t="s">
        <v>938</v>
      </c>
      <c r="C1470" t="s">
        <v>1551</v>
      </c>
    </row>
    <row r="1471" spans="1:3" x14ac:dyDescent="0.25">
      <c r="A1471" t="s">
        <v>1531</v>
      </c>
      <c r="B1471" t="s">
        <v>939</v>
      </c>
      <c r="C1471" t="s">
        <v>1551</v>
      </c>
    </row>
    <row r="1472" spans="1:3" x14ac:dyDescent="0.25">
      <c r="A1472" t="s">
        <v>1531</v>
      </c>
      <c r="B1472" t="s">
        <v>940</v>
      </c>
      <c r="C1472" t="s">
        <v>1551</v>
      </c>
    </row>
    <row r="1473" spans="1:3" x14ac:dyDescent="0.25">
      <c r="A1473" t="s">
        <v>1531</v>
      </c>
      <c r="B1473" t="s">
        <v>1070</v>
      </c>
      <c r="C1473" t="s">
        <v>1551</v>
      </c>
    </row>
    <row r="1474" spans="1:3" x14ac:dyDescent="0.25">
      <c r="A1474" t="s">
        <v>1531</v>
      </c>
      <c r="B1474" t="s">
        <v>1071</v>
      </c>
      <c r="C1474" t="s">
        <v>1551</v>
      </c>
    </row>
    <row r="1475" spans="1:3" x14ac:dyDescent="0.25">
      <c r="A1475" t="s">
        <v>1531</v>
      </c>
      <c r="B1475" t="s">
        <v>1072</v>
      </c>
      <c r="C1475" t="s">
        <v>1551</v>
      </c>
    </row>
    <row r="1476" spans="1:3" x14ac:dyDescent="0.25">
      <c r="A1476" t="s">
        <v>1531</v>
      </c>
      <c r="B1476" t="s">
        <v>1073</v>
      </c>
      <c r="C1476" t="s">
        <v>1551</v>
      </c>
    </row>
    <row r="1477" spans="1:3" x14ac:dyDescent="0.25">
      <c r="A1477" t="s">
        <v>1531</v>
      </c>
      <c r="B1477" t="s">
        <v>1074</v>
      </c>
      <c r="C1477" t="s">
        <v>1551</v>
      </c>
    </row>
    <row r="1478" spans="1:3" x14ac:dyDescent="0.25">
      <c r="A1478" t="s">
        <v>1531</v>
      </c>
      <c r="B1478" t="s">
        <v>1075</v>
      </c>
      <c r="C1478" t="s">
        <v>1551</v>
      </c>
    </row>
    <row r="1479" spans="1:3" x14ac:dyDescent="0.25">
      <c r="A1479" t="s">
        <v>1531</v>
      </c>
      <c r="B1479" t="s">
        <v>1076</v>
      </c>
      <c r="C1479" t="s">
        <v>1551</v>
      </c>
    </row>
    <row r="1480" spans="1:3" x14ac:dyDescent="0.25">
      <c r="A1480" t="s">
        <v>1531</v>
      </c>
      <c r="B1480" t="s">
        <v>1077</v>
      </c>
      <c r="C1480" t="s">
        <v>1551</v>
      </c>
    </row>
    <row r="1481" spans="1:3" x14ac:dyDescent="0.25">
      <c r="A1481" t="s">
        <v>1531</v>
      </c>
      <c r="B1481" t="s">
        <v>1078</v>
      </c>
      <c r="C1481" t="s">
        <v>1551</v>
      </c>
    </row>
    <row r="1482" spans="1:3" x14ac:dyDescent="0.25">
      <c r="A1482" t="s">
        <v>1531</v>
      </c>
      <c r="B1482" t="s">
        <v>1079</v>
      </c>
      <c r="C1482" t="s">
        <v>1551</v>
      </c>
    </row>
    <row r="1483" spans="1:3" x14ac:dyDescent="0.25">
      <c r="A1483" t="s">
        <v>1531</v>
      </c>
      <c r="B1483" t="s">
        <v>1080</v>
      </c>
      <c r="C1483" t="s">
        <v>1551</v>
      </c>
    </row>
    <row r="1484" spans="1:3" x14ac:dyDescent="0.25">
      <c r="A1484" t="s">
        <v>1531</v>
      </c>
      <c r="B1484" t="s">
        <v>1081</v>
      </c>
      <c r="C1484" t="s">
        <v>1551</v>
      </c>
    </row>
    <row r="1485" spans="1:3" x14ac:dyDescent="0.25">
      <c r="A1485" t="s">
        <v>1531</v>
      </c>
      <c r="B1485" t="s">
        <v>1082</v>
      </c>
      <c r="C1485" t="s">
        <v>1551</v>
      </c>
    </row>
    <row r="1486" spans="1:3" x14ac:dyDescent="0.25">
      <c r="A1486" t="s">
        <v>1531</v>
      </c>
      <c r="B1486" t="s">
        <v>1083</v>
      </c>
      <c r="C1486" t="s">
        <v>1551</v>
      </c>
    </row>
    <row r="1487" spans="1:3" x14ac:dyDescent="0.25">
      <c r="A1487" t="s">
        <v>1531</v>
      </c>
      <c r="B1487" t="s">
        <v>1084</v>
      </c>
      <c r="C1487" t="s">
        <v>1551</v>
      </c>
    </row>
    <row r="1488" spans="1:3" x14ac:dyDescent="0.25">
      <c r="A1488" t="s">
        <v>1531</v>
      </c>
      <c r="B1488" t="s">
        <v>1085</v>
      </c>
      <c r="C1488" t="s">
        <v>1551</v>
      </c>
    </row>
    <row r="1489" spans="1:3" x14ac:dyDescent="0.25">
      <c r="A1489" t="s">
        <v>1531</v>
      </c>
      <c r="B1489" t="s">
        <v>1086</v>
      </c>
      <c r="C1489" t="s">
        <v>1551</v>
      </c>
    </row>
    <row r="1490" spans="1:3" x14ac:dyDescent="0.25">
      <c r="A1490" t="s">
        <v>1531</v>
      </c>
      <c r="B1490" t="s">
        <v>1087</v>
      </c>
      <c r="C1490" t="s">
        <v>1551</v>
      </c>
    </row>
    <row r="1491" spans="1:3" x14ac:dyDescent="0.25">
      <c r="A1491" t="s">
        <v>1531</v>
      </c>
      <c r="B1491" t="s">
        <v>1088</v>
      </c>
      <c r="C1491" t="s">
        <v>1551</v>
      </c>
    </row>
    <row r="1492" spans="1:3" x14ac:dyDescent="0.25">
      <c r="A1492" t="s">
        <v>1531</v>
      </c>
      <c r="B1492" t="s">
        <v>1089</v>
      </c>
      <c r="C1492" t="s">
        <v>1551</v>
      </c>
    </row>
    <row r="1493" spans="1:3" x14ac:dyDescent="0.25">
      <c r="A1493" t="s">
        <v>1531</v>
      </c>
      <c r="B1493" t="s">
        <v>1090</v>
      </c>
      <c r="C1493" t="s">
        <v>1551</v>
      </c>
    </row>
    <row r="1494" spans="1:3" x14ac:dyDescent="0.25">
      <c r="A1494" t="s">
        <v>1531</v>
      </c>
      <c r="B1494" t="s">
        <v>1149</v>
      </c>
      <c r="C1494" t="s">
        <v>1551</v>
      </c>
    </row>
    <row r="1495" spans="1:3" x14ac:dyDescent="0.25">
      <c r="A1495" t="s">
        <v>1531</v>
      </c>
      <c r="B1495" t="s">
        <v>1150</v>
      </c>
      <c r="C1495" t="s">
        <v>1551</v>
      </c>
    </row>
    <row r="1496" spans="1:3" x14ac:dyDescent="0.25">
      <c r="A1496" t="s">
        <v>1531</v>
      </c>
      <c r="B1496" t="s">
        <v>1151</v>
      </c>
      <c r="C1496" t="s">
        <v>1551</v>
      </c>
    </row>
    <row r="1497" spans="1:3" x14ac:dyDescent="0.25">
      <c r="A1497" t="s">
        <v>1531</v>
      </c>
      <c r="B1497" t="s">
        <v>1152</v>
      </c>
      <c r="C1497" t="s">
        <v>1551</v>
      </c>
    </row>
    <row r="1498" spans="1:3" x14ac:dyDescent="0.25">
      <c r="A1498" t="s">
        <v>1531</v>
      </c>
      <c r="B1498" t="s">
        <v>1153</v>
      </c>
      <c r="C1498" t="s">
        <v>1551</v>
      </c>
    </row>
    <row r="1499" spans="1:3" x14ac:dyDescent="0.25">
      <c r="A1499" t="s">
        <v>1531</v>
      </c>
      <c r="B1499" t="s">
        <v>1154</v>
      </c>
      <c r="C1499" t="s">
        <v>1551</v>
      </c>
    </row>
    <row r="1500" spans="1:3" x14ac:dyDescent="0.25">
      <c r="A1500" t="s">
        <v>1531</v>
      </c>
      <c r="B1500" t="s">
        <v>1155</v>
      </c>
      <c r="C1500" t="s">
        <v>1551</v>
      </c>
    </row>
    <row r="1501" spans="1:3" x14ac:dyDescent="0.25">
      <c r="A1501" t="s">
        <v>1531</v>
      </c>
      <c r="B1501" t="s">
        <v>1156</v>
      </c>
      <c r="C1501" t="s">
        <v>1551</v>
      </c>
    </row>
    <row r="1502" spans="1:3" x14ac:dyDescent="0.25">
      <c r="A1502" t="s">
        <v>1531</v>
      </c>
      <c r="B1502" t="s">
        <v>1157</v>
      </c>
      <c r="C1502" t="s">
        <v>1551</v>
      </c>
    </row>
    <row r="1503" spans="1:3" x14ac:dyDescent="0.25">
      <c r="A1503" t="s">
        <v>1531</v>
      </c>
      <c r="B1503" t="s">
        <v>1158</v>
      </c>
      <c r="C1503" t="s">
        <v>1551</v>
      </c>
    </row>
    <row r="1504" spans="1:3" x14ac:dyDescent="0.25">
      <c r="A1504" t="s">
        <v>1531</v>
      </c>
      <c r="B1504" t="s">
        <v>1159</v>
      </c>
      <c r="C1504" t="s">
        <v>1551</v>
      </c>
    </row>
    <row r="1505" spans="1:3" x14ac:dyDescent="0.25">
      <c r="A1505" t="s">
        <v>1531</v>
      </c>
      <c r="B1505" t="s">
        <v>1160</v>
      </c>
      <c r="C1505" t="s">
        <v>1551</v>
      </c>
    </row>
    <row r="1506" spans="1:3" x14ac:dyDescent="0.25">
      <c r="A1506" t="s">
        <v>1532</v>
      </c>
      <c r="B1506" t="s">
        <v>11</v>
      </c>
      <c r="C1506" t="s">
        <v>1552</v>
      </c>
    </row>
    <row r="1507" spans="1:3" x14ac:dyDescent="0.25">
      <c r="A1507" t="s">
        <v>1532</v>
      </c>
      <c r="B1507" t="s">
        <v>12</v>
      </c>
      <c r="C1507" t="s">
        <v>1552</v>
      </c>
    </row>
    <row r="1508" spans="1:3" x14ac:dyDescent="0.25">
      <c r="A1508" t="s">
        <v>1532</v>
      </c>
      <c r="B1508" t="s">
        <v>13</v>
      </c>
      <c r="C1508" t="s">
        <v>1552</v>
      </c>
    </row>
    <row r="1509" spans="1:3" x14ac:dyDescent="0.25">
      <c r="A1509" t="s">
        <v>1532</v>
      </c>
      <c r="B1509" t="s">
        <v>18</v>
      </c>
      <c r="C1509" t="s">
        <v>1552</v>
      </c>
    </row>
    <row r="1510" spans="1:3" x14ac:dyDescent="0.25">
      <c r="A1510" t="s">
        <v>1532</v>
      </c>
      <c r="B1510" t="s">
        <v>19</v>
      </c>
      <c r="C1510" t="s">
        <v>1552</v>
      </c>
    </row>
    <row r="1511" spans="1:3" x14ac:dyDescent="0.25">
      <c r="A1511" t="s">
        <v>1532</v>
      </c>
      <c r="B1511" t="s">
        <v>20</v>
      </c>
      <c r="C1511" t="s">
        <v>1552</v>
      </c>
    </row>
    <row r="1512" spans="1:3" x14ac:dyDescent="0.25">
      <c r="A1512" t="s">
        <v>1532</v>
      </c>
      <c r="B1512" t="s">
        <v>21</v>
      </c>
      <c r="C1512" t="s">
        <v>1552</v>
      </c>
    </row>
    <row r="1513" spans="1:3" x14ac:dyDescent="0.25">
      <c r="A1513" t="s">
        <v>1532</v>
      </c>
      <c r="B1513" t="s">
        <v>22</v>
      </c>
      <c r="C1513" t="s">
        <v>1552</v>
      </c>
    </row>
    <row r="1514" spans="1:3" x14ac:dyDescent="0.25">
      <c r="A1514" t="s">
        <v>1532</v>
      </c>
      <c r="B1514" t="s">
        <v>23</v>
      </c>
      <c r="C1514" t="s">
        <v>1552</v>
      </c>
    </row>
    <row r="1515" spans="1:3" x14ac:dyDescent="0.25">
      <c r="A1515" t="s">
        <v>1532</v>
      </c>
      <c r="B1515" t="s">
        <v>24</v>
      </c>
      <c r="C1515" t="s">
        <v>1552</v>
      </c>
    </row>
    <row r="1516" spans="1:3" x14ac:dyDescent="0.25">
      <c r="A1516" t="s">
        <v>1532</v>
      </c>
      <c r="B1516" t="s">
        <v>25</v>
      </c>
      <c r="C1516" t="s">
        <v>1552</v>
      </c>
    </row>
    <row r="1517" spans="1:3" x14ac:dyDescent="0.25">
      <c r="A1517" t="s">
        <v>1532</v>
      </c>
      <c r="B1517" t="s">
        <v>26</v>
      </c>
      <c r="C1517" t="s">
        <v>1552</v>
      </c>
    </row>
    <row r="1518" spans="1:3" x14ac:dyDescent="0.25">
      <c r="A1518" t="s">
        <v>1532</v>
      </c>
      <c r="B1518" t="s">
        <v>27</v>
      </c>
      <c r="C1518" t="s">
        <v>1552</v>
      </c>
    </row>
    <row r="1519" spans="1:3" x14ac:dyDescent="0.25">
      <c r="A1519" t="s">
        <v>1532</v>
      </c>
      <c r="B1519" t="s">
        <v>28</v>
      </c>
      <c r="C1519" t="s">
        <v>1552</v>
      </c>
    </row>
    <row r="1520" spans="1:3" x14ac:dyDescent="0.25">
      <c r="A1520" t="s">
        <v>1532</v>
      </c>
      <c r="B1520" t="s">
        <v>29</v>
      </c>
      <c r="C1520" t="s">
        <v>1552</v>
      </c>
    </row>
    <row r="1521" spans="1:3" x14ac:dyDescent="0.25">
      <c r="A1521" t="s">
        <v>1532</v>
      </c>
      <c r="B1521" t="s">
        <v>30</v>
      </c>
      <c r="C1521" t="s">
        <v>1552</v>
      </c>
    </row>
    <row r="1522" spans="1:3" x14ac:dyDescent="0.25">
      <c r="A1522" t="s">
        <v>1532</v>
      </c>
      <c r="B1522" t="s">
        <v>31</v>
      </c>
      <c r="C1522" t="s">
        <v>1552</v>
      </c>
    </row>
    <row r="1523" spans="1:3" x14ac:dyDescent="0.25">
      <c r="A1523" t="s">
        <v>1532</v>
      </c>
      <c r="B1523" t="s">
        <v>32</v>
      </c>
      <c r="C1523" t="s">
        <v>1552</v>
      </c>
    </row>
    <row r="1524" spans="1:3" x14ac:dyDescent="0.25">
      <c r="A1524" t="s">
        <v>1532</v>
      </c>
      <c r="B1524" t="s">
        <v>33</v>
      </c>
      <c r="C1524" t="s">
        <v>1552</v>
      </c>
    </row>
    <row r="1525" spans="1:3" x14ac:dyDescent="0.25">
      <c r="A1525" t="s">
        <v>1532</v>
      </c>
      <c r="B1525" t="s">
        <v>34</v>
      </c>
      <c r="C1525" t="s">
        <v>1552</v>
      </c>
    </row>
    <row r="1526" spans="1:3" x14ac:dyDescent="0.25">
      <c r="A1526" t="s">
        <v>1532</v>
      </c>
      <c r="B1526" t="s">
        <v>35</v>
      </c>
      <c r="C1526" t="s">
        <v>1552</v>
      </c>
    </row>
    <row r="1527" spans="1:3" x14ac:dyDescent="0.25">
      <c r="A1527" t="s">
        <v>1532</v>
      </c>
      <c r="B1527" t="s">
        <v>36</v>
      </c>
      <c r="C1527" t="s">
        <v>1552</v>
      </c>
    </row>
    <row r="1528" spans="1:3" x14ac:dyDescent="0.25">
      <c r="A1528" t="s">
        <v>1532</v>
      </c>
      <c r="B1528" t="s">
        <v>42</v>
      </c>
      <c r="C1528" t="s">
        <v>1552</v>
      </c>
    </row>
    <row r="1529" spans="1:3" x14ac:dyDescent="0.25">
      <c r="A1529" t="s">
        <v>1532</v>
      </c>
      <c r="B1529" t="s">
        <v>43</v>
      </c>
      <c r="C1529" t="s">
        <v>1552</v>
      </c>
    </row>
    <row r="1530" spans="1:3" x14ac:dyDescent="0.25">
      <c r="A1530" t="s">
        <v>1532</v>
      </c>
      <c r="B1530" t="s">
        <v>44</v>
      </c>
      <c r="C1530" t="s">
        <v>1552</v>
      </c>
    </row>
    <row r="1531" spans="1:3" x14ac:dyDescent="0.25">
      <c r="A1531" t="s">
        <v>1532</v>
      </c>
      <c r="B1531" t="s">
        <v>45</v>
      </c>
      <c r="C1531" t="s">
        <v>1552</v>
      </c>
    </row>
    <row r="1532" spans="1:3" x14ac:dyDescent="0.25">
      <c r="A1532" t="s">
        <v>1532</v>
      </c>
      <c r="B1532" t="s">
        <v>46</v>
      </c>
      <c r="C1532" t="s">
        <v>1552</v>
      </c>
    </row>
    <row r="1533" spans="1:3" x14ac:dyDescent="0.25">
      <c r="A1533" t="s">
        <v>1532</v>
      </c>
      <c r="B1533" t="s">
        <v>47</v>
      </c>
      <c r="C1533" t="s">
        <v>1552</v>
      </c>
    </row>
    <row r="1534" spans="1:3" x14ac:dyDescent="0.25">
      <c r="A1534" t="s">
        <v>1532</v>
      </c>
      <c r="B1534" t="s">
        <v>48</v>
      </c>
      <c r="C1534" t="s">
        <v>1552</v>
      </c>
    </row>
    <row r="1535" spans="1:3" x14ac:dyDescent="0.25">
      <c r="A1535" t="s">
        <v>1532</v>
      </c>
      <c r="B1535" t="s">
        <v>51</v>
      </c>
      <c r="C1535" t="s">
        <v>1552</v>
      </c>
    </row>
    <row r="1536" spans="1:3" x14ac:dyDescent="0.25">
      <c r="A1536" t="s">
        <v>1532</v>
      </c>
      <c r="B1536" t="s">
        <v>52</v>
      </c>
      <c r="C1536" t="s">
        <v>1552</v>
      </c>
    </row>
    <row r="1537" spans="1:3" x14ac:dyDescent="0.25">
      <c r="A1537" t="s">
        <v>1532</v>
      </c>
      <c r="B1537" t="s">
        <v>53</v>
      </c>
      <c r="C1537" t="s">
        <v>1552</v>
      </c>
    </row>
    <row r="1538" spans="1:3" x14ac:dyDescent="0.25">
      <c r="A1538" t="s">
        <v>1532</v>
      </c>
      <c r="B1538" t="s">
        <v>54</v>
      </c>
      <c r="C1538" t="s">
        <v>1552</v>
      </c>
    </row>
    <row r="1539" spans="1:3" x14ac:dyDescent="0.25">
      <c r="A1539" t="s">
        <v>1532</v>
      </c>
      <c r="B1539" t="s">
        <v>55</v>
      </c>
      <c r="C1539" t="s">
        <v>1552</v>
      </c>
    </row>
    <row r="1540" spans="1:3" x14ac:dyDescent="0.25">
      <c r="A1540" t="s">
        <v>1532</v>
      </c>
      <c r="B1540" t="s">
        <v>56</v>
      </c>
      <c r="C1540" t="s">
        <v>1552</v>
      </c>
    </row>
    <row r="1541" spans="1:3" x14ac:dyDescent="0.25">
      <c r="A1541" t="s">
        <v>1532</v>
      </c>
      <c r="B1541" t="s">
        <v>57</v>
      </c>
      <c r="C1541" t="s">
        <v>1552</v>
      </c>
    </row>
    <row r="1542" spans="1:3" x14ac:dyDescent="0.25">
      <c r="A1542" t="s">
        <v>1532</v>
      </c>
      <c r="B1542" t="s">
        <v>58</v>
      </c>
      <c r="C1542" t="s">
        <v>1552</v>
      </c>
    </row>
    <row r="1543" spans="1:3" x14ac:dyDescent="0.25">
      <c r="A1543" t="s">
        <v>1532</v>
      </c>
      <c r="B1543" t="s">
        <v>59</v>
      </c>
      <c r="C1543" t="s">
        <v>1552</v>
      </c>
    </row>
    <row r="1544" spans="1:3" x14ac:dyDescent="0.25">
      <c r="A1544" t="s">
        <v>1532</v>
      </c>
      <c r="B1544" t="s">
        <v>60</v>
      </c>
      <c r="C1544" t="s">
        <v>1552</v>
      </c>
    </row>
    <row r="1545" spans="1:3" x14ac:dyDescent="0.25">
      <c r="A1545" t="s">
        <v>1532</v>
      </c>
      <c r="B1545" t="s">
        <v>61</v>
      </c>
      <c r="C1545" t="s">
        <v>1552</v>
      </c>
    </row>
    <row r="1546" spans="1:3" x14ac:dyDescent="0.25">
      <c r="A1546" t="s">
        <v>1532</v>
      </c>
      <c r="B1546" t="s">
        <v>62</v>
      </c>
      <c r="C1546" t="s">
        <v>1552</v>
      </c>
    </row>
    <row r="1547" spans="1:3" x14ac:dyDescent="0.25">
      <c r="A1547" t="s">
        <v>1532</v>
      </c>
      <c r="B1547" t="s">
        <v>63</v>
      </c>
      <c r="C1547" t="s">
        <v>1552</v>
      </c>
    </row>
    <row r="1548" spans="1:3" x14ac:dyDescent="0.25">
      <c r="A1548" t="s">
        <v>1532</v>
      </c>
      <c r="B1548" t="s">
        <v>64</v>
      </c>
      <c r="C1548" t="s">
        <v>1552</v>
      </c>
    </row>
    <row r="1549" spans="1:3" x14ac:dyDescent="0.25">
      <c r="A1549" t="s">
        <v>1532</v>
      </c>
      <c r="B1549" t="s">
        <v>65</v>
      </c>
      <c r="C1549" t="s">
        <v>1552</v>
      </c>
    </row>
    <row r="1550" spans="1:3" x14ac:dyDescent="0.25">
      <c r="A1550" t="s">
        <v>1532</v>
      </c>
      <c r="B1550" t="s">
        <v>66</v>
      </c>
      <c r="C1550" t="s">
        <v>1552</v>
      </c>
    </row>
    <row r="1551" spans="1:3" x14ac:dyDescent="0.25">
      <c r="A1551" t="s">
        <v>1532</v>
      </c>
      <c r="B1551" t="s">
        <v>67</v>
      </c>
      <c r="C1551" t="s">
        <v>1552</v>
      </c>
    </row>
    <row r="1552" spans="1:3" x14ac:dyDescent="0.25">
      <c r="A1552" t="s">
        <v>1532</v>
      </c>
      <c r="B1552" t="s">
        <v>68</v>
      </c>
      <c r="C1552" t="s">
        <v>1552</v>
      </c>
    </row>
    <row r="1553" spans="1:3" x14ac:dyDescent="0.25">
      <c r="A1553" t="s">
        <v>1532</v>
      </c>
      <c r="B1553" t="s">
        <v>69</v>
      </c>
      <c r="C1553" t="s">
        <v>1552</v>
      </c>
    </row>
    <row r="1554" spans="1:3" x14ac:dyDescent="0.25">
      <c r="A1554" t="s">
        <v>1532</v>
      </c>
      <c r="B1554" t="s">
        <v>70</v>
      </c>
      <c r="C1554" t="s">
        <v>1552</v>
      </c>
    </row>
    <row r="1555" spans="1:3" x14ac:dyDescent="0.25">
      <c r="A1555" t="s">
        <v>1532</v>
      </c>
      <c r="B1555" t="s">
        <v>71</v>
      </c>
      <c r="C1555" t="s">
        <v>1552</v>
      </c>
    </row>
    <row r="1556" spans="1:3" x14ac:dyDescent="0.25">
      <c r="A1556" t="s">
        <v>1532</v>
      </c>
      <c r="B1556" t="s">
        <v>72</v>
      </c>
      <c r="C1556" t="s">
        <v>1552</v>
      </c>
    </row>
    <row r="1557" spans="1:3" x14ac:dyDescent="0.25">
      <c r="A1557" t="s">
        <v>1532</v>
      </c>
      <c r="B1557" t="s">
        <v>73</v>
      </c>
      <c r="C1557" t="s">
        <v>1552</v>
      </c>
    </row>
    <row r="1558" spans="1:3" x14ac:dyDescent="0.25">
      <c r="A1558" t="s">
        <v>1532</v>
      </c>
      <c r="B1558" t="s">
        <v>74</v>
      </c>
      <c r="C1558" t="s">
        <v>1552</v>
      </c>
    </row>
    <row r="1559" spans="1:3" x14ac:dyDescent="0.25">
      <c r="A1559" t="s">
        <v>1532</v>
      </c>
      <c r="B1559" t="s">
        <v>75</v>
      </c>
      <c r="C1559" t="s">
        <v>1552</v>
      </c>
    </row>
    <row r="1560" spans="1:3" x14ac:dyDescent="0.25">
      <c r="A1560" t="s">
        <v>1532</v>
      </c>
      <c r="B1560" t="s">
        <v>76</v>
      </c>
      <c r="C1560" t="s">
        <v>1552</v>
      </c>
    </row>
    <row r="1561" spans="1:3" x14ac:dyDescent="0.25">
      <c r="A1561" t="s">
        <v>1532</v>
      </c>
      <c r="B1561" t="s">
        <v>77</v>
      </c>
      <c r="C1561" t="s">
        <v>1552</v>
      </c>
    </row>
    <row r="1562" spans="1:3" x14ac:dyDescent="0.25">
      <c r="A1562" t="s">
        <v>1532</v>
      </c>
      <c r="B1562" t="s">
        <v>78</v>
      </c>
      <c r="C1562" t="s">
        <v>1552</v>
      </c>
    </row>
    <row r="1563" spans="1:3" x14ac:dyDescent="0.25">
      <c r="A1563" t="s">
        <v>1532</v>
      </c>
      <c r="B1563" t="s">
        <v>79</v>
      </c>
      <c r="C1563" t="s">
        <v>1552</v>
      </c>
    </row>
    <row r="1564" spans="1:3" x14ac:dyDescent="0.25">
      <c r="A1564" t="s">
        <v>1532</v>
      </c>
      <c r="B1564" t="s">
        <v>82</v>
      </c>
      <c r="C1564" t="s">
        <v>1552</v>
      </c>
    </row>
    <row r="1565" spans="1:3" x14ac:dyDescent="0.25">
      <c r="A1565" t="s">
        <v>1532</v>
      </c>
      <c r="B1565" t="s">
        <v>83</v>
      </c>
      <c r="C1565" t="s">
        <v>1552</v>
      </c>
    </row>
    <row r="1566" spans="1:3" x14ac:dyDescent="0.25">
      <c r="A1566" t="s">
        <v>1532</v>
      </c>
      <c r="B1566" t="s">
        <v>85</v>
      </c>
      <c r="C1566" t="s">
        <v>1552</v>
      </c>
    </row>
    <row r="1567" spans="1:3" x14ac:dyDescent="0.25">
      <c r="A1567" t="s">
        <v>1532</v>
      </c>
      <c r="B1567" t="s">
        <v>86</v>
      </c>
      <c r="C1567" t="s">
        <v>1552</v>
      </c>
    </row>
    <row r="1568" spans="1:3" x14ac:dyDescent="0.25">
      <c r="A1568" t="s">
        <v>1532</v>
      </c>
      <c r="B1568" t="s">
        <v>87</v>
      </c>
      <c r="C1568" t="s">
        <v>1552</v>
      </c>
    </row>
    <row r="1569" spans="1:3" x14ac:dyDescent="0.25">
      <c r="A1569" t="s">
        <v>1532</v>
      </c>
      <c r="B1569" t="s">
        <v>88</v>
      </c>
      <c r="C1569" t="s">
        <v>1552</v>
      </c>
    </row>
    <row r="1570" spans="1:3" x14ac:dyDescent="0.25">
      <c r="A1570" t="s">
        <v>1532</v>
      </c>
      <c r="B1570" t="s">
        <v>89</v>
      </c>
      <c r="C1570" t="s">
        <v>1552</v>
      </c>
    </row>
    <row r="1571" spans="1:3" x14ac:dyDescent="0.25">
      <c r="A1571" t="s">
        <v>1532</v>
      </c>
      <c r="B1571" t="s">
        <v>90</v>
      </c>
      <c r="C1571" t="s">
        <v>1552</v>
      </c>
    </row>
    <row r="1572" spans="1:3" x14ac:dyDescent="0.25">
      <c r="A1572" t="s">
        <v>1532</v>
      </c>
      <c r="B1572" t="s">
        <v>91</v>
      </c>
      <c r="C1572" t="s">
        <v>1552</v>
      </c>
    </row>
    <row r="1573" spans="1:3" x14ac:dyDescent="0.25">
      <c r="A1573" t="s">
        <v>1532</v>
      </c>
      <c r="B1573" t="s">
        <v>92</v>
      </c>
      <c r="C1573" t="s">
        <v>1552</v>
      </c>
    </row>
    <row r="1574" spans="1:3" x14ac:dyDescent="0.25">
      <c r="A1574" t="s">
        <v>1532</v>
      </c>
      <c r="B1574" t="s">
        <v>93</v>
      </c>
      <c r="C1574" t="s">
        <v>1552</v>
      </c>
    </row>
    <row r="1575" spans="1:3" x14ac:dyDescent="0.25">
      <c r="A1575" t="s">
        <v>1532</v>
      </c>
      <c r="B1575" t="s">
        <v>94</v>
      </c>
      <c r="C1575" t="s">
        <v>1552</v>
      </c>
    </row>
    <row r="1576" spans="1:3" x14ac:dyDescent="0.25">
      <c r="A1576" t="s">
        <v>1532</v>
      </c>
      <c r="B1576" t="s">
        <v>95</v>
      </c>
      <c r="C1576" t="s">
        <v>1552</v>
      </c>
    </row>
    <row r="1577" spans="1:3" x14ac:dyDescent="0.25">
      <c r="A1577" t="s">
        <v>1532</v>
      </c>
      <c r="B1577" t="s">
        <v>96</v>
      </c>
      <c r="C1577" t="s">
        <v>1552</v>
      </c>
    </row>
    <row r="1578" spans="1:3" x14ac:dyDescent="0.25">
      <c r="A1578" t="s">
        <v>1532</v>
      </c>
      <c r="B1578" t="s">
        <v>97</v>
      </c>
      <c r="C1578" t="s">
        <v>1552</v>
      </c>
    </row>
    <row r="1579" spans="1:3" x14ac:dyDescent="0.25">
      <c r="A1579" t="s">
        <v>1532</v>
      </c>
      <c r="B1579" t="s">
        <v>98</v>
      </c>
      <c r="C1579" t="s">
        <v>1552</v>
      </c>
    </row>
    <row r="1580" spans="1:3" x14ac:dyDescent="0.25">
      <c r="A1580" t="s">
        <v>1532</v>
      </c>
      <c r="B1580" t="s">
        <v>99</v>
      </c>
      <c r="C1580" t="s">
        <v>1552</v>
      </c>
    </row>
    <row r="1581" spans="1:3" x14ac:dyDescent="0.25">
      <c r="A1581" t="s">
        <v>1532</v>
      </c>
      <c r="B1581" t="s">
        <v>100</v>
      </c>
      <c r="C1581" t="s">
        <v>1552</v>
      </c>
    </row>
    <row r="1582" spans="1:3" x14ac:dyDescent="0.25">
      <c r="A1582" t="s">
        <v>1532</v>
      </c>
      <c r="B1582" t="s">
        <v>101</v>
      </c>
      <c r="C1582" t="s">
        <v>1552</v>
      </c>
    </row>
    <row r="1583" spans="1:3" x14ac:dyDescent="0.25">
      <c r="A1583" t="s">
        <v>1532</v>
      </c>
      <c r="B1583" t="s">
        <v>102</v>
      </c>
      <c r="C1583" t="s">
        <v>1552</v>
      </c>
    </row>
    <row r="1584" spans="1:3" x14ac:dyDescent="0.25">
      <c r="A1584" t="s">
        <v>1532</v>
      </c>
      <c r="B1584" t="s">
        <v>103</v>
      </c>
      <c r="C1584" t="s">
        <v>1552</v>
      </c>
    </row>
    <row r="1585" spans="1:3" x14ac:dyDescent="0.25">
      <c r="A1585" t="s">
        <v>1532</v>
      </c>
      <c r="B1585" t="s">
        <v>104</v>
      </c>
      <c r="C1585" t="s">
        <v>1552</v>
      </c>
    </row>
    <row r="1586" spans="1:3" x14ac:dyDescent="0.25">
      <c r="A1586" t="s">
        <v>1532</v>
      </c>
      <c r="B1586" t="s">
        <v>105</v>
      </c>
      <c r="C1586" t="s">
        <v>1552</v>
      </c>
    </row>
    <row r="1587" spans="1:3" x14ac:dyDescent="0.25">
      <c r="A1587" t="s">
        <v>1532</v>
      </c>
      <c r="B1587" t="s">
        <v>106</v>
      </c>
      <c r="C1587" t="s">
        <v>1552</v>
      </c>
    </row>
    <row r="1588" spans="1:3" x14ac:dyDescent="0.25">
      <c r="A1588" t="s">
        <v>1532</v>
      </c>
      <c r="B1588" t="s">
        <v>107</v>
      </c>
      <c r="C1588" t="s">
        <v>1552</v>
      </c>
    </row>
    <row r="1589" spans="1:3" x14ac:dyDescent="0.25">
      <c r="A1589" t="s">
        <v>1532</v>
      </c>
      <c r="B1589" t="s">
        <v>162</v>
      </c>
      <c r="C1589" t="s">
        <v>1552</v>
      </c>
    </row>
    <row r="1590" spans="1:3" x14ac:dyDescent="0.25">
      <c r="A1590" t="s">
        <v>1532</v>
      </c>
      <c r="B1590" t="s">
        <v>163</v>
      </c>
      <c r="C1590" t="s">
        <v>1552</v>
      </c>
    </row>
    <row r="1591" spans="1:3" x14ac:dyDescent="0.25">
      <c r="A1591" t="s">
        <v>1532</v>
      </c>
      <c r="B1591" t="s">
        <v>164</v>
      </c>
      <c r="C1591" t="s">
        <v>1552</v>
      </c>
    </row>
    <row r="1592" spans="1:3" x14ac:dyDescent="0.25">
      <c r="A1592" t="s">
        <v>1532</v>
      </c>
      <c r="B1592" t="s">
        <v>166</v>
      </c>
      <c r="C1592" t="s">
        <v>1552</v>
      </c>
    </row>
    <row r="1593" spans="1:3" x14ac:dyDescent="0.25">
      <c r="A1593" t="s">
        <v>1532</v>
      </c>
      <c r="B1593" t="s">
        <v>168</v>
      </c>
      <c r="C1593" t="s">
        <v>1552</v>
      </c>
    </row>
    <row r="1594" spans="1:3" x14ac:dyDescent="0.25">
      <c r="A1594" t="s">
        <v>1532</v>
      </c>
      <c r="B1594" t="s">
        <v>169</v>
      </c>
      <c r="C1594" t="s">
        <v>1552</v>
      </c>
    </row>
    <row r="1595" spans="1:3" x14ac:dyDescent="0.25">
      <c r="A1595" t="s">
        <v>1532</v>
      </c>
      <c r="B1595" t="s">
        <v>170</v>
      </c>
      <c r="C1595" t="s">
        <v>1552</v>
      </c>
    </row>
    <row r="1596" spans="1:3" x14ac:dyDescent="0.25">
      <c r="A1596" t="s">
        <v>1532</v>
      </c>
      <c r="B1596" t="s">
        <v>172</v>
      </c>
      <c r="C1596" t="s">
        <v>1552</v>
      </c>
    </row>
    <row r="1597" spans="1:3" x14ac:dyDescent="0.25">
      <c r="A1597" t="s">
        <v>1532</v>
      </c>
      <c r="B1597" t="s">
        <v>174</v>
      </c>
      <c r="C1597" t="s">
        <v>1552</v>
      </c>
    </row>
    <row r="1598" spans="1:3" x14ac:dyDescent="0.25">
      <c r="A1598" t="s">
        <v>1532</v>
      </c>
      <c r="B1598" t="s">
        <v>175</v>
      </c>
      <c r="C1598" t="s">
        <v>1552</v>
      </c>
    </row>
    <row r="1599" spans="1:3" x14ac:dyDescent="0.25">
      <c r="A1599" t="s">
        <v>1532</v>
      </c>
      <c r="B1599" t="s">
        <v>176</v>
      </c>
      <c r="C1599" t="s">
        <v>1552</v>
      </c>
    </row>
    <row r="1600" spans="1:3" x14ac:dyDescent="0.25">
      <c r="A1600" t="s">
        <v>1532</v>
      </c>
      <c r="B1600" t="s">
        <v>178</v>
      </c>
      <c r="C1600" t="s">
        <v>1552</v>
      </c>
    </row>
    <row r="1601" spans="1:3" x14ac:dyDescent="0.25">
      <c r="A1601" t="s">
        <v>1532</v>
      </c>
      <c r="B1601" t="s">
        <v>180</v>
      </c>
      <c r="C1601" t="s">
        <v>1552</v>
      </c>
    </row>
    <row r="1602" spans="1:3" x14ac:dyDescent="0.25">
      <c r="A1602" t="s">
        <v>1532</v>
      </c>
      <c r="B1602" t="s">
        <v>181</v>
      </c>
      <c r="C1602" t="s">
        <v>1552</v>
      </c>
    </row>
    <row r="1603" spans="1:3" x14ac:dyDescent="0.25">
      <c r="A1603" t="s">
        <v>1532</v>
      </c>
      <c r="B1603" t="s">
        <v>182</v>
      </c>
      <c r="C1603" t="s">
        <v>1552</v>
      </c>
    </row>
    <row r="1604" spans="1:3" x14ac:dyDescent="0.25">
      <c r="A1604" t="s">
        <v>1532</v>
      </c>
      <c r="B1604" t="s">
        <v>184</v>
      </c>
      <c r="C1604" t="s">
        <v>1552</v>
      </c>
    </row>
    <row r="1605" spans="1:3" x14ac:dyDescent="0.25">
      <c r="A1605" t="s">
        <v>1532</v>
      </c>
      <c r="B1605" t="s">
        <v>186</v>
      </c>
      <c r="C1605" t="s">
        <v>1552</v>
      </c>
    </row>
    <row r="1606" spans="1:3" x14ac:dyDescent="0.25">
      <c r="A1606" t="s">
        <v>1532</v>
      </c>
      <c r="B1606" t="s">
        <v>187</v>
      </c>
      <c r="C1606" t="s">
        <v>1552</v>
      </c>
    </row>
    <row r="1607" spans="1:3" x14ac:dyDescent="0.25">
      <c r="A1607" t="s">
        <v>1532</v>
      </c>
      <c r="B1607" t="s">
        <v>188</v>
      </c>
      <c r="C1607" t="s">
        <v>1552</v>
      </c>
    </row>
    <row r="1608" spans="1:3" x14ac:dyDescent="0.25">
      <c r="A1608" t="s">
        <v>1532</v>
      </c>
      <c r="B1608" t="s">
        <v>986</v>
      </c>
      <c r="C1608" t="s">
        <v>1552</v>
      </c>
    </row>
    <row r="1609" spans="1:3" x14ac:dyDescent="0.25">
      <c r="A1609" t="s">
        <v>1532</v>
      </c>
      <c r="B1609" t="s">
        <v>987</v>
      </c>
      <c r="C1609" t="s">
        <v>1552</v>
      </c>
    </row>
    <row r="1610" spans="1:3" x14ac:dyDescent="0.25">
      <c r="A1610" t="s">
        <v>1532</v>
      </c>
      <c r="B1610" t="s">
        <v>988</v>
      </c>
      <c r="C1610" t="s">
        <v>1552</v>
      </c>
    </row>
    <row r="1611" spans="1:3" x14ac:dyDescent="0.25">
      <c r="A1611" t="s">
        <v>1532</v>
      </c>
      <c r="B1611" t="s">
        <v>989</v>
      </c>
      <c r="C1611" t="s">
        <v>1552</v>
      </c>
    </row>
    <row r="1612" spans="1:3" x14ac:dyDescent="0.25">
      <c r="A1612" t="s">
        <v>1532</v>
      </c>
      <c r="B1612" t="s">
        <v>990</v>
      </c>
      <c r="C1612" t="s">
        <v>1552</v>
      </c>
    </row>
    <row r="1613" spans="1:3" x14ac:dyDescent="0.25">
      <c r="A1613" t="s">
        <v>1532</v>
      </c>
      <c r="B1613" t="s">
        <v>991</v>
      </c>
      <c r="C1613" t="s">
        <v>1552</v>
      </c>
    </row>
    <row r="1614" spans="1:3" x14ac:dyDescent="0.25">
      <c r="A1614" t="s">
        <v>1532</v>
      </c>
      <c r="B1614" t="s">
        <v>992</v>
      </c>
      <c r="C1614" t="s">
        <v>1552</v>
      </c>
    </row>
    <row r="1615" spans="1:3" x14ac:dyDescent="0.25">
      <c r="A1615" t="s">
        <v>1532</v>
      </c>
      <c r="B1615" t="s">
        <v>993</v>
      </c>
      <c r="C1615" t="s">
        <v>1552</v>
      </c>
    </row>
    <row r="1616" spans="1:3" x14ac:dyDescent="0.25">
      <c r="A1616" t="s">
        <v>1532</v>
      </c>
      <c r="B1616" t="s">
        <v>994</v>
      </c>
      <c r="C1616" t="s">
        <v>1552</v>
      </c>
    </row>
    <row r="1617" spans="1:3" x14ac:dyDescent="0.25">
      <c r="A1617" t="s">
        <v>1532</v>
      </c>
      <c r="B1617" t="s">
        <v>995</v>
      </c>
      <c r="C1617" t="s">
        <v>1552</v>
      </c>
    </row>
    <row r="1618" spans="1:3" x14ac:dyDescent="0.25">
      <c r="A1618" t="s">
        <v>1532</v>
      </c>
      <c r="B1618" t="s">
        <v>996</v>
      </c>
      <c r="C1618" t="s">
        <v>1552</v>
      </c>
    </row>
    <row r="1619" spans="1:3" x14ac:dyDescent="0.25">
      <c r="A1619" t="s">
        <v>1532</v>
      </c>
      <c r="B1619" t="s">
        <v>997</v>
      </c>
      <c r="C1619" t="s">
        <v>1552</v>
      </c>
    </row>
    <row r="1620" spans="1:3" x14ac:dyDescent="0.25">
      <c r="A1620" t="s">
        <v>1532</v>
      </c>
      <c r="B1620" t="s">
        <v>998</v>
      </c>
      <c r="C1620" t="s">
        <v>1552</v>
      </c>
    </row>
    <row r="1621" spans="1:3" x14ac:dyDescent="0.25">
      <c r="A1621" t="s">
        <v>1532</v>
      </c>
      <c r="B1621" t="s">
        <v>999</v>
      </c>
      <c r="C1621" t="s">
        <v>1552</v>
      </c>
    </row>
    <row r="1622" spans="1:3" x14ac:dyDescent="0.25">
      <c r="A1622" t="s">
        <v>1532</v>
      </c>
      <c r="B1622" t="s">
        <v>1000</v>
      </c>
      <c r="C1622" t="s">
        <v>1552</v>
      </c>
    </row>
    <row r="1623" spans="1:3" x14ac:dyDescent="0.25">
      <c r="A1623" t="s">
        <v>1532</v>
      </c>
      <c r="B1623" t="s">
        <v>1001</v>
      </c>
      <c r="C1623" t="s">
        <v>1552</v>
      </c>
    </row>
    <row r="1624" spans="1:3" x14ac:dyDescent="0.25">
      <c r="A1624" t="s">
        <v>1532</v>
      </c>
      <c r="B1624" t="s">
        <v>1002</v>
      </c>
      <c r="C1624" t="s">
        <v>1552</v>
      </c>
    </row>
    <row r="1625" spans="1:3" x14ac:dyDescent="0.25">
      <c r="A1625" t="s">
        <v>1532</v>
      </c>
      <c r="B1625" t="s">
        <v>1003</v>
      </c>
      <c r="C1625" t="s">
        <v>1552</v>
      </c>
    </row>
    <row r="1626" spans="1:3" x14ac:dyDescent="0.25">
      <c r="A1626" t="s">
        <v>1532</v>
      </c>
      <c r="B1626" t="s">
        <v>1004</v>
      </c>
      <c r="C1626" t="s">
        <v>1552</v>
      </c>
    </row>
    <row r="1627" spans="1:3" x14ac:dyDescent="0.25">
      <c r="A1627" t="s">
        <v>1532</v>
      </c>
      <c r="B1627" t="s">
        <v>1005</v>
      </c>
      <c r="C1627" t="s">
        <v>1552</v>
      </c>
    </row>
    <row r="1628" spans="1:3" x14ac:dyDescent="0.25">
      <c r="A1628" t="s">
        <v>1532</v>
      </c>
      <c r="B1628" t="s">
        <v>1006</v>
      </c>
      <c r="C1628" t="s">
        <v>1552</v>
      </c>
    </row>
    <row r="1629" spans="1:3" x14ac:dyDescent="0.25">
      <c r="A1629" t="s">
        <v>1532</v>
      </c>
      <c r="B1629" t="s">
        <v>1093</v>
      </c>
      <c r="C1629" t="s">
        <v>1552</v>
      </c>
    </row>
    <row r="1630" spans="1:3" x14ac:dyDescent="0.25">
      <c r="A1630" t="s">
        <v>1532</v>
      </c>
      <c r="B1630" t="s">
        <v>1094</v>
      </c>
      <c r="C1630" t="s">
        <v>1552</v>
      </c>
    </row>
    <row r="1631" spans="1:3" x14ac:dyDescent="0.25">
      <c r="A1631" t="s">
        <v>1532</v>
      </c>
      <c r="B1631" t="s">
        <v>1095</v>
      </c>
      <c r="C1631" t="s">
        <v>1552</v>
      </c>
    </row>
    <row r="1632" spans="1:3" x14ac:dyDescent="0.25">
      <c r="A1632" t="s">
        <v>1532</v>
      </c>
      <c r="B1632" t="s">
        <v>1096</v>
      </c>
      <c r="C1632" t="s">
        <v>1552</v>
      </c>
    </row>
    <row r="1633" spans="1:3" x14ac:dyDescent="0.25">
      <c r="A1633" t="s">
        <v>1532</v>
      </c>
      <c r="B1633" t="s">
        <v>1097</v>
      </c>
      <c r="C1633" t="s">
        <v>1552</v>
      </c>
    </row>
    <row r="1634" spans="1:3" x14ac:dyDescent="0.25">
      <c r="A1634" t="s">
        <v>1532</v>
      </c>
      <c r="B1634" t="s">
        <v>1098</v>
      </c>
      <c r="C1634" t="s">
        <v>1552</v>
      </c>
    </row>
    <row r="1635" spans="1:3" x14ac:dyDescent="0.25">
      <c r="A1635" t="s">
        <v>1532</v>
      </c>
      <c r="B1635" t="s">
        <v>1099</v>
      </c>
      <c r="C1635" t="s">
        <v>1552</v>
      </c>
    </row>
    <row r="1636" spans="1:3" x14ac:dyDescent="0.25">
      <c r="A1636" t="s">
        <v>1532</v>
      </c>
      <c r="B1636" t="s">
        <v>1102</v>
      </c>
      <c r="C1636" t="s">
        <v>1552</v>
      </c>
    </row>
    <row r="1637" spans="1:3" x14ac:dyDescent="0.25">
      <c r="A1637" t="s">
        <v>1532</v>
      </c>
      <c r="B1637" t="s">
        <v>1103</v>
      </c>
      <c r="C1637" t="s">
        <v>1552</v>
      </c>
    </row>
    <row r="1638" spans="1:3" x14ac:dyDescent="0.25">
      <c r="A1638" t="s">
        <v>1532</v>
      </c>
      <c r="B1638" t="s">
        <v>1104</v>
      </c>
      <c r="C1638" t="s">
        <v>1552</v>
      </c>
    </row>
    <row r="1639" spans="1:3" x14ac:dyDescent="0.25">
      <c r="A1639" t="s">
        <v>1532</v>
      </c>
      <c r="B1639" t="s">
        <v>1161</v>
      </c>
      <c r="C1639" t="s">
        <v>1552</v>
      </c>
    </row>
    <row r="1640" spans="1:3" x14ac:dyDescent="0.25">
      <c r="A1640" t="s">
        <v>1532</v>
      </c>
      <c r="B1640" t="s">
        <v>1162</v>
      </c>
      <c r="C1640" t="s">
        <v>1552</v>
      </c>
    </row>
    <row r="1641" spans="1:3" x14ac:dyDescent="0.25">
      <c r="A1641" t="s">
        <v>1532</v>
      </c>
      <c r="B1641" t="s">
        <v>1163</v>
      </c>
      <c r="C1641" t="s">
        <v>1552</v>
      </c>
    </row>
    <row r="1642" spans="1:3" x14ac:dyDescent="0.25">
      <c r="A1642" t="s">
        <v>1532</v>
      </c>
      <c r="B1642" t="s">
        <v>1164</v>
      </c>
      <c r="C1642" t="s">
        <v>1552</v>
      </c>
    </row>
    <row r="1643" spans="1:3" x14ac:dyDescent="0.25">
      <c r="A1643" t="s">
        <v>1532</v>
      </c>
      <c r="B1643" t="s">
        <v>1165</v>
      </c>
      <c r="C1643" t="s">
        <v>1552</v>
      </c>
    </row>
    <row r="1644" spans="1:3" x14ac:dyDescent="0.25">
      <c r="A1644" t="s">
        <v>1532</v>
      </c>
      <c r="B1644" t="s">
        <v>1166</v>
      </c>
      <c r="C1644" t="s">
        <v>1552</v>
      </c>
    </row>
    <row r="1645" spans="1:3" x14ac:dyDescent="0.25">
      <c r="A1645" t="s">
        <v>1532</v>
      </c>
      <c r="B1645" t="s">
        <v>1167</v>
      </c>
      <c r="C1645" t="s">
        <v>1552</v>
      </c>
    </row>
    <row r="1646" spans="1:3" x14ac:dyDescent="0.25">
      <c r="A1646" t="s">
        <v>1532</v>
      </c>
      <c r="B1646" t="s">
        <v>1168</v>
      </c>
      <c r="C1646" t="s">
        <v>1550</v>
      </c>
    </row>
    <row r="1647" spans="1:3" x14ac:dyDescent="0.25">
      <c r="A1647" t="s">
        <v>1532</v>
      </c>
      <c r="B1647" t="s">
        <v>1169</v>
      </c>
      <c r="C1647" t="s">
        <v>1550</v>
      </c>
    </row>
    <row r="1648" spans="1:3" x14ac:dyDescent="0.25">
      <c r="A1648" t="s">
        <v>1532</v>
      </c>
      <c r="B1648" t="s">
        <v>1170</v>
      </c>
      <c r="C1648" t="s">
        <v>1550</v>
      </c>
    </row>
    <row r="1649" spans="1:3" x14ac:dyDescent="0.25">
      <c r="A1649" t="s">
        <v>1532</v>
      </c>
      <c r="B1649" t="s">
        <v>1171</v>
      </c>
      <c r="C1649" t="s">
        <v>1550</v>
      </c>
    </row>
    <row r="1650" spans="1:3" x14ac:dyDescent="0.25">
      <c r="A1650" t="s">
        <v>1532</v>
      </c>
      <c r="B1650" t="s">
        <v>199</v>
      </c>
      <c r="C1650" t="s">
        <v>1550</v>
      </c>
    </row>
    <row r="1651" spans="1:3" x14ac:dyDescent="0.25">
      <c r="A1651" t="s">
        <v>1532</v>
      </c>
      <c r="B1651" t="s">
        <v>200</v>
      </c>
      <c r="C1651" t="s">
        <v>1550</v>
      </c>
    </row>
    <row r="1652" spans="1:3" x14ac:dyDescent="0.25">
      <c r="A1652" t="s">
        <v>1532</v>
      </c>
      <c r="B1652" t="s">
        <v>201</v>
      </c>
      <c r="C1652" t="s">
        <v>1550</v>
      </c>
    </row>
    <row r="1653" spans="1:3" x14ac:dyDescent="0.25">
      <c r="A1653" t="s">
        <v>1532</v>
      </c>
      <c r="B1653" t="s">
        <v>206</v>
      </c>
      <c r="C1653" t="s">
        <v>1550</v>
      </c>
    </row>
    <row r="1654" spans="1:3" x14ac:dyDescent="0.25">
      <c r="A1654" t="s">
        <v>1532</v>
      </c>
      <c r="B1654" t="s">
        <v>207</v>
      </c>
      <c r="C1654" t="s">
        <v>1550</v>
      </c>
    </row>
    <row r="1655" spans="1:3" x14ac:dyDescent="0.25">
      <c r="A1655" t="s">
        <v>1532</v>
      </c>
      <c r="B1655" t="s">
        <v>208</v>
      </c>
      <c r="C1655" t="s">
        <v>1550</v>
      </c>
    </row>
    <row r="1656" spans="1:3" x14ac:dyDescent="0.25">
      <c r="A1656" t="s">
        <v>1532</v>
      </c>
      <c r="B1656" t="s">
        <v>209</v>
      </c>
      <c r="C1656" t="s">
        <v>1550</v>
      </c>
    </row>
    <row r="1657" spans="1:3" x14ac:dyDescent="0.25">
      <c r="A1657" t="s">
        <v>1532</v>
      </c>
      <c r="B1657" t="s">
        <v>210</v>
      </c>
      <c r="C1657" t="s">
        <v>1550</v>
      </c>
    </row>
    <row r="1658" spans="1:3" x14ac:dyDescent="0.25">
      <c r="A1658" t="s">
        <v>1532</v>
      </c>
      <c r="B1658" t="s">
        <v>211</v>
      </c>
      <c r="C1658" t="s">
        <v>1550</v>
      </c>
    </row>
    <row r="1659" spans="1:3" x14ac:dyDescent="0.25">
      <c r="A1659" t="s">
        <v>1532</v>
      </c>
      <c r="B1659" t="s">
        <v>212</v>
      </c>
      <c r="C1659" t="s">
        <v>1550</v>
      </c>
    </row>
    <row r="1660" spans="1:3" x14ac:dyDescent="0.25">
      <c r="A1660" t="s">
        <v>1532</v>
      </c>
      <c r="B1660" t="s">
        <v>213</v>
      </c>
      <c r="C1660" t="s">
        <v>1550</v>
      </c>
    </row>
    <row r="1661" spans="1:3" x14ac:dyDescent="0.25">
      <c r="A1661" t="s">
        <v>1532</v>
      </c>
      <c r="B1661" t="s">
        <v>214</v>
      </c>
      <c r="C1661" t="s">
        <v>1550</v>
      </c>
    </row>
    <row r="1662" spans="1:3" x14ac:dyDescent="0.25">
      <c r="A1662" t="s">
        <v>1532</v>
      </c>
      <c r="B1662" t="s">
        <v>215</v>
      </c>
      <c r="C1662" t="s">
        <v>1550</v>
      </c>
    </row>
    <row r="1663" spans="1:3" x14ac:dyDescent="0.25">
      <c r="A1663" t="s">
        <v>1532</v>
      </c>
      <c r="B1663" t="s">
        <v>216</v>
      </c>
      <c r="C1663" t="s">
        <v>1550</v>
      </c>
    </row>
    <row r="1664" spans="1:3" x14ac:dyDescent="0.25">
      <c r="A1664" t="s">
        <v>1532</v>
      </c>
      <c r="B1664" t="s">
        <v>217</v>
      </c>
      <c r="C1664" t="s">
        <v>1550</v>
      </c>
    </row>
    <row r="1665" spans="1:3" x14ac:dyDescent="0.25">
      <c r="A1665" t="s">
        <v>1532</v>
      </c>
      <c r="B1665" t="s">
        <v>218</v>
      </c>
      <c r="C1665" t="s">
        <v>1550</v>
      </c>
    </row>
    <row r="1666" spans="1:3" x14ac:dyDescent="0.25">
      <c r="A1666" t="s">
        <v>1532</v>
      </c>
      <c r="B1666" t="s">
        <v>219</v>
      </c>
      <c r="C1666" t="s">
        <v>1550</v>
      </c>
    </row>
    <row r="1667" spans="1:3" x14ac:dyDescent="0.25">
      <c r="A1667" t="s">
        <v>1532</v>
      </c>
      <c r="B1667" t="s">
        <v>220</v>
      </c>
      <c r="C1667" t="s">
        <v>1550</v>
      </c>
    </row>
    <row r="1668" spans="1:3" x14ac:dyDescent="0.25">
      <c r="A1668" t="s">
        <v>1532</v>
      </c>
      <c r="B1668" t="s">
        <v>221</v>
      </c>
      <c r="C1668" t="s">
        <v>1550</v>
      </c>
    </row>
    <row r="1669" spans="1:3" x14ac:dyDescent="0.25">
      <c r="A1669" t="s">
        <v>1532</v>
      </c>
      <c r="B1669" t="s">
        <v>222</v>
      </c>
      <c r="C1669" t="s">
        <v>1550</v>
      </c>
    </row>
    <row r="1670" spans="1:3" x14ac:dyDescent="0.25">
      <c r="A1670" t="s">
        <v>1532</v>
      </c>
      <c r="B1670" t="s">
        <v>223</v>
      </c>
      <c r="C1670" t="s">
        <v>1550</v>
      </c>
    </row>
    <row r="1671" spans="1:3" x14ac:dyDescent="0.25">
      <c r="A1671" t="s">
        <v>1532</v>
      </c>
      <c r="B1671" t="s">
        <v>224</v>
      </c>
      <c r="C1671" t="s">
        <v>1550</v>
      </c>
    </row>
    <row r="1672" spans="1:3" x14ac:dyDescent="0.25">
      <c r="A1672" t="s">
        <v>1532</v>
      </c>
      <c r="B1672" t="s">
        <v>230</v>
      </c>
      <c r="C1672" t="s">
        <v>1550</v>
      </c>
    </row>
    <row r="1673" spans="1:3" x14ac:dyDescent="0.25">
      <c r="A1673" t="s">
        <v>1532</v>
      </c>
      <c r="B1673" t="s">
        <v>231</v>
      </c>
      <c r="C1673" t="s">
        <v>1550</v>
      </c>
    </row>
    <row r="1674" spans="1:3" x14ac:dyDescent="0.25">
      <c r="A1674" t="s">
        <v>1532</v>
      </c>
      <c r="B1674" t="s">
        <v>232</v>
      </c>
      <c r="C1674" t="s">
        <v>1550</v>
      </c>
    </row>
    <row r="1675" spans="1:3" x14ac:dyDescent="0.25">
      <c r="A1675" t="s">
        <v>1532</v>
      </c>
      <c r="B1675" t="s">
        <v>233</v>
      </c>
      <c r="C1675" t="s">
        <v>1550</v>
      </c>
    </row>
    <row r="1676" spans="1:3" x14ac:dyDescent="0.25">
      <c r="A1676" t="s">
        <v>1532</v>
      </c>
      <c r="B1676" t="s">
        <v>234</v>
      </c>
      <c r="C1676" t="s">
        <v>1550</v>
      </c>
    </row>
    <row r="1677" spans="1:3" x14ac:dyDescent="0.25">
      <c r="A1677" t="s">
        <v>1532</v>
      </c>
      <c r="B1677" t="s">
        <v>235</v>
      </c>
      <c r="C1677" t="s">
        <v>1550</v>
      </c>
    </row>
    <row r="1678" spans="1:3" x14ac:dyDescent="0.25">
      <c r="A1678" t="s">
        <v>1532</v>
      </c>
      <c r="B1678" t="s">
        <v>236</v>
      </c>
      <c r="C1678" t="s">
        <v>1550</v>
      </c>
    </row>
    <row r="1679" spans="1:3" x14ac:dyDescent="0.25">
      <c r="A1679" t="s">
        <v>1532</v>
      </c>
      <c r="B1679" t="s">
        <v>239</v>
      </c>
      <c r="C1679" t="s">
        <v>1550</v>
      </c>
    </row>
    <row r="1680" spans="1:3" x14ac:dyDescent="0.25">
      <c r="A1680" t="s">
        <v>1532</v>
      </c>
      <c r="B1680" t="s">
        <v>240</v>
      </c>
      <c r="C1680" t="s">
        <v>1550</v>
      </c>
    </row>
    <row r="1681" spans="1:3" x14ac:dyDescent="0.25">
      <c r="A1681" t="s">
        <v>1532</v>
      </c>
      <c r="B1681" t="s">
        <v>241</v>
      </c>
      <c r="C1681" t="s">
        <v>1550</v>
      </c>
    </row>
    <row r="1682" spans="1:3" x14ac:dyDescent="0.25">
      <c r="A1682" t="s">
        <v>1532</v>
      </c>
      <c r="B1682" t="s">
        <v>242</v>
      </c>
      <c r="C1682" t="s">
        <v>1550</v>
      </c>
    </row>
    <row r="1683" spans="1:3" x14ac:dyDescent="0.25">
      <c r="A1683" t="s">
        <v>1532</v>
      </c>
      <c r="B1683" t="s">
        <v>243</v>
      </c>
      <c r="C1683" t="s">
        <v>1550</v>
      </c>
    </row>
    <row r="1684" spans="1:3" x14ac:dyDescent="0.25">
      <c r="A1684" t="s">
        <v>1532</v>
      </c>
      <c r="B1684" t="s">
        <v>244</v>
      </c>
      <c r="C1684" t="s">
        <v>1550</v>
      </c>
    </row>
    <row r="1685" spans="1:3" x14ac:dyDescent="0.25">
      <c r="A1685" t="s">
        <v>1532</v>
      </c>
      <c r="B1685" t="s">
        <v>245</v>
      </c>
      <c r="C1685" t="s">
        <v>1550</v>
      </c>
    </row>
    <row r="1686" spans="1:3" x14ac:dyDescent="0.25">
      <c r="A1686" t="s">
        <v>1532</v>
      </c>
      <c r="B1686" t="s">
        <v>246</v>
      </c>
      <c r="C1686" t="s">
        <v>1550</v>
      </c>
    </row>
    <row r="1687" spans="1:3" x14ac:dyDescent="0.25">
      <c r="A1687" t="s">
        <v>1532</v>
      </c>
      <c r="B1687" t="s">
        <v>247</v>
      </c>
      <c r="C1687" t="s">
        <v>1550</v>
      </c>
    </row>
    <row r="1688" spans="1:3" x14ac:dyDescent="0.25">
      <c r="A1688" t="s">
        <v>1532</v>
      </c>
      <c r="B1688" t="s">
        <v>248</v>
      </c>
      <c r="C1688" t="s">
        <v>1550</v>
      </c>
    </row>
    <row r="1689" spans="1:3" x14ac:dyDescent="0.25">
      <c r="A1689" t="s">
        <v>1532</v>
      </c>
      <c r="B1689" t="s">
        <v>249</v>
      </c>
      <c r="C1689" t="s">
        <v>1550</v>
      </c>
    </row>
    <row r="1690" spans="1:3" x14ac:dyDescent="0.25">
      <c r="A1690" t="s">
        <v>1532</v>
      </c>
      <c r="B1690" t="s">
        <v>250</v>
      </c>
      <c r="C1690" t="s">
        <v>1550</v>
      </c>
    </row>
    <row r="1691" spans="1:3" x14ac:dyDescent="0.25">
      <c r="A1691" t="s">
        <v>1532</v>
      </c>
      <c r="B1691" t="s">
        <v>251</v>
      </c>
      <c r="C1691" t="s">
        <v>1550</v>
      </c>
    </row>
    <row r="1692" spans="1:3" x14ac:dyDescent="0.25">
      <c r="A1692" t="s">
        <v>1532</v>
      </c>
      <c r="B1692" t="s">
        <v>252</v>
      </c>
      <c r="C1692" t="s">
        <v>1550</v>
      </c>
    </row>
    <row r="1693" spans="1:3" x14ac:dyDescent="0.25">
      <c r="A1693" t="s">
        <v>1532</v>
      </c>
      <c r="B1693" t="s">
        <v>253</v>
      </c>
      <c r="C1693" t="s">
        <v>1550</v>
      </c>
    </row>
    <row r="1694" spans="1:3" x14ac:dyDescent="0.25">
      <c r="A1694" t="s">
        <v>1532</v>
      </c>
      <c r="B1694" t="s">
        <v>254</v>
      </c>
      <c r="C1694" t="s">
        <v>1550</v>
      </c>
    </row>
    <row r="1695" spans="1:3" x14ac:dyDescent="0.25">
      <c r="A1695" t="s">
        <v>1532</v>
      </c>
      <c r="B1695" t="s">
        <v>255</v>
      </c>
      <c r="C1695" t="s">
        <v>1550</v>
      </c>
    </row>
    <row r="1696" spans="1:3" x14ac:dyDescent="0.25">
      <c r="A1696" t="s">
        <v>1532</v>
      </c>
      <c r="B1696" t="s">
        <v>256</v>
      </c>
      <c r="C1696" t="s">
        <v>1550</v>
      </c>
    </row>
    <row r="1697" spans="1:3" x14ac:dyDescent="0.25">
      <c r="A1697" t="s">
        <v>1532</v>
      </c>
      <c r="B1697" t="s">
        <v>257</v>
      </c>
      <c r="C1697" t="s">
        <v>1550</v>
      </c>
    </row>
    <row r="1698" spans="1:3" x14ac:dyDescent="0.25">
      <c r="A1698" t="s">
        <v>1532</v>
      </c>
      <c r="B1698" t="s">
        <v>258</v>
      </c>
      <c r="C1698" t="s">
        <v>1550</v>
      </c>
    </row>
    <row r="1699" spans="1:3" x14ac:dyDescent="0.25">
      <c r="A1699" t="s">
        <v>1532</v>
      </c>
      <c r="B1699" t="s">
        <v>259</v>
      </c>
      <c r="C1699" t="s">
        <v>1550</v>
      </c>
    </row>
    <row r="1700" spans="1:3" x14ac:dyDescent="0.25">
      <c r="A1700" t="s">
        <v>1532</v>
      </c>
      <c r="B1700" t="s">
        <v>260</v>
      </c>
      <c r="C1700" t="s">
        <v>1550</v>
      </c>
    </row>
    <row r="1701" spans="1:3" x14ac:dyDescent="0.25">
      <c r="A1701" t="s">
        <v>1532</v>
      </c>
      <c r="B1701" t="s">
        <v>261</v>
      </c>
      <c r="C1701" t="s">
        <v>1550</v>
      </c>
    </row>
    <row r="1702" spans="1:3" x14ac:dyDescent="0.25">
      <c r="A1702" t="s">
        <v>1532</v>
      </c>
      <c r="B1702" t="s">
        <v>262</v>
      </c>
      <c r="C1702" t="s">
        <v>1550</v>
      </c>
    </row>
    <row r="1703" spans="1:3" x14ac:dyDescent="0.25">
      <c r="A1703" t="s">
        <v>1532</v>
      </c>
      <c r="B1703" t="s">
        <v>263</v>
      </c>
      <c r="C1703" t="s">
        <v>1550</v>
      </c>
    </row>
    <row r="1704" spans="1:3" x14ac:dyDescent="0.25">
      <c r="A1704" t="s">
        <v>1532</v>
      </c>
      <c r="B1704" t="s">
        <v>264</v>
      </c>
      <c r="C1704" t="s">
        <v>1550</v>
      </c>
    </row>
    <row r="1705" spans="1:3" x14ac:dyDescent="0.25">
      <c r="A1705" t="s">
        <v>1532</v>
      </c>
      <c r="B1705" t="s">
        <v>265</v>
      </c>
      <c r="C1705" t="s">
        <v>1550</v>
      </c>
    </row>
    <row r="1706" spans="1:3" x14ac:dyDescent="0.25">
      <c r="A1706" t="s">
        <v>1532</v>
      </c>
      <c r="B1706" t="s">
        <v>266</v>
      </c>
      <c r="C1706" t="s">
        <v>1550</v>
      </c>
    </row>
    <row r="1707" spans="1:3" x14ac:dyDescent="0.25">
      <c r="A1707" t="s">
        <v>1532</v>
      </c>
      <c r="B1707" t="s">
        <v>267</v>
      </c>
      <c r="C1707" t="s">
        <v>1550</v>
      </c>
    </row>
    <row r="1708" spans="1:3" x14ac:dyDescent="0.25">
      <c r="A1708" t="s">
        <v>1532</v>
      </c>
      <c r="B1708" t="s">
        <v>270</v>
      </c>
      <c r="C1708" t="s">
        <v>1550</v>
      </c>
    </row>
    <row r="1709" spans="1:3" x14ac:dyDescent="0.25">
      <c r="A1709" t="s">
        <v>1532</v>
      </c>
      <c r="B1709" t="s">
        <v>271</v>
      </c>
      <c r="C1709" t="s">
        <v>1550</v>
      </c>
    </row>
    <row r="1710" spans="1:3" x14ac:dyDescent="0.25">
      <c r="A1710" t="s">
        <v>1532</v>
      </c>
      <c r="B1710" t="s">
        <v>273</v>
      </c>
      <c r="C1710" t="s">
        <v>1550</v>
      </c>
    </row>
    <row r="1711" spans="1:3" x14ac:dyDescent="0.25">
      <c r="A1711" t="s">
        <v>1532</v>
      </c>
      <c r="B1711" t="s">
        <v>274</v>
      </c>
      <c r="C1711" t="s">
        <v>1550</v>
      </c>
    </row>
    <row r="1712" spans="1:3" x14ac:dyDescent="0.25">
      <c r="A1712" t="s">
        <v>1532</v>
      </c>
      <c r="B1712" t="s">
        <v>275</v>
      </c>
      <c r="C1712" t="s">
        <v>1550</v>
      </c>
    </row>
    <row r="1713" spans="1:3" x14ac:dyDescent="0.25">
      <c r="A1713" t="s">
        <v>1532</v>
      </c>
      <c r="B1713" t="s">
        <v>276</v>
      </c>
      <c r="C1713" t="s">
        <v>1550</v>
      </c>
    </row>
    <row r="1714" spans="1:3" x14ac:dyDescent="0.25">
      <c r="A1714" t="s">
        <v>1532</v>
      </c>
      <c r="B1714" t="s">
        <v>277</v>
      </c>
      <c r="C1714" t="s">
        <v>1550</v>
      </c>
    </row>
    <row r="1715" spans="1:3" x14ac:dyDescent="0.25">
      <c r="A1715" t="s">
        <v>1532</v>
      </c>
      <c r="B1715" t="s">
        <v>278</v>
      </c>
      <c r="C1715" t="s">
        <v>1550</v>
      </c>
    </row>
    <row r="1716" spans="1:3" x14ac:dyDescent="0.25">
      <c r="A1716" t="s">
        <v>1532</v>
      </c>
      <c r="B1716" t="s">
        <v>279</v>
      </c>
      <c r="C1716" t="s">
        <v>1550</v>
      </c>
    </row>
    <row r="1717" spans="1:3" x14ac:dyDescent="0.25">
      <c r="A1717" t="s">
        <v>1532</v>
      </c>
      <c r="B1717" t="s">
        <v>280</v>
      </c>
      <c r="C1717" t="s">
        <v>1550</v>
      </c>
    </row>
    <row r="1718" spans="1:3" x14ac:dyDescent="0.25">
      <c r="A1718" t="s">
        <v>1532</v>
      </c>
      <c r="B1718" t="s">
        <v>281</v>
      </c>
      <c r="C1718" t="s">
        <v>1550</v>
      </c>
    </row>
    <row r="1719" spans="1:3" x14ac:dyDescent="0.25">
      <c r="A1719" t="s">
        <v>1532</v>
      </c>
      <c r="B1719" t="s">
        <v>282</v>
      </c>
      <c r="C1719" t="s">
        <v>1550</v>
      </c>
    </row>
    <row r="1720" spans="1:3" x14ac:dyDescent="0.25">
      <c r="A1720" t="s">
        <v>1532</v>
      </c>
      <c r="B1720" t="s">
        <v>283</v>
      </c>
      <c r="C1720" t="s">
        <v>1550</v>
      </c>
    </row>
    <row r="1721" spans="1:3" x14ac:dyDescent="0.25">
      <c r="A1721" t="s">
        <v>1532</v>
      </c>
      <c r="B1721" t="s">
        <v>284</v>
      </c>
      <c r="C1721" t="s">
        <v>1550</v>
      </c>
    </row>
    <row r="1722" spans="1:3" x14ac:dyDescent="0.25">
      <c r="A1722" t="s">
        <v>1532</v>
      </c>
      <c r="B1722" t="s">
        <v>285</v>
      </c>
      <c r="C1722" t="s">
        <v>1550</v>
      </c>
    </row>
    <row r="1723" spans="1:3" x14ac:dyDescent="0.25">
      <c r="A1723" t="s">
        <v>1532</v>
      </c>
      <c r="B1723" t="s">
        <v>286</v>
      </c>
      <c r="C1723" t="s">
        <v>1550</v>
      </c>
    </row>
    <row r="1724" spans="1:3" x14ac:dyDescent="0.25">
      <c r="A1724" t="s">
        <v>1532</v>
      </c>
      <c r="B1724" t="s">
        <v>287</v>
      </c>
      <c r="C1724" t="s">
        <v>1550</v>
      </c>
    </row>
    <row r="1725" spans="1:3" x14ac:dyDescent="0.25">
      <c r="A1725" t="s">
        <v>1532</v>
      </c>
      <c r="B1725" t="s">
        <v>288</v>
      </c>
      <c r="C1725" t="s">
        <v>1550</v>
      </c>
    </row>
    <row r="1726" spans="1:3" x14ac:dyDescent="0.25">
      <c r="A1726" t="s">
        <v>1532</v>
      </c>
      <c r="B1726" t="s">
        <v>289</v>
      </c>
      <c r="C1726" t="s">
        <v>1550</v>
      </c>
    </row>
    <row r="1727" spans="1:3" x14ac:dyDescent="0.25">
      <c r="A1727" t="s">
        <v>1532</v>
      </c>
      <c r="B1727" t="s">
        <v>290</v>
      </c>
      <c r="C1727" t="s">
        <v>1550</v>
      </c>
    </row>
    <row r="1728" spans="1:3" x14ac:dyDescent="0.25">
      <c r="A1728" t="s">
        <v>1532</v>
      </c>
      <c r="B1728" t="s">
        <v>291</v>
      </c>
      <c r="C1728" t="s">
        <v>1550</v>
      </c>
    </row>
    <row r="1729" spans="1:3" x14ac:dyDescent="0.25">
      <c r="A1729" t="s">
        <v>1532</v>
      </c>
      <c r="B1729" t="s">
        <v>292</v>
      </c>
      <c r="C1729" t="s">
        <v>1550</v>
      </c>
    </row>
    <row r="1730" spans="1:3" x14ac:dyDescent="0.25">
      <c r="A1730" t="s">
        <v>1532</v>
      </c>
      <c r="B1730" t="s">
        <v>293</v>
      </c>
      <c r="C1730" t="s">
        <v>1550</v>
      </c>
    </row>
    <row r="1731" spans="1:3" x14ac:dyDescent="0.25">
      <c r="A1731" t="s">
        <v>1532</v>
      </c>
      <c r="B1731" t="s">
        <v>294</v>
      </c>
      <c r="C1731" t="s">
        <v>1550</v>
      </c>
    </row>
    <row r="1732" spans="1:3" x14ac:dyDescent="0.25">
      <c r="A1732" t="s">
        <v>1532</v>
      </c>
      <c r="B1732" t="s">
        <v>295</v>
      </c>
      <c r="C1732" t="s">
        <v>1550</v>
      </c>
    </row>
    <row r="1733" spans="1:3" x14ac:dyDescent="0.25">
      <c r="A1733" t="s">
        <v>1532</v>
      </c>
      <c r="B1733" t="s">
        <v>296</v>
      </c>
      <c r="C1733" t="s">
        <v>1550</v>
      </c>
    </row>
    <row r="1734" spans="1:3" x14ac:dyDescent="0.25">
      <c r="A1734" t="s">
        <v>1532</v>
      </c>
      <c r="B1734" t="s">
        <v>297</v>
      </c>
      <c r="C1734" t="s">
        <v>1550</v>
      </c>
    </row>
    <row r="1735" spans="1:3" x14ac:dyDescent="0.25">
      <c r="A1735" t="s">
        <v>1532</v>
      </c>
      <c r="B1735" t="s">
        <v>298</v>
      </c>
      <c r="C1735" t="s">
        <v>1550</v>
      </c>
    </row>
    <row r="1736" spans="1:3" x14ac:dyDescent="0.25">
      <c r="A1736" t="s">
        <v>1532</v>
      </c>
      <c r="B1736" t="s">
        <v>299</v>
      </c>
      <c r="C1736" t="s">
        <v>1550</v>
      </c>
    </row>
    <row r="1737" spans="1:3" x14ac:dyDescent="0.25">
      <c r="A1737" t="s">
        <v>1532</v>
      </c>
      <c r="B1737" t="s">
        <v>300</v>
      </c>
      <c r="C1737" t="s">
        <v>1550</v>
      </c>
    </row>
    <row r="1738" spans="1:3" x14ac:dyDescent="0.25">
      <c r="A1738" t="s">
        <v>1532</v>
      </c>
      <c r="B1738" t="s">
        <v>302</v>
      </c>
      <c r="C1738" t="s">
        <v>1550</v>
      </c>
    </row>
    <row r="1739" spans="1:3" x14ac:dyDescent="0.25">
      <c r="A1739" t="s">
        <v>1532</v>
      </c>
      <c r="B1739" t="s">
        <v>303</v>
      </c>
      <c r="C1739" t="s">
        <v>1550</v>
      </c>
    </row>
    <row r="1740" spans="1:3" x14ac:dyDescent="0.25">
      <c r="A1740" t="s">
        <v>1532</v>
      </c>
      <c r="B1740" t="s">
        <v>305</v>
      </c>
      <c r="C1740" t="s">
        <v>1550</v>
      </c>
    </row>
    <row r="1741" spans="1:3" x14ac:dyDescent="0.25">
      <c r="A1741" t="s">
        <v>1532</v>
      </c>
      <c r="B1741" t="s">
        <v>306</v>
      </c>
      <c r="C1741" t="s">
        <v>1550</v>
      </c>
    </row>
    <row r="1742" spans="1:3" x14ac:dyDescent="0.25">
      <c r="A1742" t="s">
        <v>1532</v>
      </c>
      <c r="B1742" t="s">
        <v>307</v>
      </c>
      <c r="C1742" t="s">
        <v>1550</v>
      </c>
    </row>
    <row r="1743" spans="1:3" x14ac:dyDescent="0.25">
      <c r="A1743" t="s">
        <v>1532</v>
      </c>
      <c r="B1743" t="s">
        <v>308</v>
      </c>
      <c r="C1743" t="s">
        <v>1550</v>
      </c>
    </row>
    <row r="1744" spans="1:3" x14ac:dyDescent="0.25">
      <c r="A1744" t="s">
        <v>1532</v>
      </c>
      <c r="B1744" t="s">
        <v>309</v>
      </c>
      <c r="C1744" t="s">
        <v>1550</v>
      </c>
    </row>
    <row r="1745" spans="1:3" x14ac:dyDescent="0.25">
      <c r="A1745" t="s">
        <v>1532</v>
      </c>
      <c r="B1745" t="s">
        <v>310</v>
      </c>
      <c r="C1745" t="s">
        <v>1550</v>
      </c>
    </row>
    <row r="1746" spans="1:3" x14ac:dyDescent="0.25">
      <c r="A1746" t="s">
        <v>1532</v>
      </c>
      <c r="B1746" t="s">
        <v>311</v>
      </c>
      <c r="C1746" t="s">
        <v>1550</v>
      </c>
    </row>
    <row r="1747" spans="1:3" x14ac:dyDescent="0.25">
      <c r="A1747" t="s">
        <v>1532</v>
      </c>
      <c r="B1747" t="s">
        <v>312</v>
      </c>
      <c r="C1747" t="s">
        <v>1550</v>
      </c>
    </row>
    <row r="1748" spans="1:3" x14ac:dyDescent="0.25">
      <c r="A1748" t="s">
        <v>1532</v>
      </c>
      <c r="B1748" t="s">
        <v>313</v>
      </c>
      <c r="C1748" t="s">
        <v>1550</v>
      </c>
    </row>
    <row r="1749" spans="1:3" x14ac:dyDescent="0.25">
      <c r="A1749" t="s">
        <v>1532</v>
      </c>
      <c r="B1749" t="s">
        <v>314</v>
      </c>
      <c r="C1749" t="s">
        <v>1550</v>
      </c>
    </row>
    <row r="1750" spans="1:3" x14ac:dyDescent="0.25">
      <c r="A1750" t="s">
        <v>1532</v>
      </c>
      <c r="B1750" t="s">
        <v>315</v>
      </c>
      <c r="C1750" t="s">
        <v>1550</v>
      </c>
    </row>
    <row r="1751" spans="1:3" x14ac:dyDescent="0.25">
      <c r="A1751" t="s">
        <v>1532</v>
      </c>
      <c r="B1751" t="s">
        <v>316</v>
      </c>
      <c r="C1751" t="s">
        <v>1550</v>
      </c>
    </row>
    <row r="1752" spans="1:3" x14ac:dyDescent="0.25">
      <c r="A1752" t="s">
        <v>1532</v>
      </c>
      <c r="B1752" t="s">
        <v>317</v>
      </c>
      <c r="C1752" t="s">
        <v>1550</v>
      </c>
    </row>
    <row r="1753" spans="1:3" x14ac:dyDescent="0.25">
      <c r="A1753" t="s">
        <v>1532</v>
      </c>
      <c r="B1753" t="s">
        <v>318</v>
      </c>
      <c r="C1753" t="s">
        <v>1550</v>
      </c>
    </row>
    <row r="1754" spans="1:3" x14ac:dyDescent="0.25">
      <c r="A1754" t="s">
        <v>1532</v>
      </c>
      <c r="B1754" t="s">
        <v>319</v>
      </c>
      <c r="C1754" t="s">
        <v>1550</v>
      </c>
    </row>
    <row r="1755" spans="1:3" x14ac:dyDescent="0.25">
      <c r="A1755" t="s">
        <v>1532</v>
      </c>
      <c r="B1755" t="s">
        <v>320</v>
      </c>
      <c r="C1755" t="s">
        <v>1550</v>
      </c>
    </row>
    <row r="1756" spans="1:3" x14ac:dyDescent="0.25">
      <c r="A1756" t="s">
        <v>1532</v>
      </c>
      <c r="B1756" t="s">
        <v>321</v>
      </c>
      <c r="C1756" t="s">
        <v>1550</v>
      </c>
    </row>
    <row r="1757" spans="1:3" x14ac:dyDescent="0.25">
      <c r="A1757" t="s">
        <v>1532</v>
      </c>
      <c r="B1757" t="s">
        <v>322</v>
      </c>
      <c r="C1757" t="s">
        <v>1550</v>
      </c>
    </row>
    <row r="1758" spans="1:3" x14ac:dyDescent="0.25">
      <c r="A1758" t="s">
        <v>1532</v>
      </c>
      <c r="B1758" t="s">
        <v>323</v>
      </c>
      <c r="C1758" t="s">
        <v>1550</v>
      </c>
    </row>
    <row r="1759" spans="1:3" x14ac:dyDescent="0.25">
      <c r="A1759" t="s">
        <v>1532</v>
      </c>
      <c r="B1759" t="s">
        <v>324</v>
      </c>
      <c r="C1759" t="s">
        <v>1550</v>
      </c>
    </row>
    <row r="1760" spans="1:3" x14ac:dyDescent="0.25">
      <c r="A1760" t="s">
        <v>1532</v>
      </c>
      <c r="B1760" t="s">
        <v>325</v>
      </c>
      <c r="C1760" t="s">
        <v>1550</v>
      </c>
    </row>
    <row r="1761" spans="1:3" x14ac:dyDescent="0.25">
      <c r="A1761" t="s">
        <v>1532</v>
      </c>
      <c r="B1761" t="s">
        <v>326</v>
      </c>
      <c r="C1761" t="s">
        <v>1550</v>
      </c>
    </row>
    <row r="1762" spans="1:3" x14ac:dyDescent="0.25">
      <c r="A1762" t="s">
        <v>1532</v>
      </c>
      <c r="B1762" t="s">
        <v>327</v>
      </c>
      <c r="C1762" t="s">
        <v>1550</v>
      </c>
    </row>
    <row r="1763" spans="1:3" x14ac:dyDescent="0.25">
      <c r="A1763" t="s">
        <v>1532</v>
      </c>
      <c r="B1763" t="s">
        <v>328</v>
      </c>
      <c r="C1763" t="s">
        <v>1550</v>
      </c>
    </row>
    <row r="1764" spans="1:3" x14ac:dyDescent="0.25">
      <c r="A1764" t="s">
        <v>1532</v>
      </c>
      <c r="B1764" t="s">
        <v>329</v>
      </c>
      <c r="C1764" t="s">
        <v>1550</v>
      </c>
    </row>
    <row r="1765" spans="1:3" x14ac:dyDescent="0.25">
      <c r="A1765" t="s">
        <v>1532</v>
      </c>
      <c r="B1765" t="s">
        <v>330</v>
      </c>
      <c r="C1765" t="s">
        <v>1550</v>
      </c>
    </row>
    <row r="1766" spans="1:3" x14ac:dyDescent="0.25">
      <c r="A1766" t="s">
        <v>1532</v>
      </c>
      <c r="B1766" t="s">
        <v>331</v>
      </c>
      <c r="C1766" t="s">
        <v>1550</v>
      </c>
    </row>
    <row r="1767" spans="1:3" x14ac:dyDescent="0.25">
      <c r="A1767" t="s">
        <v>1532</v>
      </c>
      <c r="B1767" t="s">
        <v>332</v>
      </c>
      <c r="C1767" t="s">
        <v>1550</v>
      </c>
    </row>
    <row r="1768" spans="1:3" x14ac:dyDescent="0.25">
      <c r="A1768" t="s">
        <v>1532</v>
      </c>
      <c r="B1768" t="s">
        <v>333</v>
      </c>
      <c r="C1768" t="s">
        <v>1550</v>
      </c>
    </row>
    <row r="1769" spans="1:3" x14ac:dyDescent="0.25">
      <c r="A1769" t="s">
        <v>1532</v>
      </c>
      <c r="B1769" t="s">
        <v>334</v>
      </c>
      <c r="C1769" t="s">
        <v>1550</v>
      </c>
    </row>
    <row r="1770" spans="1:3" x14ac:dyDescent="0.25">
      <c r="A1770" t="s">
        <v>1532</v>
      </c>
      <c r="B1770" t="s">
        <v>335</v>
      </c>
      <c r="C1770" t="s">
        <v>1550</v>
      </c>
    </row>
    <row r="1771" spans="1:3" x14ac:dyDescent="0.25">
      <c r="A1771" t="s">
        <v>1532</v>
      </c>
      <c r="B1771" t="s">
        <v>336</v>
      </c>
      <c r="C1771" t="s">
        <v>1550</v>
      </c>
    </row>
    <row r="1772" spans="1:3" x14ac:dyDescent="0.25">
      <c r="A1772" t="s">
        <v>1532</v>
      </c>
      <c r="B1772" t="s">
        <v>337</v>
      </c>
      <c r="C1772" t="s">
        <v>1550</v>
      </c>
    </row>
    <row r="1773" spans="1:3" x14ac:dyDescent="0.25">
      <c r="A1773" t="s">
        <v>1532</v>
      </c>
      <c r="B1773" t="s">
        <v>338</v>
      </c>
      <c r="C1773" t="s">
        <v>1550</v>
      </c>
    </row>
    <row r="1774" spans="1:3" x14ac:dyDescent="0.25">
      <c r="A1774" t="s">
        <v>1532</v>
      </c>
      <c r="B1774" t="s">
        <v>339</v>
      </c>
      <c r="C1774" t="s">
        <v>1550</v>
      </c>
    </row>
    <row r="1775" spans="1:3" x14ac:dyDescent="0.25">
      <c r="A1775" t="s">
        <v>1532</v>
      </c>
      <c r="B1775" t="s">
        <v>340</v>
      </c>
      <c r="C1775" t="s">
        <v>1550</v>
      </c>
    </row>
    <row r="1776" spans="1:3" x14ac:dyDescent="0.25">
      <c r="A1776" t="s">
        <v>1532</v>
      </c>
      <c r="B1776" t="s">
        <v>341</v>
      </c>
      <c r="C1776" t="s">
        <v>1550</v>
      </c>
    </row>
    <row r="1777" spans="1:3" x14ac:dyDescent="0.25">
      <c r="A1777" t="s">
        <v>1532</v>
      </c>
      <c r="B1777" t="s">
        <v>342</v>
      </c>
      <c r="C1777" t="s">
        <v>1550</v>
      </c>
    </row>
    <row r="1778" spans="1:3" x14ac:dyDescent="0.25">
      <c r="A1778" t="s">
        <v>1532</v>
      </c>
      <c r="B1778" t="s">
        <v>343</v>
      </c>
      <c r="C1778" t="s">
        <v>1550</v>
      </c>
    </row>
    <row r="1779" spans="1:3" x14ac:dyDescent="0.25">
      <c r="A1779" t="s">
        <v>1532</v>
      </c>
      <c r="B1779" t="s">
        <v>344</v>
      </c>
      <c r="C1779" t="s">
        <v>1550</v>
      </c>
    </row>
    <row r="1780" spans="1:3" x14ac:dyDescent="0.25">
      <c r="A1780" t="s">
        <v>1532</v>
      </c>
      <c r="B1780" t="s">
        <v>345</v>
      </c>
      <c r="C1780" t="s">
        <v>1550</v>
      </c>
    </row>
    <row r="1781" spans="1:3" x14ac:dyDescent="0.25">
      <c r="A1781" t="s">
        <v>1532</v>
      </c>
      <c r="B1781" t="s">
        <v>346</v>
      </c>
      <c r="C1781" t="s">
        <v>1550</v>
      </c>
    </row>
    <row r="1782" spans="1:3" x14ac:dyDescent="0.25">
      <c r="A1782" t="s">
        <v>1532</v>
      </c>
      <c r="B1782" t="s">
        <v>347</v>
      </c>
      <c r="C1782" t="s">
        <v>1550</v>
      </c>
    </row>
    <row r="1783" spans="1:3" x14ac:dyDescent="0.25">
      <c r="A1783" t="s">
        <v>1532</v>
      </c>
      <c r="B1783" t="s">
        <v>348</v>
      </c>
      <c r="C1783" t="s">
        <v>1550</v>
      </c>
    </row>
    <row r="1784" spans="1:3" x14ac:dyDescent="0.25">
      <c r="A1784" t="s">
        <v>1532</v>
      </c>
      <c r="B1784" t="s">
        <v>349</v>
      </c>
      <c r="C1784" t="s">
        <v>1550</v>
      </c>
    </row>
    <row r="1785" spans="1:3" x14ac:dyDescent="0.25">
      <c r="A1785" t="s">
        <v>1532</v>
      </c>
      <c r="B1785" t="s">
        <v>418</v>
      </c>
      <c r="C1785" t="s">
        <v>1550</v>
      </c>
    </row>
    <row r="1786" spans="1:3" x14ac:dyDescent="0.25">
      <c r="A1786" t="s">
        <v>1532</v>
      </c>
      <c r="B1786" t="s">
        <v>419</v>
      </c>
      <c r="C1786" t="s">
        <v>1550</v>
      </c>
    </row>
    <row r="1787" spans="1:3" x14ac:dyDescent="0.25">
      <c r="A1787" t="s">
        <v>1532</v>
      </c>
      <c r="B1787" t="s">
        <v>421</v>
      </c>
      <c r="C1787" t="s">
        <v>1550</v>
      </c>
    </row>
    <row r="1788" spans="1:3" x14ac:dyDescent="0.25">
      <c r="A1788" t="s">
        <v>1532</v>
      </c>
      <c r="B1788" t="s">
        <v>423</v>
      </c>
      <c r="C1788" t="s">
        <v>1550</v>
      </c>
    </row>
    <row r="1789" spans="1:3" x14ac:dyDescent="0.25">
      <c r="A1789" t="s">
        <v>1532</v>
      </c>
      <c r="B1789" t="s">
        <v>424</v>
      </c>
      <c r="C1789" t="s">
        <v>1550</v>
      </c>
    </row>
    <row r="1790" spans="1:3" x14ac:dyDescent="0.25">
      <c r="A1790" t="s">
        <v>1532</v>
      </c>
      <c r="B1790" t="s">
        <v>427</v>
      </c>
      <c r="C1790" t="s">
        <v>1550</v>
      </c>
    </row>
    <row r="1791" spans="1:3" x14ac:dyDescent="0.25">
      <c r="A1791" t="s">
        <v>1532</v>
      </c>
      <c r="B1791" t="s">
        <v>429</v>
      </c>
      <c r="C1791" t="s">
        <v>1550</v>
      </c>
    </row>
    <row r="1792" spans="1:3" x14ac:dyDescent="0.25">
      <c r="A1792" t="s">
        <v>1532</v>
      </c>
      <c r="B1792" t="s">
        <v>431</v>
      </c>
      <c r="C1792" t="s">
        <v>1550</v>
      </c>
    </row>
    <row r="1793" spans="1:3" x14ac:dyDescent="0.25">
      <c r="A1793" t="s">
        <v>1532</v>
      </c>
      <c r="B1793" t="s">
        <v>432</v>
      </c>
      <c r="C1793" t="s">
        <v>1550</v>
      </c>
    </row>
    <row r="1794" spans="1:3" x14ac:dyDescent="0.25">
      <c r="A1794" t="s">
        <v>1532</v>
      </c>
      <c r="B1794" t="s">
        <v>433</v>
      </c>
      <c r="C1794" t="s">
        <v>1550</v>
      </c>
    </row>
    <row r="1795" spans="1:3" x14ac:dyDescent="0.25">
      <c r="A1795" t="s">
        <v>1532</v>
      </c>
      <c r="B1795" t="s">
        <v>435</v>
      </c>
      <c r="C1795" t="s">
        <v>1550</v>
      </c>
    </row>
    <row r="1796" spans="1:3" x14ac:dyDescent="0.25">
      <c r="A1796" t="s">
        <v>1532</v>
      </c>
      <c r="B1796" t="s">
        <v>437</v>
      </c>
      <c r="C1796" t="s">
        <v>1550</v>
      </c>
    </row>
    <row r="1797" spans="1:3" x14ac:dyDescent="0.25">
      <c r="A1797" t="s">
        <v>1532</v>
      </c>
      <c r="B1797" t="s">
        <v>438</v>
      </c>
      <c r="C1797" t="s">
        <v>1550</v>
      </c>
    </row>
    <row r="1798" spans="1:3" x14ac:dyDescent="0.25">
      <c r="A1798" t="s">
        <v>1532</v>
      </c>
      <c r="B1798" t="s">
        <v>439</v>
      </c>
      <c r="C1798" t="s">
        <v>1550</v>
      </c>
    </row>
    <row r="1799" spans="1:3" x14ac:dyDescent="0.25">
      <c r="A1799" t="s">
        <v>1532</v>
      </c>
      <c r="B1799" t="s">
        <v>441</v>
      </c>
      <c r="C1799" t="s">
        <v>1550</v>
      </c>
    </row>
    <row r="1800" spans="1:3" x14ac:dyDescent="0.25">
      <c r="A1800" t="s">
        <v>1532</v>
      </c>
      <c r="B1800" t="s">
        <v>443</v>
      </c>
      <c r="C1800" t="s">
        <v>1550</v>
      </c>
    </row>
    <row r="1801" spans="1:3" x14ac:dyDescent="0.25">
      <c r="A1801" t="s">
        <v>1532</v>
      </c>
      <c r="B1801" t="s">
        <v>444</v>
      </c>
      <c r="C1801" t="s">
        <v>1550</v>
      </c>
    </row>
    <row r="1802" spans="1:3" x14ac:dyDescent="0.25">
      <c r="A1802" t="s">
        <v>1532</v>
      </c>
      <c r="B1802" t="s">
        <v>445</v>
      </c>
      <c r="C1802" t="s">
        <v>1550</v>
      </c>
    </row>
    <row r="1803" spans="1:3" x14ac:dyDescent="0.25">
      <c r="A1803" t="s">
        <v>1532</v>
      </c>
      <c r="B1803" t="s">
        <v>447</v>
      </c>
      <c r="C1803" t="s">
        <v>1550</v>
      </c>
    </row>
    <row r="1804" spans="1:3" x14ac:dyDescent="0.25">
      <c r="A1804" t="s">
        <v>1532</v>
      </c>
      <c r="B1804" t="s">
        <v>449</v>
      </c>
      <c r="C1804" t="s">
        <v>1550</v>
      </c>
    </row>
    <row r="1805" spans="1:3" x14ac:dyDescent="0.25">
      <c r="A1805" t="s">
        <v>1532</v>
      </c>
      <c r="B1805" t="s">
        <v>450</v>
      </c>
      <c r="C1805" t="s">
        <v>1550</v>
      </c>
    </row>
    <row r="1806" spans="1:3" x14ac:dyDescent="0.25">
      <c r="A1806" t="s">
        <v>1532</v>
      </c>
      <c r="B1806" t="s">
        <v>451</v>
      </c>
      <c r="C1806" t="s">
        <v>1550</v>
      </c>
    </row>
    <row r="1807" spans="1:3" x14ac:dyDescent="0.25">
      <c r="A1807" t="s">
        <v>1532</v>
      </c>
      <c r="B1807" t="s">
        <v>453</v>
      </c>
      <c r="C1807" t="s">
        <v>1550</v>
      </c>
    </row>
    <row r="1808" spans="1:3" x14ac:dyDescent="0.25">
      <c r="A1808" t="s">
        <v>1532</v>
      </c>
      <c r="B1808" t="s">
        <v>455</v>
      </c>
      <c r="C1808" t="s">
        <v>1550</v>
      </c>
    </row>
    <row r="1809" spans="1:3" x14ac:dyDescent="0.25">
      <c r="A1809" t="s">
        <v>1532</v>
      </c>
      <c r="B1809" t="s">
        <v>458</v>
      </c>
      <c r="C1809" t="s">
        <v>1550</v>
      </c>
    </row>
    <row r="1810" spans="1:3" x14ac:dyDescent="0.25">
      <c r="A1810" t="s">
        <v>1532</v>
      </c>
      <c r="B1810" t="s">
        <v>459</v>
      </c>
      <c r="C1810" t="s">
        <v>1550</v>
      </c>
    </row>
    <row r="1811" spans="1:3" x14ac:dyDescent="0.25">
      <c r="A1811" t="s">
        <v>1532</v>
      </c>
      <c r="B1811" t="s">
        <v>462</v>
      </c>
      <c r="C1811" t="s">
        <v>1550</v>
      </c>
    </row>
    <row r="1812" spans="1:3" x14ac:dyDescent="0.25">
      <c r="A1812" t="s">
        <v>1532</v>
      </c>
      <c r="B1812" t="s">
        <v>464</v>
      </c>
      <c r="C1812" t="s">
        <v>1550</v>
      </c>
    </row>
    <row r="1813" spans="1:3" x14ac:dyDescent="0.25">
      <c r="A1813" t="s">
        <v>1532</v>
      </c>
      <c r="B1813" t="s">
        <v>465</v>
      </c>
      <c r="C1813" t="s">
        <v>1550</v>
      </c>
    </row>
    <row r="1814" spans="1:3" x14ac:dyDescent="0.25">
      <c r="A1814" t="s">
        <v>1532</v>
      </c>
      <c r="B1814" t="s">
        <v>466</v>
      </c>
      <c r="C1814" t="s">
        <v>1550</v>
      </c>
    </row>
    <row r="1815" spans="1:3" x14ac:dyDescent="0.25">
      <c r="A1815" t="s">
        <v>1532</v>
      </c>
      <c r="B1815" t="s">
        <v>468</v>
      </c>
      <c r="C1815" t="s">
        <v>1550</v>
      </c>
    </row>
    <row r="1816" spans="1:3" x14ac:dyDescent="0.25">
      <c r="A1816" t="s">
        <v>1532</v>
      </c>
      <c r="B1816" t="s">
        <v>470</v>
      </c>
      <c r="C1816" t="s">
        <v>1550</v>
      </c>
    </row>
    <row r="1817" spans="1:3" x14ac:dyDescent="0.25">
      <c r="A1817" t="s">
        <v>1532</v>
      </c>
      <c r="B1817" t="s">
        <v>471</v>
      </c>
      <c r="C1817" t="s">
        <v>1550</v>
      </c>
    </row>
    <row r="1818" spans="1:3" x14ac:dyDescent="0.25">
      <c r="A1818" t="s">
        <v>1532</v>
      </c>
      <c r="B1818" t="s">
        <v>472</v>
      </c>
      <c r="C1818" t="s">
        <v>1550</v>
      </c>
    </row>
    <row r="1819" spans="1:3" x14ac:dyDescent="0.25">
      <c r="A1819" t="s">
        <v>1532</v>
      </c>
      <c r="B1819" t="s">
        <v>473</v>
      </c>
      <c r="C1819" t="s">
        <v>1550</v>
      </c>
    </row>
    <row r="1820" spans="1:3" x14ac:dyDescent="0.25">
      <c r="A1820" t="s">
        <v>1532</v>
      </c>
      <c r="B1820" t="s">
        <v>474</v>
      </c>
      <c r="C1820" t="s">
        <v>1550</v>
      </c>
    </row>
    <row r="1821" spans="1:3" x14ac:dyDescent="0.25">
      <c r="A1821" t="s">
        <v>1532</v>
      </c>
      <c r="B1821" t="s">
        <v>475</v>
      </c>
      <c r="C1821" t="s">
        <v>1550</v>
      </c>
    </row>
    <row r="1822" spans="1:3" x14ac:dyDescent="0.25">
      <c r="A1822" t="s">
        <v>1532</v>
      </c>
      <c r="B1822" t="s">
        <v>476</v>
      </c>
      <c r="C1822" t="s">
        <v>1550</v>
      </c>
    </row>
    <row r="1823" spans="1:3" x14ac:dyDescent="0.25">
      <c r="A1823" t="s">
        <v>1532</v>
      </c>
      <c r="B1823" t="s">
        <v>477</v>
      </c>
      <c r="C1823" t="s">
        <v>1550</v>
      </c>
    </row>
    <row r="1824" spans="1:3" x14ac:dyDescent="0.25">
      <c r="A1824" t="s">
        <v>1532</v>
      </c>
      <c r="B1824" t="s">
        <v>478</v>
      </c>
      <c r="C1824" t="s">
        <v>1550</v>
      </c>
    </row>
    <row r="1825" spans="1:3" x14ac:dyDescent="0.25">
      <c r="A1825" t="s">
        <v>1532</v>
      </c>
      <c r="B1825" t="s">
        <v>479</v>
      </c>
      <c r="C1825" t="s">
        <v>1550</v>
      </c>
    </row>
    <row r="1826" spans="1:3" x14ac:dyDescent="0.25">
      <c r="A1826" t="s">
        <v>1532</v>
      </c>
      <c r="B1826" t="s">
        <v>480</v>
      </c>
      <c r="C1826" t="s">
        <v>1550</v>
      </c>
    </row>
    <row r="1827" spans="1:3" x14ac:dyDescent="0.25">
      <c r="A1827" t="s">
        <v>1532</v>
      </c>
      <c r="B1827" t="s">
        <v>481</v>
      </c>
      <c r="C1827" t="s">
        <v>1550</v>
      </c>
    </row>
    <row r="1828" spans="1:3" x14ac:dyDescent="0.25">
      <c r="A1828" t="s">
        <v>1532</v>
      </c>
      <c r="B1828" t="s">
        <v>482</v>
      </c>
      <c r="C1828" t="s">
        <v>1550</v>
      </c>
    </row>
    <row r="1829" spans="1:3" x14ac:dyDescent="0.25">
      <c r="A1829" t="s">
        <v>1532</v>
      </c>
      <c r="B1829" t="s">
        <v>483</v>
      </c>
      <c r="C1829" t="s">
        <v>1550</v>
      </c>
    </row>
    <row r="1830" spans="1:3" x14ac:dyDescent="0.25">
      <c r="A1830" t="s">
        <v>1532</v>
      </c>
      <c r="B1830" t="s">
        <v>484</v>
      </c>
      <c r="C1830" t="s">
        <v>1550</v>
      </c>
    </row>
    <row r="1831" spans="1:3" x14ac:dyDescent="0.25">
      <c r="A1831" t="s">
        <v>1532</v>
      </c>
      <c r="B1831" t="s">
        <v>485</v>
      </c>
      <c r="C1831" t="s">
        <v>1550</v>
      </c>
    </row>
    <row r="1832" spans="1:3" x14ac:dyDescent="0.25">
      <c r="A1832" t="s">
        <v>1532</v>
      </c>
      <c r="B1832" t="s">
        <v>486</v>
      </c>
      <c r="C1832" t="s">
        <v>1550</v>
      </c>
    </row>
    <row r="1833" spans="1:3" x14ac:dyDescent="0.25">
      <c r="A1833" t="s">
        <v>1532</v>
      </c>
      <c r="B1833" t="s">
        <v>487</v>
      </c>
      <c r="C1833" t="s">
        <v>1550</v>
      </c>
    </row>
    <row r="1834" spans="1:3" x14ac:dyDescent="0.25">
      <c r="A1834" t="s">
        <v>1532</v>
      </c>
      <c r="B1834" t="s">
        <v>488</v>
      </c>
      <c r="C1834" t="s">
        <v>1550</v>
      </c>
    </row>
    <row r="1835" spans="1:3" x14ac:dyDescent="0.25">
      <c r="A1835" t="s">
        <v>1532</v>
      </c>
      <c r="B1835" t="s">
        <v>490</v>
      </c>
      <c r="C1835" t="s">
        <v>1550</v>
      </c>
    </row>
    <row r="1836" spans="1:3" x14ac:dyDescent="0.25">
      <c r="A1836" t="s">
        <v>1532</v>
      </c>
      <c r="B1836" t="s">
        <v>491</v>
      </c>
      <c r="C1836" t="s">
        <v>1550</v>
      </c>
    </row>
    <row r="1837" spans="1:3" x14ac:dyDescent="0.25">
      <c r="A1837" t="s">
        <v>1532</v>
      </c>
      <c r="B1837" t="s">
        <v>493</v>
      </c>
      <c r="C1837" t="s">
        <v>1550</v>
      </c>
    </row>
    <row r="1838" spans="1:3" x14ac:dyDescent="0.25">
      <c r="A1838" t="s">
        <v>1532</v>
      </c>
      <c r="B1838" t="s">
        <v>494</v>
      </c>
      <c r="C1838" t="s">
        <v>1550</v>
      </c>
    </row>
    <row r="1839" spans="1:3" x14ac:dyDescent="0.25">
      <c r="A1839" t="s">
        <v>1532</v>
      </c>
      <c r="B1839" t="s">
        <v>495</v>
      </c>
      <c r="C1839" t="s">
        <v>1550</v>
      </c>
    </row>
    <row r="1840" spans="1:3" x14ac:dyDescent="0.25">
      <c r="A1840" t="s">
        <v>1532</v>
      </c>
      <c r="B1840" t="s">
        <v>496</v>
      </c>
      <c r="C1840" t="s">
        <v>1550</v>
      </c>
    </row>
    <row r="1841" spans="1:3" x14ac:dyDescent="0.25">
      <c r="A1841" t="s">
        <v>1532</v>
      </c>
      <c r="B1841" t="s">
        <v>497</v>
      </c>
      <c r="C1841" t="s">
        <v>1550</v>
      </c>
    </row>
    <row r="1842" spans="1:3" x14ac:dyDescent="0.25">
      <c r="A1842" t="s">
        <v>1532</v>
      </c>
      <c r="B1842" t="s">
        <v>498</v>
      </c>
      <c r="C1842" t="s">
        <v>1550</v>
      </c>
    </row>
    <row r="1843" spans="1:3" x14ac:dyDescent="0.25">
      <c r="A1843" t="s">
        <v>1532</v>
      </c>
      <c r="B1843" t="s">
        <v>499</v>
      </c>
      <c r="C1843" t="s">
        <v>1550</v>
      </c>
    </row>
    <row r="1844" spans="1:3" x14ac:dyDescent="0.25">
      <c r="A1844" t="s">
        <v>1532</v>
      </c>
      <c r="B1844" t="s">
        <v>500</v>
      </c>
      <c r="C1844" t="s">
        <v>1550</v>
      </c>
    </row>
    <row r="1845" spans="1:3" x14ac:dyDescent="0.25">
      <c r="A1845" t="s">
        <v>1532</v>
      </c>
      <c r="B1845" t="s">
        <v>501</v>
      </c>
      <c r="C1845" t="s">
        <v>1550</v>
      </c>
    </row>
    <row r="1846" spans="1:3" x14ac:dyDescent="0.25">
      <c r="A1846" t="s">
        <v>1532</v>
      </c>
      <c r="B1846" t="s">
        <v>502</v>
      </c>
      <c r="C1846" t="s">
        <v>1550</v>
      </c>
    </row>
    <row r="1847" spans="1:3" x14ac:dyDescent="0.25">
      <c r="A1847" t="s">
        <v>1532</v>
      </c>
      <c r="B1847" t="s">
        <v>503</v>
      </c>
      <c r="C1847" t="s">
        <v>1550</v>
      </c>
    </row>
    <row r="1848" spans="1:3" x14ac:dyDescent="0.25">
      <c r="A1848" t="s">
        <v>1532</v>
      </c>
      <c r="B1848" t="s">
        <v>504</v>
      </c>
      <c r="C1848" t="s">
        <v>1550</v>
      </c>
    </row>
    <row r="1849" spans="1:3" x14ac:dyDescent="0.25">
      <c r="A1849" t="s">
        <v>1532</v>
      </c>
      <c r="B1849" t="s">
        <v>505</v>
      </c>
      <c r="C1849" t="s">
        <v>1550</v>
      </c>
    </row>
    <row r="1850" spans="1:3" x14ac:dyDescent="0.25">
      <c r="A1850" t="s">
        <v>1532</v>
      </c>
      <c r="B1850" t="s">
        <v>506</v>
      </c>
      <c r="C1850" t="s">
        <v>1550</v>
      </c>
    </row>
    <row r="1851" spans="1:3" x14ac:dyDescent="0.25">
      <c r="A1851" t="s">
        <v>1532</v>
      </c>
      <c r="B1851" t="s">
        <v>507</v>
      </c>
      <c r="C1851" t="s">
        <v>1550</v>
      </c>
    </row>
    <row r="1852" spans="1:3" x14ac:dyDescent="0.25">
      <c r="A1852" t="s">
        <v>1532</v>
      </c>
      <c r="B1852" t="s">
        <v>508</v>
      </c>
      <c r="C1852" t="s">
        <v>1550</v>
      </c>
    </row>
    <row r="1853" spans="1:3" x14ac:dyDescent="0.25">
      <c r="A1853" t="s">
        <v>1532</v>
      </c>
      <c r="B1853" t="s">
        <v>509</v>
      </c>
      <c r="C1853" t="s">
        <v>1550</v>
      </c>
    </row>
    <row r="1854" spans="1:3" x14ac:dyDescent="0.25">
      <c r="A1854" t="s">
        <v>1532</v>
      </c>
      <c r="B1854" t="s">
        <v>510</v>
      </c>
      <c r="C1854" t="s">
        <v>1550</v>
      </c>
    </row>
    <row r="1855" spans="1:3" x14ac:dyDescent="0.25">
      <c r="A1855" t="s">
        <v>1532</v>
      </c>
      <c r="B1855" t="s">
        <v>511</v>
      </c>
      <c r="C1855" t="s">
        <v>1550</v>
      </c>
    </row>
    <row r="1856" spans="1:3" x14ac:dyDescent="0.25">
      <c r="A1856" t="s">
        <v>1532</v>
      </c>
      <c r="B1856" t="s">
        <v>512</v>
      </c>
      <c r="C1856" t="s">
        <v>1550</v>
      </c>
    </row>
    <row r="1857" spans="1:3" x14ac:dyDescent="0.25">
      <c r="A1857" t="s">
        <v>1532</v>
      </c>
      <c r="B1857" t="s">
        <v>513</v>
      </c>
      <c r="C1857" t="s">
        <v>1550</v>
      </c>
    </row>
    <row r="1858" spans="1:3" x14ac:dyDescent="0.25">
      <c r="A1858" t="s">
        <v>1532</v>
      </c>
      <c r="B1858" t="s">
        <v>514</v>
      </c>
      <c r="C1858" t="s">
        <v>1550</v>
      </c>
    </row>
    <row r="1859" spans="1:3" x14ac:dyDescent="0.25">
      <c r="A1859" t="s">
        <v>1532</v>
      </c>
      <c r="B1859" t="s">
        <v>515</v>
      </c>
      <c r="C1859" t="s">
        <v>1550</v>
      </c>
    </row>
    <row r="1860" spans="1:3" x14ac:dyDescent="0.25">
      <c r="A1860" t="s">
        <v>1532</v>
      </c>
      <c r="B1860" t="s">
        <v>516</v>
      </c>
      <c r="C1860" t="s">
        <v>1550</v>
      </c>
    </row>
    <row r="1861" spans="1:3" x14ac:dyDescent="0.25">
      <c r="A1861" t="s">
        <v>1532</v>
      </c>
      <c r="B1861" t="s">
        <v>517</v>
      </c>
      <c r="C1861" t="s">
        <v>1550</v>
      </c>
    </row>
    <row r="1862" spans="1:3" x14ac:dyDescent="0.25">
      <c r="A1862" t="s">
        <v>1532</v>
      </c>
      <c r="B1862" t="s">
        <v>518</v>
      </c>
      <c r="C1862" t="s">
        <v>1550</v>
      </c>
    </row>
    <row r="1863" spans="1:3" x14ac:dyDescent="0.25">
      <c r="A1863" t="s">
        <v>1532</v>
      </c>
      <c r="B1863" t="s">
        <v>519</v>
      </c>
      <c r="C1863" t="s">
        <v>1550</v>
      </c>
    </row>
    <row r="1864" spans="1:3" x14ac:dyDescent="0.25">
      <c r="A1864" t="s">
        <v>1532</v>
      </c>
      <c r="B1864" t="s">
        <v>520</v>
      </c>
      <c r="C1864" t="s">
        <v>1550</v>
      </c>
    </row>
    <row r="1865" spans="1:3" x14ac:dyDescent="0.25">
      <c r="A1865" t="s">
        <v>1532</v>
      </c>
      <c r="B1865" t="s">
        <v>521</v>
      </c>
      <c r="C1865" t="s">
        <v>1550</v>
      </c>
    </row>
    <row r="1866" spans="1:3" x14ac:dyDescent="0.25">
      <c r="A1866" t="s">
        <v>1532</v>
      </c>
      <c r="B1866" t="s">
        <v>522</v>
      </c>
      <c r="C1866" t="s">
        <v>1550</v>
      </c>
    </row>
    <row r="1867" spans="1:3" x14ac:dyDescent="0.25">
      <c r="A1867" t="s">
        <v>1532</v>
      </c>
      <c r="B1867" t="s">
        <v>523</v>
      </c>
      <c r="C1867" t="s">
        <v>1550</v>
      </c>
    </row>
    <row r="1868" spans="1:3" x14ac:dyDescent="0.25">
      <c r="A1868" t="s">
        <v>1532</v>
      </c>
      <c r="B1868" t="s">
        <v>524</v>
      </c>
      <c r="C1868" t="s">
        <v>1550</v>
      </c>
    </row>
    <row r="1869" spans="1:3" x14ac:dyDescent="0.25">
      <c r="A1869" t="s">
        <v>1532</v>
      </c>
      <c r="B1869" t="s">
        <v>525</v>
      </c>
      <c r="C1869" t="s">
        <v>1550</v>
      </c>
    </row>
    <row r="1870" spans="1:3" x14ac:dyDescent="0.25">
      <c r="A1870" t="s">
        <v>1532</v>
      </c>
      <c r="B1870" t="s">
        <v>526</v>
      </c>
      <c r="C1870" t="s">
        <v>1550</v>
      </c>
    </row>
    <row r="1871" spans="1:3" x14ac:dyDescent="0.25">
      <c r="A1871" t="s">
        <v>1532</v>
      </c>
      <c r="B1871" t="s">
        <v>527</v>
      </c>
      <c r="C1871" t="s">
        <v>1550</v>
      </c>
    </row>
    <row r="1872" spans="1:3" x14ac:dyDescent="0.25">
      <c r="A1872" t="s">
        <v>1532</v>
      </c>
      <c r="B1872" t="s">
        <v>528</v>
      </c>
      <c r="C1872" t="s">
        <v>1550</v>
      </c>
    </row>
    <row r="1873" spans="1:3" x14ac:dyDescent="0.25">
      <c r="A1873" t="s">
        <v>1532</v>
      </c>
      <c r="B1873" t="s">
        <v>529</v>
      </c>
      <c r="C1873" t="s">
        <v>1550</v>
      </c>
    </row>
    <row r="1874" spans="1:3" x14ac:dyDescent="0.25">
      <c r="A1874" t="s">
        <v>1532</v>
      </c>
      <c r="B1874" t="s">
        <v>530</v>
      </c>
      <c r="C1874" t="s">
        <v>1550</v>
      </c>
    </row>
    <row r="1875" spans="1:3" x14ac:dyDescent="0.25">
      <c r="A1875" t="s">
        <v>1532</v>
      </c>
      <c r="B1875" t="s">
        <v>531</v>
      </c>
      <c r="C1875" t="s">
        <v>1550</v>
      </c>
    </row>
    <row r="1876" spans="1:3" x14ac:dyDescent="0.25">
      <c r="A1876" t="s">
        <v>1532</v>
      </c>
      <c r="B1876" t="s">
        <v>532</v>
      </c>
      <c r="C1876" t="s">
        <v>1550</v>
      </c>
    </row>
    <row r="1877" spans="1:3" x14ac:dyDescent="0.25">
      <c r="A1877" t="s">
        <v>1532</v>
      </c>
      <c r="B1877" t="s">
        <v>533</v>
      </c>
      <c r="C1877" t="s">
        <v>1550</v>
      </c>
    </row>
    <row r="1878" spans="1:3" x14ac:dyDescent="0.25">
      <c r="A1878" t="s">
        <v>1532</v>
      </c>
      <c r="B1878" t="s">
        <v>534</v>
      </c>
      <c r="C1878" t="s">
        <v>1550</v>
      </c>
    </row>
    <row r="1879" spans="1:3" x14ac:dyDescent="0.25">
      <c r="A1879" t="s">
        <v>1532</v>
      </c>
      <c r="B1879" t="s">
        <v>535</v>
      </c>
      <c r="C1879" t="s">
        <v>1550</v>
      </c>
    </row>
    <row r="1880" spans="1:3" x14ac:dyDescent="0.25">
      <c r="A1880" t="s">
        <v>1532</v>
      </c>
      <c r="B1880" t="s">
        <v>536</v>
      </c>
      <c r="C1880" t="s">
        <v>1550</v>
      </c>
    </row>
    <row r="1881" spans="1:3" x14ac:dyDescent="0.25">
      <c r="A1881" t="s">
        <v>1532</v>
      </c>
      <c r="B1881" t="s">
        <v>537</v>
      </c>
      <c r="C1881" t="s">
        <v>1550</v>
      </c>
    </row>
    <row r="1882" spans="1:3" x14ac:dyDescent="0.25">
      <c r="A1882" t="s">
        <v>1532</v>
      </c>
      <c r="B1882" t="s">
        <v>538</v>
      </c>
      <c r="C1882" t="s">
        <v>1550</v>
      </c>
    </row>
    <row r="1883" spans="1:3" x14ac:dyDescent="0.25">
      <c r="A1883" t="s">
        <v>1532</v>
      </c>
      <c r="B1883" t="s">
        <v>539</v>
      </c>
      <c r="C1883" t="s">
        <v>1550</v>
      </c>
    </row>
    <row r="1884" spans="1:3" x14ac:dyDescent="0.25">
      <c r="A1884" t="s">
        <v>1532</v>
      </c>
      <c r="B1884" t="s">
        <v>540</v>
      </c>
      <c r="C1884" t="s">
        <v>1550</v>
      </c>
    </row>
    <row r="1885" spans="1:3" x14ac:dyDescent="0.25">
      <c r="A1885" t="s">
        <v>1532</v>
      </c>
      <c r="B1885" t="s">
        <v>541</v>
      </c>
      <c r="C1885" t="s">
        <v>1550</v>
      </c>
    </row>
    <row r="1886" spans="1:3" x14ac:dyDescent="0.25">
      <c r="A1886" t="s">
        <v>1532</v>
      </c>
      <c r="B1886" t="s">
        <v>542</v>
      </c>
      <c r="C1886" t="s">
        <v>1550</v>
      </c>
    </row>
    <row r="1887" spans="1:3" x14ac:dyDescent="0.25">
      <c r="A1887" t="s">
        <v>1532</v>
      </c>
      <c r="B1887" t="s">
        <v>543</v>
      </c>
      <c r="C1887" t="s">
        <v>1550</v>
      </c>
    </row>
    <row r="1888" spans="1:3" x14ac:dyDescent="0.25">
      <c r="A1888" t="s">
        <v>1532</v>
      </c>
      <c r="B1888" t="s">
        <v>544</v>
      </c>
      <c r="C1888" t="s">
        <v>1550</v>
      </c>
    </row>
    <row r="1889" spans="1:3" x14ac:dyDescent="0.25">
      <c r="A1889" t="s">
        <v>1532</v>
      </c>
      <c r="B1889" t="s">
        <v>545</v>
      </c>
      <c r="C1889" t="s">
        <v>1550</v>
      </c>
    </row>
    <row r="1890" spans="1:3" x14ac:dyDescent="0.25">
      <c r="A1890" t="s">
        <v>1532</v>
      </c>
      <c r="B1890" t="s">
        <v>546</v>
      </c>
      <c r="C1890" t="s">
        <v>1550</v>
      </c>
    </row>
    <row r="1891" spans="1:3" x14ac:dyDescent="0.25">
      <c r="A1891" t="s">
        <v>1532</v>
      </c>
      <c r="B1891" t="s">
        <v>547</v>
      </c>
      <c r="C1891" t="s">
        <v>1550</v>
      </c>
    </row>
    <row r="1892" spans="1:3" x14ac:dyDescent="0.25">
      <c r="A1892" t="s">
        <v>1532</v>
      </c>
      <c r="B1892" t="s">
        <v>548</v>
      </c>
      <c r="C1892" t="s">
        <v>1550</v>
      </c>
    </row>
    <row r="1893" spans="1:3" x14ac:dyDescent="0.25">
      <c r="A1893" t="s">
        <v>1532</v>
      </c>
      <c r="B1893" t="s">
        <v>549</v>
      </c>
      <c r="C1893" t="s">
        <v>1550</v>
      </c>
    </row>
    <row r="1894" spans="1:3" x14ac:dyDescent="0.25">
      <c r="A1894" t="s">
        <v>1532</v>
      </c>
      <c r="B1894" t="s">
        <v>550</v>
      </c>
      <c r="C1894" t="s">
        <v>1550</v>
      </c>
    </row>
    <row r="1895" spans="1:3" x14ac:dyDescent="0.25">
      <c r="A1895" t="s">
        <v>1532</v>
      </c>
      <c r="B1895" t="s">
        <v>551</v>
      </c>
      <c r="C1895" t="s">
        <v>1550</v>
      </c>
    </row>
    <row r="1896" spans="1:3" x14ac:dyDescent="0.25">
      <c r="A1896" t="s">
        <v>1532</v>
      </c>
      <c r="B1896" t="s">
        <v>552</v>
      </c>
      <c r="C1896" t="s">
        <v>1550</v>
      </c>
    </row>
    <row r="1897" spans="1:3" x14ac:dyDescent="0.25">
      <c r="A1897" t="s">
        <v>1532</v>
      </c>
      <c r="B1897" t="s">
        <v>553</v>
      </c>
      <c r="C1897" t="s">
        <v>1550</v>
      </c>
    </row>
    <row r="1898" spans="1:3" x14ac:dyDescent="0.25">
      <c r="A1898" t="s">
        <v>1532</v>
      </c>
      <c r="B1898" t="s">
        <v>554</v>
      </c>
      <c r="C1898" t="s">
        <v>1551</v>
      </c>
    </row>
    <row r="1899" spans="1:3" x14ac:dyDescent="0.25">
      <c r="A1899" t="s">
        <v>1532</v>
      </c>
      <c r="B1899" t="s">
        <v>555</v>
      </c>
      <c r="C1899" t="s">
        <v>1551</v>
      </c>
    </row>
    <row r="1900" spans="1:3" x14ac:dyDescent="0.25">
      <c r="A1900" t="s">
        <v>1532</v>
      </c>
      <c r="B1900" t="s">
        <v>556</v>
      </c>
      <c r="C1900" t="s">
        <v>1551</v>
      </c>
    </row>
    <row r="1901" spans="1:3" x14ac:dyDescent="0.25">
      <c r="A1901" t="s">
        <v>1532</v>
      </c>
      <c r="B1901" t="s">
        <v>557</v>
      </c>
      <c r="C1901" t="s">
        <v>1551</v>
      </c>
    </row>
    <row r="1902" spans="1:3" x14ac:dyDescent="0.25">
      <c r="A1902" t="s">
        <v>1532</v>
      </c>
      <c r="B1902" t="s">
        <v>558</v>
      </c>
      <c r="C1902" t="s">
        <v>1551</v>
      </c>
    </row>
    <row r="1903" spans="1:3" x14ac:dyDescent="0.25">
      <c r="A1903" t="s">
        <v>1532</v>
      </c>
      <c r="B1903" t="s">
        <v>559</v>
      </c>
      <c r="C1903" t="s">
        <v>1551</v>
      </c>
    </row>
    <row r="1904" spans="1:3" x14ac:dyDescent="0.25">
      <c r="A1904" t="s">
        <v>1532</v>
      </c>
      <c r="B1904" t="s">
        <v>560</v>
      </c>
      <c r="C1904" t="s">
        <v>1551</v>
      </c>
    </row>
    <row r="1905" spans="1:3" x14ac:dyDescent="0.25">
      <c r="A1905" t="s">
        <v>1532</v>
      </c>
      <c r="B1905" t="s">
        <v>561</v>
      </c>
      <c r="C1905" t="s">
        <v>1551</v>
      </c>
    </row>
    <row r="1906" spans="1:3" x14ac:dyDescent="0.25">
      <c r="A1906" t="s">
        <v>1532</v>
      </c>
      <c r="B1906" t="s">
        <v>562</v>
      </c>
      <c r="C1906" t="s">
        <v>1551</v>
      </c>
    </row>
    <row r="1907" spans="1:3" x14ac:dyDescent="0.25">
      <c r="A1907" t="s">
        <v>1532</v>
      </c>
      <c r="B1907" t="s">
        <v>563</v>
      </c>
      <c r="C1907" t="s">
        <v>1551</v>
      </c>
    </row>
    <row r="1908" spans="1:3" x14ac:dyDescent="0.25">
      <c r="A1908" t="s">
        <v>1532</v>
      </c>
      <c r="B1908" t="s">
        <v>564</v>
      </c>
      <c r="C1908" t="s">
        <v>1551</v>
      </c>
    </row>
    <row r="1909" spans="1:3" x14ac:dyDescent="0.25">
      <c r="A1909" t="s">
        <v>1532</v>
      </c>
      <c r="B1909" t="s">
        <v>1028</v>
      </c>
      <c r="C1909" t="s">
        <v>1551</v>
      </c>
    </row>
    <row r="1910" spans="1:3" x14ac:dyDescent="0.25">
      <c r="A1910" t="s">
        <v>1532</v>
      </c>
      <c r="B1910" t="s">
        <v>1029</v>
      </c>
      <c r="C1910" t="s">
        <v>1551</v>
      </c>
    </row>
    <row r="1911" spans="1:3" x14ac:dyDescent="0.25">
      <c r="A1911" t="s">
        <v>1532</v>
      </c>
      <c r="B1911" t="s">
        <v>1030</v>
      </c>
      <c r="C1911" t="s">
        <v>1551</v>
      </c>
    </row>
    <row r="1912" spans="1:3" x14ac:dyDescent="0.25">
      <c r="A1912" t="s">
        <v>1532</v>
      </c>
      <c r="B1912" t="s">
        <v>1031</v>
      </c>
      <c r="C1912" t="s">
        <v>1551</v>
      </c>
    </row>
    <row r="1913" spans="1:3" x14ac:dyDescent="0.25">
      <c r="A1913" t="s">
        <v>1532</v>
      </c>
      <c r="B1913" t="s">
        <v>1032</v>
      </c>
      <c r="C1913" t="s">
        <v>1551</v>
      </c>
    </row>
    <row r="1914" spans="1:3" x14ac:dyDescent="0.25">
      <c r="A1914" t="s">
        <v>1532</v>
      </c>
      <c r="B1914" t="s">
        <v>1033</v>
      </c>
      <c r="C1914" t="s">
        <v>1551</v>
      </c>
    </row>
    <row r="1915" spans="1:3" x14ac:dyDescent="0.25">
      <c r="A1915" t="s">
        <v>1532</v>
      </c>
      <c r="B1915" t="s">
        <v>1034</v>
      </c>
      <c r="C1915" t="s">
        <v>1551</v>
      </c>
    </row>
    <row r="1916" spans="1:3" x14ac:dyDescent="0.25">
      <c r="A1916" t="s">
        <v>1532</v>
      </c>
      <c r="B1916" t="s">
        <v>1035</v>
      </c>
      <c r="C1916" t="s">
        <v>1551</v>
      </c>
    </row>
    <row r="1917" spans="1:3" x14ac:dyDescent="0.25">
      <c r="A1917" t="s">
        <v>1532</v>
      </c>
      <c r="B1917" t="s">
        <v>1036</v>
      </c>
      <c r="C1917" t="s">
        <v>1551</v>
      </c>
    </row>
    <row r="1918" spans="1:3" x14ac:dyDescent="0.25">
      <c r="A1918" t="s">
        <v>1532</v>
      </c>
      <c r="B1918" t="s">
        <v>1037</v>
      </c>
      <c r="C1918" t="s">
        <v>1551</v>
      </c>
    </row>
    <row r="1919" spans="1:3" x14ac:dyDescent="0.25">
      <c r="A1919" t="s">
        <v>1532</v>
      </c>
      <c r="B1919" t="s">
        <v>1038</v>
      </c>
      <c r="C1919" t="s">
        <v>1551</v>
      </c>
    </row>
    <row r="1920" spans="1:3" x14ac:dyDescent="0.25">
      <c r="A1920" t="s">
        <v>1532</v>
      </c>
      <c r="B1920" t="s">
        <v>1039</v>
      </c>
      <c r="C1920" t="s">
        <v>1551</v>
      </c>
    </row>
    <row r="1921" spans="1:3" x14ac:dyDescent="0.25">
      <c r="A1921" t="s">
        <v>1532</v>
      </c>
      <c r="B1921" t="s">
        <v>1040</v>
      </c>
      <c r="C1921" t="s">
        <v>1551</v>
      </c>
    </row>
    <row r="1922" spans="1:3" x14ac:dyDescent="0.25">
      <c r="A1922" t="s">
        <v>1532</v>
      </c>
      <c r="B1922" t="s">
        <v>1041</v>
      </c>
      <c r="C1922" t="s">
        <v>1551</v>
      </c>
    </row>
    <row r="1923" spans="1:3" x14ac:dyDescent="0.25">
      <c r="A1923" t="s">
        <v>1532</v>
      </c>
      <c r="B1923" t="s">
        <v>1042</v>
      </c>
      <c r="C1923" t="s">
        <v>1551</v>
      </c>
    </row>
    <row r="1924" spans="1:3" x14ac:dyDescent="0.25">
      <c r="A1924" t="s">
        <v>1532</v>
      </c>
      <c r="B1924" t="s">
        <v>1043</v>
      </c>
      <c r="C1924" t="s">
        <v>1551</v>
      </c>
    </row>
    <row r="1925" spans="1:3" x14ac:dyDescent="0.25">
      <c r="A1925" t="s">
        <v>1532</v>
      </c>
      <c r="B1925" t="s">
        <v>1044</v>
      </c>
      <c r="C1925" t="s">
        <v>1551</v>
      </c>
    </row>
    <row r="1926" spans="1:3" x14ac:dyDescent="0.25">
      <c r="A1926" t="s">
        <v>1532</v>
      </c>
      <c r="B1926" t="s">
        <v>1045</v>
      </c>
      <c r="C1926" t="s">
        <v>1551</v>
      </c>
    </row>
    <row r="1927" spans="1:3" x14ac:dyDescent="0.25">
      <c r="A1927" t="s">
        <v>1532</v>
      </c>
      <c r="B1927" t="s">
        <v>1046</v>
      </c>
      <c r="C1927" t="s">
        <v>1551</v>
      </c>
    </row>
    <row r="1928" spans="1:3" x14ac:dyDescent="0.25">
      <c r="A1928" t="s">
        <v>1532</v>
      </c>
      <c r="B1928" t="s">
        <v>1047</v>
      </c>
      <c r="C1928" t="s">
        <v>1551</v>
      </c>
    </row>
    <row r="1929" spans="1:3" x14ac:dyDescent="0.25">
      <c r="A1929" t="s">
        <v>1532</v>
      </c>
      <c r="B1929" t="s">
        <v>1048</v>
      </c>
      <c r="C1929" t="s">
        <v>1551</v>
      </c>
    </row>
    <row r="1930" spans="1:3" x14ac:dyDescent="0.25">
      <c r="A1930" t="s">
        <v>1532</v>
      </c>
      <c r="B1930" t="s">
        <v>1121</v>
      </c>
      <c r="C1930" t="s">
        <v>1551</v>
      </c>
    </row>
    <row r="1931" spans="1:3" x14ac:dyDescent="0.25">
      <c r="A1931" t="s">
        <v>1532</v>
      </c>
      <c r="B1931" t="s">
        <v>1122</v>
      </c>
      <c r="C1931" t="s">
        <v>1551</v>
      </c>
    </row>
    <row r="1932" spans="1:3" x14ac:dyDescent="0.25">
      <c r="A1932" t="s">
        <v>1532</v>
      </c>
      <c r="B1932" t="s">
        <v>1123</v>
      </c>
      <c r="C1932" t="s">
        <v>1551</v>
      </c>
    </row>
    <row r="1933" spans="1:3" x14ac:dyDescent="0.25">
      <c r="A1933" t="s">
        <v>1532</v>
      </c>
      <c r="B1933" t="s">
        <v>1124</v>
      </c>
      <c r="C1933" t="s">
        <v>1551</v>
      </c>
    </row>
    <row r="1934" spans="1:3" x14ac:dyDescent="0.25">
      <c r="A1934" t="s">
        <v>1532</v>
      </c>
      <c r="B1934" t="s">
        <v>1125</v>
      </c>
      <c r="C1934" t="s">
        <v>1551</v>
      </c>
    </row>
    <row r="1935" spans="1:3" x14ac:dyDescent="0.25">
      <c r="A1935" t="s">
        <v>1532</v>
      </c>
      <c r="B1935" t="s">
        <v>1126</v>
      </c>
      <c r="C1935" t="s">
        <v>1551</v>
      </c>
    </row>
    <row r="1936" spans="1:3" x14ac:dyDescent="0.25">
      <c r="A1936" t="s">
        <v>1532</v>
      </c>
      <c r="B1936" t="s">
        <v>1127</v>
      </c>
      <c r="C1936" t="s">
        <v>1551</v>
      </c>
    </row>
    <row r="1937" spans="1:3" x14ac:dyDescent="0.25">
      <c r="A1937" t="s">
        <v>1532</v>
      </c>
      <c r="B1937" t="s">
        <v>1130</v>
      </c>
      <c r="C1937" t="s">
        <v>1551</v>
      </c>
    </row>
    <row r="1938" spans="1:3" x14ac:dyDescent="0.25">
      <c r="A1938" t="s">
        <v>1532</v>
      </c>
      <c r="B1938" t="s">
        <v>1131</v>
      </c>
      <c r="C1938" t="s">
        <v>1551</v>
      </c>
    </row>
    <row r="1939" spans="1:3" x14ac:dyDescent="0.25">
      <c r="A1939" t="s">
        <v>1532</v>
      </c>
      <c r="B1939" t="s">
        <v>1132</v>
      </c>
      <c r="C1939" t="s">
        <v>1551</v>
      </c>
    </row>
    <row r="1940" spans="1:3" x14ac:dyDescent="0.25">
      <c r="A1940" t="s">
        <v>1532</v>
      </c>
      <c r="B1940" t="s">
        <v>1183</v>
      </c>
      <c r="C1940" t="s">
        <v>1551</v>
      </c>
    </row>
    <row r="1941" spans="1:3" x14ac:dyDescent="0.25">
      <c r="A1941" t="s">
        <v>1532</v>
      </c>
      <c r="B1941" t="s">
        <v>1184</v>
      </c>
      <c r="C1941" t="s">
        <v>1551</v>
      </c>
    </row>
    <row r="1942" spans="1:3" x14ac:dyDescent="0.25">
      <c r="A1942" t="s">
        <v>1532</v>
      </c>
      <c r="B1942" t="s">
        <v>1185</v>
      </c>
      <c r="C1942" t="s">
        <v>1551</v>
      </c>
    </row>
    <row r="1943" spans="1:3" x14ac:dyDescent="0.25">
      <c r="A1943" t="s">
        <v>1532</v>
      </c>
      <c r="B1943" t="s">
        <v>1186</v>
      </c>
      <c r="C1943" t="s">
        <v>1551</v>
      </c>
    </row>
    <row r="1944" spans="1:3" x14ac:dyDescent="0.25">
      <c r="A1944" t="s">
        <v>1532</v>
      </c>
      <c r="B1944" t="s">
        <v>1187</v>
      </c>
      <c r="C1944" t="s">
        <v>1551</v>
      </c>
    </row>
    <row r="1945" spans="1:3" x14ac:dyDescent="0.25">
      <c r="A1945" t="s">
        <v>1532</v>
      </c>
      <c r="B1945" t="s">
        <v>1188</v>
      </c>
      <c r="C1945" t="s">
        <v>1551</v>
      </c>
    </row>
    <row r="1946" spans="1:3" x14ac:dyDescent="0.25">
      <c r="A1946" t="s">
        <v>1532</v>
      </c>
      <c r="B1946" t="s">
        <v>1189</v>
      </c>
      <c r="C1946" t="s">
        <v>1551</v>
      </c>
    </row>
    <row r="1947" spans="1:3" x14ac:dyDescent="0.25">
      <c r="A1947" t="s">
        <v>1532</v>
      </c>
      <c r="B1947" t="s">
        <v>1190</v>
      </c>
      <c r="C1947" t="s">
        <v>1551</v>
      </c>
    </row>
    <row r="1948" spans="1:3" x14ac:dyDescent="0.25">
      <c r="A1948" t="s">
        <v>1532</v>
      </c>
      <c r="B1948" t="s">
        <v>1191</v>
      </c>
      <c r="C1948" t="s">
        <v>1551</v>
      </c>
    </row>
    <row r="1949" spans="1:3" x14ac:dyDescent="0.25">
      <c r="A1949" t="s">
        <v>1532</v>
      </c>
      <c r="B1949" t="s">
        <v>1192</v>
      </c>
      <c r="C1949" t="s">
        <v>1551</v>
      </c>
    </row>
    <row r="1950" spans="1:3" x14ac:dyDescent="0.25">
      <c r="A1950" t="s">
        <v>1532</v>
      </c>
      <c r="B1950" t="s">
        <v>1193</v>
      </c>
      <c r="C1950" t="s">
        <v>1551</v>
      </c>
    </row>
    <row r="1951" spans="1:3" x14ac:dyDescent="0.25">
      <c r="A1951" t="s">
        <v>1532</v>
      </c>
      <c r="B1951" t="s">
        <v>575</v>
      </c>
      <c r="C1951" t="s">
        <v>1551</v>
      </c>
    </row>
    <row r="1952" spans="1:3" x14ac:dyDescent="0.25">
      <c r="A1952" t="s">
        <v>1532</v>
      </c>
      <c r="B1952" t="s">
        <v>576</v>
      </c>
      <c r="C1952" t="s">
        <v>1551</v>
      </c>
    </row>
    <row r="1953" spans="1:3" x14ac:dyDescent="0.25">
      <c r="A1953" t="s">
        <v>1532</v>
      </c>
      <c r="B1953" t="s">
        <v>577</v>
      </c>
      <c r="C1953" t="s">
        <v>1551</v>
      </c>
    </row>
    <row r="1954" spans="1:3" x14ac:dyDescent="0.25">
      <c r="A1954" t="s">
        <v>1532</v>
      </c>
      <c r="B1954" t="s">
        <v>582</v>
      </c>
      <c r="C1954" t="s">
        <v>1551</v>
      </c>
    </row>
    <row r="1955" spans="1:3" x14ac:dyDescent="0.25">
      <c r="A1955" t="s">
        <v>1532</v>
      </c>
      <c r="B1955" t="s">
        <v>583</v>
      </c>
      <c r="C1955" t="s">
        <v>1551</v>
      </c>
    </row>
    <row r="1956" spans="1:3" x14ac:dyDescent="0.25">
      <c r="A1956" t="s">
        <v>1532</v>
      </c>
      <c r="B1956" t="s">
        <v>584</v>
      </c>
      <c r="C1956" t="s">
        <v>1551</v>
      </c>
    </row>
    <row r="1957" spans="1:3" x14ac:dyDescent="0.25">
      <c r="A1957" t="s">
        <v>1532</v>
      </c>
      <c r="B1957" t="s">
        <v>585</v>
      </c>
      <c r="C1957" t="s">
        <v>1551</v>
      </c>
    </row>
    <row r="1958" spans="1:3" x14ac:dyDescent="0.25">
      <c r="A1958" t="s">
        <v>1532</v>
      </c>
      <c r="B1958" t="s">
        <v>586</v>
      </c>
      <c r="C1958" t="s">
        <v>1551</v>
      </c>
    </row>
    <row r="1959" spans="1:3" x14ac:dyDescent="0.25">
      <c r="A1959" t="s">
        <v>1532</v>
      </c>
      <c r="B1959" t="s">
        <v>587</v>
      </c>
      <c r="C1959" t="s">
        <v>1551</v>
      </c>
    </row>
    <row r="1960" spans="1:3" x14ac:dyDescent="0.25">
      <c r="A1960" t="s">
        <v>1532</v>
      </c>
      <c r="B1960" t="s">
        <v>588</v>
      </c>
      <c r="C1960" t="s">
        <v>1551</v>
      </c>
    </row>
    <row r="1961" spans="1:3" x14ac:dyDescent="0.25">
      <c r="A1961" t="s">
        <v>1532</v>
      </c>
      <c r="B1961" t="s">
        <v>589</v>
      </c>
      <c r="C1961" t="s">
        <v>1551</v>
      </c>
    </row>
    <row r="1962" spans="1:3" x14ac:dyDescent="0.25">
      <c r="A1962" t="s">
        <v>1532</v>
      </c>
      <c r="B1962" t="s">
        <v>590</v>
      </c>
      <c r="C1962" t="s">
        <v>1551</v>
      </c>
    </row>
    <row r="1963" spans="1:3" x14ac:dyDescent="0.25">
      <c r="A1963" t="s">
        <v>1532</v>
      </c>
      <c r="B1963" t="s">
        <v>591</v>
      </c>
      <c r="C1963" t="s">
        <v>1551</v>
      </c>
    </row>
    <row r="1964" spans="1:3" x14ac:dyDescent="0.25">
      <c r="A1964" t="s">
        <v>1532</v>
      </c>
      <c r="B1964" t="s">
        <v>592</v>
      </c>
      <c r="C1964" t="s">
        <v>1551</v>
      </c>
    </row>
    <row r="1965" spans="1:3" x14ac:dyDescent="0.25">
      <c r="A1965" t="s">
        <v>1532</v>
      </c>
      <c r="B1965" t="s">
        <v>593</v>
      </c>
      <c r="C1965" t="s">
        <v>1551</v>
      </c>
    </row>
    <row r="1966" spans="1:3" x14ac:dyDescent="0.25">
      <c r="A1966" t="s">
        <v>1532</v>
      </c>
      <c r="B1966" t="s">
        <v>594</v>
      </c>
      <c r="C1966" t="s">
        <v>1551</v>
      </c>
    </row>
    <row r="1967" spans="1:3" x14ac:dyDescent="0.25">
      <c r="A1967" t="s">
        <v>1532</v>
      </c>
      <c r="B1967" t="s">
        <v>595</v>
      </c>
      <c r="C1967" t="s">
        <v>1551</v>
      </c>
    </row>
    <row r="1968" spans="1:3" x14ac:dyDescent="0.25">
      <c r="A1968" t="s">
        <v>1532</v>
      </c>
      <c r="B1968" t="s">
        <v>596</v>
      </c>
      <c r="C1968" t="s">
        <v>1551</v>
      </c>
    </row>
    <row r="1969" spans="1:3" x14ac:dyDescent="0.25">
      <c r="A1969" t="s">
        <v>1532</v>
      </c>
      <c r="B1969" t="s">
        <v>597</v>
      </c>
      <c r="C1969" t="s">
        <v>1551</v>
      </c>
    </row>
    <row r="1970" spans="1:3" x14ac:dyDescent="0.25">
      <c r="A1970" t="s">
        <v>1532</v>
      </c>
      <c r="B1970" t="s">
        <v>598</v>
      </c>
      <c r="C1970" t="s">
        <v>1551</v>
      </c>
    </row>
    <row r="1971" spans="1:3" x14ac:dyDescent="0.25">
      <c r="A1971" t="s">
        <v>1532</v>
      </c>
      <c r="B1971" t="s">
        <v>599</v>
      </c>
      <c r="C1971" t="s">
        <v>1551</v>
      </c>
    </row>
    <row r="1972" spans="1:3" x14ac:dyDescent="0.25">
      <c r="A1972" t="s">
        <v>1532</v>
      </c>
      <c r="B1972" t="s">
        <v>600</v>
      </c>
      <c r="C1972" t="s">
        <v>1551</v>
      </c>
    </row>
    <row r="1973" spans="1:3" x14ac:dyDescent="0.25">
      <c r="A1973" t="s">
        <v>1532</v>
      </c>
      <c r="B1973" t="s">
        <v>606</v>
      </c>
      <c r="C1973" t="s">
        <v>1551</v>
      </c>
    </row>
    <row r="1974" spans="1:3" x14ac:dyDescent="0.25">
      <c r="A1974" t="s">
        <v>1532</v>
      </c>
      <c r="B1974" t="s">
        <v>607</v>
      </c>
      <c r="C1974" t="s">
        <v>1551</v>
      </c>
    </row>
    <row r="1975" spans="1:3" x14ac:dyDescent="0.25">
      <c r="A1975" t="s">
        <v>1532</v>
      </c>
      <c r="B1975" t="s">
        <v>608</v>
      </c>
      <c r="C1975" t="s">
        <v>1551</v>
      </c>
    </row>
    <row r="1976" spans="1:3" x14ac:dyDescent="0.25">
      <c r="A1976" t="s">
        <v>1532</v>
      </c>
      <c r="B1976" t="s">
        <v>609</v>
      </c>
      <c r="C1976" t="s">
        <v>1551</v>
      </c>
    </row>
    <row r="1977" spans="1:3" x14ac:dyDescent="0.25">
      <c r="A1977" t="s">
        <v>1532</v>
      </c>
      <c r="B1977" t="s">
        <v>610</v>
      </c>
      <c r="C1977" t="s">
        <v>1551</v>
      </c>
    </row>
    <row r="1978" spans="1:3" x14ac:dyDescent="0.25">
      <c r="A1978" t="s">
        <v>1532</v>
      </c>
      <c r="B1978" t="s">
        <v>611</v>
      </c>
      <c r="C1978" t="s">
        <v>1551</v>
      </c>
    </row>
    <row r="1979" spans="1:3" x14ac:dyDescent="0.25">
      <c r="A1979" t="s">
        <v>1532</v>
      </c>
      <c r="B1979" t="s">
        <v>612</v>
      </c>
      <c r="C1979" t="s">
        <v>1551</v>
      </c>
    </row>
    <row r="1980" spans="1:3" x14ac:dyDescent="0.25">
      <c r="A1980" t="s">
        <v>1532</v>
      </c>
      <c r="B1980" t="s">
        <v>615</v>
      </c>
      <c r="C1980" t="s">
        <v>1551</v>
      </c>
    </row>
    <row r="1981" spans="1:3" x14ac:dyDescent="0.25">
      <c r="A1981" t="s">
        <v>1532</v>
      </c>
      <c r="B1981" t="s">
        <v>616</v>
      </c>
      <c r="C1981" t="s">
        <v>1551</v>
      </c>
    </row>
    <row r="1982" spans="1:3" x14ac:dyDescent="0.25">
      <c r="A1982" t="s">
        <v>1532</v>
      </c>
      <c r="B1982" t="s">
        <v>617</v>
      </c>
      <c r="C1982" t="s">
        <v>1551</v>
      </c>
    </row>
    <row r="1983" spans="1:3" x14ac:dyDescent="0.25">
      <c r="A1983" t="s">
        <v>1532</v>
      </c>
      <c r="B1983" t="s">
        <v>618</v>
      </c>
      <c r="C1983" t="s">
        <v>1551</v>
      </c>
    </row>
    <row r="1984" spans="1:3" x14ac:dyDescent="0.25">
      <c r="A1984" t="s">
        <v>1532</v>
      </c>
      <c r="B1984" t="s">
        <v>619</v>
      </c>
      <c r="C1984" t="s">
        <v>1551</v>
      </c>
    </row>
    <row r="1985" spans="1:3" x14ac:dyDescent="0.25">
      <c r="A1985" t="s">
        <v>1532</v>
      </c>
      <c r="B1985" t="s">
        <v>620</v>
      </c>
      <c r="C1985" t="s">
        <v>1551</v>
      </c>
    </row>
    <row r="1986" spans="1:3" x14ac:dyDescent="0.25">
      <c r="A1986" t="s">
        <v>1532</v>
      </c>
      <c r="B1986" t="s">
        <v>621</v>
      </c>
      <c r="C1986" t="s">
        <v>1551</v>
      </c>
    </row>
    <row r="1987" spans="1:3" x14ac:dyDescent="0.25">
      <c r="A1987" t="s">
        <v>1532</v>
      </c>
      <c r="B1987" t="s">
        <v>622</v>
      </c>
      <c r="C1987" t="s">
        <v>1551</v>
      </c>
    </row>
    <row r="1988" spans="1:3" x14ac:dyDescent="0.25">
      <c r="A1988" t="s">
        <v>1532</v>
      </c>
      <c r="B1988" t="s">
        <v>623</v>
      </c>
      <c r="C1988" t="s">
        <v>1551</v>
      </c>
    </row>
    <row r="1989" spans="1:3" x14ac:dyDescent="0.25">
      <c r="A1989" t="s">
        <v>1532</v>
      </c>
      <c r="B1989" t="s">
        <v>624</v>
      </c>
      <c r="C1989" t="s">
        <v>1551</v>
      </c>
    </row>
    <row r="1990" spans="1:3" x14ac:dyDescent="0.25">
      <c r="A1990" t="s">
        <v>1532</v>
      </c>
      <c r="B1990" t="s">
        <v>625</v>
      </c>
      <c r="C1990" t="s">
        <v>1551</v>
      </c>
    </row>
    <row r="1991" spans="1:3" x14ac:dyDescent="0.25">
      <c r="A1991" t="s">
        <v>1532</v>
      </c>
      <c r="B1991" t="s">
        <v>626</v>
      </c>
      <c r="C1991" t="s">
        <v>1551</v>
      </c>
    </row>
    <row r="1992" spans="1:3" x14ac:dyDescent="0.25">
      <c r="A1992" t="s">
        <v>1532</v>
      </c>
      <c r="B1992" t="s">
        <v>627</v>
      </c>
      <c r="C1992" t="s">
        <v>1551</v>
      </c>
    </row>
    <row r="1993" spans="1:3" x14ac:dyDescent="0.25">
      <c r="A1993" t="s">
        <v>1532</v>
      </c>
      <c r="B1993" t="s">
        <v>628</v>
      </c>
      <c r="C1993" t="s">
        <v>1551</v>
      </c>
    </row>
    <row r="1994" spans="1:3" x14ac:dyDescent="0.25">
      <c r="A1994" t="s">
        <v>1532</v>
      </c>
      <c r="B1994" t="s">
        <v>629</v>
      </c>
      <c r="C1994" t="s">
        <v>1551</v>
      </c>
    </row>
    <row r="1995" spans="1:3" x14ac:dyDescent="0.25">
      <c r="A1995" t="s">
        <v>1532</v>
      </c>
      <c r="B1995" t="s">
        <v>630</v>
      </c>
      <c r="C1995" t="s">
        <v>1551</v>
      </c>
    </row>
    <row r="1996" spans="1:3" x14ac:dyDescent="0.25">
      <c r="A1996" t="s">
        <v>1532</v>
      </c>
      <c r="B1996" t="s">
        <v>631</v>
      </c>
      <c r="C1996" t="s">
        <v>1551</v>
      </c>
    </row>
    <row r="1997" spans="1:3" x14ac:dyDescent="0.25">
      <c r="A1997" t="s">
        <v>1532</v>
      </c>
      <c r="B1997" t="s">
        <v>632</v>
      </c>
      <c r="C1997" t="s">
        <v>1551</v>
      </c>
    </row>
    <row r="1998" spans="1:3" x14ac:dyDescent="0.25">
      <c r="A1998" t="s">
        <v>1532</v>
      </c>
      <c r="B1998" t="s">
        <v>633</v>
      </c>
      <c r="C1998" t="s">
        <v>1551</v>
      </c>
    </row>
    <row r="1999" spans="1:3" x14ac:dyDescent="0.25">
      <c r="A1999" t="s">
        <v>1532</v>
      </c>
      <c r="B1999" t="s">
        <v>634</v>
      </c>
      <c r="C1999" t="s">
        <v>1551</v>
      </c>
    </row>
    <row r="2000" spans="1:3" x14ac:dyDescent="0.25">
      <c r="A2000" t="s">
        <v>1532</v>
      </c>
      <c r="B2000" t="s">
        <v>635</v>
      </c>
      <c r="C2000" t="s">
        <v>1551</v>
      </c>
    </row>
    <row r="2001" spans="1:3" x14ac:dyDescent="0.25">
      <c r="A2001" t="s">
        <v>1532</v>
      </c>
      <c r="B2001" t="s">
        <v>636</v>
      </c>
      <c r="C2001" t="s">
        <v>1551</v>
      </c>
    </row>
    <row r="2002" spans="1:3" x14ac:dyDescent="0.25">
      <c r="A2002" t="s">
        <v>1532</v>
      </c>
      <c r="B2002" t="s">
        <v>637</v>
      </c>
      <c r="C2002" t="s">
        <v>1551</v>
      </c>
    </row>
    <row r="2003" spans="1:3" x14ac:dyDescent="0.25">
      <c r="A2003" t="s">
        <v>1532</v>
      </c>
      <c r="B2003" t="s">
        <v>638</v>
      </c>
      <c r="C2003" t="s">
        <v>1551</v>
      </c>
    </row>
    <row r="2004" spans="1:3" x14ac:dyDescent="0.25">
      <c r="A2004" t="s">
        <v>1532</v>
      </c>
      <c r="B2004" t="s">
        <v>639</v>
      </c>
      <c r="C2004" t="s">
        <v>1551</v>
      </c>
    </row>
    <row r="2005" spans="1:3" x14ac:dyDescent="0.25">
      <c r="A2005" t="s">
        <v>1532</v>
      </c>
      <c r="B2005" t="s">
        <v>640</v>
      </c>
      <c r="C2005" t="s">
        <v>1551</v>
      </c>
    </row>
    <row r="2006" spans="1:3" x14ac:dyDescent="0.25">
      <c r="A2006" t="s">
        <v>1532</v>
      </c>
      <c r="B2006" t="s">
        <v>641</v>
      </c>
      <c r="C2006" t="s">
        <v>1551</v>
      </c>
    </row>
    <row r="2007" spans="1:3" x14ac:dyDescent="0.25">
      <c r="A2007" t="s">
        <v>1532</v>
      </c>
      <c r="B2007" t="s">
        <v>642</v>
      </c>
      <c r="C2007" t="s">
        <v>1551</v>
      </c>
    </row>
    <row r="2008" spans="1:3" x14ac:dyDescent="0.25">
      <c r="A2008" t="s">
        <v>1532</v>
      </c>
      <c r="B2008" t="s">
        <v>643</v>
      </c>
      <c r="C2008" t="s">
        <v>1551</v>
      </c>
    </row>
    <row r="2009" spans="1:3" x14ac:dyDescent="0.25">
      <c r="A2009" t="s">
        <v>1532</v>
      </c>
      <c r="B2009" t="s">
        <v>646</v>
      </c>
      <c r="C2009" t="s">
        <v>1551</v>
      </c>
    </row>
    <row r="2010" spans="1:3" x14ac:dyDescent="0.25">
      <c r="A2010" t="s">
        <v>1532</v>
      </c>
      <c r="B2010" t="s">
        <v>647</v>
      </c>
      <c r="C2010" t="s">
        <v>1551</v>
      </c>
    </row>
    <row r="2011" spans="1:3" x14ac:dyDescent="0.25">
      <c r="A2011" t="s">
        <v>1532</v>
      </c>
      <c r="B2011" t="s">
        <v>649</v>
      </c>
      <c r="C2011" t="s">
        <v>1551</v>
      </c>
    </row>
    <row r="2012" spans="1:3" x14ac:dyDescent="0.25">
      <c r="A2012" t="s">
        <v>1532</v>
      </c>
      <c r="B2012" t="s">
        <v>650</v>
      </c>
      <c r="C2012" t="s">
        <v>1551</v>
      </c>
    </row>
    <row r="2013" spans="1:3" x14ac:dyDescent="0.25">
      <c r="A2013" t="s">
        <v>1532</v>
      </c>
      <c r="B2013" t="s">
        <v>651</v>
      </c>
      <c r="C2013" t="s">
        <v>1551</v>
      </c>
    </row>
    <row r="2014" spans="1:3" x14ac:dyDescent="0.25">
      <c r="A2014" t="s">
        <v>1532</v>
      </c>
      <c r="B2014" t="s">
        <v>652</v>
      </c>
      <c r="C2014" t="s">
        <v>1551</v>
      </c>
    </row>
    <row r="2015" spans="1:3" x14ac:dyDescent="0.25">
      <c r="A2015" t="s">
        <v>1532</v>
      </c>
      <c r="B2015" t="s">
        <v>653</v>
      </c>
      <c r="C2015" t="s">
        <v>1551</v>
      </c>
    </row>
    <row r="2016" spans="1:3" x14ac:dyDescent="0.25">
      <c r="A2016" t="s">
        <v>1532</v>
      </c>
      <c r="B2016" t="s">
        <v>654</v>
      </c>
      <c r="C2016" t="s">
        <v>1551</v>
      </c>
    </row>
    <row r="2017" spans="1:3" x14ac:dyDescent="0.25">
      <c r="A2017" t="s">
        <v>1532</v>
      </c>
      <c r="B2017" t="s">
        <v>655</v>
      </c>
      <c r="C2017" t="s">
        <v>1551</v>
      </c>
    </row>
    <row r="2018" spans="1:3" x14ac:dyDescent="0.25">
      <c r="A2018" t="s">
        <v>1532</v>
      </c>
      <c r="B2018" t="s">
        <v>656</v>
      </c>
      <c r="C2018" t="s">
        <v>1551</v>
      </c>
    </row>
    <row r="2019" spans="1:3" x14ac:dyDescent="0.25">
      <c r="A2019" t="s">
        <v>1532</v>
      </c>
      <c r="B2019" t="s">
        <v>657</v>
      </c>
      <c r="C2019" t="s">
        <v>1551</v>
      </c>
    </row>
    <row r="2020" spans="1:3" x14ac:dyDescent="0.25">
      <c r="A2020" t="s">
        <v>1532</v>
      </c>
      <c r="B2020" t="s">
        <v>658</v>
      </c>
      <c r="C2020" t="s">
        <v>1551</v>
      </c>
    </row>
    <row r="2021" spans="1:3" x14ac:dyDescent="0.25">
      <c r="A2021" t="s">
        <v>1532</v>
      </c>
      <c r="B2021" t="s">
        <v>659</v>
      </c>
      <c r="C2021" t="s">
        <v>1551</v>
      </c>
    </row>
    <row r="2022" spans="1:3" x14ac:dyDescent="0.25">
      <c r="A2022" t="s">
        <v>1532</v>
      </c>
      <c r="B2022" t="s">
        <v>660</v>
      </c>
      <c r="C2022" t="s">
        <v>1551</v>
      </c>
    </row>
    <row r="2023" spans="1:3" x14ac:dyDescent="0.25">
      <c r="A2023" t="s">
        <v>1532</v>
      </c>
      <c r="B2023" t="s">
        <v>661</v>
      </c>
      <c r="C2023" t="s">
        <v>1551</v>
      </c>
    </row>
    <row r="2024" spans="1:3" x14ac:dyDescent="0.25">
      <c r="A2024" t="s">
        <v>1532</v>
      </c>
      <c r="B2024" t="s">
        <v>662</v>
      </c>
      <c r="C2024" t="s">
        <v>1551</v>
      </c>
    </row>
    <row r="2025" spans="1:3" x14ac:dyDescent="0.25">
      <c r="A2025" t="s">
        <v>1532</v>
      </c>
      <c r="B2025" t="s">
        <v>663</v>
      </c>
      <c r="C2025" t="s">
        <v>1551</v>
      </c>
    </row>
    <row r="2026" spans="1:3" x14ac:dyDescent="0.25">
      <c r="A2026" t="s">
        <v>1532</v>
      </c>
      <c r="B2026" t="s">
        <v>664</v>
      </c>
      <c r="C2026" t="s">
        <v>1551</v>
      </c>
    </row>
    <row r="2027" spans="1:3" x14ac:dyDescent="0.25">
      <c r="A2027" t="s">
        <v>1532</v>
      </c>
      <c r="B2027" t="s">
        <v>665</v>
      </c>
      <c r="C2027" t="s">
        <v>1551</v>
      </c>
    </row>
    <row r="2028" spans="1:3" x14ac:dyDescent="0.25">
      <c r="A2028" t="s">
        <v>1532</v>
      </c>
      <c r="B2028" t="s">
        <v>666</v>
      </c>
      <c r="C2028" t="s">
        <v>1551</v>
      </c>
    </row>
    <row r="2029" spans="1:3" x14ac:dyDescent="0.25">
      <c r="A2029" t="s">
        <v>1532</v>
      </c>
      <c r="B2029" t="s">
        <v>667</v>
      </c>
      <c r="C2029" t="s">
        <v>1551</v>
      </c>
    </row>
    <row r="2030" spans="1:3" x14ac:dyDescent="0.25">
      <c r="A2030" t="s">
        <v>1532</v>
      </c>
      <c r="B2030" t="s">
        <v>668</v>
      </c>
      <c r="C2030" t="s">
        <v>1551</v>
      </c>
    </row>
    <row r="2031" spans="1:3" x14ac:dyDescent="0.25">
      <c r="A2031" t="s">
        <v>1532</v>
      </c>
      <c r="B2031" t="s">
        <v>669</v>
      </c>
      <c r="C2031" t="s">
        <v>1551</v>
      </c>
    </row>
    <row r="2032" spans="1:3" x14ac:dyDescent="0.25">
      <c r="A2032" t="s">
        <v>1532</v>
      </c>
      <c r="B2032" t="s">
        <v>670</v>
      </c>
      <c r="C2032" t="s">
        <v>1551</v>
      </c>
    </row>
    <row r="2033" spans="1:3" x14ac:dyDescent="0.25">
      <c r="A2033" t="s">
        <v>1532</v>
      </c>
      <c r="B2033" t="s">
        <v>671</v>
      </c>
      <c r="C2033" t="s">
        <v>1551</v>
      </c>
    </row>
    <row r="2034" spans="1:3" x14ac:dyDescent="0.25">
      <c r="A2034" t="s">
        <v>1532</v>
      </c>
      <c r="B2034" t="s">
        <v>672</v>
      </c>
      <c r="C2034" t="s">
        <v>1551</v>
      </c>
    </row>
    <row r="2035" spans="1:3" x14ac:dyDescent="0.25">
      <c r="A2035" t="s">
        <v>1532</v>
      </c>
      <c r="B2035" t="s">
        <v>673</v>
      </c>
      <c r="C2035" t="s">
        <v>1551</v>
      </c>
    </row>
    <row r="2036" spans="1:3" x14ac:dyDescent="0.25">
      <c r="A2036" t="s">
        <v>1532</v>
      </c>
      <c r="B2036" t="s">
        <v>674</v>
      </c>
      <c r="C2036" t="s">
        <v>1551</v>
      </c>
    </row>
    <row r="2037" spans="1:3" x14ac:dyDescent="0.25">
      <c r="A2037" t="s">
        <v>1532</v>
      </c>
      <c r="B2037" t="s">
        <v>675</v>
      </c>
      <c r="C2037" t="s">
        <v>1551</v>
      </c>
    </row>
    <row r="2038" spans="1:3" x14ac:dyDescent="0.25">
      <c r="A2038" t="s">
        <v>1532</v>
      </c>
      <c r="B2038" t="s">
        <v>676</v>
      </c>
      <c r="C2038" t="s">
        <v>1551</v>
      </c>
    </row>
    <row r="2039" spans="1:3" x14ac:dyDescent="0.25">
      <c r="A2039" t="s">
        <v>1532</v>
      </c>
      <c r="B2039" t="s">
        <v>678</v>
      </c>
      <c r="C2039" t="s">
        <v>1551</v>
      </c>
    </row>
    <row r="2040" spans="1:3" x14ac:dyDescent="0.25">
      <c r="A2040" t="s">
        <v>1532</v>
      </c>
      <c r="B2040" t="s">
        <v>679</v>
      </c>
      <c r="C2040" t="s">
        <v>1551</v>
      </c>
    </row>
    <row r="2041" spans="1:3" x14ac:dyDescent="0.25">
      <c r="A2041" t="s">
        <v>1532</v>
      </c>
      <c r="B2041" t="s">
        <v>681</v>
      </c>
      <c r="C2041" t="s">
        <v>1551</v>
      </c>
    </row>
    <row r="2042" spans="1:3" x14ac:dyDescent="0.25">
      <c r="A2042" t="s">
        <v>1532</v>
      </c>
      <c r="B2042" t="s">
        <v>682</v>
      </c>
      <c r="C2042" t="s">
        <v>1551</v>
      </c>
    </row>
    <row r="2043" spans="1:3" x14ac:dyDescent="0.25">
      <c r="A2043" t="s">
        <v>1532</v>
      </c>
      <c r="B2043" t="s">
        <v>683</v>
      </c>
      <c r="C2043" t="s">
        <v>1551</v>
      </c>
    </row>
    <row r="2044" spans="1:3" x14ac:dyDescent="0.25">
      <c r="A2044" t="s">
        <v>1532</v>
      </c>
      <c r="B2044" t="s">
        <v>684</v>
      </c>
      <c r="C2044" t="s">
        <v>1551</v>
      </c>
    </row>
    <row r="2045" spans="1:3" x14ac:dyDescent="0.25">
      <c r="A2045" t="s">
        <v>1532</v>
      </c>
      <c r="B2045" t="s">
        <v>685</v>
      </c>
      <c r="C2045" t="s">
        <v>1551</v>
      </c>
    </row>
    <row r="2046" spans="1:3" x14ac:dyDescent="0.25">
      <c r="A2046" t="s">
        <v>1532</v>
      </c>
      <c r="B2046" t="s">
        <v>686</v>
      </c>
      <c r="C2046" t="s">
        <v>1551</v>
      </c>
    </row>
    <row r="2047" spans="1:3" x14ac:dyDescent="0.25">
      <c r="A2047" t="s">
        <v>1532</v>
      </c>
      <c r="B2047" t="s">
        <v>687</v>
      </c>
      <c r="C2047" t="s">
        <v>1551</v>
      </c>
    </row>
    <row r="2048" spans="1:3" x14ac:dyDescent="0.25">
      <c r="A2048" t="s">
        <v>1532</v>
      </c>
      <c r="B2048" t="s">
        <v>688</v>
      </c>
      <c r="C2048" t="s">
        <v>1551</v>
      </c>
    </row>
    <row r="2049" spans="1:3" x14ac:dyDescent="0.25">
      <c r="A2049" t="s">
        <v>1532</v>
      </c>
      <c r="B2049" t="s">
        <v>689</v>
      </c>
      <c r="C2049" t="s">
        <v>1551</v>
      </c>
    </row>
    <row r="2050" spans="1:3" x14ac:dyDescent="0.25">
      <c r="A2050" t="s">
        <v>1532</v>
      </c>
      <c r="B2050" t="s">
        <v>690</v>
      </c>
      <c r="C2050" t="s">
        <v>1551</v>
      </c>
    </row>
    <row r="2051" spans="1:3" x14ac:dyDescent="0.25">
      <c r="A2051" t="s">
        <v>1532</v>
      </c>
      <c r="B2051" t="s">
        <v>691</v>
      </c>
      <c r="C2051" t="s">
        <v>1551</v>
      </c>
    </row>
    <row r="2052" spans="1:3" x14ac:dyDescent="0.25">
      <c r="A2052" t="s">
        <v>1532</v>
      </c>
      <c r="B2052" t="s">
        <v>692</v>
      </c>
      <c r="C2052" t="s">
        <v>1551</v>
      </c>
    </row>
    <row r="2053" spans="1:3" x14ac:dyDescent="0.25">
      <c r="A2053" t="s">
        <v>1532</v>
      </c>
      <c r="B2053" t="s">
        <v>693</v>
      </c>
      <c r="C2053" t="s">
        <v>1551</v>
      </c>
    </row>
    <row r="2054" spans="1:3" x14ac:dyDescent="0.25">
      <c r="A2054" t="s">
        <v>1532</v>
      </c>
      <c r="B2054" t="s">
        <v>694</v>
      </c>
      <c r="C2054" t="s">
        <v>1551</v>
      </c>
    </row>
    <row r="2055" spans="1:3" x14ac:dyDescent="0.25">
      <c r="A2055" t="s">
        <v>1532</v>
      </c>
      <c r="B2055" t="s">
        <v>695</v>
      </c>
      <c r="C2055" t="s">
        <v>1551</v>
      </c>
    </row>
    <row r="2056" spans="1:3" x14ac:dyDescent="0.25">
      <c r="A2056" t="s">
        <v>1532</v>
      </c>
      <c r="B2056" t="s">
        <v>696</v>
      </c>
      <c r="C2056" t="s">
        <v>1551</v>
      </c>
    </row>
    <row r="2057" spans="1:3" x14ac:dyDescent="0.25">
      <c r="A2057" t="s">
        <v>1532</v>
      </c>
      <c r="B2057" t="s">
        <v>697</v>
      </c>
      <c r="C2057" t="s">
        <v>1551</v>
      </c>
    </row>
    <row r="2058" spans="1:3" x14ac:dyDescent="0.25">
      <c r="A2058" t="s">
        <v>1532</v>
      </c>
      <c r="B2058" t="s">
        <v>698</v>
      </c>
      <c r="C2058" t="s">
        <v>1551</v>
      </c>
    </row>
    <row r="2059" spans="1:3" x14ac:dyDescent="0.25">
      <c r="A2059" t="s">
        <v>1532</v>
      </c>
      <c r="B2059" t="s">
        <v>699</v>
      </c>
      <c r="C2059" t="s">
        <v>1551</v>
      </c>
    </row>
    <row r="2060" spans="1:3" x14ac:dyDescent="0.25">
      <c r="A2060" t="s">
        <v>1532</v>
      </c>
      <c r="B2060" t="s">
        <v>700</v>
      </c>
      <c r="C2060" t="s">
        <v>1551</v>
      </c>
    </row>
    <row r="2061" spans="1:3" x14ac:dyDescent="0.25">
      <c r="A2061" t="s">
        <v>1532</v>
      </c>
      <c r="B2061" t="s">
        <v>701</v>
      </c>
      <c r="C2061" t="s">
        <v>1551</v>
      </c>
    </row>
    <row r="2062" spans="1:3" x14ac:dyDescent="0.25">
      <c r="A2062" t="s">
        <v>1532</v>
      </c>
      <c r="B2062" t="s">
        <v>702</v>
      </c>
      <c r="C2062" t="s">
        <v>1551</v>
      </c>
    </row>
    <row r="2063" spans="1:3" x14ac:dyDescent="0.25">
      <c r="A2063" t="s">
        <v>1532</v>
      </c>
      <c r="B2063" t="s">
        <v>703</v>
      </c>
      <c r="C2063" t="s">
        <v>1551</v>
      </c>
    </row>
    <row r="2064" spans="1:3" x14ac:dyDescent="0.25">
      <c r="A2064" t="s">
        <v>1532</v>
      </c>
      <c r="B2064" t="s">
        <v>704</v>
      </c>
      <c r="C2064" t="s">
        <v>1551</v>
      </c>
    </row>
    <row r="2065" spans="1:3" x14ac:dyDescent="0.25">
      <c r="A2065" t="s">
        <v>1532</v>
      </c>
      <c r="B2065" t="s">
        <v>705</v>
      </c>
      <c r="C2065" t="s">
        <v>1551</v>
      </c>
    </row>
    <row r="2066" spans="1:3" x14ac:dyDescent="0.25">
      <c r="A2066" t="s">
        <v>1532</v>
      </c>
      <c r="B2066" t="s">
        <v>706</v>
      </c>
      <c r="C2066" t="s">
        <v>1551</v>
      </c>
    </row>
    <row r="2067" spans="1:3" x14ac:dyDescent="0.25">
      <c r="A2067" t="s">
        <v>1532</v>
      </c>
      <c r="B2067" t="s">
        <v>707</v>
      </c>
      <c r="C2067" t="s">
        <v>1551</v>
      </c>
    </row>
    <row r="2068" spans="1:3" x14ac:dyDescent="0.25">
      <c r="A2068" t="s">
        <v>1532</v>
      </c>
      <c r="B2068" t="s">
        <v>708</v>
      </c>
      <c r="C2068" t="s">
        <v>1551</v>
      </c>
    </row>
    <row r="2069" spans="1:3" x14ac:dyDescent="0.25">
      <c r="A2069" t="s">
        <v>1532</v>
      </c>
      <c r="B2069" t="s">
        <v>709</v>
      </c>
      <c r="C2069" t="s">
        <v>1551</v>
      </c>
    </row>
    <row r="2070" spans="1:3" x14ac:dyDescent="0.25">
      <c r="A2070" t="s">
        <v>1532</v>
      </c>
      <c r="B2070" t="s">
        <v>710</v>
      </c>
      <c r="C2070" t="s">
        <v>1551</v>
      </c>
    </row>
    <row r="2071" spans="1:3" x14ac:dyDescent="0.25">
      <c r="A2071" t="s">
        <v>1532</v>
      </c>
      <c r="B2071" t="s">
        <v>711</v>
      </c>
      <c r="C2071" t="s">
        <v>1551</v>
      </c>
    </row>
    <row r="2072" spans="1:3" x14ac:dyDescent="0.25">
      <c r="A2072" t="s">
        <v>1532</v>
      </c>
      <c r="B2072" t="s">
        <v>712</v>
      </c>
      <c r="C2072" t="s">
        <v>1551</v>
      </c>
    </row>
    <row r="2073" spans="1:3" x14ac:dyDescent="0.25">
      <c r="A2073" t="s">
        <v>1532</v>
      </c>
      <c r="B2073" t="s">
        <v>713</v>
      </c>
      <c r="C2073" t="s">
        <v>1551</v>
      </c>
    </row>
    <row r="2074" spans="1:3" x14ac:dyDescent="0.25">
      <c r="A2074" t="s">
        <v>1532</v>
      </c>
      <c r="B2074" t="s">
        <v>714</v>
      </c>
      <c r="C2074" t="s">
        <v>1551</v>
      </c>
    </row>
    <row r="2075" spans="1:3" x14ac:dyDescent="0.25">
      <c r="A2075" t="s">
        <v>1532</v>
      </c>
      <c r="B2075" t="s">
        <v>715</v>
      </c>
      <c r="C2075" t="s">
        <v>1551</v>
      </c>
    </row>
    <row r="2076" spans="1:3" x14ac:dyDescent="0.25">
      <c r="A2076" t="s">
        <v>1532</v>
      </c>
      <c r="B2076" t="s">
        <v>716</v>
      </c>
      <c r="C2076" t="s">
        <v>1551</v>
      </c>
    </row>
    <row r="2077" spans="1:3" x14ac:dyDescent="0.25">
      <c r="A2077" t="s">
        <v>1532</v>
      </c>
      <c r="B2077" t="s">
        <v>717</v>
      </c>
      <c r="C2077" t="s">
        <v>1551</v>
      </c>
    </row>
    <row r="2078" spans="1:3" x14ac:dyDescent="0.25">
      <c r="A2078" t="s">
        <v>1532</v>
      </c>
      <c r="B2078" t="s">
        <v>718</v>
      </c>
      <c r="C2078" t="s">
        <v>1551</v>
      </c>
    </row>
    <row r="2079" spans="1:3" x14ac:dyDescent="0.25">
      <c r="A2079" t="s">
        <v>1532</v>
      </c>
      <c r="B2079" t="s">
        <v>719</v>
      </c>
      <c r="C2079" t="s">
        <v>1551</v>
      </c>
    </row>
    <row r="2080" spans="1:3" x14ac:dyDescent="0.25">
      <c r="A2080" t="s">
        <v>1532</v>
      </c>
      <c r="B2080" t="s">
        <v>720</v>
      </c>
      <c r="C2080" t="s">
        <v>1551</v>
      </c>
    </row>
    <row r="2081" spans="1:3" x14ac:dyDescent="0.25">
      <c r="A2081" t="s">
        <v>1532</v>
      </c>
      <c r="B2081" t="s">
        <v>721</v>
      </c>
      <c r="C2081" t="s">
        <v>1551</v>
      </c>
    </row>
    <row r="2082" spans="1:3" x14ac:dyDescent="0.25">
      <c r="A2082" t="s">
        <v>1532</v>
      </c>
      <c r="B2082" t="s">
        <v>722</v>
      </c>
      <c r="C2082" t="s">
        <v>1551</v>
      </c>
    </row>
    <row r="2083" spans="1:3" x14ac:dyDescent="0.25">
      <c r="A2083" t="s">
        <v>1532</v>
      </c>
      <c r="B2083" t="s">
        <v>723</v>
      </c>
      <c r="C2083" t="s">
        <v>1551</v>
      </c>
    </row>
    <row r="2084" spans="1:3" x14ac:dyDescent="0.25">
      <c r="A2084" t="s">
        <v>1532</v>
      </c>
      <c r="B2084" t="s">
        <v>724</v>
      </c>
      <c r="C2084" t="s">
        <v>1551</v>
      </c>
    </row>
    <row r="2085" spans="1:3" x14ac:dyDescent="0.25">
      <c r="A2085" t="s">
        <v>1532</v>
      </c>
      <c r="B2085" t="s">
        <v>725</v>
      </c>
      <c r="C2085" t="s">
        <v>1551</v>
      </c>
    </row>
    <row r="2086" spans="1:3" x14ac:dyDescent="0.25">
      <c r="A2086" t="s">
        <v>1532</v>
      </c>
      <c r="B2086" t="s">
        <v>726</v>
      </c>
      <c r="C2086" t="s">
        <v>1551</v>
      </c>
    </row>
    <row r="2087" spans="1:3" x14ac:dyDescent="0.25">
      <c r="A2087" t="s">
        <v>1532</v>
      </c>
      <c r="B2087" t="s">
        <v>727</v>
      </c>
      <c r="C2087" t="s">
        <v>1551</v>
      </c>
    </row>
    <row r="2088" spans="1:3" x14ac:dyDescent="0.25">
      <c r="A2088" t="s">
        <v>1532</v>
      </c>
      <c r="B2088" t="s">
        <v>728</v>
      </c>
      <c r="C2088" t="s">
        <v>1551</v>
      </c>
    </row>
    <row r="2089" spans="1:3" x14ac:dyDescent="0.25">
      <c r="A2089" t="s">
        <v>1532</v>
      </c>
      <c r="B2089" t="s">
        <v>729</v>
      </c>
      <c r="C2089" t="s">
        <v>1551</v>
      </c>
    </row>
    <row r="2090" spans="1:3" x14ac:dyDescent="0.25">
      <c r="A2090" t="s">
        <v>1532</v>
      </c>
      <c r="B2090" t="s">
        <v>730</v>
      </c>
      <c r="C2090" t="s">
        <v>1551</v>
      </c>
    </row>
    <row r="2091" spans="1:3" x14ac:dyDescent="0.25">
      <c r="A2091" t="s">
        <v>1532</v>
      </c>
      <c r="B2091" t="s">
        <v>731</v>
      </c>
      <c r="C2091" t="s">
        <v>1551</v>
      </c>
    </row>
    <row r="2092" spans="1:3" x14ac:dyDescent="0.25">
      <c r="A2092" t="s">
        <v>1532</v>
      </c>
      <c r="B2092" t="s">
        <v>732</v>
      </c>
      <c r="C2092" t="s">
        <v>1551</v>
      </c>
    </row>
    <row r="2093" spans="1:3" x14ac:dyDescent="0.25">
      <c r="A2093" t="s">
        <v>1532</v>
      </c>
      <c r="B2093" t="s">
        <v>733</v>
      </c>
      <c r="C2093" t="s">
        <v>1551</v>
      </c>
    </row>
    <row r="2094" spans="1:3" x14ac:dyDescent="0.25">
      <c r="A2094" t="s">
        <v>1532</v>
      </c>
      <c r="B2094" t="s">
        <v>734</v>
      </c>
      <c r="C2094" t="s">
        <v>1551</v>
      </c>
    </row>
    <row r="2095" spans="1:3" x14ac:dyDescent="0.25">
      <c r="A2095" t="s">
        <v>1532</v>
      </c>
      <c r="B2095" t="s">
        <v>735</v>
      </c>
      <c r="C2095" t="s">
        <v>1551</v>
      </c>
    </row>
    <row r="2096" spans="1:3" x14ac:dyDescent="0.25">
      <c r="A2096" t="s">
        <v>1532</v>
      </c>
      <c r="B2096" t="s">
        <v>736</v>
      </c>
      <c r="C2096" t="s">
        <v>1551</v>
      </c>
    </row>
    <row r="2097" spans="1:3" x14ac:dyDescent="0.25">
      <c r="A2097" t="s">
        <v>1532</v>
      </c>
      <c r="B2097" t="s">
        <v>831</v>
      </c>
      <c r="C2097" t="s">
        <v>1551</v>
      </c>
    </row>
    <row r="2098" spans="1:3" x14ac:dyDescent="0.25">
      <c r="A2098" t="s">
        <v>1532</v>
      </c>
      <c r="B2098" t="s">
        <v>834</v>
      </c>
      <c r="C2098" t="s">
        <v>1551</v>
      </c>
    </row>
    <row r="2099" spans="1:3" x14ac:dyDescent="0.25">
      <c r="A2099" t="s">
        <v>1532</v>
      </c>
      <c r="B2099" t="s">
        <v>835</v>
      </c>
      <c r="C2099" t="s">
        <v>1551</v>
      </c>
    </row>
    <row r="2100" spans="1:3" x14ac:dyDescent="0.25">
      <c r="A2100" t="s">
        <v>1532</v>
      </c>
      <c r="B2100" t="s">
        <v>838</v>
      </c>
      <c r="C2100" t="s">
        <v>1551</v>
      </c>
    </row>
    <row r="2101" spans="1:3" x14ac:dyDescent="0.25">
      <c r="A2101" t="s">
        <v>1532</v>
      </c>
      <c r="B2101" t="s">
        <v>840</v>
      </c>
      <c r="C2101" t="s">
        <v>1551</v>
      </c>
    </row>
    <row r="2102" spans="1:3" x14ac:dyDescent="0.25">
      <c r="A2102" t="s">
        <v>1532</v>
      </c>
      <c r="B2102" t="s">
        <v>841</v>
      </c>
      <c r="C2102" t="s">
        <v>1551</v>
      </c>
    </row>
    <row r="2103" spans="1:3" x14ac:dyDescent="0.25">
      <c r="A2103" t="s">
        <v>1532</v>
      </c>
      <c r="B2103" t="s">
        <v>842</v>
      </c>
      <c r="C2103" t="s">
        <v>1551</v>
      </c>
    </row>
    <row r="2104" spans="1:3" x14ac:dyDescent="0.25">
      <c r="A2104" t="s">
        <v>1532</v>
      </c>
      <c r="B2104" t="s">
        <v>844</v>
      </c>
      <c r="C2104" t="s">
        <v>1551</v>
      </c>
    </row>
    <row r="2105" spans="1:3" x14ac:dyDescent="0.25">
      <c r="A2105" t="s">
        <v>1532</v>
      </c>
      <c r="B2105" t="s">
        <v>846</v>
      </c>
      <c r="C2105" t="s">
        <v>1551</v>
      </c>
    </row>
    <row r="2106" spans="1:3" x14ac:dyDescent="0.25">
      <c r="A2106" t="s">
        <v>1532</v>
      </c>
      <c r="B2106" t="s">
        <v>847</v>
      </c>
      <c r="C2106" t="s">
        <v>1551</v>
      </c>
    </row>
    <row r="2107" spans="1:3" x14ac:dyDescent="0.25">
      <c r="A2107" t="s">
        <v>1532</v>
      </c>
      <c r="B2107" t="s">
        <v>848</v>
      </c>
      <c r="C2107" t="s">
        <v>1551</v>
      </c>
    </row>
    <row r="2108" spans="1:3" x14ac:dyDescent="0.25">
      <c r="A2108" t="s">
        <v>1532</v>
      </c>
      <c r="B2108" t="s">
        <v>850</v>
      </c>
      <c r="C2108" t="s">
        <v>1551</v>
      </c>
    </row>
    <row r="2109" spans="1:3" x14ac:dyDescent="0.25">
      <c r="A2109" t="s">
        <v>1532</v>
      </c>
      <c r="B2109" t="s">
        <v>852</v>
      </c>
      <c r="C2109" t="s">
        <v>1551</v>
      </c>
    </row>
    <row r="2110" spans="1:3" x14ac:dyDescent="0.25">
      <c r="A2110" t="s">
        <v>1532</v>
      </c>
      <c r="B2110" t="s">
        <v>853</v>
      </c>
      <c r="C2110" t="s">
        <v>1551</v>
      </c>
    </row>
    <row r="2111" spans="1:3" x14ac:dyDescent="0.25">
      <c r="A2111" t="s">
        <v>1532</v>
      </c>
      <c r="B2111" t="s">
        <v>854</v>
      </c>
      <c r="C2111" t="s">
        <v>1551</v>
      </c>
    </row>
    <row r="2112" spans="1:3" x14ac:dyDescent="0.25">
      <c r="A2112" t="s">
        <v>1532</v>
      </c>
      <c r="B2112" t="s">
        <v>856</v>
      </c>
      <c r="C2112" t="s">
        <v>1551</v>
      </c>
    </row>
    <row r="2113" spans="1:3" x14ac:dyDescent="0.25">
      <c r="A2113" t="s">
        <v>1532</v>
      </c>
      <c r="B2113" t="s">
        <v>858</v>
      </c>
      <c r="C2113" t="s">
        <v>1551</v>
      </c>
    </row>
    <row r="2114" spans="1:3" x14ac:dyDescent="0.25">
      <c r="A2114" t="s">
        <v>1532</v>
      </c>
      <c r="B2114" t="s">
        <v>859</v>
      </c>
      <c r="C2114" t="s">
        <v>1551</v>
      </c>
    </row>
    <row r="2115" spans="1:3" x14ac:dyDescent="0.25">
      <c r="A2115" t="s">
        <v>1532</v>
      </c>
      <c r="B2115" t="s">
        <v>860</v>
      </c>
      <c r="C2115" t="s">
        <v>1551</v>
      </c>
    </row>
    <row r="2116" spans="1:3" x14ac:dyDescent="0.25">
      <c r="A2116" t="s">
        <v>1532</v>
      </c>
      <c r="B2116" t="s">
        <v>862</v>
      </c>
      <c r="C2116" t="s">
        <v>1551</v>
      </c>
    </row>
    <row r="2117" spans="1:3" x14ac:dyDescent="0.25">
      <c r="A2117" t="s">
        <v>1532</v>
      </c>
      <c r="B2117" t="s">
        <v>864</v>
      </c>
      <c r="C2117" t="s">
        <v>1551</v>
      </c>
    </row>
    <row r="2118" spans="1:3" x14ac:dyDescent="0.25">
      <c r="A2118" t="s">
        <v>1532</v>
      </c>
      <c r="B2118" t="s">
        <v>866</v>
      </c>
      <c r="C2118" t="s">
        <v>1551</v>
      </c>
    </row>
    <row r="2119" spans="1:3" x14ac:dyDescent="0.25">
      <c r="A2119" t="s">
        <v>1532</v>
      </c>
      <c r="B2119" t="s">
        <v>867</v>
      </c>
      <c r="C2119" t="s">
        <v>1551</v>
      </c>
    </row>
    <row r="2120" spans="1:3" x14ac:dyDescent="0.25">
      <c r="A2120" t="s">
        <v>1532</v>
      </c>
      <c r="B2120" t="s">
        <v>870</v>
      </c>
      <c r="C2120" t="s">
        <v>1551</v>
      </c>
    </row>
    <row r="2121" spans="1:3" x14ac:dyDescent="0.25">
      <c r="A2121" t="s">
        <v>1532</v>
      </c>
      <c r="B2121" t="s">
        <v>872</v>
      </c>
      <c r="C2121" t="s">
        <v>1551</v>
      </c>
    </row>
    <row r="2122" spans="1:3" x14ac:dyDescent="0.25">
      <c r="A2122" t="s">
        <v>1532</v>
      </c>
      <c r="B2122" t="s">
        <v>873</v>
      </c>
      <c r="C2122" t="s">
        <v>1551</v>
      </c>
    </row>
    <row r="2123" spans="1:3" x14ac:dyDescent="0.25">
      <c r="A2123" t="s">
        <v>1532</v>
      </c>
      <c r="B2123" t="s">
        <v>874</v>
      </c>
      <c r="C2123" t="s">
        <v>1551</v>
      </c>
    </row>
    <row r="2124" spans="1:3" x14ac:dyDescent="0.25">
      <c r="A2124" t="s">
        <v>1532</v>
      </c>
      <c r="B2124" t="s">
        <v>876</v>
      </c>
      <c r="C2124" t="s">
        <v>1551</v>
      </c>
    </row>
    <row r="2125" spans="1:3" x14ac:dyDescent="0.25">
      <c r="A2125" t="s">
        <v>1532</v>
      </c>
      <c r="B2125" t="s">
        <v>878</v>
      </c>
      <c r="C2125" t="s">
        <v>1551</v>
      </c>
    </row>
    <row r="2126" spans="1:3" x14ac:dyDescent="0.25">
      <c r="A2126" t="s">
        <v>1532</v>
      </c>
      <c r="B2126" t="s">
        <v>879</v>
      </c>
      <c r="C2126" t="s">
        <v>1551</v>
      </c>
    </row>
    <row r="2127" spans="1:3" x14ac:dyDescent="0.25">
      <c r="A2127" t="s">
        <v>1532</v>
      </c>
      <c r="B2127" t="s">
        <v>880</v>
      </c>
      <c r="C2127" t="s">
        <v>1551</v>
      </c>
    </row>
    <row r="2128" spans="1:3" x14ac:dyDescent="0.25">
      <c r="A2128" t="s">
        <v>1532</v>
      </c>
      <c r="B2128" t="s">
        <v>882</v>
      </c>
      <c r="C2128" t="s">
        <v>1551</v>
      </c>
    </row>
    <row r="2129" spans="1:3" x14ac:dyDescent="0.25">
      <c r="A2129" t="s">
        <v>1532</v>
      </c>
      <c r="B2129" t="s">
        <v>884</v>
      </c>
      <c r="C2129" t="s">
        <v>1551</v>
      </c>
    </row>
    <row r="2130" spans="1:3" x14ac:dyDescent="0.25">
      <c r="A2130" t="s">
        <v>1532</v>
      </c>
      <c r="B2130" t="s">
        <v>885</v>
      </c>
      <c r="C2130" t="s">
        <v>1551</v>
      </c>
    </row>
    <row r="2131" spans="1:3" x14ac:dyDescent="0.25">
      <c r="A2131" t="s">
        <v>1532</v>
      </c>
      <c r="B2131" t="s">
        <v>886</v>
      </c>
      <c r="C2131" t="s">
        <v>1551</v>
      </c>
    </row>
    <row r="2132" spans="1:3" x14ac:dyDescent="0.25">
      <c r="A2132" t="s">
        <v>1532</v>
      </c>
      <c r="B2132" t="s">
        <v>888</v>
      </c>
      <c r="C2132" t="s">
        <v>1551</v>
      </c>
    </row>
    <row r="2133" spans="1:3" x14ac:dyDescent="0.25">
      <c r="A2133" t="s">
        <v>1532</v>
      </c>
      <c r="B2133" t="s">
        <v>890</v>
      </c>
      <c r="C2133" t="s">
        <v>1551</v>
      </c>
    </row>
    <row r="2134" spans="1:3" x14ac:dyDescent="0.25">
      <c r="A2134" t="s">
        <v>1532</v>
      </c>
      <c r="B2134" t="s">
        <v>891</v>
      </c>
      <c r="C2134" t="s">
        <v>1551</v>
      </c>
    </row>
    <row r="2135" spans="1:3" x14ac:dyDescent="0.25">
      <c r="A2135" t="s">
        <v>1532</v>
      </c>
      <c r="B2135" t="s">
        <v>892</v>
      </c>
      <c r="C2135" t="s">
        <v>1551</v>
      </c>
    </row>
    <row r="2136" spans="1:3" x14ac:dyDescent="0.25">
      <c r="A2136" t="s">
        <v>1532</v>
      </c>
      <c r="B2136" t="s">
        <v>894</v>
      </c>
      <c r="C2136" t="s">
        <v>1551</v>
      </c>
    </row>
    <row r="2137" spans="1:3" x14ac:dyDescent="0.25">
      <c r="A2137" t="s">
        <v>1532</v>
      </c>
      <c r="B2137" t="s">
        <v>896</v>
      </c>
      <c r="C2137" t="s">
        <v>1551</v>
      </c>
    </row>
    <row r="2138" spans="1:3" x14ac:dyDescent="0.25">
      <c r="A2138" t="s">
        <v>1532</v>
      </c>
      <c r="B2138" t="s">
        <v>897</v>
      </c>
      <c r="C2138" t="s">
        <v>1551</v>
      </c>
    </row>
    <row r="2139" spans="1:3" x14ac:dyDescent="0.25">
      <c r="A2139" t="s">
        <v>1532</v>
      </c>
      <c r="B2139" t="s">
        <v>898</v>
      </c>
      <c r="C2139" t="s">
        <v>1551</v>
      </c>
    </row>
    <row r="2140" spans="1:3" x14ac:dyDescent="0.25">
      <c r="A2140" t="s">
        <v>1532</v>
      </c>
      <c r="B2140" t="s">
        <v>899</v>
      </c>
      <c r="C2140" t="s">
        <v>1551</v>
      </c>
    </row>
    <row r="2141" spans="1:3" x14ac:dyDescent="0.25">
      <c r="A2141" t="s">
        <v>1532</v>
      </c>
      <c r="B2141" t="s">
        <v>900</v>
      </c>
      <c r="C2141" t="s">
        <v>1551</v>
      </c>
    </row>
    <row r="2142" spans="1:3" x14ac:dyDescent="0.25">
      <c r="A2142" t="s">
        <v>1532</v>
      </c>
      <c r="B2142" t="s">
        <v>901</v>
      </c>
      <c r="C2142" t="s">
        <v>1551</v>
      </c>
    </row>
    <row r="2143" spans="1:3" x14ac:dyDescent="0.25">
      <c r="A2143" t="s">
        <v>1532</v>
      </c>
      <c r="B2143" t="s">
        <v>902</v>
      </c>
      <c r="C2143" t="s">
        <v>1551</v>
      </c>
    </row>
    <row r="2144" spans="1:3" x14ac:dyDescent="0.25">
      <c r="A2144" t="s">
        <v>1532</v>
      </c>
      <c r="B2144" t="s">
        <v>903</v>
      </c>
      <c r="C2144" t="s">
        <v>1551</v>
      </c>
    </row>
    <row r="2145" spans="1:3" x14ac:dyDescent="0.25">
      <c r="A2145" t="s">
        <v>1532</v>
      </c>
      <c r="B2145" t="s">
        <v>904</v>
      </c>
      <c r="C2145" t="s">
        <v>1551</v>
      </c>
    </row>
    <row r="2146" spans="1:3" x14ac:dyDescent="0.25">
      <c r="A2146" t="s">
        <v>1532</v>
      </c>
      <c r="B2146" t="s">
        <v>905</v>
      </c>
      <c r="C2146" t="s">
        <v>1551</v>
      </c>
    </row>
    <row r="2147" spans="1:3" x14ac:dyDescent="0.25">
      <c r="A2147" t="s">
        <v>1532</v>
      </c>
      <c r="B2147" t="s">
        <v>906</v>
      </c>
      <c r="C2147" t="s">
        <v>1551</v>
      </c>
    </row>
    <row r="2148" spans="1:3" x14ac:dyDescent="0.25">
      <c r="A2148" t="s">
        <v>1532</v>
      </c>
      <c r="B2148" t="s">
        <v>907</v>
      </c>
      <c r="C2148" t="s">
        <v>1551</v>
      </c>
    </row>
    <row r="2149" spans="1:3" x14ac:dyDescent="0.25">
      <c r="A2149" t="s">
        <v>1532</v>
      </c>
      <c r="B2149" t="s">
        <v>908</v>
      </c>
      <c r="C2149" t="s">
        <v>1551</v>
      </c>
    </row>
    <row r="2150" spans="1:3" x14ac:dyDescent="0.25">
      <c r="A2150" t="s">
        <v>1532</v>
      </c>
      <c r="B2150" t="s">
        <v>909</v>
      </c>
      <c r="C2150" t="s">
        <v>1551</v>
      </c>
    </row>
    <row r="2151" spans="1:3" x14ac:dyDescent="0.25">
      <c r="A2151" t="s">
        <v>1532</v>
      </c>
      <c r="B2151" t="s">
        <v>910</v>
      </c>
      <c r="C2151" t="s">
        <v>1551</v>
      </c>
    </row>
    <row r="2152" spans="1:3" x14ac:dyDescent="0.25">
      <c r="A2152" t="s">
        <v>1532</v>
      </c>
      <c r="B2152" t="s">
        <v>911</v>
      </c>
      <c r="C2152" t="s">
        <v>1551</v>
      </c>
    </row>
    <row r="2153" spans="1:3" x14ac:dyDescent="0.25">
      <c r="A2153" t="s">
        <v>1532</v>
      </c>
      <c r="B2153" t="s">
        <v>912</v>
      </c>
      <c r="C2153" t="s">
        <v>1551</v>
      </c>
    </row>
    <row r="2154" spans="1:3" x14ac:dyDescent="0.25">
      <c r="A2154" t="s">
        <v>1532</v>
      </c>
      <c r="B2154" t="s">
        <v>913</v>
      </c>
      <c r="C2154" t="s">
        <v>1551</v>
      </c>
    </row>
    <row r="2155" spans="1:3" x14ac:dyDescent="0.25">
      <c r="A2155" t="s">
        <v>1532</v>
      </c>
      <c r="B2155" t="s">
        <v>914</v>
      </c>
      <c r="C2155" t="s">
        <v>1551</v>
      </c>
    </row>
    <row r="2156" spans="1:3" x14ac:dyDescent="0.25">
      <c r="A2156" t="s">
        <v>1532</v>
      </c>
      <c r="B2156" t="s">
        <v>915</v>
      </c>
      <c r="C2156" t="s">
        <v>1551</v>
      </c>
    </row>
    <row r="2157" spans="1:3" x14ac:dyDescent="0.25">
      <c r="A2157" t="s">
        <v>1532</v>
      </c>
      <c r="B2157" t="s">
        <v>916</v>
      </c>
      <c r="C2157" t="s">
        <v>1551</v>
      </c>
    </row>
    <row r="2158" spans="1:3" x14ac:dyDescent="0.25">
      <c r="A2158" t="s">
        <v>1532</v>
      </c>
      <c r="B2158" t="s">
        <v>917</v>
      </c>
      <c r="C2158" t="s">
        <v>1551</v>
      </c>
    </row>
    <row r="2159" spans="1:3" x14ac:dyDescent="0.25">
      <c r="A2159" t="s">
        <v>1532</v>
      </c>
      <c r="B2159" t="s">
        <v>918</v>
      </c>
      <c r="C2159" t="s">
        <v>1551</v>
      </c>
    </row>
    <row r="2160" spans="1:3" x14ac:dyDescent="0.25">
      <c r="A2160" t="s">
        <v>1532</v>
      </c>
      <c r="B2160" t="s">
        <v>919</v>
      </c>
      <c r="C2160" t="s">
        <v>1551</v>
      </c>
    </row>
    <row r="2161" spans="1:3" x14ac:dyDescent="0.25">
      <c r="A2161" t="s">
        <v>1532</v>
      </c>
      <c r="B2161" t="s">
        <v>920</v>
      </c>
      <c r="C2161" t="s">
        <v>1551</v>
      </c>
    </row>
    <row r="2162" spans="1:3" x14ac:dyDescent="0.25">
      <c r="A2162" t="s">
        <v>1532</v>
      </c>
      <c r="B2162" t="s">
        <v>921</v>
      </c>
      <c r="C2162" t="s">
        <v>1551</v>
      </c>
    </row>
    <row r="2163" spans="1:3" x14ac:dyDescent="0.25">
      <c r="A2163" t="s">
        <v>1532</v>
      </c>
      <c r="B2163" t="s">
        <v>922</v>
      </c>
      <c r="C2163" t="s">
        <v>1551</v>
      </c>
    </row>
    <row r="2164" spans="1:3" x14ac:dyDescent="0.25">
      <c r="A2164" t="s">
        <v>1532</v>
      </c>
      <c r="B2164" t="s">
        <v>923</v>
      </c>
      <c r="C2164" t="s">
        <v>1551</v>
      </c>
    </row>
    <row r="2165" spans="1:3" x14ac:dyDescent="0.25">
      <c r="A2165" t="s">
        <v>1532</v>
      </c>
      <c r="B2165" t="s">
        <v>924</v>
      </c>
      <c r="C2165" t="s">
        <v>1551</v>
      </c>
    </row>
    <row r="2166" spans="1:3" x14ac:dyDescent="0.25">
      <c r="A2166" t="s">
        <v>1532</v>
      </c>
      <c r="B2166" t="s">
        <v>925</v>
      </c>
      <c r="C2166" t="s">
        <v>1551</v>
      </c>
    </row>
    <row r="2167" spans="1:3" x14ac:dyDescent="0.25">
      <c r="A2167" t="s">
        <v>1532</v>
      </c>
      <c r="B2167" t="s">
        <v>926</v>
      </c>
      <c r="C2167" t="s">
        <v>1551</v>
      </c>
    </row>
    <row r="2168" spans="1:3" x14ac:dyDescent="0.25">
      <c r="A2168" t="s">
        <v>1532</v>
      </c>
      <c r="B2168" t="s">
        <v>927</v>
      </c>
      <c r="C2168" t="s">
        <v>1551</v>
      </c>
    </row>
    <row r="2169" spans="1:3" x14ac:dyDescent="0.25">
      <c r="A2169" t="s">
        <v>1532</v>
      </c>
      <c r="B2169" t="s">
        <v>928</v>
      </c>
      <c r="C2169" t="s">
        <v>1551</v>
      </c>
    </row>
    <row r="2170" spans="1:3" x14ac:dyDescent="0.25">
      <c r="A2170" t="s">
        <v>1532</v>
      </c>
      <c r="B2170" t="s">
        <v>929</v>
      </c>
      <c r="C2170" t="s">
        <v>1551</v>
      </c>
    </row>
    <row r="2171" spans="1:3" x14ac:dyDescent="0.25">
      <c r="A2171" t="s">
        <v>1532</v>
      </c>
      <c r="B2171" t="s">
        <v>930</v>
      </c>
      <c r="C2171" t="s">
        <v>1551</v>
      </c>
    </row>
    <row r="2172" spans="1:3" x14ac:dyDescent="0.25">
      <c r="A2172" t="s">
        <v>1532</v>
      </c>
      <c r="B2172" t="s">
        <v>931</v>
      </c>
      <c r="C2172" t="s">
        <v>1551</v>
      </c>
    </row>
    <row r="2173" spans="1:3" x14ac:dyDescent="0.25">
      <c r="A2173" t="s">
        <v>1532</v>
      </c>
      <c r="B2173" t="s">
        <v>932</v>
      </c>
      <c r="C2173" t="s">
        <v>1551</v>
      </c>
    </row>
    <row r="2174" spans="1:3" x14ac:dyDescent="0.25">
      <c r="A2174" t="s">
        <v>1532</v>
      </c>
      <c r="B2174" t="s">
        <v>933</v>
      </c>
      <c r="C2174" t="s">
        <v>1551</v>
      </c>
    </row>
    <row r="2175" spans="1:3" x14ac:dyDescent="0.25">
      <c r="A2175" t="s">
        <v>1532</v>
      </c>
      <c r="B2175" t="s">
        <v>934</v>
      </c>
      <c r="C2175" t="s">
        <v>1551</v>
      </c>
    </row>
    <row r="2176" spans="1:3" x14ac:dyDescent="0.25">
      <c r="A2176" t="s">
        <v>1532</v>
      </c>
      <c r="B2176" t="s">
        <v>935</v>
      </c>
      <c r="C2176" t="s">
        <v>1551</v>
      </c>
    </row>
    <row r="2177" spans="1:3" x14ac:dyDescent="0.25">
      <c r="A2177" t="s">
        <v>1532</v>
      </c>
      <c r="B2177" t="s">
        <v>936</v>
      </c>
      <c r="C2177" t="s">
        <v>1551</v>
      </c>
    </row>
    <row r="2178" spans="1:3" x14ac:dyDescent="0.25">
      <c r="A2178" t="s">
        <v>1532</v>
      </c>
      <c r="B2178" t="s">
        <v>937</v>
      </c>
      <c r="C2178" t="s">
        <v>1551</v>
      </c>
    </row>
    <row r="2179" spans="1:3" x14ac:dyDescent="0.25">
      <c r="A2179" t="s">
        <v>1532</v>
      </c>
      <c r="B2179" t="s">
        <v>938</v>
      </c>
      <c r="C2179" t="s">
        <v>1551</v>
      </c>
    </row>
    <row r="2180" spans="1:3" x14ac:dyDescent="0.25">
      <c r="A2180" t="s">
        <v>1532</v>
      </c>
      <c r="B2180" t="s">
        <v>939</v>
      </c>
      <c r="C2180" t="s">
        <v>1551</v>
      </c>
    </row>
    <row r="2181" spans="1:3" x14ac:dyDescent="0.25">
      <c r="A2181" t="s">
        <v>1532</v>
      </c>
      <c r="B2181" t="s">
        <v>940</v>
      </c>
      <c r="C2181" t="s">
        <v>1551</v>
      </c>
    </row>
    <row r="2182" spans="1:3" x14ac:dyDescent="0.25">
      <c r="A2182" t="s">
        <v>1532</v>
      </c>
      <c r="B2182" t="s">
        <v>1070</v>
      </c>
      <c r="C2182" t="s">
        <v>1551</v>
      </c>
    </row>
    <row r="2183" spans="1:3" x14ac:dyDescent="0.25">
      <c r="A2183" t="s">
        <v>1532</v>
      </c>
      <c r="B2183" t="s">
        <v>1071</v>
      </c>
      <c r="C2183" t="s">
        <v>1551</v>
      </c>
    </row>
    <row r="2184" spans="1:3" x14ac:dyDescent="0.25">
      <c r="A2184" t="s">
        <v>1532</v>
      </c>
      <c r="B2184" t="s">
        <v>1072</v>
      </c>
      <c r="C2184" t="s">
        <v>1551</v>
      </c>
    </row>
    <row r="2185" spans="1:3" x14ac:dyDescent="0.25">
      <c r="A2185" t="s">
        <v>1532</v>
      </c>
      <c r="B2185" t="s">
        <v>1073</v>
      </c>
      <c r="C2185" t="s">
        <v>1551</v>
      </c>
    </row>
    <row r="2186" spans="1:3" x14ac:dyDescent="0.25">
      <c r="A2186" t="s">
        <v>1532</v>
      </c>
      <c r="B2186" t="s">
        <v>1074</v>
      </c>
      <c r="C2186" t="s">
        <v>1551</v>
      </c>
    </row>
    <row r="2187" spans="1:3" x14ac:dyDescent="0.25">
      <c r="A2187" t="s">
        <v>1532</v>
      </c>
      <c r="B2187" t="s">
        <v>1075</v>
      </c>
      <c r="C2187" t="s">
        <v>1551</v>
      </c>
    </row>
    <row r="2188" spans="1:3" x14ac:dyDescent="0.25">
      <c r="A2188" t="s">
        <v>1532</v>
      </c>
      <c r="B2188" t="s">
        <v>1076</v>
      </c>
      <c r="C2188" t="s">
        <v>1551</v>
      </c>
    </row>
    <row r="2189" spans="1:3" x14ac:dyDescent="0.25">
      <c r="A2189" t="s">
        <v>1532</v>
      </c>
      <c r="B2189" t="s">
        <v>1077</v>
      </c>
      <c r="C2189" t="s">
        <v>1551</v>
      </c>
    </row>
    <row r="2190" spans="1:3" x14ac:dyDescent="0.25">
      <c r="A2190" t="s">
        <v>1532</v>
      </c>
      <c r="B2190" t="s">
        <v>1078</v>
      </c>
      <c r="C2190" t="s">
        <v>1551</v>
      </c>
    </row>
    <row r="2191" spans="1:3" x14ac:dyDescent="0.25">
      <c r="A2191" t="s">
        <v>1532</v>
      </c>
      <c r="B2191" t="s">
        <v>1079</v>
      </c>
      <c r="C2191" t="s">
        <v>1551</v>
      </c>
    </row>
    <row r="2192" spans="1:3" x14ac:dyDescent="0.25">
      <c r="A2192" t="s">
        <v>1532</v>
      </c>
      <c r="B2192" t="s">
        <v>1080</v>
      </c>
      <c r="C2192" t="s">
        <v>1551</v>
      </c>
    </row>
    <row r="2193" spans="1:3" x14ac:dyDescent="0.25">
      <c r="A2193" t="s">
        <v>1532</v>
      </c>
      <c r="B2193" t="s">
        <v>1081</v>
      </c>
      <c r="C2193" t="s">
        <v>1551</v>
      </c>
    </row>
    <row r="2194" spans="1:3" x14ac:dyDescent="0.25">
      <c r="A2194" t="s">
        <v>1532</v>
      </c>
      <c r="B2194" t="s">
        <v>1082</v>
      </c>
      <c r="C2194" t="s">
        <v>1551</v>
      </c>
    </row>
    <row r="2195" spans="1:3" x14ac:dyDescent="0.25">
      <c r="A2195" t="s">
        <v>1532</v>
      </c>
      <c r="B2195" t="s">
        <v>1083</v>
      </c>
      <c r="C2195" t="s">
        <v>1551</v>
      </c>
    </row>
    <row r="2196" spans="1:3" x14ac:dyDescent="0.25">
      <c r="A2196" t="s">
        <v>1532</v>
      </c>
      <c r="B2196" t="s">
        <v>1084</v>
      </c>
      <c r="C2196" t="s">
        <v>1551</v>
      </c>
    </row>
    <row r="2197" spans="1:3" x14ac:dyDescent="0.25">
      <c r="A2197" t="s">
        <v>1532</v>
      </c>
      <c r="B2197" t="s">
        <v>1085</v>
      </c>
      <c r="C2197" t="s">
        <v>1551</v>
      </c>
    </row>
    <row r="2198" spans="1:3" x14ac:dyDescent="0.25">
      <c r="A2198" t="s">
        <v>1532</v>
      </c>
      <c r="B2198" t="s">
        <v>1086</v>
      </c>
      <c r="C2198" t="s">
        <v>1551</v>
      </c>
    </row>
    <row r="2199" spans="1:3" x14ac:dyDescent="0.25">
      <c r="A2199" t="s">
        <v>1532</v>
      </c>
      <c r="B2199" t="s">
        <v>1087</v>
      </c>
      <c r="C2199" t="s">
        <v>1551</v>
      </c>
    </row>
    <row r="2200" spans="1:3" x14ac:dyDescent="0.25">
      <c r="A2200" t="s">
        <v>1532</v>
      </c>
      <c r="B2200" t="s">
        <v>1088</v>
      </c>
      <c r="C2200" t="s">
        <v>1551</v>
      </c>
    </row>
    <row r="2201" spans="1:3" x14ac:dyDescent="0.25">
      <c r="A2201" t="s">
        <v>1532</v>
      </c>
      <c r="B2201" t="s">
        <v>1089</v>
      </c>
      <c r="C2201" t="s">
        <v>1551</v>
      </c>
    </row>
    <row r="2202" spans="1:3" x14ac:dyDescent="0.25">
      <c r="A2202" t="s">
        <v>1532</v>
      </c>
      <c r="B2202" t="s">
        <v>1090</v>
      </c>
      <c r="C2202" t="s">
        <v>1551</v>
      </c>
    </row>
    <row r="2203" spans="1:3" x14ac:dyDescent="0.25">
      <c r="A2203" t="s">
        <v>1532</v>
      </c>
      <c r="B2203" t="s">
        <v>1149</v>
      </c>
      <c r="C2203" t="s">
        <v>1551</v>
      </c>
    </row>
    <row r="2204" spans="1:3" x14ac:dyDescent="0.25">
      <c r="A2204" t="s">
        <v>1532</v>
      </c>
      <c r="B2204" t="s">
        <v>1150</v>
      </c>
      <c r="C2204" t="s">
        <v>1551</v>
      </c>
    </row>
    <row r="2205" spans="1:3" x14ac:dyDescent="0.25">
      <c r="A2205" t="s">
        <v>1532</v>
      </c>
      <c r="B2205" t="s">
        <v>1151</v>
      </c>
      <c r="C2205" t="s">
        <v>1551</v>
      </c>
    </row>
    <row r="2206" spans="1:3" x14ac:dyDescent="0.25">
      <c r="A2206" t="s">
        <v>1532</v>
      </c>
      <c r="B2206" t="s">
        <v>1152</v>
      </c>
      <c r="C2206" t="s">
        <v>1551</v>
      </c>
    </row>
    <row r="2207" spans="1:3" x14ac:dyDescent="0.25">
      <c r="A2207" t="s">
        <v>1532</v>
      </c>
      <c r="B2207" t="s">
        <v>1153</v>
      </c>
      <c r="C2207" t="s">
        <v>1551</v>
      </c>
    </row>
    <row r="2208" spans="1:3" x14ac:dyDescent="0.25">
      <c r="A2208" t="s">
        <v>1532</v>
      </c>
      <c r="B2208" t="s">
        <v>1154</v>
      </c>
      <c r="C2208" t="s">
        <v>1551</v>
      </c>
    </row>
    <row r="2209" spans="1:3" x14ac:dyDescent="0.25">
      <c r="A2209" t="s">
        <v>1532</v>
      </c>
      <c r="B2209" t="s">
        <v>1155</v>
      </c>
      <c r="C2209" t="s">
        <v>1551</v>
      </c>
    </row>
    <row r="2210" spans="1:3" x14ac:dyDescent="0.25">
      <c r="A2210" t="s">
        <v>1532</v>
      </c>
      <c r="B2210" t="s">
        <v>1158</v>
      </c>
      <c r="C2210" t="s">
        <v>1551</v>
      </c>
    </row>
    <row r="2211" spans="1:3" x14ac:dyDescent="0.25">
      <c r="A2211" t="s">
        <v>1532</v>
      </c>
      <c r="B2211" t="s">
        <v>1159</v>
      </c>
      <c r="C2211" t="s">
        <v>1551</v>
      </c>
    </row>
    <row r="2212" spans="1:3" x14ac:dyDescent="0.25">
      <c r="A2212" t="s">
        <v>1532</v>
      </c>
      <c r="B2212" t="s">
        <v>1160</v>
      </c>
      <c r="C2212" t="s">
        <v>1551</v>
      </c>
    </row>
    <row r="2213" spans="1:3" x14ac:dyDescent="0.25">
      <c r="A2213" t="s">
        <v>1532</v>
      </c>
      <c r="B2213" t="s">
        <v>1205</v>
      </c>
      <c r="C2213" t="s">
        <v>1551</v>
      </c>
    </row>
    <row r="2214" spans="1:3" x14ac:dyDescent="0.25">
      <c r="A2214" t="s">
        <v>1532</v>
      </c>
      <c r="B2214" t="s">
        <v>1206</v>
      </c>
      <c r="C2214" t="s">
        <v>1551</v>
      </c>
    </row>
    <row r="2215" spans="1:3" x14ac:dyDescent="0.25">
      <c r="A2215" t="s">
        <v>1532</v>
      </c>
      <c r="B2215" t="s">
        <v>1207</v>
      </c>
      <c r="C2215" t="s">
        <v>1551</v>
      </c>
    </row>
    <row r="2216" spans="1:3" x14ac:dyDescent="0.25">
      <c r="A2216" t="s">
        <v>1532</v>
      </c>
      <c r="B2216" t="s">
        <v>1208</v>
      </c>
      <c r="C2216" t="s">
        <v>1551</v>
      </c>
    </row>
    <row r="2217" spans="1:3" x14ac:dyDescent="0.25">
      <c r="A2217" t="s">
        <v>1532</v>
      </c>
      <c r="B2217" t="s">
        <v>1209</v>
      </c>
      <c r="C2217" t="s">
        <v>1551</v>
      </c>
    </row>
    <row r="2218" spans="1:3" x14ac:dyDescent="0.25">
      <c r="A2218" t="s">
        <v>1532</v>
      </c>
      <c r="B2218" t="s">
        <v>1210</v>
      </c>
      <c r="C2218" t="s">
        <v>1551</v>
      </c>
    </row>
    <row r="2219" spans="1:3" x14ac:dyDescent="0.25">
      <c r="A2219" t="s">
        <v>1532</v>
      </c>
      <c r="B2219" t="s">
        <v>1211</v>
      </c>
      <c r="C2219" t="s">
        <v>1551</v>
      </c>
    </row>
    <row r="2220" spans="1:3" x14ac:dyDescent="0.25">
      <c r="A2220" t="s">
        <v>1532</v>
      </c>
      <c r="B2220" t="s">
        <v>1212</v>
      </c>
      <c r="C2220" t="s">
        <v>1551</v>
      </c>
    </row>
    <row r="2221" spans="1:3" x14ac:dyDescent="0.25">
      <c r="A2221" t="s">
        <v>1532</v>
      </c>
      <c r="B2221" t="s">
        <v>1213</v>
      </c>
      <c r="C2221" t="s">
        <v>1551</v>
      </c>
    </row>
    <row r="2222" spans="1:3" x14ac:dyDescent="0.25">
      <c r="A2222" t="s">
        <v>1532</v>
      </c>
      <c r="B2222" t="s">
        <v>1214</v>
      </c>
      <c r="C2222" t="s">
        <v>1551</v>
      </c>
    </row>
    <row r="2223" spans="1:3" x14ac:dyDescent="0.25">
      <c r="A2223" t="s">
        <v>1532</v>
      </c>
      <c r="B2223" t="s">
        <v>1215</v>
      </c>
      <c r="C2223" t="s">
        <v>1551</v>
      </c>
    </row>
    <row r="2224" spans="1:3" x14ac:dyDescent="0.25">
      <c r="A2224" t="s">
        <v>1531</v>
      </c>
      <c r="B2224" t="s">
        <v>1275</v>
      </c>
      <c r="C2224" t="s">
        <v>1219</v>
      </c>
    </row>
    <row r="2225" spans="1:3" x14ac:dyDescent="0.25">
      <c r="A2225" t="s">
        <v>1531</v>
      </c>
      <c r="B2225" t="s">
        <v>1277</v>
      </c>
      <c r="C2225" t="s">
        <v>1219</v>
      </c>
    </row>
    <row r="2226" spans="1:3" x14ac:dyDescent="0.25">
      <c r="A2226" t="s">
        <v>1531</v>
      </c>
      <c r="B2226" t="s">
        <v>1279</v>
      </c>
      <c r="C2226" t="s">
        <v>1219</v>
      </c>
    </row>
    <row r="2227" spans="1:3" x14ac:dyDescent="0.25">
      <c r="A2227" t="s">
        <v>1531</v>
      </c>
      <c r="B2227" t="s">
        <v>1281</v>
      </c>
      <c r="C2227" t="s">
        <v>1219</v>
      </c>
    </row>
    <row r="2228" spans="1:3" x14ac:dyDescent="0.25">
      <c r="A2228" t="s">
        <v>1531</v>
      </c>
      <c r="B2228" t="s">
        <v>1283</v>
      </c>
      <c r="C2228" t="s">
        <v>1219</v>
      </c>
    </row>
    <row r="2229" spans="1:3" x14ac:dyDescent="0.25">
      <c r="A2229" t="s">
        <v>1531</v>
      </c>
      <c r="B2229" t="s">
        <v>1285</v>
      </c>
      <c r="C2229" t="s">
        <v>1219</v>
      </c>
    </row>
    <row r="2230" spans="1:3" x14ac:dyDescent="0.25">
      <c r="A2230" t="s">
        <v>1531</v>
      </c>
      <c r="B2230" t="s">
        <v>1287</v>
      </c>
      <c r="C2230" t="s">
        <v>1219</v>
      </c>
    </row>
    <row r="2231" spans="1:3" x14ac:dyDescent="0.25">
      <c r="A2231" t="s">
        <v>1531</v>
      </c>
      <c r="B2231" t="s">
        <v>1289</v>
      </c>
      <c r="C2231" t="s">
        <v>1219</v>
      </c>
    </row>
    <row r="2232" spans="1:3" x14ac:dyDescent="0.25">
      <c r="A2232" t="s">
        <v>1531</v>
      </c>
      <c r="B2232" t="s">
        <v>1291</v>
      </c>
      <c r="C2232" t="s">
        <v>1219</v>
      </c>
    </row>
    <row r="2233" spans="1:3" x14ac:dyDescent="0.25">
      <c r="A2233" t="s">
        <v>1531</v>
      </c>
      <c r="B2233" t="s">
        <v>1293</v>
      </c>
      <c r="C2233" t="s">
        <v>1219</v>
      </c>
    </row>
    <row r="2234" spans="1:3" x14ac:dyDescent="0.25">
      <c r="A2234" t="s">
        <v>1531</v>
      </c>
      <c r="B2234" t="s">
        <v>1295</v>
      </c>
      <c r="C2234" t="s">
        <v>1219</v>
      </c>
    </row>
    <row r="2235" spans="1:3" x14ac:dyDescent="0.25">
      <c r="A2235" t="s">
        <v>1531</v>
      </c>
      <c r="B2235" t="s">
        <v>1297</v>
      </c>
      <c r="C2235" t="s">
        <v>1219</v>
      </c>
    </row>
    <row r="2236" spans="1:3" x14ac:dyDescent="0.25">
      <c r="A2236" t="s">
        <v>1531</v>
      </c>
      <c r="B2236" t="s">
        <v>1299</v>
      </c>
      <c r="C2236" t="s">
        <v>1219</v>
      </c>
    </row>
    <row r="2237" spans="1:3" x14ac:dyDescent="0.25">
      <c r="A2237" t="s">
        <v>1531</v>
      </c>
      <c r="B2237" t="s">
        <v>1301</v>
      </c>
      <c r="C2237" t="s">
        <v>1219</v>
      </c>
    </row>
    <row r="2238" spans="1:3" x14ac:dyDescent="0.25">
      <c r="A2238" t="s">
        <v>1531</v>
      </c>
      <c r="B2238" t="s">
        <v>1302</v>
      </c>
      <c r="C2238" t="s">
        <v>1219</v>
      </c>
    </row>
    <row r="2239" spans="1:3" x14ac:dyDescent="0.25">
      <c r="A2239" t="s">
        <v>1531</v>
      </c>
      <c r="B2239" t="s">
        <v>1303</v>
      </c>
      <c r="C2239" t="s">
        <v>1219</v>
      </c>
    </row>
    <row r="2240" spans="1:3" x14ac:dyDescent="0.25">
      <c r="A2240" t="s">
        <v>1531</v>
      </c>
      <c r="B2240" t="s">
        <v>1304</v>
      </c>
      <c r="C2240" t="s">
        <v>1219</v>
      </c>
    </row>
    <row r="2241" spans="1:3" x14ac:dyDescent="0.25">
      <c r="A2241" t="s">
        <v>1531</v>
      </c>
      <c r="B2241" t="s">
        <v>1305</v>
      </c>
      <c r="C2241" t="s">
        <v>1219</v>
      </c>
    </row>
    <row r="2242" spans="1:3" x14ac:dyDescent="0.25">
      <c r="A2242" t="s">
        <v>1531</v>
      </c>
      <c r="B2242" t="s">
        <v>1306</v>
      </c>
      <c r="C2242" t="s">
        <v>1219</v>
      </c>
    </row>
    <row r="2243" spans="1:3" x14ac:dyDescent="0.25">
      <c r="A2243" t="s">
        <v>1531</v>
      </c>
      <c r="B2243" t="s">
        <v>1307</v>
      </c>
      <c r="C2243" t="s">
        <v>1219</v>
      </c>
    </row>
    <row r="2244" spans="1:3" x14ac:dyDescent="0.25">
      <c r="A2244" t="s">
        <v>1531</v>
      </c>
      <c r="B2244" t="s">
        <v>1308</v>
      </c>
      <c r="C2244" t="s">
        <v>1219</v>
      </c>
    </row>
    <row r="2245" spans="1:3" x14ac:dyDescent="0.25">
      <c r="A2245" t="s">
        <v>1531</v>
      </c>
      <c r="B2245" t="s">
        <v>1309</v>
      </c>
      <c r="C2245" t="s">
        <v>1219</v>
      </c>
    </row>
    <row r="2246" spans="1:3" x14ac:dyDescent="0.25">
      <c r="A2246" t="s">
        <v>1531</v>
      </c>
      <c r="B2246" t="s">
        <v>1310</v>
      </c>
      <c r="C2246" t="s">
        <v>1219</v>
      </c>
    </row>
    <row r="2247" spans="1:3" x14ac:dyDescent="0.25">
      <c r="A2247" t="s">
        <v>1531</v>
      </c>
      <c r="B2247" t="s">
        <v>1311</v>
      </c>
      <c r="C2247" t="s">
        <v>1219</v>
      </c>
    </row>
    <row r="2248" spans="1:3" x14ac:dyDescent="0.25">
      <c r="A2248" t="s">
        <v>1531</v>
      </c>
      <c r="B2248" t="s">
        <v>1312</v>
      </c>
      <c r="C2248" t="s">
        <v>1219</v>
      </c>
    </row>
    <row r="2249" spans="1:3" x14ac:dyDescent="0.25">
      <c r="A2249" t="s">
        <v>1531</v>
      </c>
      <c r="B2249" t="s">
        <v>1313</v>
      </c>
      <c r="C2249" t="s">
        <v>1219</v>
      </c>
    </row>
    <row r="2250" spans="1:3" x14ac:dyDescent="0.25">
      <c r="A2250" t="s">
        <v>1531</v>
      </c>
      <c r="B2250" t="s">
        <v>1314</v>
      </c>
      <c r="C2250" t="s">
        <v>1219</v>
      </c>
    </row>
    <row r="2251" spans="1:3" x14ac:dyDescent="0.25">
      <c r="A2251" t="s">
        <v>1531</v>
      </c>
      <c r="B2251" t="s">
        <v>1315</v>
      </c>
      <c r="C2251" t="s">
        <v>1219</v>
      </c>
    </row>
    <row r="2252" spans="1:3" x14ac:dyDescent="0.25">
      <c r="A2252" t="s">
        <v>1531</v>
      </c>
      <c r="B2252" t="s">
        <v>1316</v>
      </c>
      <c r="C2252" t="s">
        <v>1219</v>
      </c>
    </row>
    <row r="2253" spans="1:3" x14ac:dyDescent="0.25">
      <c r="A2253" t="s">
        <v>1531</v>
      </c>
      <c r="B2253" t="s">
        <v>1317</v>
      </c>
      <c r="C2253" t="s">
        <v>1219</v>
      </c>
    </row>
    <row r="2254" spans="1:3" x14ac:dyDescent="0.25">
      <c r="A2254" t="s">
        <v>1531</v>
      </c>
      <c r="B2254" t="s">
        <v>1318</v>
      </c>
      <c r="C2254" t="s">
        <v>1219</v>
      </c>
    </row>
    <row r="2255" spans="1:3" x14ac:dyDescent="0.25">
      <c r="A2255" t="s">
        <v>1531</v>
      </c>
      <c r="B2255" t="s">
        <v>1319</v>
      </c>
      <c r="C2255" t="s">
        <v>1219</v>
      </c>
    </row>
    <row r="2256" spans="1:3" x14ac:dyDescent="0.25">
      <c r="A2256" t="s">
        <v>1531</v>
      </c>
      <c r="B2256" t="s">
        <v>1320</v>
      </c>
      <c r="C2256" t="s">
        <v>1219</v>
      </c>
    </row>
    <row r="2257" spans="1:3" x14ac:dyDescent="0.25">
      <c r="A2257" t="s">
        <v>1531</v>
      </c>
      <c r="B2257" t="s">
        <v>1321</v>
      </c>
      <c r="C2257" t="s">
        <v>1219</v>
      </c>
    </row>
    <row r="2258" spans="1:3" x14ac:dyDescent="0.25">
      <c r="A2258" t="s">
        <v>1531</v>
      </c>
      <c r="B2258" t="s">
        <v>1322</v>
      </c>
      <c r="C2258" t="s">
        <v>1219</v>
      </c>
    </row>
    <row r="2259" spans="1:3" x14ac:dyDescent="0.25">
      <c r="A2259" t="s">
        <v>1531</v>
      </c>
      <c r="B2259" t="s">
        <v>1323</v>
      </c>
      <c r="C2259" t="s">
        <v>1219</v>
      </c>
    </row>
    <row r="2260" spans="1:3" x14ac:dyDescent="0.25">
      <c r="A2260" t="s">
        <v>1531</v>
      </c>
      <c r="B2260" t="s">
        <v>1324</v>
      </c>
      <c r="C2260" t="s">
        <v>1219</v>
      </c>
    </row>
    <row r="2261" spans="1:3" x14ac:dyDescent="0.25">
      <c r="A2261" t="s">
        <v>1531</v>
      </c>
      <c r="B2261" t="s">
        <v>1325</v>
      </c>
      <c r="C2261" t="s">
        <v>1219</v>
      </c>
    </row>
    <row r="2262" spans="1:3" x14ac:dyDescent="0.25">
      <c r="A2262" t="s">
        <v>1531</v>
      </c>
      <c r="B2262" t="s">
        <v>1326</v>
      </c>
      <c r="C2262" t="s">
        <v>1219</v>
      </c>
    </row>
    <row r="2263" spans="1:3" x14ac:dyDescent="0.25">
      <c r="A2263" t="s">
        <v>1531</v>
      </c>
      <c r="B2263" t="s">
        <v>1327</v>
      </c>
      <c r="C2263" t="s">
        <v>1219</v>
      </c>
    </row>
    <row r="2264" spans="1:3" x14ac:dyDescent="0.25">
      <c r="A2264" t="s">
        <v>1531</v>
      </c>
      <c r="B2264" t="s">
        <v>1328</v>
      </c>
      <c r="C2264" t="s">
        <v>1219</v>
      </c>
    </row>
    <row r="2265" spans="1:3" x14ac:dyDescent="0.25">
      <c r="A2265" t="s">
        <v>1531</v>
      </c>
      <c r="B2265" t="s">
        <v>1329</v>
      </c>
      <c r="C2265" t="s">
        <v>1219</v>
      </c>
    </row>
    <row r="2266" spans="1:3" x14ac:dyDescent="0.25">
      <c r="A2266" t="s">
        <v>1531</v>
      </c>
      <c r="B2266" t="s">
        <v>1330</v>
      </c>
      <c r="C2266" t="s">
        <v>1219</v>
      </c>
    </row>
    <row r="2267" spans="1:3" x14ac:dyDescent="0.25">
      <c r="A2267" t="s">
        <v>1531</v>
      </c>
      <c r="B2267" t="s">
        <v>1331</v>
      </c>
      <c r="C2267" t="s">
        <v>1219</v>
      </c>
    </row>
    <row r="2268" spans="1:3" x14ac:dyDescent="0.25">
      <c r="A2268" t="s">
        <v>1531</v>
      </c>
      <c r="B2268" t="s">
        <v>1332</v>
      </c>
      <c r="C2268" t="s">
        <v>1219</v>
      </c>
    </row>
    <row r="2269" spans="1:3" x14ac:dyDescent="0.25">
      <c r="A2269" t="s">
        <v>1531</v>
      </c>
      <c r="B2269" t="s">
        <v>1333</v>
      </c>
      <c r="C2269" t="s">
        <v>1219</v>
      </c>
    </row>
    <row r="2270" spans="1:3" x14ac:dyDescent="0.25">
      <c r="A2270" t="s">
        <v>1531</v>
      </c>
      <c r="B2270" t="s">
        <v>1334</v>
      </c>
      <c r="C2270" t="s">
        <v>1219</v>
      </c>
    </row>
    <row r="2271" spans="1:3" x14ac:dyDescent="0.25">
      <c r="A2271" t="s">
        <v>1531</v>
      </c>
      <c r="B2271" t="s">
        <v>1335</v>
      </c>
      <c r="C2271" t="s">
        <v>1219</v>
      </c>
    </row>
    <row r="2272" spans="1:3" x14ac:dyDescent="0.25">
      <c r="A2272" t="s">
        <v>1531</v>
      </c>
      <c r="B2272" t="s">
        <v>1336</v>
      </c>
      <c r="C2272" t="s">
        <v>1219</v>
      </c>
    </row>
    <row r="2273" spans="1:3" x14ac:dyDescent="0.25">
      <c r="A2273" t="s">
        <v>1531</v>
      </c>
      <c r="B2273" t="s">
        <v>1337</v>
      </c>
      <c r="C2273" t="s">
        <v>1219</v>
      </c>
    </row>
    <row r="2274" spans="1:3" x14ac:dyDescent="0.25">
      <c r="A2274" t="s">
        <v>1531</v>
      </c>
      <c r="B2274" t="s">
        <v>1338</v>
      </c>
      <c r="C2274" t="s">
        <v>1219</v>
      </c>
    </row>
    <row r="2275" spans="1:3" x14ac:dyDescent="0.25">
      <c r="A2275" t="s">
        <v>1531</v>
      </c>
      <c r="B2275" t="s">
        <v>1339</v>
      </c>
      <c r="C2275" t="s">
        <v>1219</v>
      </c>
    </row>
    <row r="2276" spans="1:3" x14ac:dyDescent="0.25">
      <c r="A2276" t="s">
        <v>1531</v>
      </c>
      <c r="B2276" t="s">
        <v>1340</v>
      </c>
      <c r="C2276" t="s">
        <v>1219</v>
      </c>
    </row>
    <row r="2277" spans="1:3" x14ac:dyDescent="0.25">
      <c r="A2277" t="s">
        <v>1531</v>
      </c>
      <c r="B2277" t="s">
        <v>1341</v>
      </c>
      <c r="C2277" t="s">
        <v>1219</v>
      </c>
    </row>
    <row r="2278" spans="1:3" x14ac:dyDescent="0.25">
      <c r="A2278" t="s">
        <v>1531</v>
      </c>
      <c r="B2278" t="s">
        <v>1342</v>
      </c>
      <c r="C2278" t="s">
        <v>1219</v>
      </c>
    </row>
    <row r="2279" spans="1:3" x14ac:dyDescent="0.25">
      <c r="A2279" t="s">
        <v>1531</v>
      </c>
      <c r="B2279" t="s">
        <v>1343</v>
      </c>
      <c r="C2279" t="s">
        <v>1219</v>
      </c>
    </row>
    <row r="2280" spans="1:3" x14ac:dyDescent="0.25">
      <c r="A2280" t="s">
        <v>1531</v>
      </c>
      <c r="B2280" t="s">
        <v>1344</v>
      </c>
      <c r="C2280" t="s">
        <v>1219</v>
      </c>
    </row>
    <row r="2281" spans="1:3" x14ac:dyDescent="0.25">
      <c r="A2281" t="s">
        <v>1531</v>
      </c>
      <c r="B2281" t="s">
        <v>1345</v>
      </c>
      <c r="C2281" t="s">
        <v>1219</v>
      </c>
    </row>
    <row r="2282" spans="1:3" x14ac:dyDescent="0.25">
      <c r="A2282" t="s">
        <v>1531</v>
      </c>
      <c r="B2282" t="s">
        <v>1346</v>
      </c>
      <c r="C2282" t="s">
        <v>1219</v>
      </c>
    </row>
    <row r="2283" spans="1:3" x14ac:dyDescent="0.25">
      <c r="A2283" t="s">
        <v>1531</v>
      </c>
      <c r="B2283" t="s">
        <v>1347</v>
      </c>
      <c r="C2283" t="s">
        <v>1219</v>
      </c>
    </row>
    <row r="2284" spans="1:3" x14ac:dyDescent="0.25">
      <c r="A2284" t="s">
        <v>1531</v>
      </c>
      <c r="B2284" t="s">
        <v>1348</v>
      </c>
      <c r="C2284" t="s">
        <v>1219</v>
      </c>
    </row>
    <row r="2285" spans="1:3" x14ac:dyDescent="0.25">
      <c r="A2285" t="s">
        <v>1531</v>
      </c>
      <c r="B2285" t="s">
        <v>1349</v>
      </c>
      <c r="C2285" t="s">
        <v>1219</v>
      </c>
    </row>
    <row r="2286" spans="1:3" x14ac:dyDescent="0.25">
      <c r="A2286" t="s">
        <v>1531</v>
      </c>
      <c r="B2286" t="s">
        <v>1350</v>
      </c>
      <c r="C2286" t="s">
        <v>1219</v>
      </c>
    </row>
    <row r="2287" spans="1:3" x14ac:dyDescent="0.25">
      <c r="A2287" t="s">
        <v>1531</v>
      </c>
      <c r="B2287" t="s">
        <v>1351</v>
      </c>
      <c r="C2287" t="s">
        <v>1219</v>
      </c>
    </row>
    <row r="2288" spans="1:3" x14ac:dyDescent="0.25">
      <c r="A2288" t="s">
        <v>1531</v>
      </c>
      <c r="B2288" t="s">
        <v>1352</v>
      </c>
      <c r="C2288" t="s">
        <v>1219</v>
      </c>
    </row>
    <row r="2289" spans="1:3" x14ac:dyDescent="0.25">
      <c r="A2289" t="s">
        <v>1531</v>
      </c>
      <c r="B2289" t="s">
        <v>1353</v>
      </c>
      <c r="C2289" t="s">
        <v>1219</v>
      </c>
    </row>
    <row r="2290" spans="1:3" x14ac:dyDescent="0.25">
      <c r="A2290" t="s">
        <v>1531</v>
      </c>
      <c r="B2290" t="s">
        <v>1354</v>
      </c>
      <c r="C2290" t="s">
        <v>1219</v>
      </c>
    </row>
    <row r="2291" spans="1:3" x14ac:dyDescent="0.25">
      <c r="A2291" t="s">
        <v>1531</v>
      </c>
      <c r="B2291" t="s">
        <v>1355</v>
      </c>
      <c r="C2291" t="s">
        <v>1219</v>
      </c>
    </row>
    <row r="2292" spans="1:3" x14ac:dyDescent="0.25">
      <c r="A2292" t="s">
        <v>1531</v>
      </c>
      <c r="B2292" t="s">
        <v>1356</v>
      </c>
      <c r="C2292" t="s">
        <v>1219</v>
      </c>
    </row>
    <row r="2293" spans="1:3" x14ac:dyDescent="0.25">
      <c r="A2293" t="s">
        <v>1531</v>
      </c>
      <c r="B2293" t="s">
        <v>1357</v>
      </c>
      <c r="C2293" t="s">
        <v>1219</v>
      </c>
    </row>
    <row r="2294" spans="1:3" x14ac:dyDescent="0.25">
      <c r="A2294" t="s">
        <v>1531</v>
      </c>
      <c r="B2294" t="s">
        <v>1358</v>
      </c>
      <c r="C2294" t="s">
        <v>1219</v>
      </c>
    </row>
    <row r="2295" spans="1:3" x14ac:dyDescent="0.25">
      <c r="A2295" t="s">
        <v>1531</v>
      </c>
      <c r="B2295" t="s">
        <v>1359</v>
      </c>
      <c r="C2295" t="s">
        <v>1219</v>
      </c>
    </row>
    <row r="2296" spans="1:3" x14ac:dyDescent="0.25">
      <c r="A2296" t="s">
        <v>1531</v>
      </c>
      <c r="B2296" t="s">
        <v>1360</v>
      </c>
      <c r="C2296" t="s">
        <v>1219</v>
      </c>
    </row>
    <row r="2297" spans="1:3" x14ac:dyDescent="0.25">
      <c r="A2297" t="s">
        <v>1531</v>
      </c>
      <c r="B2297" t="s">
        <v>1361</v>
      </c>
      <c r="C2297" t="s">
        <v>1219</v>
      </c>
    </row>
    <row r="2298" spans="1:3" x14ac:dyDescent="0.25">
      <c r="A2298" t="s">
        <v>1531</v>
      </c>
      <c r="B2298" t="s">
        <v>1362</v>
      </c>
      <c r="C2298" t="s">
        <v>1219</v>
      </c>
    </row>
    <row r="2299" spans="1:3" x14ac:dyDescent="0.25">
      <c r="A2299" t="s">
        <v>1531</v>
      </c>
      <c r="B2299" t="s">
        <v>1363</v>
      </c>
      <c r="C2299" t="s">
        <v>1219</v>
      </c>
    </row>
    <row r="2300" spans="1:3" x14ac:dyDescent="0.25">
      <c r="A2300" t="s">
        <v>1531</v>
      </c>
      <c r="B2300" t="s">
        <v>1364</v>
      </c>
      <c r="C2300" t="s">
        <v>1219</v>
      </c>
    </row>
    <row r="2301" spans="1:3" x14ac:dyDescent="0.25">
      <c r="A2301" t="s">
        <v>1531</v>
      </c>
      <c r="B2301" t="s">
        <v>1365</v>
      </c>
      <c r="C2301" t="s">
        <v>1219</v>
      </c>
    </row>
    <row r="2302" spans="1:3" x14ac:dyDescent="0.25">
      <c r="A2302" t="s">
        <v>1531</v>
      </c>
      <c r="B2302" t="s">
        <v>1366</v>
      </c>
      <c r="C2302" t="s">
        <v>1219</v>
      </c>
    </row>
    <row r="2303" spans="1:3" x14ac:dyDescent="0.25">
      <c r="A2303" t="s">
        <v>1531</v>
      </c>
      <c r="B2303" t="s">
        <v>1367</v>
      </c>
      <c r="C2303" t="s">
        <v>1219</v>
      </c>
    </row>
    <row r="2304" spans="1:3" x14ac:dyDescent="0.25">
      <c r="A2304" t="s">
        <v>1531</v>
      </c>
      <c r="B2304" t="s">
        <v>1368</v>
      </c>
      <c r="C2304" t="s">
        <v>1219</v>
      </c>
    </row>
    <row r="2305" spans="1:3" x14ac:dyDescent="0.25">
      <c r="A2305" t="s">
        <v>1531</v>
      </c>
      <c r="B2305" t="s">
        <v>1369</v>
      </c>
      <c r="C2305" t="s">
        <v>1219</v>
      </c>
    </row>
    <row r="2306" spans="1:3" x14ac:dyDescent="0.25">
      <c r="A2306" t="s">
        <v>1531</v>
      </c>
      <c r="B2306" t="s">
        <v>1370</v>
      </c>
      <c r="C2306" t="s">
        <v>1219</v>
      </c>
    </row>
    <row r="2307" spans="1:3" x14ac:dyDescent="0.25">
      <c r="A2307" t="s">
        <v>1531</v>
      </c>
      <c r="B2307" t="s">
        <v>1371</v>
      </c>
      <c r="C2307" t="s">
        <v>1219</v>
      </c>
    </row>
    <row r="2308" spans="1:3" x14ac:dyDescent="0.25">
      <c r="A2308" t="s">
        <v>1531</v>
      </c>
      <c r="B2308" t="s">
        <v>1372</v>
      </c>
      <c r="C2308" t="s">
        <v>1219</v>
      </c>
    </row>
    <row r="2309" spans="1:3" x14ac:dyDescent="0.25">
      <c r="A2309" t="s">
        <v>1531</v>
      </c>
      <c r="B2309" t="s">
        <v>1373</v>
      </c>
      <c r="C2309" t="s">
        <v>1219</v>
      </c>
    </row>
    <row r="2310" spans="1:3" x14ac:dyDescent="0.25">
      <c r="A2310" t="s">
        <v>1531</v>
      </c>
      <c r="B2310" t="s">
        <v>1374</v>
      </c>
      <c r="C2310" t="s">
        <v>1219</v>
      </c>
    </row>
    <row r="2311" spans="1:3" x14ac:dyDescent="0.25">
      <c r="A2311" t="s">
        <v>1531</v>
      </c>
      <c r="B2311" t="s">
        <v>1375</v>
      </c>
      <c r="C2311" t="s">
        <v>1219</v>
      </c>
    </row>
    <row r="2312" spans="1:3" x14ac:dyDescent="0.25">
      <c r="A2312" t="s">
        <v>1531</v>
      </c>
      <c r="B2312" t="s">
        <v>1376</v>
      </c>
      <c r="C2312" t="s">
        <v>1219</v>
      </c>
    </row>
    <row r="2313" spans="1:3" x14ac:dyDescent="0.25">
      <c r="A2313" t="s">
        <v>1531</v>
      </c>
      <c r="B2313" t="s">
        <v>1377</v>
      </c>
      <c r="C2313" t="s">
        <v>1219</v>
      </c>
    </row>
    <row r="2314" spans="1:3" x14ac:dyDescent="0.25">
      <c r="A2314" t="s">
        <v>1531</v>
      </c>
      <c r="B2314" t="s">
        <v>1378</v>
      </c>
      <c r="C2314" t="s">
        <v>1219</v>
      </c>
    </row>
    <row r="2315" spans="1:3" x14ac:dyDescent="0.25">
      <c r="A2315" t="s">
        <v>1531</v>
      </c>
      <c r="B2315" t="s">
        <v>1379</v>
      </c>
      <c r="C2315" t="s">
        <v>1219</v>
      </c>
    </row>
    <row r="2316" spans="1:3" x14ac:dyDescent="0.25">
      <c r="A2316" t="s">
        <v>1531</v>
      </c>
      <c r="B2316" t="s">
        <v>1380</v>
      </c>
      <c r="C2316" t="s">
        <v>1219</v>
      </c>
    </row>
    <row r="2317" spans="1:3" x14ac:dyDescent="0.25">
      <c r="A2317" t="s">
        <v>1531</v>
      </c>
      <c r="B2317" t="s">
        <v>1381</v>
      </c>
      <c r="C2317" t="s">
        <v>1219</v>
      </c>
    </row>
    <row r="2318" spans="1:3" x14ac:dyDescent="0.25">
      <c r="A2318" t="s">
        <v>1531</v>
      </c>
      <c r="B2318" t="s">
        <v>1382</v>
      </c>
      <c r="C2318" t="s">
        <v>1219</v>
      </c>
    </row>
    <row r="2319" spans="1:3" x14ac:dyDescent="0.25">
      <c r="A2319" t="s">
        <v>1531</v>
      </c>
      <c r="B2319" t="s">
        <v>1383</v>
      </c>
      <c r="C2319" t="s">
        <v>1219</v>
      </c>
    </row>
    <row r="2320" spans="1:3" x14ac:dyDescent="0.25">
      <c r="A2320" t="s">
        <v>1531</v>
      </c>
      <c r="B2320" t="s">
        <v>1384</v>
      </c>
      <c r="C2320" t="s">
        <v>1219</v>
      </c>
    </row>
    <row r="2321" spans="1:3" x14ac:dyDescent="0.25">
      <c r="A2321" t="s">
        <v>1531</v>
      </c>
      <c r="B2321" t="s">
        <v>1385</v>
      </c>
      <c r="C2321" t="s">
        <v>1219</v>
      </c>
    </row>
    <row r="2322" spans="1:3" x14ac:dyDescent="0.25">
      <c r="A2322" t="s">
        <v>1531</v>
      </c>
      <c r="B2322" t="s">
        <v>1386</v>
      </c>
      <c r="C2322" t="s">
        <v>1219</v>
      </c>
    </row>
    <row r="2323" spans="1:3" x14ac:dyDescent="0.25">
      <c r="A2323" t="s">
        <v>1531</v>
      </c>
      <c r="B2323" t="s">
        <v>1387</v>
      </c>
      <c r="C2323" t="s">
        <v>1219</v>
      </c>
    </row>
    <row r="2324" spans="1:3" x14ac:dyDescent="0.25">
      <c r="A2324" t="s">
        <v>1531</v>
      </c>
      <c r="B2324" t="s">
        <v>1388</v>
      </c>
      <c r="C2324" t="s">
        <v>1219</v>
      </c>
    </row>
    <row r="2325" spans="1:3" x14ac:dyDescent="0.25">
      <c r="A2325" t="s">
        <v>1531</v>
      </c>
      <c r="B2325" t="s">
        <v>1389</v>
      </c>
      <c r="C2325" t="s">
        <v>1219</v>
      </c>
    </row>
    <row r="2326" spans="1:3" x14ac:dyDescent="0.25">
      <c r="A2326" t="s">
        <v>1531</v>
      </c>
      <c r="B2326" t="s">
        <v>1390</v>
      </c>
      <c r="C2326" t="s">
        <v>1219</v>
      </c>
    </row>
    <row r="2327" spans="1:3" x14ac:dyDescent="0.25">
      <c r="A2327" t="s">
        <v>1531</v>
      </c>
      <c r="B2327" t="s">
        <v>1391</v>
      </c>
      <c r="C2327" t="s">
        <v>1219</v>
      </c>
    </row>
    <row r="2328" spans="1:3" x14ac:dyDescent="0.25">
      <c r="A2328" t="s">
        <v>1531</v>
      </c>
      <c r="B2328" t="s">
        <v>1392</v>
      </c>
      <c r="C2328" t="s">
        <v>1219</v>
      </c>
    </row>
    <row r="2329" spans="1:3" x14ac:dyDescent="0.25">
      <c r="A2329" t="s">
        <v>1531</v>
      </c>
      <c r="B2329" t="s">
        <v>1393</v>
      </c>
      <c r="C2329" t="s">
        <v>1219</v>
      </c>
    </row>
    <row r="2330" spans="1:3" x14ac:dyDescent="0.25">
      <c r="A2330" t="s">
        <v>1531</v>
      </c>
      <c r="B2330" t="s">
        <v>1394</v>
      </c>
      <c r="C2330" t="s">
        <v>1219</v>
      </c>
    </row>
    <row r="2331" spans="1:3" x14ac:dyDescent="0.25">
      <c r="A2331" t="s">
        <v>1531</v>
      </c>
      <c r="B2331" t="s">
        <v>1395</v>
      </c>
      <c r="C2331" t="s">
        <v>1219</v>
      </c>
    </row>
    <row r="2332" spans="1:3" x14ac:dyDescent="0.25">
      <c r="A2332" t="s">
        <v>1531</v>
      </c>
      <c r="B2332" t="s">
        <v>1396</v>
      </c>
      <c r="C2332" t="s">
        <v>1219</v>
      </c>
    </row>
    <row r="2333" spans="1:3" x14ac:dyDescent="0.25">
      <c r="A2333" t="s">
        <v>1531</v>
      </c>
      <c r="B2333" t="s">
        <v>1397</v>
      </c>
      <c r="C2333" t="s">
        <v>1219</v>
      </c>
    </row>
    <row r="2334" spans="1:3" x14ac:dyDescent="0.25">
      <c r="A2334" t="s">
        <v>1531</v>
      </c>
      <c r="B2334" t="s">
        <v>1398</v>
      </c>
      <c r="C2334" t="s">
        <v>1219</v>
      </c>
    </row>
    <row r="2335" spans="1:3" x14ac:dyDescent="0.25">
      <c r="A2335" t="s">
        <v>1531</v>
      </c>
      <c r="B2335" t="s">
        <v>1399</v>
      </c>
      <c r="C2335" t="s">
        <v>1219</v>
      </c>
    </row>
    <row r="2336" spans="1:3" x14ac:dyDescent="0.25">
      <c r="A2336" t="s">
        <v>1531</v>
      </c>
      <c r="B2336" t="s">
        <v>1400</v>
      </c>
      <c r="C2336" t="s">
        <v>1219</v>
      </c>
    </row>
    <row r="2337" spans="1:3" x14ac:dyDescent="0.25">
      <c r="A2337" t="s">
        <v>1531</v>
      </c>
      <c r="B2337" t="s">
        <v>1401</v>
      </c>
      <c r="C2337" t="s">
        <v>1219</v>
      </c>
    </row>
    <row r="2338" spans="1:3" x14ac:dyDescent="0.25">
      <c r="A2338" t="s">
        <v>1531</v>
      </c>
      <c r="B2338" t="s">
        <v>1402</v>
      </c>
      <c r="C2338" t="s">
        <v>1219</v>
      </c>
    </row>
    <row r="2339" spans="1:3" x14ac:dyDescent="0.25">
      <c r="A2339" t="s">
        <v>1531</v>
      </c>
      <c r="B2339" t="s">
        <v>1403</v>
      </c>
      <c r="C2339" t="s">
        <v>1219</v>
      </c>
    </row>
    <row r="2340" spans="1:3" x14ac:dyDescent="0.25">
      <c r="A2340" t="s">
        <v>1531</v>
      </c>
      <c r="B2340" t="s">
        <v>1404</v>
      </c>
      <c r="C2340" t="s">
        <v>1219</v>
      </c>
    </row>
    <row r="2341" spans="1:3" x14ac:dyDescent="0.25">
      <c r="A2341" t="s">
        <v>1531</v>
      </c>
      <c r="B2341" t="s">
        <v>1405</v>
      </c>
      <c r="C2341" t="s">
        <v>1219</v>
      </c>
    </row>
    <row r="2342" spans="1:3" x14ac:dyDescent="0.25">
      <c r="A2342" t="s">
        <v>1531</v>
      </c>
      <c r="B2342" t="s">
        <v>1406</v>
      </c>
      <c r="C2342" t="s">
        <v>1219</v>
      </c>
    </row>
    <row r="2343" spans="1:3" x14ac:dyDescent="0.25">
      <c r="A2343" t="s">
        <v>1531</v>
      </c>
      <c r="B2343" t="s">
        <v>1407</v>
      </c>
      <c r="C2343" t="s">
        <v>1219</v>
      </c>
    </row>
    <row r="2344" spans="1:3" x14ac:dyDescent="0.25">
      <c r="A2344" t="s">
        <v>1531</v>
      </c>
      <c r="B2344" t="s">
        <v>1408</v>
      </c>
      <c r="C2344" t="s">
        <v>1219</v>
      </c>
    </row>
    <row r="2345" spans="1:3" x14ac:dyDescent="0.25">
      <c r="A2345" t="s">
        <v>1531</v>
      </c>
      <c r="B2345" t="s">
        <v>1409</v>
      </c>
      <c r="C2345" t="s">
        <v>1219</v>
      </c>
    </row>
    <row r="2346" spans="1:3" x14ac:dyDescent="0.25">
      <c r="A2346" t="s">
        <v>1531</v>
      </c>
      <c r="B2346" t="s">
        <v>1410</v>
      </c>
      <c r="C2346" t="s">
        <v>1219</v>
      </c>
    </row>
    <row r="2347" spans="1:3" x14ac:dyDescent="0.25">
      <c r="A2347" t="s">
        <v>1531</v>
      </c>
      <c r="B2347" t="s">
        <v>1411</v>
      </c>
      <c r="C2347" t="s">
        <v>1219</v>
      </c>
    </row>
    <row r="2348" spans="1:3" x14ac:dyDescent="0.25">
      <c r="A2348" t="s">
        <v>1531</v>
      </c>
      <c r="B2348" t="s">
        <v>1412</v>
      </c>
      <c r="C2348" t="s">
        <v>1219</v>
      </c>
    </row>
    <row r="2349" spans="1:3" x14ac:dyDescent="0.25">
      <c r="A2349" t="s">
        <v>1531</v>
      </c>
      <c r="B2349" t="s">
        <v>1413</v>
      </c>
      <c r="C2349" t="s">
        <v>1219</v>
      </c>
    </row>
    <row r="2350" spans="1:3" x14ac:dyDescent="0.25">
      <c r="A2350" t="s">
        <v>1531</v>
      </c>
      <c r="B2350" t="s">
        <v>1414</v>
      </c>
      <c r="C2350" t="s">
        <v>1219</v>
      </c>
    </row>
    <row r="2351" spans="1:3" x14ac:dyDescent="0.25">
      <c r="A2351" t="s">
        <v>1531</v>
      </c>
      <c r="B2351" t="s">
        <v>1415</v>
      </c>
      <c r="C2351" t="s">
        <v>1219</v>
      </c>
    </row>
    <row r="2352" spans="1:3" x14ac:dyDescent="0.25">
      <c r="A2352" t="s">
        <v>1531</v>
      </c>
      <c r="B2352" t="s">
        <v>1416</v>
      </c>
      <c r="C2352" t="s">
        <v>1219</v>
      </c>
    </row>
    <row r="2353" spans="1:3" x14ac:dyDescent="0.25">
      <c r="A2353" t="s">
        <v>1531</v>
      </c>
      <c r="B2353" t="s">
        <v>1417</v>
      </c>
      <c r="C2353" t="s">
        <v>1219</v>
      </c>
    </row>
    <row r="2354" spans="1:3" x14ac:dyDescent="0.25">
      <c r="A2354" t="s">
        <v>1531</v>
      </c>
      <c r="B2354" t="s">
        <v>1418</v>
      </c>
      <c r="C2354" t="s">
        <v>1219</v>
      </c>
    </row>
    <row r="2355" spans="1:3" x14ac:dyDescent="0.25">
      <c r="A2355" t="s">
        <v>1531</v>
      </c>
      <c r="B2355" t="s">
        <v>1419</v>
      </c>
      <c r="C2355" t="s">
        <v>1219</v>
      </c>
    </row>
    <row r="2356" spans="1:3" x14ac:dyDescent="0.25">
      <c r="A2356" t="s">
        <v>1531</v>
      </c>
      <c r="B2356" t="s">
        <v>1420</v>
      </c>
      <c r="C2356" t="s">
        <v>1219</v>
      </c>
    </row>
    <row r="2357" spans="1:3" x14ac:dyDescent="0.25">
      <c r="A2357" t="s">
        <v>1531</v>
      </c>
      <c r="B2357" t="s">
        <v>1421</v>
      </c>
      <c r="C2357" t="s">
        <v>1219</v>
      </c>
    </row>
    <row r="2358" spans="1:3" x14ac:dyDescent="0.25">
      <c r="A2358" t="s">
        <v>1531</v>
      </c>
      <c r="B2358" t="s">
        <v>1422</v>
      </c>
      <c r="C2358" t="s">
        <v>1219</v>
      </c>
    </row>
    <row r="2359" spans="1:3" x14ac:dyDescent="0.25">
      <c r="A2359" t="s">
        <v>1531</v>
      </c>
      <c r="B2359" t="s">
        <v>1423</v>
      </c>
      <c r="C2359" t="s">
        <v>1219</v>
      </c>
    </row>
    <row r="2360" spans="1:3" x14ac:dyDescent="0.25">
      <c r="A2360" t="s">
        <v>1531</v>
      </c>
      <c r="B2360" t="s">
        <v>1451</v>
      </c>
      <c r="C2360" t="s">
        <v>1551</v>
      </c>
    </row>
    <row r="2361" spans="1:3" x14ac:dyDescent="0.25">
      <c r="A2361" t="s">
        <v>1531</v>
      </c>
      <c r="B2361" t="s">
        <v>1453</v>
      </c>
      <c r="C2361" t="s">
        <v>1551</v>
      </c>
    </row>
    <row r="2362" spans="1:3" x14ac:dyDescent="0.25">
      <c r="A2362" t="s">
        <v>1531</v>
      </c>
      <c r="B2362" t="s">
        <v>1455</v>
      </c>
      <c r="C2362" t="s">
        <v>1551</v>
      </c>
    </row>
    <row r="2363" spans="1:3" x14ac:dyDescent="0.25">
      <c r="A2363" t="s">
        <v>1531</v>
      </c>
      <c r="B2363" t="s">
        <v>1457</v>
      </c>
      <c r="C2363" t="s">
        <v>1551</v>
      </c>
    </row>
    <row r="2364" spans="1:3" x14ac:dyDescent="0.25">
      <c r="A2364" t="s">
        <v>1531</v>
      </c>
      <c r="B2364" t="s">
        <v>1459</v>
      </c>
      <c r="C2364" t="s">
        <v>1551</v>
      </c>
    </row>
    <row r="2365" spans="1:3" x14ac:dyDescent="0.25">
      <c r="A2365" t="s">
        <v>1531</v>
      </c>
      <c r="B2365" t="s">
        <v>1461</v>
      </c>
      <c r="C2365" t="s">
        <v>1551</v>
      </c>
    </row>
    <row r="2366" spans="1:3" x14ac:dyDescent="0.25">
      <c r="A2366" t="s">
        <v>1531</v>
      </c>
      <c r="B2366" t="s">
        <v>1463</v>
      </c>
      <c r="C2366" t="s">
        <v>1551</v>
      </c>
    </row>
    <row r="2367" spans="1:3" x14ac:dyDescent="0.25">
      <c r="A2367" t="s">
        <v>1531</v>
      </c>
      <c r="B2367" t="s">
        <v>1464</v>
      </c>
      <c r="C2367" t="s">
        <v>1551</v>
      </c>
    </row>
    <row r="2368" spans="1:3" x14ac:dyDescent="0.25">
      <c r="A2368" t="s">
        <v>1531</v>
      </c>
      <c r="B2368" t="s">
        <v>1465</v>
      </c>
      <c r="C2368" t="s">
        <v>1551</v>
      </c>
    </row>
    <row r="2369" spans="1:3" x14ac:dyDescent="0.25">
      <c r="A2369" t="s">
        <v>1531</v>
      </c>
      <c r="B2369" t="s">
        <v>1466</v>
      </c>
      <c r="C2369" t="s">
        <v>1551</v>
      </c>
    </row>
    <row r="2370" spans="1:3" x14ac:dyDescent="0.25">
      <c r="A2370" t="s">
        <v>1531</v>
      </c>
      <c r="B2370" t="s">
        <v>1467</v>
      </c>
      <c r="C2370" t="s">
        <v>1551</v>
      </c>
    </row>
    <row r="2371" spans="1:3" x14ac:dyDescent="0.25">
      <c r="A2371" t="s">
        <v>1531</v>
      </c>
      <c r="B2371" t="s">
        <v>1468</v>
      </c>
      <c r="C2371" t="s">
        <v>1551</v>
      </c>
    </row>
    <row r="2372" spans="1:3" x14ac:dyDescent="0.25">
      <c r="A2372" t="s">
        <v>1531</v>
      </c>
      <c r="B2372" t="s">
        <v>1469</v>
      </c>
      <c r="C2372" t="s">
        <v>1551</v>
      </c>
    </row>
    <row r="2373" spans="1:3" x14ac:dyDescent="0.25">
      <c r="A2373" t="s">
        <v>1531</v>
      </c>
      <c r="B2373" t="s">
        <v>1470</v>
      </c>
      <c r="C2373" t="s">
        <v>1551</v>
      </c>
    </row>
    <row r="2374" spans="1:3" x14ac:dyDescent="0.25">
      <c r="A2374" t="s">
        <v>1531</v>
      </c>
      <c r="B2374" t="s">
        <v>1471</v>
      </c>
      <c r="C2374" t="s">
        <v>1551</v>
      </c>
    </row>
    <row r="2375" spans="1:3" x14ac:dyDescent="0.25">
      <c r="A2375" t="s">
        <v>1531</v>
      </c>
      <c r="B2375" t="s">
        <v>1472</v>
      </c>
      <c r="C2375" t="s">
        <v>1551</v>
      </c>
    </row>
    <row r="2376" spans="1:3" x14ac:dyDescent="0.25">
      <c r="A2376" t="s">
        <v>1531</v>
      </c>
      <c r="B2376" t="s">
        <v>1473</v>
      </c>
      <c r="C2376" t="s">
        <v>1551</v>
      </c>
    </row>
    <row r="2377" spans="1:3" x14ac:dyDescent="0.25">
      <c r="A2377" t="s">
        <v>1531</v>
      </c>
      <c r="B2377" t="s">
        <v>1474</v>
      </c>
      <c r="C2377" t="s">
        <v>1551</v>
      </c>
    </row>
    <row r="2378" spans="1:3" x14ac:dyDescent="0.25">
      <c r="A2378" t="s">
        <v>1531</v>
      </c>
      <c r="B2378" t="s">
        <v>1475</v>
      </c>
      <c r="C2378" t="s">
        <v>1551</v>
      </c>
    </row>
    <row r="2379" spans="1:3" x14ac:dyDescent="0.25">
      <c r="A2379" t="s">
        <v>1531</v>
      </c>
      <c r="B2379" t="s">
        <v>1476</v>
      </c>
      <c r="C2379" t="s">
        <v>1551</v>
      </c>
    </row>
    <row r="2380" spans="1:3" x14ac:dyDescent="0.25">
      <c r="A2380" t="s">
        <v>1531</v>
      </c>
      <c r="B2380" t="s">
        <v>1477</v>
      </c>
      <c r="C2380" t="s">
        <v>1551</v>
      </c>
    </row>
    <row r="2381" spans="1:3" x14ac:dyDescent="0.25">
      <c r="A2381" t="s">
        <v>1531</v>
      </c>
      <c r="B2381" t="s">
        <v>1478</v>
      </c>
      <c r="C2381" t="s">
        <v>1551</v>
      </c>
    </row>
    <row r="2382" spans="1:3" x14ac:dyDescent="0.25">
      <c r="A2382" t="s">
        <v>1531</v>
      </c>
      <c r="B2382" t="s">
        <v>1479</v>
      </c>
      <c r="C2382" t="s">
        <v>1551</v>
      </c>
    </row>
    <row r="2383" spans="1:3" x14ac:dyDescent="0.25">
      <c r="A2383" t="s">
        <v>1531</v>
      </c>
      <c r="B2383" t="s">
        <v>1480</v>
      </c>
      <c r="C2383" t="s">
        <v>1551</v>
      </c>
    </row>
    <row r="2384" spans="1:3" x14ac:dyDescent="0.25">
      <c r="A2384" t="s">
        <v>1531</v>
      </c>
      <c r="B2384" t="s">
        <v>1481</v>
      </c>
      <c r="C2384" t="s">
        <v>1551</v>
      </c>
    </row>
    <row r="2385" spans="1:3" x14ac:dyDescent="0.25">
      <c r="A2385" t="s">
        <v>1531</v>
      </c>
      <c r="B2385" t="s">
        <v>1482</v>
      </c>
      <c r="C2385" t="s">
        <v>1551</v>
      </c>
    </row>
    <row r="2386" spans="1:3" x14ac:dyDescent="0.25">
      <c r="A2386" t="s">
        <v>1531</v>
      </c>
      <c r="B2386" t="s">
        <v>1483</v>
      </c>
      <c r="C2386" t="s">
        <v>1551</v>
      </c>
    </row>
    <row r="2387" spans="1:3" x14ac:dyDescent="0.25">
      <c r="A2387" t="s">
        <v>1531</v>
      </c>
      <c r="B2387" t="s">
        <v>1484</v>
      </c>
      <c r="C2387" t="s">
        <v>1551</v>
      </c>
    </row>
    <row r="2388" spans="1:3" x14ac:dyDescent="0.25">
      <c r="A2388" t="s">
        <v>1531</v>
      </c>
      <c r="B2388" t="s">
        <v>1485</v>
      </c>
      <c r="C2388" t="s">
        <v>1551</v>
      </c>
    </row>
    <row r="2389" spans="1:3" x14ac:dyDescent="0.25">
      <c r="A2389" t="s">
        <v>1531</v>
      </c>
      <c r="B2389" t="s">
        <v>1486</v>
      </c>
      <c r="C2389" t="s">
        <v>1551</v>
      </c>
    </row>
    <row r="2390" spans="1:3" x14ac:dyDescent="0.25">
      <c r="A2390" t="s">
        <v>1531</v>
      </c>
      <c r="B2390" t="s">
        <v>1487</v>
      </c>
      <c r="C2390" t="s">
        <v>1551</v>
      </c>
    </row>
    <row r="2391" spans="1:3" x14ac:dyDescent="0.25">
      <c r="A2391" t="s">
        <v>1531</v>
      </c>
      <c r="B2391" t="s">
        <v>1488</v>
      </c>
      <c r="C2391" t="s">
        <v>1551</v>
      </c>
    </row>
    <row r="2392" spans="1:3" x14ac:dyDescent="0.25">
      <c r="A2392" t="s">
        <v>1531</v>
      </c>
      <c r="B2392" t="s">
        <v>1489</v>
      </c>
      <c r="C2392" t="s">
        <v>1551</v>
      </c>
    </row>
    <row r="2393" spans="1:3" x14ac:dyDescent="0.25">
      <c r="A2393" t="s">
        <v>1531</v>
      </c>
      <c r="B2393" t="s">
        <v>1490</v>
      </c>
      <c r="C2393" t="s">
        <v>1551</v>
      </c>
    </row>
    <row r="2394" spans="1:3" x14ac:dyDescent="0.25">
      <c r="A2394" t="s">
        <v>1531</v>
      </c>
      <c r="B2394" t="s">
        <v>1491</v>
      </c>
      <c r="C2394" t="s">
        <v>1551</v>
      </c>
    </row>
    <row r="2395" spans="1:3" x14ac:dyDescent="0.25">
      <c r="A2395" t="s">
        <v>1531</v>
      </c>
      <c r="B2395" t="s">
        <v>1492</v>
      </c>
      <c r="C2395" t="s">
        <v>1551</v>
      </c>
    </row>
    <row r="2396" spans="1:3" x14ac:dyDescent="0.25">
      <c r="A2396" t="s">
        <v>1531</v>
      </c>
      <c r="B2396" t="s">
        <v>1493</v>
      </c>
      <c r="C2396" t="s">
        <v>1551</v>
      </c>
    </row>
    <row r="2397" spans="1:3" x14ac:dyDescent="0.25">
      <c r="A2397" t="s">
        <v>1531</v>
      </c>
      <c r="B2397" t="s">
        <v>1494</v>
      </c>
      <c r="C2397" t="s">
        <v>1551</v>
      </c>
    </row>
    <row r="2398" spans="1:3" x14ac:dyDescent="0.25">
      <c r="A2398" t="s">
        <v>1531</v>
      </c>
      <c r="B2398" t="s">
        <v>1495</v>
      </c>
      <c r="C2398" t="s">
        <v>1551</v>
      </c>
    </row>
    <row r="2399" spans="1:3" x14ac:dyDescent="0.25">
      <c r="A2399" t="s">
        <v>1531</v>
      </c>
      <c r="B2399" t="s">
        <v>1496</v>
      </c>
      <c r="C2399" t="s">
        <v>1551</v>
      </c>
    </row>
    <row r="2400" spans="1:3" x14ac:dyDescent="0.25">
      <c r="A2400" t="s">
        <v>1531</v>
      </c>
      <c r="B2400" t="s">
        <v>1497</v>
      </c>
      <c r="C2400" t="s">
        <v>1551</v>
      </c>
    </row>
    <row r="2401" spans="1:3" x14ac:dyDescent="0.25">
      <c r="A2401" t="s">
        <v>1531</v>
      </c>
      <c r="B2401" t="s">
        <v>1498</v>
      </c>
      <c r="C2401" t="s">
        <v>1551</v>
      </c>
    </row>
    <row r="2402" spans="1:3" x14ac:dyDescent="0.25">
      <c r="A2402" t="s">
        <v>1531</v>
      </c>
      <c r="B2402" t="s">
        <v>1499</v>
      </c>
      <c r="C2402" t="s">
        <v>1551</v>
      </c>
    </row>
    <row r="2403" spans="1:3" x14ac:dyDescent="0.25">
      <c r="A2403" t="s">
        <v>1531</v>
      </c>
      <c r="B2403" t="s">
        <v>1500</v>
      </c>
      <c r="C2403" t="s">
        <v>1551</v>
      </c>
    </row>
    <row r="2404" spans="1:3" x14ac:dyDescent="0.25">
      <c r="A2404" t="s">
        <v>1531</v>
      </c>
      <c r="B2404" t="s">
        <v>1501</v>
      </c>
      <c r="C2404" t="s">
        <v>1551</v>
      </c>
    </row>
    <row r="2405" spans="1:3" x14ac:dyDescent="0.25">
      <c r="A2405" t="s">
        <v>1531</v>
      </c>
      <c r="B2405" t="s">
        <v>1502</v>
      </c>
      <c r="C2405" t="s">
        <v>1551</v>
      </c>
    </row>
    <row r="2406" spans="1:3" x14ac:dyDescent="0.25">
      <c r="A2406" t="s">
        <v>1531</v>
      </c>
      <c r="B2406" t="s">
        <v>1503</v>
      </c>
      <c r="C2406" t="s">
        <v>1551</v>
      </c>
    </row>
    <row r="2407" spans="1:3" x14ac:dyDescent="0.25">
      <c r="A2407" t="s">
        <v>1531</v>
      </c>
      <c r="B2407" t="s">
        <v>1504</v>
      </c>
      <c r="C2407" t="s">
        <v>1551</v>
      </c>
    </row>
    <row r="2408" spans="1:3" x14ac:dyDescent="0.25">
      <c r="A2408" t="s">
        <v>1531</v>
      </c>
      <c r="B2408" t="s">
        <v>1505</v>
      </c>
      <c r="C2408" t="s">
        <v>1551</v>
      </c>
    </row>
    <row r="2409" spans="1:3" x14ac:dyDescent="0.25">
      <c r="A2409" t="s">
        <v>1531</v>
      </c>
      <c r="B2409" t="s">
        <v>1506</v>
      </c>
      <c r="C2409" t="s">
        <v>1551</v>
      </c>
    </row>
    <row r="2410" spans="1:3" x14ac:dyDescent="0.25">
      <c r="A2410" t="s">
        <v>1531</v>
      </c>
      <c r="B2410" t="s">
        <v>1507</v>
      </c>
      <c r="C2410" t="s">
        <v>1551</v>
      </c>
    </row>
    <row r="2411" spans="1:3" x14ac:dyDescent="0.25">
      <c r="A2411" t="s">
        <v>1531</v>
      </c>
      <c r="B2411" t="s">
        <v>1508</v>
      </c>
      <c r="C2411" t="s">
        <v>1551</v>
      </c>
    </row>
    <row r="2412" spans="1:3" x14ac:dyDescent="0.25">
      <c r="A2412" t="s">
        <v>1531</v>
      </c>
      <c r="B2412" t="s">
        <v>1509</v>
      </c>
      <c r="C2412" t="s">
        <v>1551</v>
      </c>
    </row>
    <row r="2413" spans="1:3" x14ac:dyDescent="0.25">
      <c r="A2413" t="s">
        <v>1531</v>
      </c>
      <c r="B2413" t="s">
        <v>1510</v>
      </c>
      <c r="C2413" t="s">
        <v>1551</v>
      </c>
    </row>
    <row r="2414" spans="1:3" x14ac:dyDescent="0.25">
      <c r="A2414" t="s">
        <v>1531</v>
      </c>
      <c r="B2414" t="s">
        <v>1511</v>
      </c>
      <c r="C2414" t="s">
        <v>1551</v>
      </c>
    </row>
    <row r="2415" spans="1:3" x14ac:dyDescent="0.25">
      <c r="A2415" t="s">
        <v>1531</v>
      </c>
      <c r="B2415" t="s">
        <v>1512</v>
      </c>
      <c r="C2415" t="s">
        <v>1551</v>
      </c>
    </row>
    <row r="2416" spans="1:3" x14ac:dyDescent="0.25">
      <c r="A2416" t="s">
        <v>1531</v>
      </c>
      <c r="B2416" t="s">
        <v>1513</v>
      </c>
      <c r="C2416" t="s">
        <v>1551</v>
      </c>
    </row>
    <row r="2417" spans="1:3" x14ac:dyDescent="0.25">
      <c r="A2417" t="s">
        <v>1531</v>
      </c>
      <c r="B2417" t="s">
        <v>1514</v>
      </c>
      <c r="C2417" t="s">
        <v>1551</v>
      </c>
    </row>
    <row r="2418" spans="1:3" x14ac:dyDescent="0.25">
      <c r="A2418" t="s">
        <v>1531</v>
      </c>
      <c r="B2418" t="s">
        <v>1515</v>
      </c>
      <c r="C2418" t="s">
        <v>1551</v>
      </c>
    </row>
    <row r="2419" spans="1:3" x14ac:dyDescent="0.25">
      <c r="A2419" t="s">
        <v>1531</v>
      </c>
      <c r="B2419" t="s">
        <v>1516</v>
      </c>
      <c r="C2419" t="s">
        <v>1551</v>
      </c>
    </row>
    <row r="2420" spans="1:3" x14ac:dyDescent="0.25">
      <c r="A2420" t="s">
        <v>1531</v>
      </c>
      <c r="B2420" t="s">
        <v>1517</v>
      </c>
      <c r="C2420" t="s">
        <v>1551</v>
      </c>
    </row>
    <row r="2421" spans="1:3" x14ac:dyDescent="0.25">
      <c r="A2421" t="s">
        <v>1531</v>
      </c>
      <c r="B2421" t="s">
        <v>1518</v>
      </c>
      <c r="C2421" t="s">
        <v>1551</v>
      </c>
    </row>
    <row r="2422" spans="1:3" x14ac:dyDescent="0.25">
      <c r="A2422" t="s">
        <v>1531</v>
      </c>
      <c r="B2422" t="s">
        <v>1519</v>
      </c>
      <c r="C2422" t="s">
        <v>1551</v>
      </c>
    </row>
    <row r="2423" spans="1:3" x14ac:dyDescent="0.25">
      <c r="A2423" t="s">
        <v>1531</v>
      </c>
      <c r="B2423" t="s">
        <v>1520</v>
      </c>
      <c r="C2423" t="s">
        <v>1551</v>
      </c>
    </row>
    <row r="2424" spans="1:3" x14ac:dyDescent="0.25">
      <c r="A2424" t="s">
        <v>1531</v>
      </c>
      <c r="B2424" t="s">
        <v>1521</v>
      </c>
      <c r="C2424" t="s">
        <v>1551</v>
      </c>
    </row>
    <row r="2425" spans="1:3" x14ac:dyDescent="0.25">
      <c r="A2425" t="s">
        <v>1531</v>
      </c>
      <c r="B2425" t="s">
        <v>1522</v>
      </c>
      <c r="C2425" t="s">
        <v>1551</v>
      </c>
    </row>
    <row r="2426" spans="1:3" x14ac:dyDescent="0.25">
      <c r="A2426" t="s">
        <v>1531</v>
      </c>
      <c r="B2426" t="s">
        <v>1523</v>
      </c>
      <c r="C2426" t="s">
        <v>1551</v>
      </c>
    </row>
    <row r="2427" spans="1:3" x14ac:dyDescent="0.25">
      <c r="A2427" t="s">
        <v>1532</v>
      </c>
      <c r="B2427" t="s">
        <v>1224</v>
      </c>
      <c r="C2427" t="s">
        <v>1552</v>
      </c>
    </row>
    <row r="2428" spans="1:3" x14ac:dyDescent="0.25">
      <c r="A2428" t="s">
        <v>1532</v>
      </c>
      <c r="B2428" t="s">
        <v>1225</v>
      </c>
      <c r="C2428" t="s">
        <v>1552</v>
      </c>
    </row>
    <row r="2429" spans="1:3" x14ac:dyDescent="0.25">
      <c r="A2429" t="s">
        <v>1532</v>
      </c>
      <c r="B2429" t="s">
        <v>1226</v>
      </c>
      <c r="C2429" t="s">
        <v>1552</v>
      </c>
    </row>
    <row r="2430" spans="1:3" x14ac:dyDescent="0.25">
      <c r="A2430" t="s">
        <v>1532</v>
      </c>
      <c r="B2430" t="s">
        <v>1227</v>
      </c>
      <c r="C2430" t="s">
        <v>1552</v>
      </c>
    </row>
    <row r="2431" spans="1:3" x14ac:dyDescent="0.25">
      <c r="A2431" t="s">
        <v>1532</v>
      </c>
      <c r="B2431" t="s">
        <v>1228</v>
      </c>
      <c r="C2431" t="s">
        <v>1552</v>
      </c>
    </row>
    <row r="2432" spans="1:3" x14ac:dyDescent="0.25">
      <c r="A2432" t="s">
        <v>1532</v>
      </c>
      <c r="B2432" t="s">
        <v>1229</v>
      </c>
      <c r="C2432" t="s">
        <v>1552</v>
      </c>
    </row>
    <row r="2433" spans="1:3" x14ac:dyDescent="0.25">
      <c r="A2433" t="s">
        <v>1532</v>
      </c>
      <c r="B2433" t="s">
        <v>1230</v>
      </c>
      <c r="C2433" t="s">
        <v>1552</v>
      </c>
    </row>
    <row r="2434" spans="1:3" x14ac:dyDescent="0.25">
      <c r="A2434" t="s">
        <v>1532</v>
      </c>
      <c r="B2434" t="s">
        <v>1231</v>
      </c>
      <c r="C2434" t="s">
        <v>1552</v>
      </c>
    </row>
    <row r="2435" spans="1:3" x14ac:dyDescent="0.25">
      <c r="A2435" t="s">
        <v>1532</v>
      </c>
      <c r="B2435" t="s">
        <v>1232</v>
      </c>
      <c r="C2435" t="s">
        <v>1552</v>
      </c>
    </row>
    <row r="2436" spans="1:3" x14ac:dyDescent="0.25">
      <c r="A2436" t="s">
        <v>1532</v>
      </c>
      <c r="B2436" t="s">
        <v>1233</v>
      </c>
      <c r="C2436" t="s">
        <v>1552</v>
      </c>
    </row>
    <row r="2437" spans="1:3" x14ac:dyDescent="0.25">
      <c r="A2437" t="s">
        <v>1532</v>
      </c>
      <c r="B2437" t="s">
        <v>1234</v>
      </c>
      <c r="C2437" t="s">
        <v>1552</v>
      </c>
    </row>
    <row r="2438" spans="1:3" x14ac:dyDescent="0.25">
      <c r="A2438" t="s">
        <v>1532</v>
      </c>
      <c r="B2438" t="s">
        <v>1235</v>
      </c>
      <c r="C2438" t="s">
        <v>1552</v>
      </c>
    </row>
    <row r="2439" spans="1:3" x14ac:dyDescent="0.25">
      <c r="A2439" t="s">
        <v>1532</v>
      </c>
      <c r="B2439" t="s">
        <v>1236</v>
      </c>
      <c r="C2439" t="s">
        <v>1552</v>
      </c>
    </row>
    <row r="2440" spans="1:3" x14ac:dyDescent="0.25">
      <c r="A2440" t="s">
        <v>1532</v>
      </c>
      <c r="B2440" t="s">
        <v>1237</v>
      </c>
      <c r="C2440" t="s">
        <v>1552</v>
      </c>
    </row>
    <row r="2441" spans="1:3" x14ac:dyDescent="0.25">
      <c r="A2441" t="s">
        <v>1532</v>
      </c>
      <c r="B2441" t="s">
        <v>1238</v>
      </c>
      <c r="C2441" t="s">
        <v>1552</v>
      </c>
    </row>
    <row r="2442" spans="1:3" x14ac:dyDescent="0.25">
      <c r="A2442" t="s">
        <v>1532</v>
      </c>
      <c r="B2442" t="s">
        <v>1239</v>
      </c>
      <c r="C2442" t="s">
        <v>1552</v>
      </c>
    </row>
    <row r="2443" spans="1:3" x14ac:dyDescent="0.25">
      <c r="A2443" t="s">
        <v>1532</v>
      </c>
      <c r="B2443" t="s">
        <v>1240</v>
      </c>
      <c r="C2443" t="s">
        <v>1552</v>
      </c>
    </row>
    <row r="2444" spans="1:3" x14ac:dyDescent="0.25">
      <c r="A2444" t="s">
        <v>1532</v>
      </c>
      <c r="B2444" t="s">
        <v>1241</v>
      </c>
      <c r="C2444" t="s">
        <v>1552</v>
      </c>
    </row>
    <row r="2445" spans="1:3" x14ac:dyDescent="0.25">
      <c r="A2445" t="s">
        <v>1532</v>
      </c>
      <c r="B2445" t="s">
        <v>1242</v>
      </c>
      <c r="C2445" t="s">
        <v>1552</v>
      </c>
    </row>
    <row r="2446" spans="1:3" x14ac:dyDescent="0.25">
      <c r="A2446" t="s">
        <v>1532</v>
      </c>
      <c r="B2446" t="s">
        <v>1243</v>
      </c>
      <c r="C2446" t="s">
        <v>1552</v>
      </c>
    </row>
    <row r="2447" spans="1:3" x14ac:dyDescent="0.25">
      <c r="A2447" t="s">
        <v>1532</v>
      </c>
      <c r="B2447" t="s">
        <v>1244</v>
      </c>
      <c r="C2447" t="s">
        <v>1552</v>
      </c>
    </row>
    <row r="2448" spans="1:3" x14ac:dyDescent="0.25">
      <c r="A2448" t="s">
        <v>1532</v>
      </c>
      <c r="B2448" t="s">
        <v>1245</v>
      </c>
      <c r="C2448" t="s">
        <v>1552</v>
      </c>
    </row>
    <row r="2449" spans="1:3" x14ac:dyDescent="0.25">
      <c r="A2449" t="s">
        <v>1532</v>
      </c>
      <c r="B2449" t="s">
        <v>1246</v>
      </c>
      <c r="C2449" t="s">
        <v>1552</v>
      </c>
    </row>
    <row r="2450" spans="1:3" x14ac:dyDescent="0.25">
      <c r="A2450" t="s">
        <v>1532</v>
      </c>
      <c r="B2450" t="s">
        <v>1247</v>
      </c>
      <c r="C2450" t="s">
        <v>1552</v>
      </c>
    </row>
    <row r="2451" spans="1:3" x14ac:dyDescent="0.25">
      <c r="A2451" t="s">
        <v>1532</v>
      </c>
      <c r="B2451" t="s">
        <v>1248</v>
      </c>
      <c r="C2451" t="s">
        <v>1552</v>
      </c>
    </row>
    <row r="2452" spans="1:3" x14ac:dyDescent="0.25">
      <c r="A2452" t="s">
        <v>1532</v>
      </c>
      <c r="B2452" t="s">
        <v>1249</v>
      </c>
      <c r="C2452" t="s">
        <v>1552</v>
      </c>
    </row>
    <row r="2453" spans="1:3" x14ac:dyDescent="0.25">
      <c r="A2453" t="s">
        <v>1532</v>
      </c>
      <c r="B2453" t="s">
        <v>1250</v>
      </c>
      <c r="C2453" t="s">
        <v>1552</v>
      </c>
    </row>
    <row r="2454" spans="1:3" x14ac:dyDescent="0.25">
      <c r="A2454" t="s">
        <v>1532</v>
      </c>
      <c r="B2454" t="s">
        <v>1251</v>
      </c>
      <c r="C2454" t="s">
        <v>1552</v>
      </c>
    </row>
    <row r="2455" spans="1:3" x14ac:dyDescent="0.25">
      <c r="A2455" t="s">
        <v>1532</v>
      </c>
      <c r="B2455" t="s">
        <v>1252</v>
      </c>
      <c r="C2455" t="s">
        <v>1552</v>
      </c>
    </row>
    <row r="2456" spans="1:3" x14ac:dyDescent="0.25">
      <c r="A2456" t="s">
        <v>1532</v>
      </c>
      <c r="B2456" t="s">
        <v>1253</v>
      </c>
      <c r="C2456" t="s">
        <v>1552</v>
      </c>
    </row>
    <row r="2457" spans="1:3" x14ac:dyDescent="0.25">
      <c r="A2457" t="s">
        <v>1532</v>
      </c>
      <c r="B2457" t="s">
        <v>1254</v>
      </c>
      <c r="C2457" t="s">
        <v>1552</v>
      </c>
    </row>
    <row r="2458" spans="1:3" x14ac:dyDescent="0.25">
      <c r="A2458" t="s">
        <v>1532</v>
      </c>
      <c r="B2458" t="s">
        <v>1255</v>
      </c>
      <c r="C2458" t="s">
        <v>1552</v>
      </c>
    </row>
    <row r="2459" spans="1:3" x14ac:dyDescent="0.25">
      <c r="A2459" t="s">
        <v>1532</v>
      </c>
      <c r="B2459" t="s">
        <v>1256</v>
      </c>
      <c r="C2459" t="s">
        <v>1552</v>
      </c>
    </row>
    <row r="2460" spans="1:3" x14ac:dyDescent="0.25">
      <c r="A2460" t="s">
        <v>1532</v>
      </c>
      <c r="B2460" t="s">
        <v>1257</v>
      </c>
      <c r="C2460" t="s">
        <v>1552</v>
      </c>
    </row>
    <row r="2461" spans="1:3" x14ac:dyDescent="0.25">
      <c r="A2461" t="s">
        <v>1532</v>
      </c>
      <c r="B2461" t="s">
        <v>1258</v>
      </c>
      <c r="C2461" t="s">
        <v>1552</v>
      </c>
    </row>
    <row r="2462" spans="1:3" x14ac:dyDescent="0.25">
      <c r="A2462" t="s">
        <v>1532</v>
      </c>
      <c r="B2462" t="s">
        <v>1259</v>
      </c>
      <c r="C2462" t="s">
        <v>1552</v>
      </c>
    </row>
    <row r="2463" spans="1:3" x14ac:dyDescent="0.25">
      <c r="A2463" t="s">
        <v>1532</v>
      </c>
      <c r="B2463" t="s">
        <v>1260</v>
      </c>
      <c r="C2463" t="s">
        <v>1552</v>
      </c>
    </row>
    <row r="2464" spans="1:3" x14ac:dyDescent="0.25">
      <c r="A2464" t="s">
        <v>1532</v>
      </c>
      <c r="B2464" t="s">
        <v>1261</v>
      </c>
      <c r="C2464" t="s">
        <v>1552</v>
      </c>
    </row>
    <row r="2465" spans="1:3" x14ac:dyDescent="0.25">
      <c r="A2465" t="s">
        <v>1532</v>
      </c>
      <c r="B2465" t="s">
        <v>1262</v>
      </c>
      <c r="C2465" t="s">
        <v>1552</v>
      </c>
    </row>
    <row r="2466" spans="1:3" x14ac:dyDescent="0.25">
      <c r="A2466" t="s">
        <v>1532</v>
      </c>
      <c r="B2466" t="s">
        <v>1263</v>
      </c>
      <c r="C2466" t="s">
        <v>1552</v>
      </c>
    </row>
    <row r="2467" spans="1:3" x14ac:dyDescent="0.25">
      <c r="A2467" t="s">
        <v>1532</v>
      </c>
      <c r="B2467" t="s">
        <v>1264</v>
      </c>
      <c r="C2467" t="s">
        <v>1552</v>
      </c>
    </row>
    <row r="2468" spans="1:3" x14ac:dyDescent="0.25">
      <c r="A2468" t="s">
        <v>1532</v>
      </c>
      <c r="B2468" t="s">
        <v>1265</v>
      </c>
      <c r="C2468" t="s">
        <v>1552</v>
      </c>
    </row>
    <row r="2469" spans="1:3" x14ac:dyDescent="0.25">
      <c r="A2469" t="s">
        <v>1532</v>
      </c>
      <c r="B2469" t="s">
        <v>1266</v>
      </c>
      <c r="C2469" t="s">
        <v>1552</v>
      </c>
    </row>
    <row r="2470" spans="1:3" x14ac:dyDescent="0.25">
      <c r="A2470" t="s">
        <v>1532</v>
      </c>
      <c r="B2470" t="s">
        <v>1267</v>
      </c>
      <c r="C2470" t="s">
        <v>1552</v>
      </c>
    </row>
    <row r="2471" spans="1:3" x14ac:dyDescent="0.25">
      <c r="A2471" t="s">
        <v>1532</v>
      </c>
      <c r="B2471" t="s">
        <v>1268</v>
      </c>
      <c r="C2471" t="s">
        <v>1552</v>
      </c>
    </row>
    <row r="2472" spans="1:3" x14ac:dyDescent="0.25">
      <c r="A2472" t="s">
        <v>1532</v>
      </c>
      <c r="B2472" t="s">
        <v>1269</v>
      </c>
      <c r="C2472" t="s">
        <v>1552</v>
      </c>
    </row>
    <row r="2473" spans="1:3" x14ac:dyDescent="0.25">
      <c r="A2473" t="s">
        <v>1532</v>
      </c>
      <c r="B2473" t="s">
        <v>1270</v>
      </c>
      <c r="C2473" t="s">
        <v>1552</v>
      </c>
    </row>
    <row r="2474" spans="1:3" x14ac:dyDescent="0.25">
      <c r="A2474" t="s">
        <v>1532</v>
      </c>
      <c r="B2474" t="s">
        <v>1271</v>
      </c>
      <c r="C2474" t="s">
        <v>1552</v>
      </c>
    </row>
    <row r="2475" spans="1:3" x14ac:dyDescent="0.25">
      <c r="A2475" t="s">
        <v>1532</v>
      </c>
      <c r="B2475" t="s">
        <v>1272</v>
      </c>
      <c r="C2475" t="s">
        <v>1552</v>
      </c>
    </row>
    <row r="2476" spans="1:3" x14ac:dyDescent="0.25">
      <c r="A2476" t="s">
        <v>1532</v>
      </c>
      <c r="B2476" t="s">
        <v>1273</v>
      </c>
      <c r="C2476" t="s">
        <v>1552</v>
      </c>
    </row>
    <row r="2477" spans="1:3" x14ac:dyDescent="0.25">
      <c r="A2477" t="s">
        <v>1532</v>
      </c>
      <c r="B2477" t="s">
        <v>1274</v>
      </c>
      <c r="C2477" t="s">
        <v>1552</v>
      </c>
    </row>
    <row r="2478" spans="1:3" x14ac:dyDescent="0.25">
      <c r="A2478" t="s">
        <v>1532</v>
      </c>
      <c r="B2478" t="s">
        <v>1275</v>
      </c>
      <c r="C2478" t="s">
        <v>1552</v>
      </c>
    </row>
    <row r="2479" spans="1:3" x14ac:dyDescent="0.25">
      <c r="A2479" t="s">
        <v>1532</v>
      </c>
      <c r="B2479" t="s">
        <v>1276</v>
      </c>
      <c r="C2479" t="s">
        <v>1552</v>
      </c>
    </row>
    <row r="2480" spans="1:3" x14ac:dyDescent="0.25">
      <c r="A2480" t="s">
        <v>1532</v>
      </c>
      <c r="B2480" t="s">
        <v>1277</v>
      </c>
      <c r="C2480" t="s">
        <v>1552</v>
      </c>
    </row>
    <row r="2481" spans="1:3" x14ac:dyDescent="0.25">
      <c r="A2481" t="s">
        <v>1532</v>
      </c>
      <c r="B2481" t="s">
        <v>1278</v>
      </c>
      <c r="C2481" t="s">
        <v>1552</v>
      </c>
    </row>
    <row r="2482" spans="1:3" x14ac:dyDescent="0.25">
      <c r="A2482" t="s">
        <v>1532</v>
      </c>
      <c r="B2482" t="s">
        <v>1279</v>
      </c>
      <c r="C2482" t="s">
        <v>1552</v>
      </c>
    </row>
    <row r="2483" spans="1:3" x14ac:dyDescent="0.25">
      <c r="A2483" t="s">
        <v>1532</v>
      </c>
      <c r="B2483" t="s">
        <v>1280</v>
      </c>
      <c r="C2483" t="s">
        <v>1552</v>
      </c>
    </row>
    <row r="2484" spans="1:3" x14ac:dyDescent="0.25">
      <c r="A2484" t="s">
        <v>1532</v>
      </c>
      <c r="B2484" t="s">
        <v>1281</v>
      </c>
      <c r="C2484" t="s">
        <v>1552</v>
      </c>
    </row>
    <row r="2485" spans="1:3" x14ac:dyDescent="0.25">
      <c r="A2485" t="s">
        <v>1532</v>
      </c>
      <c r="B2485" t="s">
        <v>1282</v>
      </c>
      <c r="C2485" t="s">
        <v>1552</v>
      </c>
    </row>
    <row r="2486" spans="1:3" x14ac:dyDescent="0.25">
      <c r="A2486" t="s">
        <v>1532</v>
      </c>
      <c r="B2486" t="s">
        <v>1283</v>
      </c>
      <c r="C2486" t="s">
        <v>1552</v>
      </c>
    </row>
    <row r="2487" spans="1:3" x14ac:dyDescent="0.25">
      <c r="A2487" t="s">
        <v>1532</v>
      </c>
      <c r="B2487" t="s">
        <v>1284</v>
      </c>
      <c r="C2487" t="s">
        <v>1552</v>
      </c>
    </row>
    <row r="2488" spans="1:3" x14ac:dyDescent="0.25">
      <c r="A2488" t="s">
        <v>1532</v>
      </c>
      <c r="B2488" t="s">
        <v>1285</v>
      </c>
      <c r="C2488" t="s">
        <v>1552</v>
      </c>
    </row>
    <row r="2489" spans="1:3" x14ac:dyDescent="0.25">
      <c r="A2489" t="s">
        <v>1532</v>
      </c>
      <c r="B2489" t="s">
        <v>1286</v>
      </c>
      <c r="C2489" t="s">
        <v>1552</v>
      </c>
    </row>
    <row r="2490" spans="1:3" x14ac:dyDescent="0.25">
      <c r="A2490" t="s">
        <v>1532</v>
      </c>
      <c r="B2490" t="s">
        <v>1287</v>
      </c>
      <c r="C2490" t="s">
        <v>1552</v>
      </c>
    </row>
    <row r="2491" spans="1:3" x14ac:dyDescent="0.25">
      <c r="A2491" t="s">
        <v>1532</v>
      </c>
      <c r="B2491" t="s">
        <v>1288</v>
      </c>
      <c r="C2491" t="s">
        <v>1552</v>
      </c>
    </row>
    <row r="2492" spans="1:3" x14ac:dyDescent="0.25">
      <c r="A2492" t="s">
        <v>1532</v>
      </c>
      <c r="B2492" t="s">
        <v>1289</v>
      </c>
      <c r="C2492" t="s">
        <v>1552</v>
      </c>
    </row>
    <row r="2493" spans="1:3" x14ac:dyDescent="0.25">
      <c r="A2493" t="s">
        <v>1532</v>
      </c>
      <c r="B2493" t="s">
        <v>1290</v>
      </c>
      <c r="C2493" t="s">
        <v>1552</v>
      </c>
    </row>
    <row r="2494" spans="1:3" x14ac:dyDescent="0.25">
      <c r="A2494" t="s">
        <v>1532</v>
      </c>
      <c r="B2494" t="s">
        <v>1291</v>
      </c>
      <c r="C2494" t="s">
        <v>1552</v>
      </c>
    </row>
    <row r="2495" spans="1:3" x14ac:dyDescent="0.25">
      <c r="A2495" t="s">
        <v>1532</v>
      </c>
      <c r="B2495" t="s">
        <v>1292</v>
      </c>
      <c r="C2495" t="s">
        <v>1552</v>
      </c>
    </row>
    <row r="2496" spans="1:3" x14ac:dyDescent="0.25">
      <c r="A2496" t="s">
        <v>1532</v>
      </c>
      <c r="B2496" t="s">
        <v>1293</v>
      </c>
      <c r="C2496" t="s">
        <v>1552</v>
      </c>
    </row>
    <row r="2497" spans="1:3" x14ac:dyDescent="0.25">
      <c r="A2497" t="s">
        <v>1532</v>
      </c>
      <c r="B2497" t="s">
        <v>1294</v>
      </c>
      <c r="C2497" t="s">
        <v>1552</v>
      </c>
    </row>
    <row r="2498" spans="1:3" x14ac:dyDescent="0.25">
      <c r="A2498" t="s">
        <v>1532</v>
      </c>
      <c r="B2498" t="s">
        <v>1295</v>
      </c>
      <c r="C2498" t="s">
        <v>1552</v>
      </c>
    </row>
    <row r="2499" spans="1:3" x14ac:dyDescent="0.25">
      <c r="A2499" t="s">
        <v>1532</v>
      </c>
      <c r="B2499" t="s">
        <v>1296</v>
      </c>
      <c r="C2499" t="s">
        <v>1552</v>
      </c>
    </row>
    <row r="2500" spans="1:3" x14ac:dyDescent="0.25">
      <c r="A2500" t="s">
        <v>1532</v>
      </c>
      <c r="B2500" t="s">
        <v>1297</v>
      </c>
      <c r="C2500" t="s">
        <v>1552</v>
      </c>
    </row>
    <row r="2501" spans="1:3" x14ac:dyDescent="0.25">
      <c r="A2501" t="s">
        <v>1532</v>
      </c>
      <c r="B2501" t="s">
        <v>1298</v>
      </c>
      <c r="C2501" t="s">
        <v>1552</v>
      </c>
    </row>
    <row r="2502" spans="1:3" x14ac:dyDescent="0.25">
      <c r="A2502" t="s">
        <v>1532</v>
      </c>
      <c r="B2502" t="s">
        <v>1299</v>
      </c>
      <c r="C2502" t="s">
        <v>1552</v>
      </c>
    </row>
    <row r="2503" spans="1:3" x14ac:dyDescent="0.25">
      <c r="A2503" t="s">
        <v>1532</v>
      </c>
      <c r="B2503" t="s">
        <v>1300</v>
      </c>
      <c r="C2503" t="s">
        <v>1552</v>
      </c>
    </row>
    <row r="2504" spans="1:3" x14ac:dyDescent="0.25">
      <c r="A2504" t="s">
        <v>1532</v>
      </c>
      <c r="B2504" t="s">
        <v>1301</v>
      </c>
      <c r="C2504" t="s">
        <v>1552</v>
      </c>
    </row>
    <row r="2505" spans="1:3" x14ac:dyDescent="0.25">
      <c r="A2505" t="s">
        <v>1532</v>
      </c>
      <c r="B2505" t="s">
        <v>1302</v>
      </c>
      <c r="C2505" t="s">
        <v>1552</v>
      </c>
    </row>
    <row r="2506" spans="1:3" x14ac:dyDescent="0.25">
      <c r="A2506" t="s">
        <v>1532</v>
      </c>
      <c r="B2506" t="s">
        <v>1354</v>
      </c>
      <c r="C2506" t="s">
        <v>1552</v>
      </c>
    </row>
    <row r="2507" spans="1:3" x14ac:dyDescent="0.25">
      <c r="A2507" t="s">
        <v>1532</v>
      </c>
      <c r="B2507" t="s">
        <v>1355</v>
      </c>
      <c r="C2507" t="s">
        <v>1552</v>
      </c>
    </row>
    <row r="2508" spans="1:3" x14ac:dyDescent="0.25">
      <c r="A2508" t="s">
        <v>1532</v>
      </c>
      <c r="B2508" t="s">
        <v>1357</v>
      </c>
      <c r="C2508" t="s">
        <v>1552</v>
      </c>
    </row>
    <row r="2509" spans="1:3" x14ac:dyDescent="0.25">
      <c r="A2509" t="s">
        <v>1532</v>
      </c>
      <c r="B2509" t="s">
        <v>1359</v>
      </c>
      <c r="C2509" t="s">
        <v>1552</v>
      </c>
    </row>
    <row r="2510" spans="1:3" x14ac:dyDescent="0.25">
      <c r="A2510" t="s">
        <v>1532</v>
      </c>
      <c r="B2510" t="s">
        <v>1360</v>
      </c>
      <c r="C2510" t="s">
        <v>1552</v>
      </c>
    </row>
    <row r="2511" spans="1:3" x14ac:dyDescent="0.25">
      <c r="A2511" t="s">
        <v>1532</v>
      </c>
      <c r="B2511" t="s">
        <v>1361</v>
      </c>
      <c r="C2511" t="s">
        <v>1552</v>
      </c>
    </row>
    <row r="2512" spans="1:3" x14ac:dyDescent="0.25">
      <c r="A2512" t="s">
        <v>1532</v>
      </c>
      <c r="B2512" t="s">
        <v>1363</v>
      </c>
      <c r="C2512" t="s">
        <v>1552</v>
      </c>
    </row>
    <row r="2513" spans="1:3" x14ac:dyDescent="0.25">
      <c r="A2513" t="s">
        <v>1532</v>
      </c>
      <c r="B2513" t="s">
        <v>1365</v>
      </c>
      <c r="C2513" t="s">
        <v>1552</v>
      </c>
    </row>
    <row r="2514" spans="1:3" x14ac:dyDescent="0.25">
      <c r="A2514" t="s">
        <v>1532</v>
      </c>
      <c r="B2514" t="s">
        <v>1366</v>
      </c>
      <c r="C2514" t="s">
        <v>1552</v>
      </c>
    </row>
    <row r="2515" spans="1:3" x14ac:dyDescent="0.25">
      <c r="A2515" t="s">
        <v>1532</v>
      </c>
      <c r="B2515" t="s">
        <v>1367</v>
      </c>
      <c r="C2515" t="s">
        <v>1552</v>
      </c>
    </row>
    <row r="2516" spans="1:3" x14ac:dyDescent="0.25">
      <c r="A2516" t="s">
        <v>1532</v>
      </c>
      <c r="B2516" t="s">
        <v>1369</v>
      </c>
      <c r="C2516" t="s">
        <v>1552</v>
      </c>
    </row>
    <row r="2517" spans="1:3" x14ac:dyDescent="0.25">
      <c r="A2517" t="s">
        <v>1532</v>
      </c>
      <c r="B2517" t="s">
        <v>1371</v>
      </c>
      <c r="C2517" t="s">
        <v>1552</v>
      </c>
    </row>
    <row r="2518" spans="1:3" x14ac:dyDescent="0.25">
      <c r="A2518" t="s">
        <v>1532</v>
      </c>
      <c r="B2518" t="s">
        <v>1372</v>
      </c>
      <c r="C2518" t="s">
        <v>1552</v>
      </c>
    </row>
    <row r="2519" spans="1:3" x14ac:dyDescent="0.25">
      <c r="A2519" t="s">
        <v>1532</v>
      </c>
      <c r="B2519" t="s">
        <v>1373</v>
      </c>
      <c r="C2519" t="s">
        <v>1552</v>
      </c>
    </row>
    <row r="2520" spans="1:3" x14ac:dyDescent="0.25">
      <c r="A2520" t="s">
        <v>1532</v>
      </c>
      <c r="B2520" t="s">
        <v>1375</v>
      </c>
      <c r="C2520" t="s">
        <v>1552</v>
      </c>
    </row>
    <row r="2521" spans="1:3" x14ac:dyDescent="0.25">
      <c r="A2521" t="s">
        <v>1532</v>
      </c>
      <c r="B2521" t="s">
        <v>1377</v>
      </c>
      <c r="C2521" t="s">
        <v>1552</v>
      </c>
    </row>
    <row r="2522" spans="1:3" x14ac:dyDescent="0.25">
      <c r="A2522" t="s">
        <v>1532</v>
      </c>
      <c r="B2522" t="s">
        <v>1378</v>
      </c>
      <c r="C2522" t="s">
        <v>1552</v>
      </c>
    </row>
    <row r="2523" spans="1:3" x14ac:dyDescent="0.25">
      <c r="A2523" t="s">
        <v>1532</v>
      </c>
      <c r="B2523" t="s">
        <v>1379</v>
      </c>
      <c r="C2523" t="s">
        <v>1552</v>
      </c>
    </row>
    <row r="2524" spans="1:3" x14ac:dyDescent="0.25">
      <c r="A2524" t="s">
        <v>1532</v>
      </c>
      <c r="B2524" t="s">
        <v>1381</v>
      </c>
      <c r="C2524" t="s">
        <v>1552</v>
      </c>
    </row>
    <row r="2525" spans="1:3" x14ac:dyDescent="0.25">
      <c r="A2525" t="s">
        <v>1532</v>
      </c>
      <c r="B2525" t="s">
        <v>1382</v>
      </c>
      <c r="C2525" t="s">
        <v>1552</v>
      </c>
    </row>
    <row r="2526" spans="1:3" x14ac:dyDescent="0.25">
      <c r="A2526" t="s">
        <v>1532</v>
      </c>
      <c r="B2526" t="s">
        <v>1383</v>
      </c>
      <c r="C2526" t="s">
        <v>1552</v>
      </c>
    </row>
    <row r="2527" spans="1:3" x14ac:dyDescent="0.25">
      <c r="A2527" t="s">
        <v>1532</v>
      </c>
      <c r="B2527" t="s">
        <v>1384</v>
      </c>
      <c r="C2527" t="s">
        <v>1552</v>
      </c>
    </row>
    <row r="2528" spans="1:3" x14ac:dyDescent="0.25">
      <c r="A2528" t="s">
        <v>1532</v>
      </c>
      <c r="B2528" t="s">
        <v>1385</v>
      </c>
      <c r="C2528" t="s">
        <v>1552</v>
      </c>
    </row>
    <row r="2529" spans="1:3" x14ac:dyDescent="0.25">
      <c r="A2529" t="s">
        <v>1532</v>
      </c>
      <c r="B2529" t="s">
        <v>1386</v>
      </c>
      <c r="C2529" t="s">
        <v>1552</v>
      </c>
    </row>
    <row r="2530" spans="1:3" x14ac:dyDescent="0.25">
      <c r="A2530" t="s">
        <v>1532</v>
      </c>
      <c r="B2530" t="s">
        <v>1387</v>
      </c>
      <c r="C2530" t="s">
        <v>1552</v>
      </c>
    </row>
    <row r="2531" spans="1:3" x14ac:dyDescent="0.25">
      <c r="A2531" t="s">
        <v>1532</v>
      </c>
      <c r="B2531" t="s">
        <v>1388</v>
      </c>
      <c r="C2531" t="s">
        <v>1552</v>
      </c>
    </row>
    <row r="2532" spans="1:3" x14ac:dyDescent="0.25">
      <c r="A2532" t="s">
        <v>1532</v>
      </c>
      <c r="B2532" t="s">
        <v>1389</v>
      </c>
      <c r="C2532" t="s">
        <v>1552</v>
      </c>
    </row>
    <row r="2533" spans="1:3" x14ac:dyDescent="0.25">
      <c r="A2533" t="s">
        <v>1532</v>
      </c>
      <c r="B2533" t="s">
        <v>1390</v>
      </c>
      <c r="C2533" t="s">
        <v>1552</v>
      </c>
    </row>
    <row r="2534" spans="1:3" x14ac:dyDescent="0.25">
      <c r="A2534" t="s">
        <v>1532</v>
      </c>
      <c r="B2534" t="s">
        <v>1391</v>
      </c>
      <c r="C2534" t="s">
        <v>1552</v>
      </c>
    </row>
    <row r="2535" spans="1:3" x14ac:dyDescent="0.25">
      <c r="A2535" t="s">
        <v>1532</v>
      </c>
      <c r="B2535" t="s">
        <v>1392</v>
      </c>
      <c r="C2535" t="s">
        <v>1552</v>
      </c>
    </row>
    <row r="2536" spans="1:3" x14ac:dyDescent="0.25">
      <c r="A2536" t="s">
        <v>1532</v>
      </c>
      <c r="B2536" t="s">
        <v>1393</v>
      </c>
      <c r="C2536" t="s">
        <v>1552</v>
      </c>
    </row>
    <row r="2537" spans="1:3" x14ac:dyDescent="0.25">
      <c r="A2537" t="s">
        <v>1532</v>
      </c>
      <c r="B2537" t="s">
        <v>1394</v>
      </c>
      <c r="C2537" t="s">
        <v>1552</v>
      </c>
    </row>
    <row r="2538" spans="1:3" x14ac:dyDescent="0.25">
      <c r="A2538" t="s">
        <v>1532</v>
      </c>
      <c r="B2538" t="s">
        <v>1395</v>
      </c>
      <c r="C2538" t="s">
        <v>1552</v>
      </c>
    </row>
    <row r="2539" spans="1:3" x14ac:dyDescent="0.25">
      <c r="A2539" t="s">
        <v>1532</v>
      </c>
      <c r="B2539" t="s">
        <v>1396</v>
      </c>
      <c r="C2539" t="s">
        <v>1552</v>
      </c>
    </row>
    <row r="2540" spans="1:3" x14ac:dyDescent="0.25">
      <c r="A2540" t="s">
        <v>1532</v>
      </c>
      <c r="B2540" t="s">
        <v>1397</v>
      </c>
      <c r="C2540" t="s">
        <v>1552</v>
      </c>
    </row>
    <row r="2541" spans="1:3" x14ac:dyDescent="0.25">
      <c r="A2541" t="s">
        <v>1532</v>
      </c>
      <c r="B2541" t="s">
        <v>1398</v>
      </c>
      <c r="C2541" t="s">
        <v>1552</v>
      </c>
    </row>
    <row r="2542" spans="1:3" x14ac:dyDescent="0.25">
      <c r="A2542" t="s">
        <v>1532</v>
      </c>
      <c r="B2542" t="s">
        <v>1399</v>
      </c>
      <c r="C2542" t="s">
        <v>1552</v>
      </c>
    </row>
    <row r="2543" spans="1:3" x14ac:dyDescent="0.25">
      <c r="A2543" t="s">
        <v>1532</v>
      </c>
      <c r="B2543" t="s">
        <v>1400</v>
      </c>
      <c r="C2543" t="s">
        <v>1552</v>
      </c>
    </row>
    <row r="2544" spans="1:3" x14ac:dyDescent="0.25">
      <c r="A2544" t="s">
        <v>1532</v>
      </c>
      <c r="B2544" t="s">
        <v>1401</v>
      </c>
      <c r="C2544" t="s">
        <v>1552</v>
      </c>
    </row>
    <row r="2545" spans="1:3" x14ac:dyDescent="0.25">
      <c r="A2545" t="s">
        <v>1532</v>
      </c>
      <c r="B2545" t="s">
        <v>1402</v>
      </c>
      <c r="C2545" t="s">
        <v>1552</v>
      </c>
    </row>
    <row r="2546" spans="1:3" x14ac:dyDescent="0.25">
      <c r="A2546" t="s">
        <v>1532</v>
      </c>
      <c r="B2546" t="s">
        <v>1403</v>
      </c>
      <c r="C2546" t="s">
        <v>1552</v>
      </c>
    </row>
    <row r="2547" spans="1:3" x14ac:dyDescent="0.25">
      <c r="A2547" t="s">
        <v>1532</v>
      </c>
      <c r="B2547" t="s">
        <v>1404</v>
      </c>
      <c r="C2547" t="s">
        <v>1552</v>
      </c>
    </row>
    <row r="2548" spans="1:3" x14ac:dyDescent="0.25">
      <c r="A2548" t="s">
        <v>1532</v>
      </c>
      <c r="B2548" t="s">
        <v>1405</v>
      </c>
      <c r="C2548" t="s">
        <v>1552</v>
      </c>
    </row>
    <row r="2549" spans="1:3" x14ac:dyDescent="0.25">
      <c r="A2549" t="s">
        <v>1532</v>
      </c>
      <c r="B2549" t="s">
        <v>1406</v>
      </c>
      <c r="C2549" t="s">
        <v>1552</v>
      </c>
    </row>
    <row r="2550" spans="1:3" x14ac:dyDescent="0.25">
      <c r="A2550" t="s">
        <v>1532</v>
      </c>
      <c r="B2550" t="s">
        <v>1407</v>
      </c>
      <c r="C2550" t="s">
        <v>1552</v>
      </c>
    </row>
    <row r="2551" spans="1:3" x14ac:dyDescent="0.25">
      <c r="A2551" t="s">
        <v>1532</v>
      </c>
      <c r="B2551" t="s">
        <v>1408</v>
      </c>
      <c r="C2551" t="s">
        <v>1552</v>
      </c>
    </row>
    <row r="2552" spans="1:3" x14ac:dyDescent="0.25">
      <c r="A2552" t="s">
        <v>1532</v>
      </c>
      <c r="B2552" t="s">
        <v>1409</v>
      </c>
      <c r="C2552" t="s">
        <v>1552</v>
      </c>
    </row>
    <row r="2553" spans="1:3" x14ac:dyDescent="0.25">
      <c r="A2553" t="s">
        <v>1532</v>
      </c>
      <c r="B2553" t="s">
        <v>1410</v>
      </c>
      <c r="C2553" t="s">
        <v>1552</v>
      </c>
    </row>
    <row r="2554" spans="1:3" x14ac:dyDescent="0.25">
      <c r="A2554" t="s">
        <v>1532</v>
      </c>
      <c r="B2554" t="s">
        <v>1411</v>
      </c>
      <c r="C2554" t="s">
        <v>1552</v>
      </c>
    </row>
    <row r="2555" spans="1:3" x14ac:dyDescent="0.25">
      <c r="A2555" t="s">
        <v>1532</v>
      </c>
      <c r="B2555" t="s">
        <v>1412</v>
      </c>
      <c r="C2555" t="s">
        <v>1552</v>
      </c>
    </row>
    <row r="2556" spans="1:3" x14ac:dyDescent="0.25">
      <c r="A2556" t="s">
        <v>1532</v>
      </c>
      <c r="B2556" t="s">
        <v>1413</v>
      </c>
      <c r="C2556" t="s">
        <v>1552</v>
      </c>
    </row>
    <row r="2557" spans="1:3" x14ac:dyDescent="0.25">
      <c r="A2557" t="s">
        <v>1532</v>
      </c>
      <c r="B2557" t="s">
        <v>1414</v>
      </c>
      <c r="C2557" t="s">
        <v>1552</v>
      </c>
    </row>
    <row r="2558" spans="1:3" x14ac:dyDescent="0.25">
      <c r="A2558" t="s">
        <v>1532</v>
      </c>
      <c r="B2558" t="s">
        <v>1415</v>
      </c>
      <c r="C2558" t="s">
        <v>1552</v>
      </c>
    </row>
    <row r="2559" spans="1:3" x14ac:dyDescent="0.25">
      <c r="A2559" t="s">
        <v>1532</v>
      </c>
      <c r="B2559" t="s">
        <v>1416</v>
      </c>
      <c r="C2559" t="s">
        <v>1552</v>
      </c>
    </row>
    <row r="2560" spans="1:3" x14ac:dyDescent="0.25">
      <c r="A2560" t="s">
        <v>1532</v>
      </c>
      <c r="B2560" t="s">
        <v>1417</v>
      </c>
      <c r="C2560" t="s">
        <v>1552</v>
      </c>
    </row>
    <row r="2561" spans="1:3" x14ac:dyDescent="0.25">
      <c r="A2561" t="s">
        <v>1532</v>
      </c>
      <c r="B2561" t="s">
        <v>1418</v>
      </c>
      <c r="C2561" t="s">
        <v>1552</v>
      </c>
    </row>
    <row r="2562" spans="1:3" x14ac:dyDescent="0.25">
      <c r="A2562" t="s">
        <v>1532</v>
      </c>
      <c r="B2562" t="s">
        <v>1419</v>
      </c>
      <c r="C2562" t="s">
        <v>1552</v>
      </c>
    </row>
    <row r="2563" spans="1:3" x14ac:dyDescent="0.25">
      <c r="A2563" t="s">
        <v>1532</v>
      </c>
      <c r="B2563" t="s">
        <v>1420</v>
      </c>
      <c r="C2563" t="s">
        <v>1552</v>
      </c>
    </row>
    <row r="2564" spans="1:3" x14ac:dyDescent="0.25">
      <c r="A2564" t="s">
        <v>1532</v>
      </c>
      <c r="B2564" t="s">
        <v>1421</v>
      </c>
      <c r="C2564" t="s">
        <v>1552</v>
      </c>
    </row>
    <row r="2565" spans="1:3" x14ac:dyDescent="0.25">
      <c r="A2565" t="s">
        <v>1532</v>
      </c>
      <c r="B2565" t="s">
        <v>1422</v>
      </c>
      <c r="C2565" t="s">
        <v>1552</v>
      </c>
    </row>
    <row r="2566" spans="1:3" x14ac:dyDescent="0.25">
      <c r="A2566" t="s">
        <v>1532</v>
      </c>
      <c r="B2566" t="s">
        <v>1423</v>
      </c>
      <c r="C2566" t="s">
        <v>1552</v>
      </c>
    </row>
    <row r="2567" spans="1:3" x14ac:dyDescent="0.25">
      <c r="A2567" t="s">
        <v>1532</v>
      </c>
      <c r="B2567" t="s">
        <v>1424</v>
      </c>
      <c r="C2567" t="s">
        <v>1551</v>
      </c>
    </row>
    <row r="2568" spans="1:3" x14ac:dyDescent="0.25">
      <c r="A2568" t="s">
        <v>1532</v>
      </c>
      <c r="B2568" t="s">
        <v>1425</v>
      </c>
      <c r="C2568" t="s">
        <v>1551</v>
      </c>
    </row>
    <row r="2569" spans="1:3" x14ac:dyDescent="0.25">
      <c r="A2569" t="s">
        <v>1532</v>
      </c>
      <c r="B2569" t="s">
        <v>1426</v>
      </c>
      <c r="C2569" t="s">
        <v>1551</v>
      </c>
    </row>
    <row r="2570" spans="1:3" x14ac:dyDescent="0.25">
      <c r="A2570" t="s">
        <v>1532</v>
      </c>
      <c r="B2570" t="s">
        <v>1427</v>
      </c>
      <c r="C2570" t="s">
        <v>1551</v>
      </c>
    </row>
    <row r="2571" spans="1:3" x14ac:dyDescent="0.25">
      <c r="A2571" t="s">
        <v>1532</v>
      </c>
      <c r="B2571" t="s">
        <v>1428</v>
      </c>
      <c r="C2571" t="s">
        <v>1551</v>
      </c>
    </row>
    <row r="2572" spans="1:3" x14ac:dyDescent="0.25">
      <c r="A2572" t="s">
        <v>1532</v>
      </c>
      <c r="B2572" t="s">
        <v>1429</v>
      </c>
      <c r="C2572" t="s">
        <v>1551</v>
      </c>
    </row>
    <row r="2573" spans="1:3" x14ac:dyDescent="0.25">
      <c r="A2573" t="s">
        <v>1532</v>
      </c>
      <c r="B2573" t="s">
        <v>1430</v>
      </c>
      <c r="C2573" t="s">
        <v>1551</v>
      </c>
    </row>
    <row r="2574" spans="1:3" x14ac:dyDescent="0.25">
      <c r="A2574" t="s">
        <v>1532</v>
      </c>
      <c r="B2574" t="s">
        <v>1431</v>
      </c>
      <c r="C2574" t="s">
        <v>1551</v>
      </c>
    </row>
    <row r="2575" spans="1:3" x14ac:dyDescent="0.25">
      <c r="A2575" t="s">
        <v>1532</v>
      </c>
      <c r="B2575" t="s">
        <v>1432</v>
      </c>
      <c r="C2575" t="s">
        <v>1551</v>
      </c>
    </row>
    <row r="2576" spans="1:3" x14ac:dyDescent="0.25">
      <c r="A2576" t="s">
        <v>1532</v>
      </c>
      <c r="B2576" t="s">
        <v>1433</v>
      </c>
      <c r="C2576" t="s">
        <v>1551</v>
      </c>
    </row>
    <row r="2577" spans="1:3" x14ac:dyDescent="0.25">
      <c r="A2577" t="s">
        <v>1532</v>
      </c>
      <c r="B2577" t="s">
        <v>1434</v>
      </c>
      <c r="C2577" t="s">
        <v>1551</v>
      </c>
    </row>
    <row r="2578" spans="1:3" x14ac:dyDescent="0.25">
      <c r="A2578" t="s">
        <v>1532</v>
      </c>
      <c r="B2578" t="s">
        <v>1435</v>
      </c>
      <c r="C2578" t="s">
        <v>1551</v>
      </c>
    </row>
    <row r="2579" spans="1:3" x14ac:dyDescent="0.25">
      <c r="A2579" t="s">
        <v>1532</v>
      </c>
      <c r="B2579" t="s">
        <v>1436</v>
      </c>
      <c r="C2579" t="s">
        <v>1551</v>
      </c>
    </row>
    <row r="2580" spans="1:3" x14ac:dyDescent="0.25">
      <c r="A2580" t="s">
        <v>1532</v>
      </c>
      <c r="B2580" t="s">
        <v>1437</v>
      </c>
      <c r="C2580" t="s">
        <v>1551</v>
      </c>
    </row>
    <row r="2581" spans="1:3" x14ac:dyDescent="0.25">
      <c r="A2581" t="s">
        <v>1532</v>
      </c>
      <c r="B2581" t="s">
        <v>1438</v>
      </c>
      <c r="C2581" t="s">
        <v>1551</v>
      </c>
    </row>
    <row r="2582" spans="1:3" x14ac:dyDescent="0.25">
      <c r="A2582" t="s">
        <v>1532</v>
      </c>
      <c r="B2582" t="s">
        <v>1439</v>
      </c>
      <c r="C2582" t="s">
        <v>1551</v>
      </c>
    </row>
    <row r="2583" spans="1:3" x14ac:dyDescent="0.25">
      <c r="A2583" t="s">
        <v>1532</v>
      </c>
      <c r="B2583" t="s">
        <v>1440</v>
      </c>
      <c r="C2583" t="s">
        <v>1551</v>
      </c>
    </row>
    <row r="2584" spans="1:3" x14ac:dyDescent="0.25">
      <c r="A2584" t="s">
        <v>1532</v>
      </c>
      <c r="B2584" t="s">
        <v>1441</v>
      </c>
      <c r="C2584" t="s">
        <v>1551</v>
      </c>
    </row>
    <row r="2585" spans="1:3" x14ac:dyDescent="0.25">
      <c r="A2585" t="s">
        <v>1532</v>
      </c>
      <c r="B2585" t="s">
        <v>1442</v>
      </c>
      <c r="C2585" t="s">
        <v>1551</v>
      </c>
    </row>
    <row r="2586" spans="1:3" x14ac:dyDescent="0.25">
      <c r="A2586" t="s">
        <v>1532</v>
      </c>
      <c r="B2586" t="s">
        <v>1443</v>
      </c>
      <c r="C2586" t="s">
        <v>1551</v>
      </c>
    </row>
    <row r="2587" spans="1:3" x14ac:dyDescent="0.25">
      <c r="A2587" t="s">
        <v>1532</v>
      </c>
      <c r="B2587" t="s">
        <v>1444</v>
      </c>
      <c r="C2587" t="s">
        <v>1551</v>
      </c>
    </row>
    <row r="2588" spans="1:3" x14ac:dyDescent="0.25">
      <c r="A2588" t="s">
        <v>1532</v>
      </c>
      <c r="B2588" t="s">
        <v>1445</v>
      </c>
      <c r="C2588" t="s">
        <v>1551</v>
      </c>
    </row>
    <row r="2589" spans="1:3" x14ac:dyDescent="0.25">
      <c r="A2589" t="s">
        <v>1532</v>
      </c>
      <c r="B2589" t="s">
        <v>1446</v>
      </c>
      <c r="C2589" t="s">
        <v>1551</v>
      </c>
    </row>
    <row r="2590" spans="1:3" x14ac:dyDescent="0.25">
      <c r="A2590" t="s">
        <v>1532</v>
      </c>
      <c r="B2590" t="s">
        <v>1447</v>
      </c>
      <c r="C2590" t="s">
        <v>1551</v>
      </c>
    </row>
    <row r="2591" spans="1:3" x14ac:dyDescent="0.25">
      <c r="A2591" t="s">
        <v>1532</v>
      </c>
      <c r="B2591" t="s">
        <v>1448</v>
      </c>
      <c r="C2591" t="s">
        <v>1551</v>
      </c>
    </row>
    <row r="2592" spans="1:3" x14ac:dyDescent="0.25">
      <c r="A2592" t="s">
        <v>1532</v>
      </c>
      <c r="B2592" t="s">
        <v>1449</v>
      </c>
      <c r="C2592" t="s">
        <v>1551</v>
      </c>
    </row>
    <row r="2593" spans="1:3" x14ac:dyDescent="0.25">
      <c r="A2593" t="s">
        <v>1532</v>
      </c>
      <c r="B2593" t="s">
        <v>1450</v>
      </c>
      <c r="C2593" t="s">
        <v>1551</v>
      </c>
    </row>
    <row r="2594" spans="1:3" x14ac:dyDescent="0.25">
      <c r="A2594" t="s">
        <v>1532</v>
      </c>
      <c r="B2594" t="s">
        <v>1451</v>
      </c>
      <c r="C2594" t="s">
        <v>1551</v>
      </c>
    </row>
    <row r="2595" spans="1:3" x14ac:dyDescent="0.25">
      <c r="A2595" t="s">
        <v>1532</v>
      </c>
      <c r="B2595" t="s">
        <v>1452</v>
      </c>
      <c r="C2595" t="s">
        <v>1551</v>
      </c>
    </row>
    <row r="2596" spans="1:3" x14ac:dyDescent="0.25">
      <c r="A2596" t="s">
        <v>1532</v>
      </c>
      <c r="B2596" t="s">
        <v>1453</v>
      </c>
      <c r="C2596" t="s">
        <v>1551</v>
      </c>
    </row>
    <row r="2597" spans="1:3" x14ac:dyDescent="0.25">
      <c r="A2597" t="s">
        <v>1532</v>
      </c>
      <c r="B2597" t="s">
        <v>1454</v>
      </c>
      <c r="C2597" t="s">
        <v>1551</v>
      </c>
    </row>
    <row r="2598" spans="1:3" x14ac:dyDescent="0.25">
      <c r="A2598" t="s">
        <v>1532</v>
      </c>
      <c r="B2598" t="s">
        <v>1455</v>
      </c>
      <c r="C2598" t="s">
        <v>1551</v>
      </c>
    </row>
    <row r="2599" spans="1:3" x14ac:dyDescent="0.25">
      <c r="A2599" t="s">
        <v>1532</v>
      </c>
      <c r="B2599" t="s">
        <v>1456</v>
      </c>
      <c r="C2599" t="s">
        <v>1551</v>
      </c>
    </row>
    <row r="2600" spans="1:3" x14ac:dyDescent="0.25">
      <c r="A2600" t="s">
        <v>1532</v>
      </c>
      <c r="B2600" t="s">
        <v>1457</v>
      </c>
      <c r="C2600" t="s">
        <v>1551</v>
      </c>
    </row>
    <row r="2601" spans="1:3" x14ac:dyDescent="0.25">
      <c r="A2601" t="s">
        <v>1532</v>
      </c>
      <c r="B2601" t="s">
        <v>1458</v>
      </c>
      <c r="C2601" t="s">
        <v>1551</v>
      </c>
    </row>
    <row r="2602" spans="1:3" x14ac:dyDescent="0.25">
      <c r="A2602" t="s">
        <v>1532</v>
      </c>
      <c r="B2602" t="s">
        <v>1459</v>
      </c>
      <c r="C2602" t="s">
        <v>1551</v>
      </c>
    </row>
    <row r="2603" spans="1:3" x14ac:dyDescent="0.25">
      <c r="A2603" t="s">
        <v>1532</v>
      </c>
      <c r="B2603" t="s">
        <v>1460</v>
      </c>
      <c r="C2603" t="s">
        <v>1551</v>
      </c>
    </row>
    <row r="2604" spans="1:3" x14ac:dyDescent="0.25">
      <c r="A2604" t="s">
        <v>1532</v>
      </c>
      <c r="B2604" t="s">
        <v>1461</v>
      </c>
      <c r="C2604" t="s">
        <v>1551</v>
      </c>
    </row>
    <row r="2605" spans="1:3" x14ac:dyDescent="0.25">
      <c r="A2605" t="s">
        <v>1532</v>
      </c>
      <c r="B2605" t="s">
        <v>1462</v>
      </c>
      <c r="C2605" t="s">
        <v>1551</v>
      </c>
    </row>
    <row r="2606" spans="1:3" x14ac:dyDescent="0.25">
      <c r="A2606" t="s">
        <v>1532</v>
      </c>
      <c r="B2606" t="s">
        <v>1463</v>
      </c>
      <c r="C2606" t="s">
        <v>1551</v>
      </c>
    </row>
    <row r="2607" spans="1:3" x14ac:dyDescent="0.25">
      <c r="A2607" t="s">
        <v>1532</v>
      </c>
      <c r="B2607" t="s">
        <v>1464</v>
      </c>
      <c r="C2607" t="s">
        <v>1551</v>
      </c>
    </row>
    <row r="2608" spans="1:3" x14ac:dyDescent="0.25">
      <c r="A2608" t="s">
        <v>1532</v>
      </c>
      <c r="B2608" t="s">
        <v>1465</v>
      </c>
      <c r="C2608" t="s">
        <v>1551</v>
      </c>
    </row>
    <row r="2609" spans="1:3" x14ac:dyDescent="0.25">
      <c r="A2609" t="s">
        <v>1532</v>
      </c>
      <c r="B2609" t="s">
        <v>1466</v>
      </c>
      <c r="C2609" t="s">
        <v>1551</v>
      </c>
    </row>
    <row r="2610" spans="1:3" x14ac:dyDescent="0.25">
      <c r="A2610" t="s">
        <v>1532</v>
      </c>
      <c r="B2610" t="s">
        <v>1467</v>
      </c>
      <c r="C2610" t="s">
        <v>1551</v>
      </c>
    </row>
    <row r="2611" spans="1:3" x14ac:dyDescent="0.25">
      <c r="A2611" t="s">
        <v>1532</v>
      </c>
      <c r="B2611" t="s">
        <v>1468</v>
      </c>
      <c r="C2611" t="s">
        <v>1551</v>
      </c>
    </row>
    <row r="2612" spans="1:3" x14ac:dyDescent="0.25">
      <c r="A2612" t="s">
        <v>1532</v>
      </c>
      <c r="B2612" t="s">
        <v>1469</v>
      </c>
      <c r="C2612" t="s">
        <v>1551</v>
      </c>
    </row>
    <row r="2613" spans="1:3" x14ac:dyDescent="0.25">
      <c r="A2613" t="s">
        <v>1532</v>
      </c>
      <c r="B2613" t="s">
        <v>1470</v>
      </c>
      <c r="C2613" t="s">
        <v>1551</v>
      </c>
    </row>
    <row r="2614" spans="1:3" x14ac:dyDescent="0.25">
      <c r="A2614" t="s">
        <v>1532</v>
      </c>
      <c r="B2614" t="s">
        <v>1471</v>
      </c>
      <c r="C2614" t="s">
        <v>1551</v>
      </c>
    </row>
    <row r="2615" spans="1:3" x14ac:dyDescent="0.25">
      <c r="A2615" t="s">
        <v>1532</v>
      </c>
      <c r="B2615" t="s">
        <v>1472</v>
      </c>
      <c r="C2615" t="s">
        <v>1551</v>
      </c>
    </row>
    <row r="2616" spans="1:3" x14ac:dyDescent="0.25">
      <c r="A2616" t="s">
        <v>1532</v>
      </c>
      <c r="B2616" t="s">
        <v>1499</v>
      </c>
      <c r="C2616" t="s">
        <v>1551</v>
      </c>
    </row>
    <row r="2617" spans="1:3" x14ac:dyDescent="0.25">
      <c r="A2617" t="s">
        <v>1532</v>
      </c>
      <c r="B2617" t="s">
        <v>1501</v>
      </c>
      <c r="C2617" t="s">
        <v>1551</v>
      </c>
    </row>
    <row r="2618" spans="1:3" x14ac:dyDescent="0.25">
      <c r="A2618" t="s">
        <v>1532</v>
      </c>
      <c r="B2618" t="s">
        <v>1503</v>
      </c>
      <c r="C2618" t="s">
        <v>1551</v>
      </c>
    </row>
    <row r="2619" spans="1:3" x14ac:dyDescent="0.25">
      <c r="A2619" t="s">
        <v>1532</v>
      </c>
      <c r="B2619" t="s">
        <v>1504</v>
      </c>
      <c r="C2619" t="s">
        <v>1551</v>
      </c>
    </row>
    <row r="2620" spans="1:3" x14ac:dyDescent="0.25">
      <c r="A2620" t="s">
        <v>1532</v>
      </c>
      <c r="B2620" t="s">
        <v>1505</v>
      </c>
      <c r="C2620" t="s">
        <v>1551</v>
      </c>
    </row>
    <row r="2621" spans="1:3" x14ac:dyDescent="0.25">
      <c r="A2621" t="s">
        <v>1532</v>
      </c>
      <c r="B2621" t="s">
        <v>1507</v>
      </c>
      <c r="C2621" t="s">
        <v>1551</v>
      </c>
    </row>
    <row r="2622" spans="1:3" x14ac:dyDescent="0.25">
      <c r="A2622" t="s">
        <v>1532</v>
      </c>
      <c r="B2622" t="s">
        <v>1509</v>
      </c>
      <c r="C2622" t="s">
        <v>1551</v>
      </c>
    </row>
    <row r="2623" spans="1:3" x14ac:dyDescent="0.25">
      <c r="A2623" t="s">
        <v>1532</v>
      </c>
      <c r="B2623" t="s">
        <v>1510</v>
      </c>
      <c r="C2623" t="s">
        <v>1551</v>
      </c>
    </row>
    <row r="2624" spans="1:3" x14ac:dyDescent="0.25">
      <c r="A2624" t="s">
        <v>1532</v>
      </c>
      <c r="B2624" t="s">
        <v>1511</v>
      </c>
      <c r="C2624" t="s">
        <v>1551</v>
      </c>
    </row>
    <row r="2625" spans="1:3" x14ac:dyDescent="0.25">
      <c r="A2625" t="s">
        <v>1532</v>
      </c>
      <c r="B2625" t="s">
        <v>1512</v>
      </c>
      <c r="C2625" t="s">
        <v>1551</v>
      </c>
    </row>
    <row r="2626" spans="1:3" x14ac:dyDescent="0.25">
      <c r="A2626" t="s">
        <v>1532</v>
      </c>
      <c r="B2626" t="s">
        <v>1513</v>
      </c>
      <c r="C2626" t="s">
        <v>1551</v>
      </c>
    </row>
    <row r="2627" spans="1:3" x14ac:dyDescent="0.25">
      <c r="A2627" t="s">
        <v>1532</v>
      </c>
      <c r="B2627" t="s">
        <v>1514</v>
      </c>
      <c r="C2627" t="s">
        <v>1551</v>
      </c>
    </row>
    <row r="2628" spans="1:3" x14ac:dyDescent="0.25">
      <c r="A2628" t="s">
        <v>1532</v>
      </c>
      <c r="B2628" t="s">
        <v>1515</v>
      </c>
      <c r="C2628" t="s">
        <v>1551</v>
      </c>
    </row>
    <row r="2629" spans="1:3" x14ac:dyDescent="0.25">
      <c r="A2629" t="s">
        <v>1532</v>
      </c>
      <c r="B2629" t="s">
        <v>1516</v>
      </c>
      <c r="C2629" t="s">
        <v>1551</v>
      </c>
    </row>
    <row r="2630" spans="1:3" x14ac:dyDescent="0.25">
      <c r="A2630" t="s">
        <v>1532</v>
      </c>
      <c r="B2630" t="s">
        <v>1517</v>
      </c>
      <c r="C2630" t="s">
        <v>1551</v>
      </c>
    </row>
    <row r="2631" spans="1:3" x14ac:dyDescent="0.25">
      <c r="A2631" t="s">
        <v>1532</v>
      </c>
      <c r="B2631" t="s">
        <v>1518</v>
      </c>
      <c r="C2631" t="s">
        <v>1551</v>
      </c>
    </row>
    <row r="2632" spans="1:3" x14ac:dyDescent="0.25">
      <c r="A2632" t="s">
        <v>1532</v>
      </c>
      <c r="B2632" t="s">
        <v>1519</v>
      </c>
      <c r="C2632" t="s">
        <v>1551</v>
      </c>
    </row>
    <row r="2633" spans="1:3" x14ac:dyDescent="0.25">
      <c r="A2633" t="s">
        <v>1532</v>
      </c>
      <c r="B2633" t="s">
        <v>1520</v>
      </c>
      <c r="C2633" t="s">
        <v>1551</v>
      </c>
    </row>
    <row r="2634" spans="1:3" x14ac:dyDescent="0.25">
      <c r="A2634" t="s">
        <v>1532</v>
      </c>
      <c r="B2634" t="s">
        <v>1521</v>
      </c>
      <c r="C2634" t="s">
        <v>1551</v>
      </c>
    </row>
    <row r="2635" spans="1:3" x14ac:dyDescent="0.25">
      <c r="A2635" t="s">
        <v>1532</v>
      </c>
      <c r="B2635" t="s">
        <v>1522</v>
      </c>
      <c r="C2635" t="s">
        <v>1551</v>
      </c>
    </row>
    <row r="2636" spans="1:3" x14ac:dyDescent="0.25">
      <c r="A2636" t="s">
        <v>1532</v>
      </c>
      <c r="B2636" t="s">
        <v>1523</v>
      </c>
      <c r="C2636" t="s">
        <v>1551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61A3-8300-446B-BE28-666ED9141E89}">
  <dimension ref="A1:F959"/>
  <sheetViews>
    <sheetView workbookViewId="0">
      <selection activeCell="L1" sqref="L1"/>
    </sheetView>
  </sheetViews>
  <sheetFormatPr defaultRowHeight="15" x14ac:dyDescent="0.25"/>
  <cols>
    <col min="3" max="3" width="23.42578125" customWidth="1"/>
    <col min="4" max="4" width="20.42578125" bestFit="1" customWidth="1"/>
    <col min="5" max="5" width="30.85546875" bestFit="1" customWidth="1"/>
    <col min="6" max="6" width="29.7109375" bestFit="1" customWidth="1"/>
  </cols>
  <sheetData>
    <row r="1" spans="1:6" x14ac:dyDescent="0.25">
      <c r="A1" t="s">
        <v>1527</v>
      </c>
      <c r="B1" t="s">
        <v>1220</v>
      </c>
      <c r="C1" t="s">
        <v>1222</v>
      </c>
      <c r="D1" t="s">
        <v>1223</v>
      </c>
      <c r="E1" t="s">
        <v>1525</v>
      </c>
      <c r="F1" t="s">
        <v>1526</v>
      </c>
    </row>
    <row r="2" spans="1:6" x14ac:dyDescent="0.25">
      <c r="A2" t="s">
        <v>1531</v>
      </c>
      <c r="B2" t="s">
        <v>11</v>
      </c>
      <c r="C2">
        <v>1</v>
      </c>
      <c r="E2">
        <v>1</v>
      </c>
      <c r="F2">
        <v>0</v>
      </c>
    </row>
    <row r="3" spans="1:6" x14ac:dyDescent="0.25">
      <c r="A3" t="s">
        <v>1531</v>
      </c>
      <c r="B3" t="s">
        <v>12</v>
      </c>
      <c r="C3">
        <v>1</v>
      </c>
      <c r="E3">
        <v>1</v>
      </c>
      <c r="F3">
        <v>1</v>
      </c>
    </row>
    <row r="4" spans="1:6" x14ac:dyDescent="0.25">
      <c r="A4" t="s">
        <v>1531</v>
      </c>
      <c r="B4" t="s">
        <v>13</v>
      </c>
      <c r="C4">
        <v>1</v>
      </c>
      <c r="E4">
        <v>1</v>
      </c>
      <c r="F4">
        <v>0</v>
      </c>
    </row>
    <row r="5" spans="1:6" x14ac:dyDescent="0.25">
      <c r="A5" t="s">
        <v>1531</v>
      </c>
      <c r="B5" t="s">
        <v>18</v>
      </c>
      <c r="C5">
        <v>1</v>
      </c>
      <c r="E5">
        <v>1</v>
      </c>
      <c r="F5">
        <v>1</v>
      </c>
    </row>
    <row r="6" spans="1:6" x14ac:dyDescent="0.25">
      <c r="A6" t="s">
        <v>1531</v>
      </c>
      <c r="B6" t="s">
        <v>19</v>
      </c>
      <c r="C6">
        <v>1</v>
      </c>
      <c r="E6">
        <v>1</v>
      </c>
      <c r="F6">
        <v>0</v>
      </c>
    </row>
    <row r="7" spans="1:6" x14ac:dyDescent="0.25">
      <c r="A7" t="s">
        <v>1531</v>
      </c>
      <c r="B7" t="s">
        <v>20</v>
      </c>
      <c r="C7">
        <v>1</v>
      </c>
      <c r="E7">
        <v>1</v>
      </c>
      <c r="F7">
        <v>1</v>
      </c>
    </row>
    <row r="8" spans="1:6" x14ac:dyDescent="0.25">
      <c r="A8" t="s">
        <v>1531</v>
      </c>
      <c r="B8" t="s">
        <v>21</v>
      </c>
      <c r="C8">
        <v>1</v>
      </c>
      <c r="E8">
        <v>1</v>
      </c>
      <c r="F8">
        <v>0</v>
      </c>
    </row>
    <row r="9" spans="1:6" x14ac:dyDescent="0.25">
      <c r="A9" t="s">
        <v>1531</v>
      </c>
      <c r="B9" t="s">
        <v>22</v>
      </c>
      <c r="C9">
        <v>1</v>
      </c>
      <c r="E9">
        <v>1</v>
      </c>
      <c r="F9">
        <v>1</v>
      </c>
    </row>
    <row r="10" spans="1:6" x14ac:dyDescent="0.25">
      <c r="A10" t="s">
        <v>1531</v>
      </c>
      <c r="B10" t="s">
        <v>23</v>
      </c>
      <c r="C10">
        <v>1</v>
      </c>
      <c r="E10">
        <v>1</v>
      </c>
      <c r="F10">
        <v>0</v>
      </c>
    </row>
    <row r="11" spans="1:6" x14ac:dyDescent="0.25">
      <c r="A11" t="s">
        <v>1531</v>
      </c>
      <c r="B11" t="s">
        <v>24</v>
      </c>
      <c r="C11">
        <v>1</v>
      </c>
      <c r="E11">
        <v>1</v>
      </c>
      <c r="F11">
        <v>1</v>
      </c>
    </row>
    <row r="12" spans="1:6" x14ac:dyDescent="0.25">
      <c r="A12" t="s">
        <v>1531</v>
      </c>
      <c r="B12" t="s">
        <v>25</v>
      </c>
      <c r="C12">
        <v>1</v>
      </c>
      <c r="E12">
        <v>1</v>
      </c>
      <c r="F12">
        <v>0</v>
      </c>
    </row>
    <row r="13" spans="1:6" x14ac:dyDescent="0.25">
      <c r="A13" t="s">
        <v>1531</v>
      </c>
      <c r="B13" t="s">
        <v>26</v>
      </c>
      <c r="C13">
        <v>1</v>
      </c>
      <c r="E13">
        <v>0</v>
      </c>
      <c r="F13">
        <v>0</v>
      </c>
    </row>
    <row r="14" spans="1:6" x14ac:dyDescent="0.25">
      <c r="A14" t="s">
        <v>1531</v>
      </c>
      <c r="B14" t="s">
        <v>27</v>
      </c>
      <c r="C14">
        <v>1</v>
      </c>
      <c r="E14">
        <v>0</v>
      </c>
      <c r="F14">
        <v>0</v>
      </c>
    </row>
    <row r="15" spans="1:6" x14ac:dyDescent="0.25">
      <c r="A15" t="s">
        <v>1531</v>
      </c>
      <c r="B15" t="s">
        <v>28</v>
      </c>
      <c r="C15">
        <v>1</v>
      </c>
      <c r="E15">
        <v>0</v>
      </c>
      <c r="F15">
        <v>0</v>
      </c>
    </row>
    <row r="16" spans="1:6" x14ac:dyDescent="0.25">
      <c r="A16" t="s">
        <v>1531</v>
      </c>
      <c r="B16" t="s">
        <v>29</v>
      </c>
      <c r="C16">
        <v>1</v>
      </c>
      <c r="E16">
        <v>0</v>
      </c>
      <c r="F16">
        <v>0</v>
      </c>
    </row>
    <row r="17" spans="1:6" x14ac:dyDescent="0.25">
      <c r="A17" t="s">
        <v>1531</v>
      </c>
      <c r="B17" t="s">
        <v>30</v>
      </c>
      <c r="C17">
        <v>1</v>
      </c>
      <c r="E17">
        <v>0</v>
      </c>
      <c r="F17">
        <v>0</v>
      </c>
    </row>
    <row r="18" spans="1:6" x14ac:dyDescent="0.25">
      <c r="A18" t="s">
        <v>1531</v>
      </c>
      <c r="B18" t="s">
        <v>31</v>
      </c>
      <c r="C18">
        <v>1</v>
      </c>
      <c r="E18">
        <v>0</v>
      </c>
      <c r="F18">
        <v>0</v>
      </c>
    </row>
    <row r="19" spans="1:6" x14ac:dyDescent="0.25">
      <c r="A19" t="s">
        <v>1531</v>
      </c>
      <c r="B19" t="s">
        <v>32</v>
      </c>
      <c r="C19">
        <v>1</v>
      </c>
      <c r="E19">
        <v>0</v>
      </c>
      <c r="F19">
        <v>0</v>
      </c>
    </row>
    <row r="20" spans="1:6" x14ac:dyDescent="0.25">
      <c r="A20" t="s">
        <v>1531</v>
      </c>
      <c r="B20" t="s">
        <v>33</v>
      </c>
      <c r="C20">
        <v>1</v>
      </c>
      <c r="E20">
        <v>0</v>
      </c>
      <c r="F20">
        <v>0</v>
      </c>
    </row>
    <row r="21" spans="1:6" x14ac:dyDescent="0.25">
      <c r="A21" t="s">
        <v>1531</v>
      </c>
      <c r="B21" t="s">
        <v>34</v>
      </c>
      <c r="C21">
        <v>1</v>
      </c>
      <c r="E21">
        <v>0</v>
      </c>
      <c r="F21">
        <v>0</v>
      </c>
    </row>
    <row r="22" spans="1:6" x14ac:dyDescent="0.25">
      <c r="A22" t="s">
        <v>1531</v>
      </c>
      <c r="B22" t="s">
        <v>35</v>
      </c>
      <c r="C22">
        <v>1</v>
      </c>
      <c r="E22">
        <v>0</v>
      </c>
      <c r="F22">
        <v>0</v>
      </c>
    </row>
    <row r="23" spans="1:6" x14ac:dyDescent="0.25">
      <c r="A23" t="s">
        <v>1531</v>
      </c>
      <c r="B23" t="s">
        <v>36</v>
      </c>
      <c r="C23">
        <v>1</v>
      </c>
      <c r="E23">
        <v>0</v>
      </c>
      <c r="F23">
        <v>0</v>
      </c>
    </row>
    <row r="24" spans="1:6" x14ac:dyDescent="0.25">
      <c r="A24" t="s">
        <v>1531</v>
      </c>
      <c r="B24" t="s">
        <v>37</v>
      </c>
      <c r="C24">
        <v>1</v>
      </c>
      <c r="E24">
        <v>0</v>
      </c>
      <c r="F24">
        <v>0</v>
      </c>
    </row>
    <row r="25" spans="1:6" x14ac:dyDescent="0.25">
      <c r="A25" t="s">
        <v>1531</v>
      </c>
      <c r="B25" t="s">
        <v>38</v>
      </c>
      <c r="C25">
        <v>1</v>
      </c>
      <c r="E25">
        <v>0</v>
      </c>
      <c r="F25">
        <v>0</v>
      </c>
    </row>
    <row r="26" spans="1:6" x14ac:dyDescent="0.25">
      <c r="A26" t="s">
        <v>1531</v>
      </c>
      <c r="B26" t="s">
        <v>39</v>
      </c>
      <c r="C26">
        <v>1</v>
      </c>
      <c r="E26">
        <v>0</v>
      </c>
      <c r="F26">
        <v>0</v>
      </c>
    </row>
    <row r="27" spans="1:6" x14ac:dyDescent="0.25">
      <c r="A27" t="s">
        <v>1531</v>
      </c>
      <c r="B27" t="s">
        <v>40</v>
      </c>
      <c r="C27">
        <v>1</v>
      </c>
      <c r="E27">
        <v>0</v>
      </c>
      <c r="F27">
        <v>0</v>
      </c>
    </row>
    <row r="28" spans="1:6" x14ac:dyDescent="0.25">
      <c r="A28" t="s">
        <v>1531</v>
      </c>
      <c r="B28" t="s">
        <v>41</v>
      </c>
      <c r="C28">
        <v>1</v>
      </c>
      <c r="E28">
        <v>0</v>
      </c>
      <c r="F28">
        <v>0</v>
      </c>
    </row>
    <row r="29" spans="1:6" x14ac:dyDescent="0.25">
      <c r="A29" t="s">
        <v>1531</v>
      </c>
      <c r="B29" t="s">
        <v>42</v>
      </c>
      <c r="C29">
        <v>1</v>
      </c>
      <c r="E29">
        <v>0</v>
      </c>
      <c r="F29">
        <v>0</v>
      </c>
    </row>
    <row r="30" spans="1:6" x14ac:dyDescent="0.25">
      <c r="A30" t="s">
        <v>1531</v>
      </c>
      <c r="B30" t="s">
        <v>43</v>
      </c>
      <c r="C30">
        <v>1</v>
      </c>
      <c r="E30">
        <v>0</v>
      </c>
      <c r="F30">
        <v>0</v>
      </c>
    </row>
    <row r="31" spans="1:6" x14ac:dyDescent="0.25">
      <c r="A31" t="s">
        <v>1531</v>
      </c>
      <c r="B31" t="s">
        <v>44</v>
      </c>
      <c r="C31">
        <v>1</v>
      </c>
      <c r="E31">
        <v>0</v>
      </c>
      <c r="F31">
        <v>0</v>
      </c>
    </row>
    <row r="32" spans="1:6" x14ac:dyDescent="0.25">
      <c r="A32" t="s">
        <v>1531</v>
      </c>
      <c r="B32" t="s">
        <v>45</v>
      </c>
      <c r="D32">
        <v>1</v>
      </c>
      <c r="E32">
        <v>1</v>
      </c>
      <c r="F32">
        <v>0</v>
      </c>
    </row>
    <row r="33" spans="1:6" x14ac:dyDescent="0.25">
      <c r="A33" t="s">
        <v>1531</v>
      </c>
      <c r="B33" t="s">
        <v>1091</v>
      </c>
      <c r="D33">
        <v>1</v>
      </c>
      <c r="E33">
        <v>1</v>
      </c>
      <c r="F33">
        <v>1</v>
      </c>
    </row>
    <row r="34" spans="1:6" x14ac:dyDescent="0.25">
      <c r="A34" t="s">
        <v>1531</v>
      </c>
      <c r="B34" t="s">
        <v>47</v>
      </c>
      <c r="D34">
        <v>1</v>
      </c>
      <c r="E34">
        <v>1</v>
      </c>
      <c r="F34">
        <v>0</v>
      </c>
    </row>
    <row r="35" spans="1:6" x14ac:dyDescent="0.25">
      <c r="A35" t="s">
        <v>1531</v>
      </c>
      <c r="B35" t="s">
        <v>48</v>
      </c>
      <c r="D35">
        <v>1</v>
      </c>
      <c r="E35">
        <v>1</v>
      </c>
      <c r="F35">
        <v>1</v>
      </c>
    </row>
    <row r="36" spans="1:6" x14ac:dyDescent="0.25">
      <c r="A36" t="s">
        <v>1531</v>
      </c>
      <c r="B36" t="s">
        <v>51</v>
      </c>
      <c r="D36">
        <v>1</v>
      </c>
      <c r="E36">
        <v>1</v>
      </c>
      <c r="F36">
        <v>0</v>
      </c>
    </row>
    <row r="37" spans="1:6" x14ac:dyDescent="0.25">
      <c r="A37" t="s">
        <v>1531</v>
      </c>
      <c r="B37" t="s">
        <v>52</v>
      </c>
      <c r="D37">
        <v>1</v>
      </c>
      <c r="E37">
        <v>0</v>
      </c>
      <c r="F37">
        <v>0</v>
      </c>
    </row>
    <row r="38" spans="1:6" x14ac:dyDescent="0.25">
      <c r="A38" t="s">
        <v>1531</v>
      </c>
      <c r="B38" t="s">
        <v>53</v>
      </c>
      <c r="D38">
        <v>1</v>
      </c>
      <c r="E38">
        <v>0</v>
      </c>
      <c r="F38">
        <v>0</v>
      </c>
    </row>
    <row r="39" spans="1:6" x14ac:dyDescent="0.25">
      <c r="A39" t="s">
        <v>1531</v>
      </c>
      <c r="B39" t="s">
        <v>54</v>
      </c>
      <c r="D39">
        <v>1</v>
      </c>
      <c r="E39">
        <v>0</v>
      </c>
      <c r="F39">
        <v>0</v>
      </c>
    </row>
    <row r="40" spans="1:6" x14ac:dyDescent="0.25">
      <c r="A40" t="s">
        <v>1531</v>
      </c>
      <c r="B40" t="s">
        <v>55</v>
      </c>
      <c r="D40">
        <v>1</v>
      </c>
      <c r="E40">
        <v>0</v>
      </c>
      <c r="F40">
        <v>0</v>
      </c>
    </row>
    <row r="41" spans="1:6" x14ac:dyDescent="0.25">
      <c r="A41" t="s">
        <v>1531</v>
      </c>
      <c r="B41" t="s">
        <v>56</v>
      </c>
      <c r="D41">
        <v>1</v>
      </c>
      <c r="E41">
        <v>0</v>
      </c>
      <c r="F41">
        <v>0</v>
      </c>
    </row>
    <row r="42" spans="1:6" x14ac:dyDescent="0.25">
      <c r="A42" t="s">
        <v>1531</v>
      </c>
      <c r="B42" t="s">
        <v>57</v>
      </c>
      <c r="D42">
        <v>1</v>
      </c>
      <c r="E42">
        <v>0</v>
      </c>
      <c r="F42">
        <v>0</v>
      </c>
    </row>
    <row r="43" spans="1:6" x14ac:dyDescent="0.25">
      <c r="A43" t="s">
        <v>1531</v>
      </c>
      <c r="B43" t="s">
        <v>58</v>
      </c>
      <c r="D43">
        <v>1</v>
      </c>
      <c r="E43">
        <v>0</v>
      </c>
      <c r="F43">
        <v>0</v>
      </c>
    </row>
    <row r="44" spans="1:6" x14ac:dyDescent="0.25">
      <c r="A44" t="s">
        <v>1531</v>
      </c>
      <c r="B44" t="s">
        <v>59</v>
      </c>
      <c r="D44">
        <v>1</v>
      </c>
      <c r="E44">
        <v>0</v>
      </c>
      <c r="F44">
        <v>0</v>
      </c>
    </row>
    <row r="45" spans="1:6" x14ac:dyDescent="0.25">
      <c r="A45" t="s">
        <v>1531</v>
      </c>
      <c r="B45" t="s">
        <v>60</v>
      </c>
      <c r="D45">
        <v>1</v>
      </c>
      <c r="E45">
        <v>0</v>
      </c>
      <c r="F45">
        <v>0</v>
      </c>
    </row>
    <row r="46" spans="1:6" x14ac:dyDescent="0.25">
      <c r="A46" t="s">
        <v>1531</v>
      </c>
      <c r="B46" t="s">
        <v>61</v>
      </c>
      <c r="D46">
        <v>1</v>
      </c>
      <c r="E46">
        <v>0</v>
      </c>
      <c r="F46">
        <v>0</v>
      </c>
    </row>
    <row r="47" spans="1:6" x14ac:dyDescent="0.25">
      <c r="A47" t="s">
        <v>1531</v>
      </c>
      <c r="B47" t="s">
        <v>62</v>
      </c>
      <c r="D47">
        <v>1</v>
      </c>
      <c r="E47">
        <v>0</v>
      </c>
      <c r="F47">
        <v>0</v>
      </c>
    </row>
    <row r="48" spans="1:6" x14ac:dyDescent="0.25">
      <c r="A48" t="s">
        <v>1531</v>
      </c>
      <c r="B48" t="s">
        <v>63</v>
      </c>
      <c r="D48">
        <v>1</v>
      </c>
      <c r="E48">
        <v>0</v>
      </c>
      <c r="F48">
        <v>0</v>
      </c>
    </row>
    <row r="49" spans="1:6" x14ac:dyDescent="0.25">
      <c r="A49" t="s">
        <v>1531</v>
      </c>
      <c r="B49" t="s">
        <v>1092</v>
      </c>
      <c r="D49">
        <v>1</v>
      </c>
      <c r="E49">
        <v>0</v>
      </c>
      <c r="F49">
        <v>0</v>
      </c>
    </row>
    <row r="50" spans="1:6" x14ac:dyDescent="0.25">
      <c r="A50" t="s">
        <v>1531</v>
      </c>
      <c r="B50" t="s">
        <v>65</v>
      </c>
      <c r="D50">
        <v>1</v>
      </c>
      <c r="E50">
        <v>0</v>
      </c>
      <c r="F50">
        <v>0</v>
      </c>
    </row>
    <row r="51" spans="1:6" x14ac:dyDescent="0.25">
      <c r="A51" t="s">
        <v>1531</v>
      </c>
      <c r="B51" t="s">
        <v>66</v>
      </c>
      <c r="D51">
        <v>1</v>
      </c>
      <c r="E51">
        <v>0</v>
      </c>
      <c r="F51">
        <v>0</v>
      </c>
    </row>
    <row r="52" spans="1:6" x14ac:dyDescent="0.25">
      <c r="A52" t="s">
        <v>1531</v>
      </c>
      <c r="B52" t="s">
        <v>67</v>
      </c>
      <c r="D52">
        <v>1</v>
      </c>
      <c r="E52">
        <v>0</v>
      </c>
      <c r="F52">
        <v>0</v>
      </c>
    </row>
    <row r="53" spans="1:6" x14ac:dyDescent="0.25">
      <c r="A53" t="s">
        <v>1531</v>
      </c>
      <c r="B53" t="s">
        <v>68</v>
      </c>
      <c r="E53">
        <v>1</v>
      </c>
      <c r="F53">
        <v>1</v>
      </c>
    </row>
    <row r="54" spans="1:6" x14ac:dyDescent="0.25">
      <c r="A54" t="s">
        <v>1531</v>
      </c>
      <c r="B54" t="s">
        <v>70</v>
      </c>
      <c r="E54">
        <v>1</v>
      </c>
      <c r="F54">
        <v>1</v>
      </c>
    </row>
    <row r="55" spans="1:6" x14ac:dyDescent="0.25">
      <c r="A55" t="s">
        <v>1531</v>
      </c>
      <c r="B55" t="s">
        <v>72</v>
      </c>
      <c r="E55">
        <v>1</v>
      </c>
      <c r="F55">
        <v>1</v>
      </c>
    </row>
    <row r="56" spans="1:6" x14ac:dyDescent="0.25">
      <c r="A56" t="s">
        <v>1531</v>
      </c>
      <c r="B56" t="s">
        <v>74</v>
      </c>
      <c r="E56">
        <v>1</v>
      </c>
      <c r="F56">
        <v>1</v>
      </c>
    </row>
    <row r="57" spans="1:6" x14ac:dyDescent="0.25">
      <c r="A57" t="s">
        <v>1531</v>
      </c>
      <c r="B57" t="s">
        <v>76</v>
      </c>
      <c r="E57">
        <v>1</v>
      </c>
      <c r="F57">
        <v>1</v>
      </c>
    </row>
    <row r="58" spans="1:6" x14ac:dyDescent="0.25">
      <c r="A58" t="s">
        <v>1531</v>
      </c>
      <c r="B58" t="s">
        <v>78</v>
      </c>
      <c r="E58">
        <v>1</v>
      </c>
      <c r="F58">
        <v>1</v>
      </c>
    </row>
    <row r="59" spans="1:6" x14ac:dyDescent="0.25">
      <c r="A59" t="s">
        <v>1531</v>
      </c>
      <c r="B59" t="s">
        <v>80</v>
      </c>
      <c r="E59">
        <v>1</v>
      </c>
      <c r="F59">
        <v>1</v>
      </c>
    </row>
    <row r="60" spans="1:6" x14ac:dyDescent="0.25">
      <c r="A60" t="s">
        <v>1531</v>
      </c>
      <c r="B60" t="s">
        <v>82</v>
      </c>
      <c r="E60">
        <v>1</v>
      </c>
      <c r="F60">
        <v>1</v>
      </c>
    </row>
    <row r="61" spans="1:6" x14ac:dyDescent="0.25">
      <c r="A61" t="s">
        <v>1531</v>
      </c>
      <c r="B61" t="s">
        <v>85</v>
      </c>
      <c r="E61">
        <v>1</v>
      </c>
      <c r="F61">
        <v>1</v>
      </c>
    </row>
    <row r="62" spans="1:6" x14ac:dyDescent="0.25">
      <c r="A62" t="s">
        <v>1531</v>
      </c>
      <c r="B62" t="s">
        <v>87</v>
      </c>
      <c r="E62">
        <v>1</v>
      </c>
      <c r="F62">
        <v>1</v>
      </c>
    </row>
    <row r="63" spans="1:6" x14ac:dyDescent="0.25">
      <c r="A63" t="s">
        <v>1531</v>
      </c>
      <c r="B63" t="s">
        <v>89</v>
      </c>
      <c r="E63">
        <v>1</v>
      </c>
      <c r="F63">
        <v>1</v>
      </c>
    </row>
    <row r="64" spans="1:6" x14ac:dyDescent="0.25">
      <c r="A64" t="s">
        <v>1531</v>
      </c>
      <c r="B64" t="s">
        <v>91</v>
      </c>
      <c r="E64">
        <v>1</v>
      </c>
      <c r="F64">
        <v>1</v>
      </c>
    </row>
    <row r="65" spans="1:6" x14ac:dyDescent="0.25">
      <c r="A65" t="s">
        <v>1531</v>
      </c>
      <c r="B65" t="s">
        <v>93</v>
      </c>
      <c r="E65">
        <v>1</v>
      </c>
      <c r="F65">
        <v>1</v>
      </c>
    </row>
    <row r="66" spans="1:6" x14ac:dyDescent="0.25">
      <c r="A66" t="s">
        <v>1531</v>
      </c>
      <c r="B66" t="s">
        <v>95</v>
      </c>
      <c r="E66">
        <v>1</v>
      </c>
      <c r="F66">
        <v>1</v>
      </c>
    </row>
    <row r="67" spans="1:6" x14ac:dyDescent="0.25">
      <c r="A67" t="s">
        <v>1531</v>
      </c>
      <c r="B67" t="s">
        <v>1102</v>
      </c>
      <c r="C67">
        <v>1</v>
      </c>
      <c r="E67">
        <v>1</v>
      </c>
      <c r="F67">
        <v>0</v>
      </c>
    </row>
    <row r="68" spans="1:6" x14ac:dyDescent="0.25">
      <c r="A68" t="s">
        <v>1531</v>
      </c>
      <c r="B68" t="s">
        <v>1103</v>
      </c>
      <c r="C68">
        <v>1</v>
      </c>
      <c r="E68">
        <v>1</v>
      </c>
      <c r="F68">
        <v>1</v>
      </c>
    </row>
    <row r="69" spans="1:6" x14ac:dyDescent="0.25">
      <c r="A69" t="s">
        <v>1531</v>
      </c>
      <c r="B69" t="s">
        <v>1104</v>
      </c>
      <c r="C69">
        <v>1</v>
      </c>
      <c r="E69">
        <v>1</v>
      </c>
      <c r="F69">
        <v>0</v>
      </c>
    </row>
    <row r="70" spans="1:6" x14ac:dyDescent="0.25">
      <c r="A70" t="s">
        <v>1531</v>
      </c>
      <c r="B70" t="s">
        <v>199</v>
      </c>
      <c r="C70">
        <v>1</v>
      </c>
      <c r="E70">
        <v>1</v>
      </c>
      <c r="F70">
        <v>1</v>
      </c>
    </row>
    <row r="71" spans="1:6" x14ac:dyDescent="0.25">
      <c r="A71" t="s">
        <v>1531</v>
      </c>
      <c r="B71" t="s">
        <v>200</v>
      </c>
      <c r="C71">
        <v>1</v>
      </c>
      <c r="E71">
        <v>1</v>
      </c>
      <c r="F71">
        <v>0</v>
      </c>
    </row>
    <row r="72" spans="1:6" x14ac:dyDescent="0.25">
      <c r="A72" t="s">
        <v>1531</v>
      </c>
      <c r="B72" t="s">
        <v>201</v>
      </c>
      <c r="C72">
        <v>1</v>
      </c>
      <c r="E72">
        <v>1</v>
      </c>
      <c r="F72">
        <v>1</v>
      </c>
    </row>
    <row r="73" spans="1:6" x14ac:dyDescent="0.25">
      <c r="A73" t="s">
        <v>1531</v>
      </c>
      <c r="B73" t="s">
        <v>206</v>
      </c>
      <c r="C73">
        <v>1</v>
      </c>
      <c r="E73">
        <v>1</v>
      </c>
      <c r="F73">
        <v>0</v>
      </c>
    </row>
    <row r="74" spans="1:6" x14ac:dyDescent="0.25">
      <c r="A74" t="s">
        <v>1531</v>
      </c>
      <c r="B74" t="s">
        <v>207</v>
      </c>
      <c r="C74">
        <v>1</v>
      </c>
      <c r="E74">
        <v>1</v>
      </c>
      <c r="F74">
        <v>1</v>
      </c>
    </row>
    <row r="75" spans="1:6" x14ac:dyDescent="0.25">
      <c r="A75" t="s">
        <v>1531</v>
      </c>
      <c r="B75" t="s">
        <v>208</v>
      </c>
      <c r="C75">
        <v>1</v>
      </c>
      <c r="E75">
        <v>1</v>
      </c>
      <c r="F75">
        <v>0</v>
      </c>
    </row>
    <row r="76" spans="1:6" x14ac:dyDescent="0.25">
      <c r="A76" t="s">
        <v>1531</v>
      </c>
      <c r="B76" t="s">
        <v>209</v>
      </c>
      <c r="C76">
        <v>1</v>
      </c>
      <c r="E76">
        <v>1</v>
      </c>
      <c r="F76">
        <v>1</v>
      </c>
    </row>
    <row r="77" spans="1:6" x14ac:dyDescent="0.25">
      <c r="A77" t="s">
        <v>1531</v>
      </c>
      <c r="B77" t="s">
        <v>210</v>
      </c>
      <c r="C77">
        <v>1</v>
      </c>
      <c r="E77">
        <v>1</v>
      </c>
      <c r="F77">
        <v>0</v>
      </c>
    </row>
    <row r="78" spans="1:6" x14ac:dyDescent="0.25">
      <c r="A78" t="s">
        <v>1531</v>
      </c>
      <c r="B78" t="s">
        <v>211</v>
      </c>
      <c r="C78">
        <v>1</v>
      </c>
      <c r="E78">
        <v>1</v>
      </c>
      <c r="F78">
        <v>1</v>
      </c>
    </row>
    <row r="79" spans="1:6" x14ac:dyDescent="0.25">
      <c r="A79" t="s">
        <v>1531</v>
      </c>
      <c r="B79" t="s">
        <v>212</v>
      </c>
      <c r="C79">
        <v>1</v>
      </c>
      <c r="E79">
        <v>1</v>
      </c>
      <c r="F79">
        <v>0</v>
      </c>
    </row>
    <row r="80" spans="1:6" x14ac:dyDescent="0.25">
      <c r="A80" t="s">
        <v>1531</v>
      </c>
      <c r="B80" t="s">
        <v>213</v>
      </c>
      <c r="C80">
        <v>1</v>
      </c>
      <c r="E80">
        <v>1</v>
      </c>
      <c r="F80">
        <v>1</v>
      </c>
    </row>
    <row r="81" spans="1:6" x14ac:dyDescent="0.25">
      <c r="A81" t="s">
        <v>1531</v>
      </c>
      <c r="B81" t="s">
        <v>214</v>
      </c>
      <c r="C81">
        <v>1</v>
      </c>
      <c r="E81">
        <v>1</v>
      </c>
      <c r="F81">
        <v>0</v>
      </c>
    </row>
    <row r="82" spans="1:6" x14ac:dyDescent="0.25">
      <c r="A82" t="s">
        <v>1531</v>
      </c>
      <c r="B82" t="s">
        <v>215</v>
      </c>
      <c r="C82">
        <v>1</v>
      </c>
      <c r="E82">
        <v>1</v>
      </c>
      <c r="F82">
        <v>1</v>
      </c>
    </row>
    <row r="83" spans="1:6" x14ac:dyDescent="0.25">
      <c r="A83" t="s">
        <v>1531</v>
      </c>
      <c r="B83" t="s">
        <v>216</v>
      </c>
      <c r="C83">
        <v>1</v>
      </c>
      <c r="E83">
        <v>1</v>
      </c>
      <c r="F83">
        <v>0</v>
      </c>
    </row>
    <row r="84" spans="1:6" x14ac:dyDescent="0.25">
      <c r="A84" t="s">
        <v>1531</v>
      </c>
      <c r="B84" t="s">
        <v>217</v>
      </c>
      <c r="C84">
        <v>1</v>
      </c>
      <c r="E84">
        <v>1</v>
      </c>
      <c r="F84">
        <v>1</v>
      </c>
    </row>
    <row r="85" spans="1:6" x14ac:dyDescent="0.25">
      <c r="A85" t="s">
        <v>1531</v>
      </c>
      <c r="B85" t="s">
        <v>218</v>
      </c>
      <c r="C85">
        <v>1</v>
      </c>
      <c r="E85">
        <v>1</v>
      </c>
      <c r="F85">
        <v>0</v>
      </c>
    </row>
    <row r="86" spans="1:6" x14ac:dyDescent="0.25">
      <c r="A86" t="s">
        <v>1531</v>
      </c>
      <c r="B86" t="s">
        <v>219</v>
      </c>
      <c r="C86">
        <v>1</v>
      </c>
      <c r="E86">
        <v>0</v>
      </c>
      <c r="F86">
        <v>0</v>
      </c>
    </row>
    <row r="87" spans="1:6" x14ac:dyDescent="0.25">
      <c r="A87" t="s">
        <v>1531</v>
      </c>
      <c r="B87" t="s">
        <v>220</v>
      </c>
      <c r="C87">
        <v>1</v>
      </c>
      <c r="E87">
        <v>0</v>
      </c>
      <c r="F87">
        <v>0</v>
      </c>
    </row>
    <row r="88" spans="1:6" x14ac:dyDescent="0.25">
      <c r="A88" t="s">
        <v>1531</v>
      </c>
      <c r="B88" t="s">
        <v>221</v>
      </c>
      <c r="C88">
        <v>1</v>
      </c>
      <c r="E88">
        <v>0</v>
      </c>
      <c r="F88">
        <v>0</v>
      </c>
    </row>
    <row r="89" spans="1:6" x14ac:dyDescent="0.25">
      <c r="A89" t="s">
        <v>1531</v>
      </c>
      <c r="B89" t="s">
        <v>222</v>
      </c>
      <c r="C89">
        <v>1</v>
      </c>
      <c r="E89">
        <v>0</v>
      </c>
      <c r="F89">
        <v>0</v>
      </c>
    </row>
    <row r="90" spans="1:6" x14ac:dyDescent="0.25">
      <c r="A90" t="s">
        <v>1531</v>
      </c>
      <c r="B90" t="s">
        <v>223</v>
      </c>
      <c r="C90">
        <v>1</v>
      </c>
      <c r="E90">
        <v>0</v>
      </c>
      <c r="F90">
        <v>0</v>
      </c>
    </row>
    <row r="91" spans="1:6" x14ac:dyDescent="0.25">
      <c r="A91" t="s">
        <v>1531</v>
      </c>
      <c r="B91" t="s">
        <v>224</v>
      </c>
      <c r="C91">
        <v>1</v>
      </c>
      <c r="E91">
        <v>0</v>
      </c>
      <c r="F91">
        <v>0</v>
      </c>
    </row>
    <row r="92" spans="1:6" x14ac:dyDescent="0.25">
      <c r="A92" t="s">
        <v>1531</v>
      </c>
      <c r="B92" t="s">
        <v>225</v>
      </c>
      <c r="C92">
        <v>1</v>
      </c>
      <c r="E92">
        <v>0</v>
      </c>
      <c r="F92">
        <v>0</v>
      </c>
    </row>
    <row r="93" spans="1:6" x14ac:dyDescent="0.25">
      <c r="A93" t="s">
        <v>1531</v>
      </c>
      <c r="B93" t="s">
        <v>226</v>
      </c>
      <c r="C93">
        <v>1</v>
      </c>
      <c r="E93">
        <v>0</v>
      </c>
      <c r="F93">
        <v>0</v>
      </c>
    </row>
    <row r="94" spans="1:6" x14ac:dyDescent="0.25">
      <c r="A94" t="s">
        <v>1531</v>
      </c>
      <c r="B94" t="s">
        <v>227</v>
      </c>
      <c r="C94">
        <v>1</v>
      </c>
      <c r="E94">
        <v>0</v>
      </c>
      <c r="F94">
        <v>0</v>
      </c>
    </row>
    <row r="95" spans="1:6" x14ac:dyDescent="0.25">
      <c r="A95" t="s">
        <v>1531</v>
      </c>
      <c r="B95" t="s">
        <v>228</v>
      </c>
      <c r="C95">
        <v>1</v>
      </c>
      <c r="E95">
        <v>0</v>
      </c>
      <c r="F95">
        <v>0</v>
      </c>
    </row>
    <row r="96" spans="1:6" x14ac:dyDescent="0.25">
      <c r="A96" t="s">
        <v>1531</v>
      </c>
      <c r="B96" t="s">
        <v>229</v>
      </c>
      <c r="C96">
        <v>1</v>
      </c>
      <c r="E96">
        <v>0</v>
      </c>
      <c r="F96">
        <v>0</v>
      </c>
    </row>
    <row r="97" spans="1:6" x14ac:dyDescent="0.25">
      <c r="A97" t="s">
        <v>1531</v>
      </c>
      <c r="B97" t="s">
        <v>230</v>
      </c>
      <c r="C97">
        <v>1</v>
      </c>
      <c r="E97">
        <v>0</v>
      </c>
      <c r="F97">
        <v>0</v>
      </c>
    </row>
    <row r="98" spans="1:6" x14ac:dyDescent="0.25">
      <c r="A98" t="s">
        <v>1531</v>
      </c>
      <c r="B98" t="s">
        <v>231</v>
      </c>
      <c r="C98">
        <v>1</v>
      </c>
      <c r="E98">
        <v>0</v>
      </c>
      <c r="F98">
        <v>0</v>
      </c>
    </row>
    <row r="99" spans="1:6" x14ac:dyDescent="0.25">
      <c r="A99" t="s">
        <v>1531</v>
      </c>
      <c r="B99" t="s">
        <v>232</v>
      </c>
      <c r="C99">
        <v>1</v>
      </c>
      <c r="E99">
        <v>0</v>
      </c>
      <c r="F99">
        <v>0</v>
      </c>
    </row>
    <row r="100" spans="1:6" x14ac:dyDescent="0.25">
      <c r="A100" t="s">
        <v>1531</v>
      </c>
      <c r="B100" t="s">
        <v>233</v>
      </c>
      <c r="C100">
        <v>1</v>
      </c>
      <c r="E100">
        <v>0</v>
      </c>
      <c r="F100">
        <v>0</v>
      </c>
    </row>
    <row r="101" spans="1:6" x14ac:dyDescent="0.25">
      <c r="A101" t="s">
        <v>1531</v>
      </c>
      <c r="B101" t="s">
        <v>1105</v>
      </c>
      <c r="C101">
        <v>1</v>
      </c>
      <c r="E101">
        <v>0</v>
      </c>
      <c r="F101">
        <v>0</v>
      </c>
    </row>
    <row r="102" spans="1:6" x14ac:dyDescent="0.25">
      <c r="A102" t="s">
        <v>1531</v>
      </c>
      <c r="B102" t="s">
        <v>235</v>
      </c>
      <c r="C102">
        <v>1</v>
      </c>
      <c r="E102">
        <v>0</v>
      </c>
      <c r="F102">
        <v>0</v>
      </c>
    </row>
    <row r="103" spans="1:6" x14ac:dyDescent="0.25">
      <c r="A103" t="s">
        <v>1531</v>
      </c>
      <c r="B103" t="s">
        <v>236</v>
      </c>
      <c r="C103">
        <v>1</v>
      </c>
      <c r="E103">
        <v>0</v>
      </c>
      <c r="F103">
        <v>0</v>
      </c>
    </row>
    <row r="104" spans="1:6" x14ac:dyDescent="0.25">
      <c r="A104" t="s">
        <v>1531</v>
      </c>
      <c r="B104" t="s">
        <v>239</v>
      </c>
      <c r="C104">
        <v>1</v>
      </c>
      <c r="E104">
        <v>0</v>
      </c>
      <c r="F104">
        <v>0</v>
      </c>
    </row>
    <row r="105" spans="1:6" x14ac:dyDescent="0.25">
      <c r="A105" t="s">
        <v>1531</v>
      </c>
      <c r="B105" t="s">
        <v>240</v>
      </c>
      <c r="C105">
        <v>1</v>
      </c>
      <c r="E105">
        <v>0</v>
      </c>
      <c r="F105">
        <v>0</v>
      </c>
    </row>
    <row r="106" spans="1:6" x14ac:dyDescent="0.25">
      <c r="A106" t="s">
        <v>1531</v>
      </c>
      <c r="B106" t="s">
        <v>241</v>
      </c>
      <c r="C106">
        <v>1</v>
      </c>
      <c r="E106">
        <v>0</v>
      </c>
      <c r="F106">
        <v>0</v>
      </c>
    </row>
    <row r="107" spans="1:6" x14ac:dyDescent="0.25">
      <c r="A107" t="s">
        <v>1531</v>
      </c>
      <c r="B107" t="s">
        <v>242</v>
      </c>
      <c r="C107">
        <v>1</v>
      </c>
      <c r="E107">
        <v>0</v>
      </c>
      <c r="F107">
        <v>0</v>
      </c>
    </row>
    <row r="108" spans="1:6" x14ac:dyDescent="0.25">
      <c r="A108" t="s">
        <v>1531</v>
      </c>
      <c r="B108" t="s">
        <v>243</v>
      </c>
      <c r="C108">
        <v>1</v>
      </c>
      <c r="E108">
        <v>0</v>
      </c>
      <c r="F108">
        <v>0</v>
      </c>
    </row>
    <row r="109" spans="1:6" x14ac:dyDescent="0.25">
      <c r="A109" t="s">
        <v>1531</v>
      </c>
      <c r="B109" t="s">
        <v>244</v>
      </c>
      <c r="C109">
        <v>1</v>
      </c>
      <c r="E109">
        <v>0</v>
      </c>
      <c r="F109">
        <v>0</v>
      </c>
    </row>
    <row r="110" spans="1:6" x14ac:dyDescent="0.25">
      <c r="A110" t="s">
        <v>1531</v>
      </c>
      <c r="B110" t="s">
        <v>245</v>
      </c>
      <c r="C110">
        <v>1</v>
      </c>
      <c r="E110">
        <v>0</v>
      </c>
      <c r="F110">
        <v>0</v>
      </c>
    </row>
    <row r="111" spans="1:6" x14ac:dyDescent="0.25">
      <c r="A111" t="s">
        <v>1531</v>
      </c>
      <c r="B111" t="s">
        <v>246</v>
      </c>
      <c r="C111">
        <v>1</v>
      </c>
      <c r="E111">
        <v>0</v>
      </c>
      <c r="F111">
        <v>0</v>
      </c>
    </row>
    <row r="112" spans="1:6" x14ac:dyDescent="0.25">
      <c r="A112" t="s">
        <v>1531</v>
      </c>
      <c r="B112" t="s">
        <v>247</v>
      </c>
      <c r="C112">
        <v>1</v>
      </c>
      <c r="E112">
        <v>0</v>
      </c>
      <c r="F112">
        <v>0</v>
      </c>
    </row>
    <row r="113" spans="1:6" x14ac:dyDescent="0.25">
      <c r="A113" t="s">
        <v>1531</v>
      </c>
      <c r="B113" t="s">
        <v>248</v>
      </c>
      <c r="C113">
        <v>1</v>
      </c>
      <c r="E113">
        <v>0</v>
      </c>
      <c r="F113">
        <v>0</v>
      </c>
    </row>
    <row r="114" spans="1:6" x14ac:dyDescent="0.25">
      <c r="A114" t="s">
        <v>1531</v>
      </c>
      <c r="B114" t="s">
        <v>249</v>
      </c>
      <c r="C114">
        <v>1</v>
      </c>
      <c r="E114">
        <v>0</v>
      </c>
      <c r="F114">
        <v>0</v>
      </c>
    </row>
    <row r="115" spans="1:6" x14ac:dyDescent="0.25">
      <c r="A115" t="s">
        <v>1531</v>
      </c>
      <c r="B115" t="s">
        <v>250</v>
      </c>
      <c r="C115">
        <v>1</v>
      </c>
      <c r="E115">
        <v>0</v>
      </c>
      <c r="F115">
        <v>0</v>
      </c>
    </row>
    <row r="116" spans="1:6" x14ac:dyDescent="0.25">
      <c r="A116" t="s">
        <v>1531</v>
      </c>
      <c r="B116" t="s">
        <v>251</v>
      </c>
      <c r="C116">
        <v>1</v>
      </c>
      <c r="E116">
        <v>0</v>
      </c>
      <c r="F116">
        <v>0</v>
      </c>
    </row>
    <row r="117" spans="1:6" x14ac:dyDescent="0.25">
      <c r="A117" t="s">
        <v>1531</v>
      </c>
      <c r="B117" t="s">
        <v>1106</v>
      </c>
      <c r="C117">
        <v>1</v>
      </c>
      <c r="E117">
        <v>0</v>
      </c>
      <c r="F117">
        <v>0</v>
      </c>
    </row>
    <row r="118" spans="1:6" x14ac:dyDescent="0.25">
      <c r="A118" t="s">
        <v>1531</v>
      </c>
      <c r="B118" t="s">
        <v>253</v>
      </c>
      <c r="C118">
        <v>1</v>
      </c>
      <c r="E118">
        <v>0</v>
      </c>
      <c r="F118">
        <v>0</v>
      </c>
    </row>
    <row r="119" spans="1:6" x14ac:dyDescent="0.25">
      <c r="A119" t="s">
        <v>1531</v>
      </c>
      <c r="B119" t="s">
        <v>254</v>
      </c>
      <c r="C119">
        <v>1</v>
      </c>
      <c r="E119">
        <v>0</v>
      </c>
      <c r="F119">
        <v>0</v>
      </c>
    </row>
    <row r="120" spans="1:6" x14ac:dyDescent="0.25">
      <c r="A120" t="s">
        <v>1531</v>
      </c>
      <c r="B120" t="s">
        <v>255</v>
      </c>
      <c r="C120">
        <v>1</v>
      </c>
      <c r="E120">
        <v>0</v>
      </c>
      <c r="F120">
        <v>0</v>
      </c>
    </row>
    <row r="121" spans="1:6" x14ac:dyDescent="0.25">
      <c r="A121" t="s">
        <v>1531</v>
      </c>
      <c r="B121" t="s">
        <v>256</v>
      </c>
      <c r="D121">
        <v>1</v>
      </c>
      <c r="E121">
        <v>1</v>
      </c>
      <c r="F121">
        <v>0</v>
      </c>
    </row>
    <row r="122" spans="1:6" x14ac:dyDescent="0.25">
      <c r="A122" t="s">
        <v>1531</v>
      </c>
      <c r="B122" t="s">
        <v>257</v>
      </c>
      <c r="D122">
        <v>1</v>
      </c>
      <c r="E122">
        <v>1</v>
      </c>
      <c r="F122">
        <v>1</v>
      </c>
    </row>
    <row r="123" spans="1:6" x14ac:dyDescent="0.25">
      <c r="A123" t="s">
        <v>1531</v>
      </c>
      <c r="B123" t="s">
        <v>258</v>
      </c>
      <c r="D123">
        <v>1</v>
      </c>
      <c r="E123">
        <v>1</v>
      </c>
      <c r="F123">
        <v>0</v>
      </c>
    </row>
    <row r="124" spans="1:6" x14ac:dyDescent="0.25">
      <c r="A124" t="s">
        <v>1531</v>
      </c>
      <c r="B124" t="s">
        <v>259</v>
      </c>
      <c r="D124">
        <v>1</v>
      </c>
      <c r="E124">
        <v>1</v>
      </c>
      <c r="F124">
        <v>1</v>
      </c>
    </row>
    <row r="125" spans="1:6" x14ac:dyDescent="0.25">
      <c r="A125" t="s">
        <v>1531</v>
      </c>
      <c r="B125" t="s">
        <v>260</v>
      </c>
      <c r="D125">
        <v>1</v>
      </c>
      <c r="E125">
        <v>1</v>
      </c>
      <c r="F125">
        <v>0</v>
      </c>
    </row>
    <row r="126" spans="1:6" x14ac:dyDescent="0.25">
      <c r="A126" t="s">
        <v>1531</v>
      </c>
      <c r="B126" t="s">
        <v>261</v>
      </c>
      <c r="D126">
        <v>1</v>
      </c>
      <c r="E126">
        <v>1</v>
      </c>
      <c r="F126">
        <v>1</v>
      </c>
    </row>
    <row r="127" spans="1:6" x14ac:dyDescent="0.25">
      <c r="A127" t="s">
        <v>1531</v>
      </c>
      <c r="B127" t="s">
        <v>262</v>
      </c>
      <c r="D127">
        <v>1</v>
      </c>
      <c r="E127">
        <v>1</v>
      </c>
      <c r="F127">
        <v>0</v>
      </c>
    </row>
    <row r="128" spans="1:6" x14ac:dyDescent="0.25">
      <c r="A128" t="s">
        <v>1531</v>
      </c>
      <c r="B128" t="s">
        <v>263</v>
      </c>
      <c r="D128">
        <v>1</v>
      </c>
      <c r="E128">
        <v>1</v>
      </c>
      <c r="F128">
        <v>1</v>
      </c>
    </row>
    <row r="129" spans="1:6" x14ac:dyDescent="0.25">
      <c r="A129" t="s">
        <v>1531</v>
      </c>
      <c r="B129" t="s">
        <v>264</v>
      </c>
      <c r="D129">
        <v>1</v>
      </c>
      <c r="E129">
        <v>0</v>
      </c>
      <c r="F129">
        <v>0</v>
      </c>
    </row>
    <row r="130" spans="1:6" x14ac:dyDescent="0.25">
      <c r="A130" t="s">
        <v>1531</v>
      </c>
      <c r="B130" t="s">
        <v>265</v>
      </c>
      <c r="D130">
        <v>1</v>
      </c>
      <c r="E130">
        <v>0</v>
      </c>
      <c r="F130">
        <v>0</v>
      </c>
    </row>
    <row r="131" spans="1:6" x14ac:dyDescent="0.25">
      <c r="A131" t="s">
        <v>1531</v>
      </c>
      <c r="B131" t="s">
        <v>266</v>
      </c>
      <c r="D131">
        <v>1</v>
      </c>
      <c r="E131">
        <v>0</v>
      </c>
      <c r="F131">
        <v>0</v>
      </c>
    </row>
    <row r="132" spans="1:6" x14ac:dyDescent="0.25">
      <c r="A132" t="s">
        <v>1531</v>
      </c>
      <c r="B132" t="s">
        <v>267</v>
      </c>
      <c r="D132">
        <v>1</v>
      </c>
      <c r="E132">
        <v>0</v>
      </c>
      <c r="F132">
        <v>0</v>
      </c>
    </row>
    <row r="133" spans="1:6" x14ac:dyDescent="0.25">
      <c r="A133" t="s">
        <v>1531</v>
      </c>
      <c r="B133" t="s">
        <v>268</v>
      </c>
      <c r="D133">
        <v>1</v>
      </c>
      <c r="E133">
        <v>0</v>
      </c>
      <c r="F133">
        <v>0</v>
      </c>
    </row>
    <row r="134" spans="1:6" x14ac:dyDescent="0.25">
      <c r="A134" t="s">
        <v>1531</v>
      </c>
      <c r="B134" t="s">
        <v>269</v>
      </c>
      <c r="D134">
        <v>1</v>
      </c>
      <c r="E134">
        <v>0</v>
      </c>
      <c r="F134">
        <v>0</v>
      </c>
    </row>
    <row r="135" spans="1:6" x14ac:dyDescent="0.25">
      <c r="A135" t="s">
        <v>1531</v>
      </c>
      <c r="B135" t="s">
        <v>270</v>
      </c>
      <c r="D135">
        <v>1</v>
      </c>
      <c r="E135">
        <v>0</v>
      </c>
      <c r="F135">
        <v>0</v>
      </c>
    </row>
    <row r="136" spans="1:6" x14ac:dyDescent="0.25">
      <c r="A136" t="s">
        <v>1531</v>
      </c>
      <c r="B136" t="s">
        <v>271</v>
      </c>
      <c r="D136">
        <v>1</v>
      </c>
      <c r="E136">
        <v>0</v>
      </c>
      <c r="F136">
        <v>0</v>
      </c>
    </row>
    <row r="137" spans="1:6" x14ac:dyDescent="0.25">
      <c r="A137" t="s">
        <v>1531</v>
      </c>
      <c r="B137" t="s">
        <v>273</v>
      </c>
      <c r="D137">
        <v>1</v>
      </c>
      <c r="E137">
        <v>0</v>
      </c>
      <c r="F137">
        <v>0</v>
      </c>
    </row>
    <row r="138" spans="1:6" x14ac:dyDescent="0.25">
      <c r="A138" t="s">
        <v>1531</v>
      </c>
      <c r="B138" t="s">
        <v>274</v>
      </c>
      <c r="D138">
        <v>1</v>
      </c>
      <c r="E138">
        <v>0</v>
      </c>
      <c r="F138">
        <v>0</v>
      </c>
    </row>
    <row r="139" spans="1:6" x14ac:dyDescent="0.25">
      <c r="A139" t="s">
        <v>1531</v>
      </c>
      <c r="B139" t="s">
        <v>275</v>
      </c>
      <c r="D139">
        <v>1</v>
      </c>
      <c r="E139">
        <v>0</v>
      </c>
      <c r="F139">
        <v>0</v>
      </c>
    </row>
    <row r="140" spans="1:6" x14ac:dyDescent="0.25">
      <c r="A140" t="s">
        <v>1531</v>
      </c>
      <c r="B140" t="s">
        <v>276</v>
      </c>
      <c r="D140">
        <v>1</v>
      </c>
      <c r="E140">
        <v>0</v>
      </c>
      <c r="F140">
        <v>0</v>
      </c>
    </row>
    <row r="141" spans="1:6" x14ac:dyDescent="0.25">
      <c r="A141" t="s">
        <v>1531</v>
      </c>
      <c r="B141" t="s">
        <v>277</v>
      </c>
      <c r="D141">
        <v>1</v>
      </c>
      <c r="E141">
        <v>0</v>
      </c>
      <c r="F141">
        <v>0</v>
      </c>
    </row>
    <row r="142" spans="1:6" x14ac:dyDescent="0.25">
      <c r="A142" t="s">
        <v>1531</v>
      </c>
      <c r="B142" t="s">
        <v>278</v>
      </c>
      <c r="D142">
        <v>1</v>
      </c>
      <c r="E142">
        <v>0</v>
      </c>
      <c r="F142">
        <v>0</v>
      </c>
    </row>
    <row r="143" spans="1:6" x14ac:dyDescent="0.25">
      <c r="A143" t="s">
        <v>1531</v>
      </c>
      <c r="B143" t="s">
        <v>279</v>
      </c>
      <c r="D143">
        <v>1</v>
      </c>
      <c r="E143">
        <v>0</v>
      </c>
      <c r="F143">
        <v>0</v>
      </c>
    </row>
    <row r="144" spans="1:6" x14ac:dyDescent="0.25">
      <c r="A144" t="s">
        <v>1531</v>
      </c>
      <c r="B144" t="s">
        <v>280</v>
      </c>
      <c r="D144">
        <v>1</v>
      </c>
      <c r="E144">
        <v>0</v>
      </c>
      <c r="F144">
        <v>0</v>
      </c>
    </row>
    <row r="145" spans="1:6" x14ac:dyDescent="0.25">
      <c r="A145" t="s">
        <v>1531</v>
      </c>
      <c r="B145" t="s">
        <v>281</v>
      </c>
      <c r="D145">
        <v>1</v>
      </c>
      <c r="E145">
        <v>0</v>
      </c>
      <c r="F145">
        <v>0</v>
      </c>
    </row>
    <row r="146" spans="1:6" x14ac:dyDescent="0.25">
      <c r="A146" t="s">
        <v>1531</v>
      </c>
      <c r="B146" t="s">
        <v>282</v>
      </c>
      <c r="D146">
        <v>1</v>
      </c>
      <c r="E146">
        <v>0</v>
      </c>
      <c r="F146">
        <v>0</v>
      </c>
    </row>
    <row r="147" spans="1:6" x14ac:dyDescent="0.25">
      <c r="A147" t="s">
        <v>1531</v>
      </c>
      <c r="B147" t="s">
        <v>283</v>
      </c>
      <c r="D147">
        <v>1</v>
      </c>
      <c r="E147">
        <v>0</v>
      </c>
      <c r="F147">
        <v>0</v>
      </c>
    </row>
    <row r="148" spans="1:6" x14ac:dyDescent="0.25">
      <c r="A148" t="s">
        <v>1531</v>
      </c>
      <c r="B148" t="s">
        <v>284</v>
      </c>
      <c r="D148">
        <v>1</v>
      </c>
      <c r="E148">
        <v>0</v>
      </c>
      <c r="F148">
        <v>0</v>
      </c>
    </row>
    <row r="149" spans="1:6" x14ac:dyDescent="0.25">
      <c r="A149" t="s">
        <v>1531</v>
      </c>
      <c r="B149" t="s">
        <v>285</v>
      </c>
      <c r="D149">
        <v>1</v>
      </c>
      <c r="E149">
        <v>0</v>
      </c>
      <c r="F149">
        <v>0</v>
      </c>
    </row>
    <row r="150" spans="1:6" x14ac:dyDescent="0.25">
      <c r="A150" t="s">
        <v>1531</v>
      </c>
      <c r="B150" t="s">
        <v>286</v>
      </c>
      <c r="D150">
        <v>1</v>
      </c>
      <c r="E150">
        <v>0</v>
      </c>
      <c r="F150">
        <v>0</v>
      </c>
    </row>
    <row r="151" spans="1:6" x14ac:dyDescent="0.25">
      <c r="A151" t="s">
        <v>1531</v>
      </c>
      <c r="B151" t="s">
        <v>287</v>
      </c>
      <c r="D151">
        <v>1</v>
      </c>
      <c r="E151">
        <v>0</v>
      </c>
      <c r="F151">
        <v>0</v>
      </c>
    </row>
    <row r="152" spans="1:6" x14ac:dyDescent="0.25">
      <c r="A152" t="s">
        <v>1531</v>
      </c>
      <c r="B152" t="s">
        <v>288</v>
      </c>
      <c r="D152">
        <v>1</v>
      </c>
      <c r="E152">
        <v>0</v>
      </c>
      <c r="F152">
        <v>0</v>
      </c>
    </row>
    <row r="153" spans="1:6" x14ac:dyDescent="0.25">
      <c r="A153" t="s">
        <v>1531</v>
      </c>
      <c r="B153" t="s">
        <v>289</v>
      </c>
      <c r="D153">
        <v>1</v>
      </c>
      <c r="E153">
        <v>0</v>
      </c>
      <c r="F153">
        <v>0</v>
      </c>
    </row>
    <row r="154" spans="1:6" x14ac:dyDescent="0.25">
      <c r="A154" t="s">
        <v>1531</v>
      </c>
      <c r="B154" t="s">
        <v>290</v>
      </c>
      <c r="D154">
        <v>1</v>
      </c>
      <c r="E154">
        <v>0</v>
      </c>
      <c r="F154">
        <v>0</v>
      </c>
    </row>
    <row r="155" spans="1:6" x14ac:dyDescent="0.25">
      <c r="A155" t="s">
        <v>1531</v>
      </c>
      <c r="B155" t="s">
        <v>291</v>
      </c>
      <c r="D155">
        <v>1</v>
      </c>
      <c r="E155">
        <v>0</v>
      </c>
      <c r="F155">
        <v>0</v>
      </c>
    </row>
    <row r="156" spans="1:6" x14ac:dyDescent="0.25">
      <c r="A156" t="s">
        <v>1531</v>
      </c>
      <c r="B156" t="s">
        <v>292</v>
      </c>
      <c r="D156">
        <v>1</v>
      </c>
      <c r="E156">
        <v>0</v>
      </c>
      <c r="F156">
        <v>0</v>
      </c>
    </row>
    <row r="157" spans="1:6" x14ac:dyDescent="0.25">
      <c r="A157" t="s">
        <v>1531</v>
      </c>
      <c r="B157" t="s">
        <v>293</v>
      </c>
      <c r="D157">
        <v>1</v>
      </c>
      <c r="E157">
        <v>0</v>
      </c>
      <c r="F157">
        <v>0</v>
      </c>
    </row>
    <row r="158" spans="1:6" x14ac:dyDescent="0.25">
      <c r="A158" t="s">
        <v>1531</v>
      </c>
      <c r="B158" t="s">
        <v>294</v>
      </c>
      <c r="E158">
        <v>1</v>
      </c>
      <c r="F158">
        <v>1</v>
      </c>
    </row>
    <row r="159" spans="1:6" x14ac:dyDescent="0.25">
      <c r="A159" t="s">
        <v>1531</v>
      </c>
      <c r="B159" t="s">
        <v>296</v>
      </c>
      <c r="E159">
        <v>1</v>
      </c>
      <c r="F159">
        <v>1</v>
      </c>
    </row>
    <row r="160" spans="1:6" x14ac:dyDescent="0.25">
      <c r="A160" t="s">
        <v>1531</v>
      </c>
      <c r="B160" t="s">
        <v>298</v>
      </c>
      <c r="E160">
        <v>1</v>
      </c>
      <c r="F160">
        <v>1</v>
      </c>
    </row>
    <row r="161" spans="1:6" x14ac:dyDescent="0.25">
      <c r="A161" t="s">
        <v>1531</v>
      </c>
      <c r="B161" t="s">
        <v>300</v>
      </c>
      <c r="E161">
        <v>1</v>
      </c>
      <c r="F161">
        <v>1</v>
      </c>
    </row>
    <row r="162" spans="1:6" x14ac:dyDescent="0.25">
      <c r="A162" t="s">
        <v>1531</v>
      </c>
      <c r="B162" t="s">
        <v>302</v>
      </c>
      <c r="E162">
        <v>1</v>
      </c>
      <c r="F162">
        <v>1</v>
      </c>
    </row>
    <row r="163" spans="1:6" x14ac:dyDescent="0.25">
      <c r="A163" t="s">
        <v>1531</v>
      </c>
      <c r="B163" t="s">
        <v>305</v>
      </c>
      <c r="E163">
        <v>1</v>
      </c>
      <c r="F163">
        <v>1</v>
      </c>
    </row>
    <row r="164" spans="1:6" x14ac:dyDescent="0.25">
      <c r="A164" t="s">
        <v>1531</v>
      </c>
      <c r="B164" t="s">
        <v>307</v>
      </c>
      <c r="E164">
        <v>1</v>
      </c>
      <c r="F164">
        <v>1</v>
      </c>
    </row>
    <row r="165" spans="1:6" x14ac:dyDescent="0.25">
      <c r="A165" t="s">
        <v>1531</v>
      </c>
      <c r="B165" t="s">
        <v>309</v>
      </c>
      <c r="E165">
        <v>1</v>
      </c>
      <c r="F165">
        <v>1</v>
      </c>
    </row>
    <row r="166" spans="1:6" x14ac:dyDescent="0.25">
      <c r="A166" t="s">
        <v>1531</v>
      </c>
      <c r="B166" t="s">
        <v>311</v>
      </c>
      <c r="E166">
        <v>1</v>
      </c>
      <c r="F166">
        <v>1</v>
      </c>
    </row>
    <row r="167" spans="1:6" x14ac:dyDescent="0.25">
      <c r="A167" t="s">
        <v>1531</v>
      </c>
      <c r="B167" t="s">
        <v>313</v>
      </c>
      <c r="E167">
        <v>1</v>
      </c>
      <c r="F167">
        <v>1</v>
      </c>
    </row>
    <row r="168" spans="1:6" x14ac:dyDescent="0.25">
      <c r="A168" t="s">
        <v>1531</v>
      </c>
      <c r="B168" t="s">
        <v>315</v>
      </c>
      <c r="E168">
        <v>1</v>
      </c>
      <c r="F168">
        <v>1</v>
      </c>
    </row>
    <row r="169" spans="1:6" x14ac:dyDescent="0.25">
      <c r="A169" t="s">
        <v>1531</v>
      </c>
      <c r="B169" t="s">
        <v>317</v>
      </c>
      <c r="E169">
        <v>1</v>
      </c>
      <c r="F169">
        <v>1</v>
      </c>
    </row>
    <row r="170" spans="1:6" x14ac:dyDescent="0.25">
      <c r="A170" t="s">
        <v>1531</v>
      </c>
      <c r="B170" t="s">
        <v>319</v>
      </c>
      <c r="E170">
        <v>1</v>
      </c>
      <c r="F170">
        <v>1</v>
      </c>
    </row>
    <row r="171" spans="1:6" x14ac:dyDescent="0.25">
      <c r="A171" t="s">
        <v>1531</v>
      </c>
      <c r="B171" t="s">
        <v>321</v>
      </c>
      <c r="E171">
        <v>1</v>
      </c>
      <c r="F171">
        <v>1</v>
      </c>
    </row>
    <row r="172" spans="1:6" x14ac:dyDescent="0.25">
      <c r="A172" t="s">
        <v>1531</v>
      </c>
      <c r="B172" t="s">
        <v>323</v>
      </c>
      <c r="E172">
        <v>1</v>
      </c>
      <c r="F172">
        <v>1</v>
      </c>
    </row>
    <row r="173" spans="1:6" x14ac:dyDescent="0.25">
      <c r="A173" t="s">
        <v>1531</v>
      </c>
      <c r="B173" t="s">
        <v>325</v>
      </c>
      <c r="E173">
        <v>1</v>
      </c>
      <c r="F173">
        <v>1</v>
      </c>
    </row>
    <row r="174" spans="1:6" x14ac:dyDescent="0.25">
      <c r="A174" t="s">
        <v>1531</v>
      </c>
      <c r="B174" t="s">
        <v>327</v>
      </c>
      <c r="E174">
        <v>1</v>
      </c>
      <c r="F174">
        <v>1</v>
      </c>
    </row>
    <row r="175" spans="1:6" x14ac:dyDescent="0.25">
      <c r="A175" t="s">
        <v>1531</v>
      </c>
      <c r="B175" t="s">
        <v>329</v>
      </c>
      <c r="E175">
        <v>1</v>
      </c>
      <c r="F175">
        <v>1</v>
      </c>
    </row>
    <row r="176" spans="1:6" x14ac:dyDescent="0.25">
      <c r="A176" t="s">
        <v>1531</v>
      </c>
      <c r="B176" t="s">
        <v>331</v>
      </c>
      <c r="E176">
        <v>1</v>
      </c>
      <c r="F176">
        <v>1</v>
      </c>
    </row>
    <row r="177" spans="1:6" x14ac:dyDescent="0.25">
      <c r="A177" t="s">
        <v>1531</v>
      </c>
      <c r="B177" t="s">
        <v>333</v>
      </c>
      <c r="E177">
        <v>1</v>
      </c>
      <c r="F177">
        <v>1</v>
      </c>
    </row>
    <row r="178" spans="1:6" x14ac:dyDescent="0.25">
      <c r="A178" t="s">
        <v>1531</v>
      </c>
      <c r="B178" t="s">
        <v>335</v>
      </c>
      <c r="E178">
        <v>1</v>
      </c>
      <c r="F178">
        <v>1</v>
      </c>
    </row>
    <row r="179" spans="1:6" x14ac:dyDescent="0.25">
      <c r="A179" t="s">
        <v>1531</v>
      </c>
      <c r="B179" t="s">
        <v>337</v>
      </c>
      <c r="E179">
        <v>1</v>
      </c>
      <c r="F179">
        <v>1</v>
      </c>
    </row>
    <row r="180" spans="1:6" x14ac:dyDescent="0.25">
      <c r="A180" t="s">
        <v>1531</v>
      </c>
      <c r="B180" t="s">
        <v>339</v>
      </c>
      <c r="E180">
        <v>1</v>
      </c>
      <c r="F180">
        <v>1</v>
      </c>
    </row>
    <row r="181" spans="1:6" x14ac:dyDescent="0.25">
      <c r="A181" t="s">
        <v>1531</v>
      </c>
      <c r="B181" t="s">
        <v>341</v>
      </c>
      <c r="E181">
        <v>1</v>
      </c>
      <c r="F181">
        <v>1</v>
      </c>
    </row>
    <row r="182" spans="1:6" x14ac:dyDescent="0.25">
      <c r="A182" t="s">
        <v>1531</v>
      </c>
      <c r="B182" t="s">
        <v>548</v>
      </c>
      <c r="C182">
        <v>1</v>
      </c>
      <c r="E182">
        <v>1</v>
      </c>
      <c r="F182">
        <v>1</v>
      </c>
    </row>
    <row r="183" spans="1:6" x14ac:dyDescent="0.25">
      <c r="A183" t="s">
        <v>1531</v>
      </c>
      <c r="B183" t="s">
        <v>549</v>
      </c>
      <c r="C183">
        <v>1</v>
      </c>
      <c r="E183">
        <v>1</v>
      </c>
      <c r="F183">
        <v>0</v>
      </c>
    </row>
    <row r="184" spans="1:6" x14ac:dyDescent="0.25">
      <c r="A184" t="s">
        <v>1531</v>
      </c>
      <c r="B184" t="s">
        <v>550</v>
      </c>
      <c r="C184">
        <v>1</v>
      </c>
      <c r="E184">
        <v>1</v>
      </c>
      <c r="F184">
        <v>1</v>
      </c>
    </row>
    <row r="185" spans="1:6" x14ac:dyDescent="0.25">
      <c r="A185" t="s">
        <v>1531</v>
      </c>
      <c r="B185" t="s">
        <v>551</v>
      </c>
      <c r="C185">
        <v>1</v>
      </c>
      <c r="E185">
        <v>1</v>
      </c>
      <c r="F185">
        <v>0</v>
      </c>
    </row>
    <row r="186" spans="1:6" x14ac:dyDescent="0.25">
      <c r="A186" t="s">
        <v>1531</v>
      </c>
      <c r="B186" t="s">
        <v>552</v>
      </c>
      <c r="C186">
        <v>1</v>
      </c>
      <c r="E186">
        <v>1</v>
      </c>
      <c r="F186">
        <v>1</v>
      </c>
    </row>
    <row r="187" spans="1:6" x14ac:dyDescent="0.25">
      <c r="A187" t="s">
        <v>1531</v>
      </c>
      <c r="B187" t="s">
        <v>553</v>
      </c>
      <c r="C187">
        <v>1</v>
      </c>
      <c r="E187">
        <v>1</v>
      </c>
      <c r="F187">
        <v>0</v>
      </c>
    </row>
    <row r="188" spans="1:6" x14ac:dyDescent="0.25">
      <c r="A188" t="s">
        <v>1531</v>
      </c>
      <c r="B188" t="s">
        <v>554</v>
      </c>
      <c r="C188">
        <v>1</v>
      </c>
      <c r="E188">
        <v>1</v>
      </c>
      <c r="F188">
        <v>1</v>
      </c>
    </row>
    <row r="189" spans="1:6" x14ac:dyDescent="0.25">
      <c r="A189" t="s">
        <v>1531</v>
      </c>
      <c r="B189" t="s">
        <v>555</v>
      </c>
      <c r="C189">
        <v>1</v>
      </c>
      <c r="E189">
        <v>1</v>
      </c>
      <c r="F189">
        <v>0</v>
      </c>
    </row>
    <row r="190" spans="1:6" x14ac:dyDescent="0.25">
      <c r="A190" t="s">
        <v>1531</v>
      </c>
      <c r="B190" t="s">
        <v>556</v>
      </c>
      <c r="C190">
        <v>1</v>
      </c>
      <c r="E190">
        <v>1</v>
      </c>
      <c r="F190">
        <v>1</v>
      </c>
    </row>
    <row r="191" spans="1:6" x14ac:dyDescent="0.25">
      <c r="A191" t="s">
        <v>1531</v>
      </c>
      <c r="B191" t="s">
        <v>557</v>
      </c>
      <c r="C191">
        <v>1</v>
      </c>
      <c r="E191">
        <v>1</v>
      </c>
      <c r="F191">
        <v>0</v>
      </c>
    </row>
    <row r="192" spans="1:6" x14ac:dyDescent="0.25">
      <c r="A192" t="s">
        <v>1531</v>
      </c>
      <c r="B192" t="s">
        <v>558</v>
      </c>
      <c r="C192">
        <v>1</v>
      </c>
      <c r="E192">
        <v>1</v>
      </c>
      <c r="F192">
        <v>1</v>
      </c>
    </row>
    <row r="193" spans="1:6" x14ac:dyDescent="0.25">
      <c r="A193" t="s">
        <v>1531</v>
      </c>
      <c r="B193" t="s">
        <v>559</v>
      </c>
      <c r="C193">
        <v>1</v>
      </c>
      <c r="E193">
        <v>1</v>
      </c>
      <c r="F193">
        <v>0</v>
      </c>
    </row>
    <row r="194" spans="1:6" x14ac:dyDescent="0.25">
      <c r="A194" t="s">
        <v>1531</v>
      </c>
      <c r="B194" t="s">
        <v>560</v>
      </c>
      <c r="C194">
        <v>1</v>
      </c>
      <c r="E194">
        <v>1</v>
      </c>
      <c r="F194">
        <v>1</v>
      </c>
    </row>
    <row r="195" spans="1:6" x14ac:dyDescent="0.25">
      <c r="A195" t="s">
        <v>1531</v>
      </c>
      <c r="B195" t="s">
        <v>561</v>
      </c>
      <c r="C195">
        <v>1</v>
      </c>
      <c r="E195">
        <v>1</v>
      </c>
      <c r="F195">
        <v>0</v>
      </c>
    </row>
    <row r="196" spans="1:6" x14ac:dyDescent="0.25">
      <c r="A196" t="s">
        <v>1531</v>
      </c>
      <c r="B196" t="s">
        <v>562</v>
      </c>
      <c r="C196">
        <v>1</v>
      </c>
      <c r="E196">
        <v>1</v>
      </c>
      <c r="F196">
        <v>1</v>
      </c>
    </row>
    <row r="197" spans="1:6" x14ac:dyDescent="0.25">
      <c r="A197" t="s">
        <v>1531</v>
      </c>
      <c r="B197" t="s">
        <v>563</v>
      </c>
      <c r="C197">
        <v>1</v>
      </c>
      <c r="E197">
        <v>1</v>
      </c>
      <c r="F197">
        <v>0</v>
      </c>
    </row>
    <row r="198" spans="1:6" x14ac:dyDescent="0.25">
      <c r="A198" t="s">
        <v>1531</v>
      </c>
      <c r="B198" t="s">
        <v>564</v>
      </c>
      <c r="C198">
        <v>1</v>
      </c>
      <c r="E198">
        <v>1</v>
      </c>
      <c r="F198">
        <v>1</v>
      </c>
    </row>
    <row r="199" spans="1:6" x14ac:dyDescent="0.25">
      <c r="A199" t="s">
        <v>1531</v>
      </c>
      <c r="B199" t="s">
        <v>1028</v>
      </c>
      <c r="C199">
        <v>1</v>
      </c>
      <c r="E199">
        <v>1</v>
      </c>
      <c r="F199">
        <v>0</v>
      </c>
    </row>
    <row r="200" spans="1:6" x14ac:dyDescent="0.25">
      <c r="A200" t="s">
        <v>1531</v>
      </c>
      <c r="B200" t="s">
        <v>1029</v>
      </c>
      <c r="C200">
        <v>1</v>
      </c>
      <c r="E200">
        <v>1</v>
      </c>
      <c r="F200">
        <v>1</v>
      </c>
    </row>
    <row r="201" spans="1:6" x14ac:dyDescent="0.25">
      <c r="A201" t="s">
        <v>1531</v>
      </c>
      <c r="B201" t="s">
        <v>1030</v>
      </c>
      <c r="C201">
        <v>1</v>
      </c>
      <c r="E201">
        <v>1</v>
      </c>
      <c r="F201">
        <v>0</v>
      </c>
    </row>
    <row r="202" spans="1:6" x14ac:dyDescent="0.25">
      <c r="A202" t="s">
        <v>1531</v>
      </c>
      <c r="B202" t="s">
        <v>1031</v>
      </c>
      <c r="C202">
        <v>1</v>
      </c>
      <c r="E202">
        <v>1</v>
      </c>
      <c r="F202">
        <v>1</v>
      </c>
    </row>
    <row r="203" spans="1:6" x14ac:dyDescent="0.25">
      <c r="A203" t="s">
        <v>1531</v>
      </c>
      <c r="B203" t="s">
        <v>1032</v>
      </c>
      <c r="C203">
        <v>1</v>
      </c>
      <c r="E203">
        <v>1</v>
      </c>
      <c r="F203">
        <v>0</v>
      </c>
    </row>
    <row r="204" spans="1:6" x14ac:dyDescent="0.25">
      <c r="A204" t="s">
        <v>1531</v>
      </c>
      <c r="B204" t="s">
        <v>1033</v>
      </c>
      <c r="C204">
        <v>1</v>
      </c>
      <c r="E204">
        <v>1</v>
      </c>
      <c r="F204">
        <v>1</v>
      </c>
    </row>
    <row r="205" spans="1:6" x14ac:dyDescent="0.25">
      <c r="A205" t="s">
        <v>1531</v>
      </c>
      <c r="B205" t="s">
        <v>1034</v>
      </c>
      <c r="C205">
        <v>1</v>
      </c>
      <c r="E205">
        <v>1</v>
      </c>
      <c r="F205">
        <v>0</v>
      </c>
    </row>
    <row r="206" spans="1:6" x14ac:dyDescent="0.25">
      <c r="A206" t="s">
        <v>1531</v>
      </c>
      <c r="B206" t="s">
        <v>1035</v>
      </c>
      <c r="C206">
        <v>1</v>
      </c>
      <c r="E206">
        <v>0</v>
      </c>
      <c r="F206">
        <v>0</v>
      </c>
    </row>
    <row r="207" spans="1:6" x14ac:dyDescent="0.25">
      <c r="A207" t="s">
        <v>1531</v>
      </c>
      <c r="B207" t="s">
        <v>1036</v>
      </c>
      <c r="C207">
        <v>1</v>
      </c>
      <c r="E207">
        <v>0</v>
      </c>
      <c r="F207">
        <v>0</v>
      </c>
    </row>
    <row r="208" spans="1:6" x14ac:dyDescent="0.25">
      <c r="A208" t="s">
        <v>1531</v>
      </c>
      <c r="B208" t="s">
        <v>1037</v>
      </c>
      <c r="C208">
        <v>1</v>
      </c>
      <c r="E208">
        <v>0</v>
      </c>
      <c r="F208">
        <v>0</v>
      </c>
    </row>
    <row r="209" spans="1:6" x14ac:dyDescent="0.25">
      <c r="A209" t="s">
        <v>1531</v>
      </c>
      <c r="B209" t="s">
        <v>1038</v>
      </c>
      <c r="C209">
        <v>1</v>
      </c>
      <c r="E209">
        <v>0</v>
      </c>
      <c r="F209">
        <v>0</v>
      </c>
    </row>
    <row r="210" spans="1:6" x14ac:dyDescent="0.25">
      <c r="A210" t="s">
        <v>1531</v>
      </c>
      <c r="B210" t="s">
        <v>1039</v>
      </c>
      <c r="C210">
        <v>1</v>
      </c>
      <c r="E210">
        <v>0</v>
      </c>
      <c r="F210">
        <v>0</v>
      </c>
    </row>
    <row r="211" spans="1:6" x14ac:dyDescent="0.25">
      <c r="A211" t="s">
        <v>1531</v>
      </c>
      <c r="B211" t="s">
        <v>1040</v>
      </c>
      <c r="C211">
        <v>1</v>
      </c>
      <c r="E211">
        <v>0</v>
      </c>
      <c r="F211">
        <v>0</v>
      </c>
    </row>
    <row r="212" spans="1:6" x14ac:dyDescent="0.25">
      <c r="A212" t="s">
        <v>1531</v>
      </c>
      <c r="B212" t="s">
        <v>1041</v>
      </c>
      <c r="C212">
        <v>1</v>
      </c>
      <c r="E212">
        <v>0</v>
      </c>
      <c r="F212">
        <v>0</v>
      </c>
    </row>
    <row r="213" spans="1:6" x14ac:dyDescent="0.25">
      <c r="A213" t="s">
        <v>1531</v>
      </c>
      <c r="B213" t="s">
        <v>1042</v>
      </c>
      <c r="C213">
        <v>1</v>
      </c>
      <c r="E213">
        <v>0</v>
      </c>
      <c r="F213">
        <v>0</v>
      </c>
    </row>
    <row r="214" spans="1:6" x14ac:dyDescent="0.25">
      <c r="A214" t="s">
        <v>1531</v>
      </c>
      <c r="B214" t="s">
        <v>1043</v>
      </c>
      <c r="C214">
        <v>1</v>
      </c>
      <c r="E214">
        <v>0</v>
      </c>
      <c r="F214">
        <v>0</v>
      </c>
    </row>
    <row r="215" spans="1:6" x14ac:dyDescent="0.25">
      <c r="A215" t="s">
        <v>1531</v>
      </c>
      <c r="B215" t="s">
        <v>1044</v>
      </c>
      <c r="C215">
        <v>1</v>
      </c>
      <c r="E215">
        <v>0</v>
      </c>
      <c r="F215">
        <v>0</v>
      </c>
    </row>
    <row r="216" spans="1:6" x14ac:dyDescent="0.25">
      <c r="A216" t="s">
        <v>1531</v>
      </c>
      <c r="B216" t="s">
        <v>1045</v>
      </c>
      <c r="C216">
        <v>1</v>
      </c>
      <c r="E216">
        <v>0</v>
      </c>
      <c r="F216">
        <v>0</v>
      </c>
    </row>
    <row r="217" spans="1:6" x14ac:dyDescent="0.25">
      <c r="A217" t="s">
        <v>1531</v>
      </c>
      <c r="B217" t="s">
        <v>1046</v>
      </c>
      <c r="C217">
        <v>1</v>
      </c>
      <c r="E217">
        <v>0</v>
      </c>
      <c r="F217">
        <v>0</v>
      </c>
    </row>
    <row r="218" spans="1:6" x14ac:dyDescent="0.25">
      <c r="A218" t="s">
        <v>1531</v>
      </c>
      <c r="B218" t="s">
        <v>1047</v>
      </c>
      <c r="C218">
        <v>1</v>
      </c>
      <c r="E218">
        <v>0</v>
      </c>
      <c r="F218">
        <v>0</v>
      </c>
    </row>
    <row r="219" spans="1:6" x14ac:dyDescent="0.25">
      <c r="A219" t="s">
        <v>1531</v>
      </c>
      <c r="B219" t="s">
        <v>1048</v>
      </c>
      <c r="C219">
        <v>1</v>
      </c>
      <c r="E219">
        <v>0</v>
      </c>
      <c r="F219">
        <v>0</v>
      </c>
    </row>
    <row r="220" spans="1:6" x14ac:dyDescent="0.25">
      <c r="A220" t="s">
        <v>1531</v>
      </c>
      <c r="B220" t="s">
        <v>1121</v>
      </c>
      <c r="C220">
        <v>1</v>
      </c>
      <c r="E220">
        <v>0</v>
      </c>
      <c r="F220">
        <v>0</v>
      </c>
    </row>
    <row r="221" spans="1:6" x14ac:dyDescent="0.25">
      <c r="A221" t="s">
        <v>1531</v>
      </c>
      <c r="B221" t="s">
        <v>1122</v>
      </c>
      <c r="C221">
        <v>1</v>
      </c>
      <c r="E221">
        <v>0</v>
      </c>
      <c r="F221">
        <v>0</v>
      </c>
    </row>
    <row r="222" spans="1:6" x14ac:dyDescent="0.25">
      <c r="A222" t="s">
        <v>1531</v>
      </c>
      <c r="B222" t="s">
        <v>1123</v>
      </c>
      <c r="C222">
        <v>1</v>
      </c>
      <c r="E222">
        <v>0</v>
      </c>
      <c r="F222">
        <v>0</v>
      </c>
    </row>
    <row r="223" spans="1:6" x14ac:dyDescent="0.25">
      <c r="A223" t="s">
        <v>1531</v>
      </c>
      <c r="B223" t="s">
        <v>1124</v>
      </c>
      <c r="C223">
        <v>1</v>
      </c>
      <c r="E223">
        <v>0</v>
      </c>
      <c r="F223">
        <v>0</v>
      </c>
    </row>
    <row r="224" spans="1:6" x14ac:dyDescent="0.25">
      <c r="A224" t="s">
        <v>1531</v>
      </c>
      <c r="B224" t="s">
        <v>1125</v>
      </c>
      <c r="C224">
        <v>1</v>
      </c>
      <c r="E224">
        <v>0</v>
      </c>
      <c r="F224">
        <v>0</v>
      </c>
    </row>
    <row r="225" spans="1:6" x14ac:dyDescent="0.25">
      <c r="A225" t="s">
        <v>1531</v>
      </c>
      <c r="B225" t="s">
        <v>1126</v>
      </c>
      <c r="C225">
        <v>1</v>
      </c>
      <c r="E225">
        <v>0</v>
      </c>
      <c r="F225">
        <v>0</v>
      </c>
    </row>
    <row r="226" spans="1:6" x14ac:dyDescent="0.25">
      <c r="A226" t="s">
        <v>1531</v>
      </c>
      <c r="B226" t="s">
        <v>1127</v>
      </c>
      <c r="C226">
        <v>1</v>
      </c>
      <c r="E226">
        <v>0</v>
      </c>
      <c r="F226">
        <v>0</v>
      </c>
    </row>
    <row r="227" spans="1:6" x14ac:dyDescent="0.25">
      <c r="A227" t="s">
        <v>1531</v>
      </c>
      <c r="B227" t="s">
        <v>1128</v>
      </c>
      <c r="C227">
        <v>1</v>
      </c>
      <c r="E227">
        <v>0</v>
      </c>
      <c r="F227">
        <v>0</v>
      </c>
    </row>
    <row r="228" spans="1:6" x14ac:dyDescent="0.25">
      <c r="A228" t="s">
        <v>1531</v>
      </c>
      <c r="B228" t="s">
        <v>1129</v>
      </c>
      <c r="C228">
        <v>1</v>
      </c>
      <c r="E228">
        <v>0</v>
      </c>
      <c r="F228">
        <v>0</v>
      </c>
    </row>
    <row r="229" spans="1:6" x14ac:dyDescent="0.25">
      <c r="A229" t="s">
        <v>1531</v>
      </c>
      <c r="B229" t="s">
        <v>1130</v>
      </c>
      <c r="C229">
        <v>1</v>
      </c>
      <c r="E229">
        <v>0</v>
      </c>
      <c r="F229">
        <v>0</v>
      </c>
    </row>
    <row r="230" spans="1:6" x14ac:dyDescent="0.25">
      <c r="A230" t="s">
        <v>1531</v>
      </c>
      <c r="B230" t="s">
        <v>1131</v>
      </c>
      <c r="C230">
        <v>1</v>
      </c>
      <c r="E230">
        <v>0</v>
      </c>
      <c r="F230">
        <v>0</v>
      </c>
    </row>
    <row r="231" spans="1:6" x14ac:dyDescent="0.25">
      <c r="A231" t="s">
        <v>1531</v>
      </c>
      <c r="B231" t="s">
        <v>1132</v>
      </c>
      <c r="C231">
        <v>1</v>
      </c>
      <c r="E231">
        <v>0</v>
      </c>
      <c r="F231">
        <v>0</v>
      </c>
    </row>
    <row r="232" spans="1:6" x14ac:dyDescent="0.25">
      <c r="A232" t="s">
        <v>1531</v>
      </c>
      <c r="B232" t="s">
        <v>575</v>
      </c>
      <c r="C232">
        <v>1</v>
      </c>
      <c r="E232">
        <v>0</v>
      </c>
      <c r="F232">
        <v>0</v>
      </c>
    </row>
    <row r="233" spans="1:6" x14ac:dyDescent="0.25">
      <c r="A233" t="s">
        <v>1531</v>
      </c>
      <c r="B233" t="s">
        <v>576</v>
      </c>
      <c r="C233">
        <v>1</v>
      </c>
      <c r="E233">
        <v>0</v>
      </c>
      <c r="F233">
        <v>0</v>
      </c>
    </row>
    <row r="234" spans="1:6" x14ac:dyDescent="0.25">
      <c r="A234" t="s">
        <v>1531</v>
      </c>
      <c r="B234" t="s">
        <v>577</v>
      </c>
      <c r="C234">
        <v>1</v>
      </c>
      <c r="E234">
        <v>0</v>
      </c>
      <c r="F234">
        <v>0</v>
      </c>
    </row>
    <row r="235" spans="1:6" x14ac:dyDescent="0.25">
      <c r="A235" t="s">
        <v>1531</v>
      </c>
      <c r="B235" t="s">
        <v>582</v>
      </c>
      <c r="C235">
        <v>1</v>
      </c>
      <c r="E235">
        <v>0</v>
      </c>
      <c r="F235">
        <v>0</v>
      </c>
    </row>
    <row r="236" spans="1:6" x14ac:dyDescent="0.25">
      <c r="A236" t="s">
        <v>1531</v>
      </c>
      <c r="B236" t="s">
        <v>583</v>
      </c>
      <c r="C236">
        <v>1</v>
      </c>
      <c r="E236">
        <v>0</v>
      </c>
      <c r="F236">
        <v>0</v>
      </c>
    </row>
    <row r="237" spans="1:6" x14ac:dyDescent="0.25">
      <c r="A237" t="s">
        <v>1531</v>
      </c>
      <c r="B237" t="s">
        <v>584</v>
      </c>
      <c r="C237">
        <v>1</v>
      </c>
      <c r="E237">
        <v>0</v>
      </c>
      <c r="F237">
        <v>0</v>
      </c>
    </row>
    <row r="238" spans="1:6" x14ac:dyDescent="0.25">
      <c r="A238" t="s">
        <v>1531</v>
      </c>
      <c r="B238" t="s">
        <v>585</v>
      </c>
      <c r="C238">
        <v>1</v>
      </c>
      <c r="E238">
        <v>0</v>
      </c>
      <c r="F238">
        <v>0</v>
      </c>
    </row>
    <row r="239" spans="1:6" x14ac:dyDescent="0.25">
      <c r="A239" t="s">
        <v>1531</v>
      </c>
      <c r="B239" t="s">
        <v>586</v>
      </c>
      <c r="C239">
        <v>1</v>
      </c>
      <c r="E239">
        <v>0</v>
      </c>
      <c r="F239">
        <v>0</v>
      </c>
    </row>
    <row r="240" spans="1:6" x14ac:dyDescent="0.25">
      <c r="A240" t="s">
        <v>1531</v>
      </c>
      <c r="B240" t="s">
        <v>587</v>
      </c>
      <c r="C240">
        <v>1</v>
      </c>
      <c r="E240">
        <v>0</v>
      </c>
      <c r="F240">
        <v>0</v>
      </c>
    </row>
    <row r="241" spans="1:6" x14ac:dyDescent="0.25">
      <c r="A241" t="s">
        <v>1531</v>
      </c>
      <c r="B241" t="s">
        <v>588</v>
      </c>
      <c r="C241">
        <v>1</v>
      </c>
      <c r="E241">
        <v>0</v>
      </c>
      <c r="F241">
        <v>0</v>
      </c>
    </row>
    <row r="242" spans="1:6" x14ac:dyDescent="0.25">
      <c r="A242" t="s">
        <v>1531</v>
      </c>
      <c r="B242" t="s">
        <v>589</v>
      </c>
      <c r="C242">
        <v>1</v>
      </c>
      <c r="E242">
        <v>0</v>
      </c>
      <c r="F242">
        <v>0</v>
      </c>
    </row>
    <row r="243" spans="1:6" x14ac:dyDescent="0.25">
      <c r="A243" t="s">
        <v>1531</v>
      </c>
      <c r="B243" t="s">
        <v>590</v>
      </c>
      <c r="C243">
        <v>1</v>
      </c>
      <c r="E243">
        <v>0</v>
      </c>
      <c r="F243">
        <v>0</v>
      </c>
    </row>
    <row r="244" spans="1:6" x14ac:dyDescent="0.25">
      <c r="A244" t="s">
        <v>1531</v>
      </c>
      <c r="B244" t="s">
        <v>591</v>
      </c>
      <c r="C244">
        <v>1</v>
      </c>
      <c r="E244">
        <v>0</v>
      </c>
      <c r="F244">
        <v>0</v>
      </c>
    </row>
    <row r="245" spans="1:6" x14ac:dyDescent="0.25">
      <c r="A245" t="s">
        <v>1531</v>
      </c>
      <c r="B245" t="s">
        <v>592</v>
      </c>
      <c r="C245">
        <v>1</v>
      </c>
      <c r="E245">
        <v>0</v>
      </c>
      <c r="F245">
        <v>0</v>
      </c>
    </row>
    <row r="246" spans="1:6" x14ac:dyDescent="0.25">
      <c r="A246" t="s">
        <v>1531</v>
      </c>
      <c r="B246" t="s">
        <v>593</v>
      </c>
      <c r="C246">
        <v>1</v>
      </c>
      <c r="E246">
        <v>0</v>
      </c>
      <c r="F246">
        <v>0</v>
      </c>
    </row>
    <row r="247" spans="1:6" x14ac:dyDescent="0.25">
      <c r="A247" t="s">
        <v>1531</v>
      </c>
      <c r="B247" t="s">
        <v>594</v>
      </c>
      <c r="C247">
        <v>1</v>
      </c>
      <c r="E247">
        <v>0</v>
      </c>
      <c r="F247">
        <v>0</v>
      </c>
    </row>
    <row r="248" spans="1:6" x14ac:dyDescent="0.25">
      <c r="A248" t="s">
        <v>1531</v>
      </c>
      <c r="B248" t="s">
        <v>595</v>
      </c>
      <c r="C248">
        <v>1</v>
      </c>
      <c r="E248">
        <v>0</v>
      </c>
      <c r="F248">
        <v>0</v>
      </c>
    </row>
    <row r="249" spans="1:6" x14ac:dyDescent="0.25">
      <c r="A249" t="s">
        <v>1531</v>
      </c>
      <c r="B249" t="s">
        <v>596</v>
      </c>
      <c r="C249">
        <v>1</v>
      </c>
      <c r="E249">
        <v>0</v>
      </c>
      <c r="F249">
        <v>0</v>
      </c>
    </row>
    <row r="250" spans="1:6" x14ac:dyDescent="0.25">
      <c r="A250" t="s">
        <v>1531</v>
      </c>
      <c r="B250" t="s">
        <v>597</v>
      </c>
      <c r="D250">
        <v>1</v>
      </c>
      <c r="E250">
        <v>1</v>
      </c>
      <c r="F250">
        <v>1</v>
      </c>
    </row>
    <row r="251" spans="1:6" x14ac:dyDescent="0.25">
      <c r="A251" t="s">
        <v>1531</v>
      </c>
      <c r="B251" t="s">
        <v>598</v>
      </c>
      <c r="D251">
        <v>1</v>
      </c>
      <c r="E251">
        <v>1</v>
      </c>
      <c r="F251">
        <v>0</v>
      </c>
    </row>
    <row r="252" spans="1:6" x14ac:dyDescent="0.25">
      <c r="A252" t="s">
        <v>1531</v>
      </c>
      <c r="B252" t="s">
        <v>599</v>
      </c>
      <c r="D252">
        <v>1</v>
      </c>
      <c r="E252">
        <v>1</v>
      </c>
      <c r="F252">
        <v>1</v>
      </c>
    </row>
    <row r="253" spans="1:6" x14ac:dyDescent="0.25">
      <c r="A253" t="s">
        <v>1531</v>
      </c>
      <c r="B253" t="s">
        <v>600</v>
      </c>
      <c r="D253">
        <v>1</v>
      </c>
      <c r="E253">
        <v>1</v>
      </c>
      <c r="F253">
        <v>0</v>
      </c>
    </row>
    <row r="254" spans="1:6" x14ac:dyDescent="0.25">
      <c r="A254" t="s">
        <v>1531</v>
      </c>
      <c r="B254" t="s">
        <v>601</v>
      </c>
      <c r="D254">
        <v>1</v>
      </c>
      <c r="E254">
        <v>1</v>
      </c>
      <c r="F254">
        <v>1</v>
      </c>
    </row>
    <row r="255" spans="1:6" x14ac:dyDescent="0.25">
      <c r="A255" t="s">
        <v>1531</v>
      </c>
      <c r="B255" t="s">
        <v>602</v>
      </c>
      <c r="D255">
        <v>1</v>
      </c>
      <c r="E255">
        <v>1</v>
      </c>
      <c r="F255">
        <v>0</v>
      </c>
    </row>
    <row r="256" spans="1:6" x14ac:dyDescent="0.25">
      <c r="A256" t="s">
        <v>1531</v>
      </c>
      <c r="B256" t="s">
        <v>603</v>
      </c>
      <c r="D256">
        <v>1</v>
      </c>
      <c r="E256">
        <v>1</v>
      </c>
      <c r="F256">
        <v>1</v>
      </c>
    </row>
    <row r="257" spans="1:6" x14ac:dyDescent="0.25">
      <c r="A257" t="s">
        <v>1531</v>
      </c>
      <c r="B257" t="s">
        <v>604</v>
      </c>
      <c r="D257">
        <v>1</v>
      </c>
      <c r="E257">
        <v>1</v>
      </c>
      <c r="F257">
        <v>0</v>
      </c>
    </row>
    <row r="258" spans="1:6" x14ac:dyDescent="0.25">
      <c r="A258" t="s">
        <v>1531</v>
      </c>
      <c r="B258" t="s">
        <v>605</v>
      </c>
      <c r="D258">
        <v>1</v>
      </c>
      <c r="E258">
        <v>1</v>
      </c>
      <c r="F258">
        <v>1</v>
      </c>
    </row>
    <row r="259" spans="1:6" x14ac:dyDescent="0.25">
      <c r="A259" t="s">
        <v>1531</v>
      </c>
      <c r="B259" t="s">
        <v>606</v>
      </c>
      <c r="D259">
        <v>1</v>
      </c>
      <c r="E259">
        <v>1</v>
      </c>
      <c r="F259">
        <v>0</v>
      </c>
    </row>
    <row r="260" spans="1:6" x14ac:dyDescent="0.25">
      <c r="A260" t="s">
        <v>1531</v>
      </c>
      <c r="B260" t="s">
        <v>607</v>
      </c>
      <c r="D260">
        <v>1</v>
      </c>
      <c r="E260">
        <v>0</v>
      </c>
      <c r="F260">
        <v>0</v>
      </c>
    </row>
    <row r="261" spans="1:6" x14ac:dyDescent="0.25">
      <c r="A261" t="s">
        <v>1531</v>
      </c>
      <c r="B261" t="s">
        <v>608</v>
      </c>
      <c r="D261">
        <v>1</v>
      </c>
      <c r="E261">
        <v>0</v>
      </c>
      <c r="F261">
        <v>0</v>
      </c>
    </row>
    <row r="262" spans="1:6" x14ac:dyDescent="0.25">
      <c r="A262" t="s">
        <v>1531</v>
      </c>
      <c r="B262" t="s">
        <v>609</v>
      </c>
      <c r="D262">
        <v>1</v>
      </c>
      <c r="E262">
        <v>0</v>
      </c>
      <c r="F262">
        <v>0</v>
      </c>
    </row>
    <row r="263" spans="1:6" x14ac:dyDescent="0.25">
      <c r="A263" t="s">
        <v>1531</v>
      </c>
      <c r="B263" t="s">
        <v>1133</v>
      </c>
      <c r="D263">
        <v>1</v>
      </c>
      <c r="E263">
        <v>0</v>
      </c>
      <c r="F263">
        <v>0</v>
      </c>
    </row>
    <row r="264" spans="1:6" x14ac:dyDescent="0.25">
      <c r="A264" t="s">
        <v>1531</v>
      </c>
      <c r="B264" t="s">
        <v>611</v>
      </c>
      <c r="D264">
        <v>1</v>
      </c>
      <c r="E264">
        <v>0</v>
      </c>
      <c r="F264">
        <v>0</v>
      </c>
    </row>
    <row r="265" spans="1:6" x14ac:dyDescent="0.25">
      <c r="A265" t="s">
        <v>1531</v>
      </c>
      <c r="B265" t="s">
        <v>612</v>
      </c>
      <c r="D265">
        <v>1</v>
      </c>
      <c r="E265">
        <v>0</v>
      </c>
      <c r="F265">
        <v>0</v>
      </c>
    </row>
    <row r="266" spans="1:6" x14ac:dyDescent="0.25">
      <c r="A266" t="s">
        <v>1531</v>
      </c>
      <c r="B266" t="s">
        <v>615</v>
      </c>
      <c r="D266">
        <v>1</v>
      </c>
      <c r="E266">
        <v>0</v>
      </c>
      <c r="F266">
        <v>0</v>
      </c>
    </row>
    <row r="267" spans="1:6" x14ac:dyDescent="0.25">
      <c r="A267" t="s">
        <v>1531</v>
      </c>
      <c r="B267" t="s">
        <v>616</v>
      </c>
      <c r="D267">
        <v>1</v>
      </c>
      <c r="E267">
        <v>0</v>
      </c>
      <c r="F267">
        <v>0</v>
      </c>
    </row>
    <row r="268" spans="1:6" x14ac:dyDescent="0.25">
      <c r="A268" t="s">
        <v>1531</v>
      </c>
      <c r="B268" t="s">
        <v>617</v>
      </c>
      <c r="D268">
        <v>1</v>
      </c>
      <c r="E268">
        <v>0</v>
      </c>
      <c r="F268">
        <v>0</v>
      </c>
    </row>
    <row r="269" spans="1:6" x14ac:dyDescent="0.25">
      <c r="A269" t="s">
        <v>1531</v>
      </c>
      <c r="B269" t="s">
        <v>618</v>
      </c>
      <c r="D269">
        <v>1</v>
      </c>
      <c r="E269">
        <v>0</v>
      </c>
      <c r="F269">
        <v>0</v>
      </c>
    </row>
    <row r="270" spans="1:6" x14ac:dyDescent="0.25">
      <c r="A270" t="s">
        <v>1531</v>
      </c>
      <c r="B270" t="s">
        <v>619</v>
      </c>
      <c r="D270">
        <v>1</v>
      </c>
      <c r="E270">
        <v>0</v>
      </c>
      <c r="F270">
        <v>0</v>
      </c>
    </row>
    <row r="271" spans="1:6" x14ac:dyDescent="0.25">
      <c r="A271" t="s">
        <v>1531</v>
      </c>
      <c r="B271" t="s">
        <v>620</v>
      </c>
      <c r="D271">
        <v>1</v>
      </c>
      <c r="E271">
        <v>0</v>
      </c>
      <c r="F271">
        <v>0</v>
      </c>
    </row>
    <row r="272" spans="1:6" x14ac:dyDescent="0.25">
      <c r="A272" t="s">
        <v>1531</v>
      </c>
      <c r="B272" t="s">
        <v>621</v>
      </c>
      <c r="D272">
        <v>1</v>
      </c>
      <c r="E272">
        <v>0</v>
      </c>
      <c r="F272">
        <v>0</v>
      </c>
    </row>
    <row r="273" spans="1:6" x14ac:dyDescent="0.25">
      <c r="A273" t="s">
        <v>1531</v>
      </c>
      <c r="B273" t="s">
        <v>622</v>
      </c>
      <c r="D273">
        <v>1</v>
      </c>
      <c r="E273">
        <v>0</v>
      </c>
      <c r="F273">
        <v>0</v>
      </c>
    </row>
    <row r="274" spans="1:6" x14ac:dyDescent="0.25">
      <c r="A274" t="s">
        <v>1531</v>
      </c>
      <c r="B274" t="s">
        <v>623</v>
      </c>
      <c r="D274">
        <v>1</v>
      </c>
      <c r="E274">
        <v>0</v>
      </c>
      <c r="F274">
        <v>0</v>
      </c>
    </row>
    <row r="275" spans="1:6" x14ac:dyDescent="0.25">
      <c r="A275" t="s">
        <v>1531</v>
      </c>
      <c r="B275" t="s">
        <v>624</v>
      </c>
      <c r="D275">
        <v>1</v>
      </c>
      <c r="E275">
        <v>0</v>
      </c>
      <c r="F275">
        <v>0</v>
      </c>
    </row>
    <row r="276" spans="1:6" x14ac:dyDescent="0.25">
      <c r="A276" t="s">
        <v>1531</v>
      </c>
      <c r="B276" t="s">
        <v>625</v>
      </c>
      <c r="D276">
        <v>1</v>
      </c>
      <c r="E276">
        <v>0</v>
      </c>
      <c r="F276">
        <v>0</v>
      </c>
    </row>
    <row r="277" spans="1:6" x14ac:dyDescent="0.25">
      <c r="A277" t="s">
        <v>1531</v>
      </c>
      <c r="B277" t="s">
        <v>626</v>
      </c>
      <c r="D277">
        <v>1</v>
      </c>
      <c r="E277">
        <v>0</v>
      </c>
      <c r="F277">
        <v>0</v>
      </c>
    </row>
    <row r="278" spans="1:6" x14ac:dyDescent="0.25">
      <c r="A278" t="s">
        <v>1531</v>
      </c>
      <c r="B278" t="s">
        <v>627</v>
      </c>
      <c r="D278">
        <v>1</v>
      </c>
      <c r="E278">
        <v>0</v>
      </c>
      <c r="F278">
        <v>0</v>
      </c>
    </row>
    <row r="279" spans="1:6" x14ac:dyDescent="0.25">
      <c r="A279" t="s">
        <v>1531</v>
      </c>
      <c r="B279" t="s">
        <v>1134</v>
      </c>
      <c r="D279">
        <v>1</v>
      </c>
      <c r="E279">
        <v>0</v>
      </c>
      <c r="F279">
        <v>0</v>
      </c>
    </row>
    <row r="280" spans="1:6" x14ac:dyDescent="0.25">
      <c r="A280" t="s">
        <v>1531</v>
      </c>
      <c r="B280" t="s">
        <v>629</v>
      </c>
      <c r="D280">
        <v>1</v>
      </c>
      <c r="E280">
        <v>0</v>
      </c>
      <c r="F280">
        <v>0</v>
      </c>
    </row>
    <row r="281" spans="1:6" x14ac:dyDescent="0.25">
      <c r="A281" t="s">
        <v>1531</v>
      </c>
      <c r="B281" t="s">
        <v>630</v>
      </c>
      <c r="D281">
        <v>1</v>
      </c>
      <c r="E281">
        <v>0</v>
      </c>
      <c r="F281">
        <v>0</v>
      </c>
    </row>
    <row r="282" spans="1:6" x14ac:dyDescent="0.25">
      <c r="A282" t="s">
        <v>1531</v>
      </c>
      <c r="B282" t="s">
        <v>631</v>
      </c>
      <c r="D282">
        <v>1</v>
      </c>
      <c r="E282">
        <v>0</v>
      </c>
      <c r="F282">
        <v>0</v>
      </c>
    </row>
    <row r="283" spans="1:6" x14ac:dyDescent="0.25">
      <c r="A283" t="s">
        <v>1531</v>
      </c>
      <c r="B283" t="s">
        <v>632</v>
      </c>
      <c r="D283">
        <v>1</v>
      </c>
      <c r="E283">
        <v>0</v>
      </c>
      <c r="F283">
        <v>0</v>
      </c>
    </row>
    <row r="284" spans="1:6" x14ac:dyDescent="0.25">
      <c r="A284" t="s">
        <v>1531</v>
      </c>
      <c r="B284" t="s">
        <v>633</v>
      </c>
      <c r="D284">
        <v>1</v>
      </c>
      <c r="E284">
        <v>0</v>
      </c>
      <c r="F284">
        <v>0</v>
      </c>
    </row>
    <row r="285" spans="1:6" x14ac:dyDescent="0.25">
      <c r="A285" t="s">
        <v>1531</v>
      </c>
      <c r="B285" t="s">
        <v>634</v>
      </c>
      <c r="D285">
        <v>1</v>
      </c>
      <c r="E285">
        <v>0</v>
      </c>
      <c r="F285">
        <v>0</v>
      </c>
    </row>
    <row r="286" spans="1:6" x14ac:dyDescent="0.25">
      <c r="A286" t="s">
        <v>1531</v>
      </c>
      <c r="B286" t="s">
        <v>635</v>
      </c>
      <c r="D286">
        <v>1</v>
      </c>
      <c r="E286">
        <v>0</v>
      </c>
      <c r="F286">
        <v>0</v>
      </c>
    </row>
    <row r="287" spans="1:6" x14ac:dyDescent="0.25">
      <c r="A287" t="s">
        <v>1531</v>
      </c>
      <c r="B287" t="s">
        <v>636</v>
      </c>
      <c r="D287">
        <v>1</v>
      </c>
      <c r="E287">
        <v>0</v>
      </c>
      <c r="F287">
        <v>0</v>
      </c>
    </row>
    <row r="288" spans="1:6" x14ac:dyDescent="0.25">
      <c r="A288" t="s">
        <v>1531</v>
      </c>
      <c r="B288" t="s">
        <v>637</v>
      </c>
      <c r="D288">
        <v>1</v>
      </c>
      <c r="E288">
        <v>0</v>
      </c>
      <c r="F288">
        <v>0</v>
      </c>
    </row>
    <row r="289" spans="1:6" x14ac:dyDescent="0.25">
      <c r="A289" t="s">
        <v>1531</v>
      </c>
      <c r="B289" t="s">
        <v>638</v>
      </c>
      <c r="D289">
        <v>1</v>
      </c>
      <c r="E289">
        <v>0</v>
      </c>
      <c r="F289">
        <v>0</v>
      </c>
    </row>
    <row r="290" spans="1:6" x14ac:dyDescent="0.25">
      <c r="A290" t="s">
        <v>1531</v>
      </c>
      <c r="B290" t="s">
        <v>639</v>
      </c>
      <c r="D290">
        <v>1</v>
      </c>
      <c r="E290">
        <v>0</v>
      </c>
      <c r="F290">
        <v>0</v>
      </c>
    </row>
    <row r="291" spans="1:6" x14ac:dyDescent="0.25">
      <c r="A291" t="s">
        <v>1531</v>
      </c>
      <c r="B291" t="s">
        <v>640</v>
      </c>
      <c r="D291">
        <v>1</v>
      </c>
      <c r="E291">
        <v>0</v>
      </c>
      <c r="F291">
        <v>0</v>
      </c>
    </row>
    <row r="292" spans="1:6" x14ac:dyDescent="0.25">
      <c r="A292" t="s">
        <v>1531</v>
      </c>
      <c r="B292" t="s">
        <v>641</v>
      </c>
      <c r="D292">
        <v>1</v>
      </c>
      <c r="E292">
        <v>0</v>
      </c>
      <c r="F292">
        <v>0</v>
      </c>
    </row>
    <row r="293" spans="1:6" x14ac:dyDescent="0.25">
      <c r="A293" t="s">
        <v>1531</v>
      </c>
      <c r="B293" t="s">
        <v>642</v>
      </c>
      <c r="D293">
        <v>1</v>
      </c>
      <c r="E293">
        <v>0</v>
      </c>
      <c r="F293">
        <v>0</v>
      </c>
    </row>
    <row r="294" spans="1:6" x14ac:dyDescent="0.25">
      <c r="A294" t="s">
        <v>1531</v>
      </c>
      <c r="B294" t="s">
        <v>643</v>
      </c>
      <c r="D294">
        <v>1</v>
      </c>
      <c r="E294">
        <v>0</v>
      </c>
      <c r="F294">
        <v>0</v>
      </c>
    </row>
    <row r="295" spans="1:6" x14ac:dyDescent="0.25">
      <c r="A295" t="s">
        <v>1531</v>
      </c>
      <c r="B295" t="s">
        <v>644</v>
      </c>
      <c r="D295">
        <v>1</v>
      </c>
      <c r="E295">
        <v>0</v>
      </c>
      <c r="F295">
        <v>0</v>
      </c>
    </row>
    <row r="296" spans="1:6" x14ac:dyDescent="0.25">
      <c r="A296" t="s">
        <v>1531</v>
      </c>
      <c r="B296" t="s">
        <v>645</v>
      </c>
      <c r="D296">
        <v>1</v>
      </c>
      <c r="E296">
        <v>0</v>
      </c>
      <c r="F296">
        <v>0</v>
      </c>
    </row>
    <row r="297" spans="1:6" x14ac:dyDescent="0.25">
      <c r="A297" t="s">
        <v>1531</v>
      </c>
      <c r="B297" t="s">
        <v>647</v>
      </c>
      <c r="E297">
        <v>1</v>
      </c>
      <c r="F297">
        <v>1</v>
      </c>
    </row>
    <row r="298" spans="1:6" x14ac:dyDescent="0.25">
      <c r="A298" t="s">
        <v>1531</v>
      </c>
      <c r="B298" t="s">
        <v>650</v>
      </c>
      <c r="E298">
        <v>1</v>
      </c>
      <c r="F298">
        <v>1</v>
      </c>
    </row>
    <row r="299" spans="1:6" x14ac:dyDescent="0.25">
      <c r="A299" t="s">
        <v>1531</v>
      </c>
      <c r="B299" t="s">
        <v>652</v>
      </c>
      <c r="E299">
        <v>1</v>
      </c>
      <c r="F299">
        <v>1</v>
      </c>
    </row>
    <row r="300" spans="1:6" x14ac:dyDescent="0.25">
      <c r="A300" t="s">
        <v>1531</v>
      </c>
      <c r="B300" t="s">
        <v>654</v>
      </c>
      <c r="E300">
        <v>1</v>
      </c>
      <c r="F300">
        <v>1</v>
      </c>
    </row>
    <row r="301" spans="1:6" x14ac:dyDescent="0.25">
      <c r="A301" t="s">
        <v>1531</v>
      </c>
      <c r="B301" t="s">
        <v>656</v>
      </c>
      <c r="E301">
        <v>1</v>
      </c>
      <c r="F301">
        <v>1</v>
      </c>
    </row>
    <row r="302" spans="1:6" x14ac:dyDescent="0.25">
      <c r="A302" t="s">
        <v>1531</v>
      </c>
      <c r="B302" t="s">
        <v>658</v>
      </c>
      <c r="E302">
        <v>1</v>
      </c>
      <c r="F302">
        <v>1</v>
      </c>
    </row>
    <row r="303" spans="1:6" x14ac:dyDescent="0.25">
      <c r="A303" t="s">
        <v>1531</v>
      </c>
      <c r="B303" t="s">
        <v>660</v>
      </c>
      <c r="E303">
        <v>1</v>
      </c>
      <c r="F303">
        <v>1</v>
      </c>
    </row>
    <row r="304" spans="1:6" x14ac:dyDescent="0.25">
      <c r="A304" t="s">
        <v>1531</v>
      </c>
      <c r="B304" t="s">
        <v>662</v>
      </c>
      <c r="E304">
        <v>1</v>
      </c>
      <c r="F304">
        <v>1</v>
      </c>
    </row>
    <row r="305" spans="1:6" x14ac:dyDescent="0.25">
      <c r="A305" t="s">
        <v>1531</v>
      </c>
      <c r="B305" t="s">
        <v>664</v>
      </c>
      <c r="E305">
        <v>1</v>
      </c>
      <c r="F305">
        <v>1</v>
      </c>
    </row>
    <row r="306" spans="1:6" x14ac:dyDescent="0.25">
      <c r="A306" t="s">
        <v>1531</v>
      </c>
      <c r="B306" t="s">
        <v>666</v>
      </c>
      <c r="E306">
        <v>1</v>
      </c>
      <c r="F306">
        <v>1</v>
      </c>
    </row>
    <row r="307" spans="1:6" x14ac:dyDescent="0.25">
      <c r="A307" t="s">
        <v>1531</v>
      </c>
      <c r="B307" t="s">
        <v>668</v>
      </c>
      <c r="E307">
        <v>1</v>
      </c>
      <c r="F307">
        <v>1</v>
      </c>
    </row>
    <row r="308" spans="1:6" x14ac:dyDescent="0.25">
      <c r="A308" t="s">
        <v>1531</v>
      </c>
      <c r="B308" t="s">
        <v>670</v>
      </c>
      <c r="E308">
        <v>1</v>
      </c>
      <c r="F308">
        <v>1</v>
      </c>
    </row>
    <row r="309" spans="1:6" x14ac:dyDescent="0.25">
      <c r="A309" t="s">
        <v>1531</v>
      </c>
      <c r="B309" t="s">
        <v>672</v>
      </c>
      <c r="E309">
        <v>1</v>
      </c>
      <c r="F309">
        <v>1</v>
      </c>
    </row>
    <row r="310" spans="1:6" x14ac:dyDescent="0.25">
      <c r="A310" t="s">
        <v>1531</v>
      </c>
      <c r="B310" t="s">
        <v>674</v>
      </c>
      <c r="E310">
        <v>1</v>
      </c>
      <c r="F310">
        <v>1</v>
      </c>
    </row>
    <row r="311" spans="1:6" x14ac:dyDescent="0.25">
      <c r="A311" t="s">
        <v>1531</v>
      </c>
      <c r="B311" t="s">
        <v>676</v>
      </c>
      <c r="E311">
        <v>1</v>
      </c>
      <c r="F311">
        <v>1</v>
      </c>
    </row>
    <row r="312" spans="1:6" x14ac:dyDescent="0.25">
      <c r="A312" t="s">
        <v>1531</v>
      </c>
      <c r="B312" t="s">
        <v>678</v>
      </c>
      <c r="E312">
        <v>1</v>
      </c>
      <c r="F312">
        <v>1</v>
      </c>
    </row>
    <row r="313" spans="1:6" x14ac:dyDescent="0.25">
      <c r="A313" t="s">
        <v>1531</v>
      </c>
      <c r="B313" t="s">
        <v>681</v>
      </c>
      <c r="E313">
        <v>1</v>
      </c>
      <c r="F313">
        <v>1</v>
      </c>
    </row>
    <row r="314" spans="1:6" x14ac:dyDescent="0.25">
      <c r="A314" t="s">
        <v>1531</v>
      </c>
      <c r="B314" t="s">
        <v>683</v>
      </c>
      <c r="E314">
        <v>1</v>
      </c>
      <c r="F314">
        <v>1</v>
      </c>
    </row>
    <row r="315" spans="1:6" x14ac:dyDescent="0.25">
      <c r="A315" t="s">
        <v>1531</v>
      </c>
      <c r="B315" t="s">
        <v>685</v>
      </c>
      <c r="E315">
        <v>1</v>
      </c>
      <c r="F315">
        <v>1</v>
      </c>
    </row>
    <row r="316" spans="1:6" x14ac:dyDescent="0.25">
      <c r="A316" t="s">
        <v>1531</v>
      </c>
      <c r="B316" t="s">
        <v>687</v>
      </c>
      <c r="E316">
        <v>1</v>
      </c>
      <c r="F316">
        <v>1</v>
      </c>
    </row>
    <row r="317" spans="1:6" x14ac:dyDescent="0.25">
      <c r="A317" t="s">
        <v>1531</v>
      </c>
      <c r="B317" t="s">
        <v>689</v>
      </c>
      <c r="E317">
        <v>1</v>
      </c>
      <c r="F317">
        <v>1</v>
      </c>
    </row>
    <row r="318" spans="1:6" x14ac:dyDescent="0.25">
      <c r="A318" t="s">
        <v>1531</v>
      </c>
      <c r="B318" t="s">
        <v>691</v>
      </c>
      <c r="E318">
        <v>1</v>
      </c>
      <c r="F318">
        <v>1</v>
      </c>
    </row>
    <row r="319" spans="1:6" x14ac:dyDescent="0.25">
      <c r="A319" t="s">
        <v>1531</v>
      </c>
      <c r="B319" t="s">
        <v>693</v>
      </c>
      <c r="E319">
        <v>1</v>
      </c>
      <c r="F319">
        <v>1</v>
      </c>
    </row>
    <row r="320" spans="1:6" x14ac:dyDescent="0.25">
      <c r="A320" t="s">
        <v>1531</v>
      </c>
      <c r="B320" t="s">
        <v>695</v>
      </c>
      <c r="E320">
        <v>1</v>
      </c>
      <c r="F320">
        <v>1</v>
      </c>
    </row>
    <row r="321" spans="1:6" x14ac:dyDescent="0.25">
      <c r="A321" t="s">
        <v>1531</v>
      </c>
      <c r="B321" t="s">
        <v>697</v>
      </c>
      <c r="E321">
        <v>1</v>
      </c>
      <c r="F321">
        <v>1</v>
      </c>
    </row>
    <row r="322" spans="1:6" x14ac:dyDescent="0.25">
      <c r="A322" t="s">
        <v>1531</v>
      </c>
      <c r="B322" t="s">
        <v>699</v>
      </c>
      <c r="E322">
        <v>1</v>
      </c>
      <c r="F322">
        <v>1</v>
      </c>
    </row>
    <row r="323" spans="1:6" x14ac:dyDescent="0.25">
      <c r="A323" t="s">
        <v>1531</v>
      </c>
      <c r="B323" t="s">
        <v>701</v>
      </c>
      <c r="E323">
        <v>1</v>
      </c>
      <c r="F323">
        <v>1</v>
      </c>
    </row>
    <row r="324" spans="1:6" x14ac:dyDescent="0.25">
      <c r="A324" t="s">
        <v>1531</v>
      </c>
      <c r="B324" t="s">
        <v>703</v>
      </c>
      <c r="E324">
        <v>1</v>
      </c>
      <c r="F324">
        <v>1</v>
      </c>
    </row>
    <row r="325" spans="1:6" x14ac:dyDescent="0.25">
      <c r="A325" t="s">
        <v>1531</v>
      </c>
      <c r="B325" t="s">
        <v>705</v>
      </c>
      <c r="E325">
        <v>1</v>
      </c>
      <c r="F325">
        <v>1</v>
      </c>
    </row>
    <row r="326" spans="1:6" x14ac:dyDescent="0.25">
      <c r="A326" t="s">
        <v>1531</v>
      </c>
      <c r="B326" t="s">
        <v>707</v>
      </c>
      <c r="E326">
        <v>1</v>
      </c>
      <c r="F326">
        <v>1</v>
      </c>
    </row>
    <row r="327" spans="1:6" x14ac:dyDescent="0.25">
      <c r="A327" t="s">
        <v>1532</v>
      </c>
      <c r="B327" t="s">
        <v>108</v>
      </c>
      <c r="C327">
        <v>1</v>
      </c>
      <c r="E327">
        <v>1</v>
      </c>
      <c r="F327">
        <v>0</v>
      </c>
    </row>
    <row r="328" spans="1:6" x14ac:dyDescent="0.25">
      <c r="A328" t="s">
        <v>1532</v>
      </c>
      <c r="B328" t="s">
        <v>109</v>
      </c>
      <c r="C328">
        <v>1</v>
      </c>
      <c r="E328">
        <v>1</v>
      </c>
      <c r="F328">
        <v>1</v>
      </c>
    </row>
    <row r="329" spans="1:6" x14ac:dyDescent="0.25">
      <c r="A329" t="s">
        <v>1532</v>
      </c>
      <c r="B329" t="s">
        <v>110</v>
      </c>
      <c r="C329">
        <v>1</v>
      </c>
      <c r="E329">
        <v>0</v>
      </c>
      <c r="F329">
        <v>0</v>
      </c>
    </row>
    <row r="330" spans="1:6" x14ac:dyDescent="0.25">
      <c r="A330" t="s">
        <v>1532</v>
      </c>
      <c r="B330" t="s">
        <v>111</v>
      </c>
      <c r="C330">
        <v>1</v>
      </c>
      <c r="E330">
        <v>1</v>
      </c>
      <c r="F330">
        <v>1</v>
      </c>
    </row>
    <row r="331" spans="1:6" x14ac:dyDescent="0.25">
      <c r="A331" t="s">
        <v>1532</v>
      </c>
      <c r="B331" t="s">
        <v>112</v>
      </c>
      <c r="C331">
        <v>1</v>
      </c>
      <c r="E331">
        <v>1</v>
      </c>
      <c r="F331">
        <v>0</v>
      </c>
    </row>
    <row r="332" spans="1:6" x14ac:dyDescent="0.25">
      <c r="A332" t="s">
        <v>1532</v>
      </c>
      <c r="B332" t="s">
        <v>114</v>
      </c>
      <c r="C332">
        <v>1</v>
      </c>
      <c r="E332">
        <v>0</v>
      </c>
      <c r="F332">
        <v>0</v>
      </c>
    </row>
    <row r="333" spans="1:6" x14ac:dyDescent="0.25">
      <c r="A333" t="s">
        <v>1532</v>
      </c>
      <c r="B333" t="s">
        <v>115</v>
      </c>
      <c r="C333">
        <v>1</v>
      </c>
      <c r="E333">
        <v>1</v>
      </c>
      <c r="F333">
        <v>0</v>
      </c>
    </row>
    <row r="334" spans="1:6" x14ac:dyDescent="0.25">
      <c r="A334" t="s">
        <v>1532</v>
      </c>
      <c r="B334" t="s">
        <v>117</v>
      </c>
      <c r="C334">
        <v>1</v>
      </c>
      <c r="E334">
        <v>1</v>
      </c>
      <c r="F334">
        <v>1</v>
      </c>
    </row>
    <row r="335" spans="1:6" x14ac:dyDescent="0.25">
      <c r="A335" t="s">
        <v>1532</v>
      </c>
      <c r="B335" t="s">
        <v>118</v>
      </c>
      <c r="C335">
        <v>1</v>
      </c>
      <c r="E335">
        <v>0</v>
      </c>
      <c r="F335">
        <v>0</v>
      </c>
    </row>
    <row r="336" spans="1:6" x14ac:dyDescent="0.25">
      <c r="A336" t="s">
        <v>1532</v>
      </c>
      <c r="B336" t="s">
        <v>119</v>
      </c>
      <c r="C336">
        <v>1</v>
      </c>
      <c r="E336">
        <v>1</v>
      </c>
      <c r="F336">
        <v>1</v>
      </c>
    </row>
    <row r="337" spans="1:6" x14ac:dyDescent="0.25">
      <c r="A337" t="s">
        <v>1532</v>
      </c>
      <c r="B337" t="s">
        <v>120</v>
      </c>
      <c r="C337">
        <v>1</v>
      </c>
      <c r="E337">
        <v>1</v>
      </c>
      <c r="F337">
        <v>0</v>
      </c>
    </row>
    <row r="338" spans="1:6" x14ac:dyDescent="0.25">
      <c r="A338" t="s">
        <v>1532</v>
      </c>
      <c r="B338" t="s">
        <v>121</v>
      </c>
      <c r="C338">
        <v>1</v>
      </c>
      <c r="E338">
        <v>0</v>
      </c>
      <c r="F338">
        <v>0</v>
      </c>
    </row>
    <row r="339" spans="1:6" x14ac:dyDescent="0.25">
      <c r="A339" t="s">
        <v>1532</v>
      </c>
      <c r="B339" t="s">
        <v>122</v>
      </c>
      <c r="C339">
        <v>1</v>
      </c>
      <c r="E339">
        <v>0</v>
      </c>
      <c r="F339">
        <v>0</v>
      </c>
    </row>
    <row r="340" spans="1:6" x14ac:dyDescent="0.25">
      <c r="A340" t="s">
        <v>1532</v>
      </c>
      <c r="B340" t="s">
        <v>123</v>
      </c>
      <c r="C340">
        <v>1</v>
      </c>
      <c r="E340">
        <v>0</v>
      </c>
      <c r="F340">
        <v>0</v>
      </c>
    </row>
    <row r="341" spans="1:6" x14ac:dyDescent="0.25">
      <c r="A341" t="s">
        <v>1532</v>
      </c>
      <c r="B341" t="s">
        <v>124</v>
      </c>
      <c r="C341">
        <v>1</v>
      </c>
      <c r="E341">
        <v>0</v>
      </c>
      <c r="F341">
        <v>0</v>
      </c>
    </row>
    <row r="342" spans="1:6" x14ac:dyDescent="0.25">
      <c r="A342" t="s">
        <v>1532</v>
      </c>
      <c r="B342" t="s">
        <v>125</v>
      </c>
      <c r="C342">
        <v>1</v>
      </c>
      <c r="E342">
        <v>0</v>
      </c>
      <c r="F342">
        <v>0</v>
      </c>
    </row>
    <row r="343" spans="1:6" x14ac:dyDescent="0.25">
      <c r="A343" t="s">
        <v>1532</v>
      </c>
      <c r="B343" t="s">
        <v>126</v>
      </c>
      <c r="C343">
        <v>1</v>
      </c>
      <c r="E343">
        <v>0</v>
      </c>
      <c r="F343">
        <v>0</v>
      </c>
    </row>
    <row r="344" spans="1:6" x14ac:dyDescent="0.25">
      <c r="A344" t="s">
        <v>1532</v>
      </c>
      <c r="B344" t="s">
        <v>127</v>
      </c>
      <c r="C344">
        <v>1</v>
      </c>
      <c r="E344">
        <v>0</v>
      </c>
      <c r="F344">
        <v>0</v>
      </c>
    </row>
    <row r="345" spans="1:6" x14ac:dyDescent="0.25">
      <c r="A345" t="s">
        <v>1532</v>
      </c>
      <c r="B345" t="s">
        <v>128</v>
      </c>
      <c r="C345">
        <v>1</v>
      </c>
      <c r="E345">
        <v>0</v>
      </c>
      <c r="F345">
        <v>0</v>
      </c>
    </row>
    <row r="346" spans="1:6" x14ac:dyDescent="0.25">
      <c r="A346" t="s">
        <v>1532</v>
      </c>
      <c r="B346" t="s">
        <v>129</v>
      </c>
      <c r="C346">
        <v>1</v>
      </c>
      <c r="E346">
        <v>0</v>
      </c>
      <c r="F346">
        <v>0</v>
      </c>
    </row>
    <row r="347" spans="1:6" x14ac:dyDescent="0.25">
      <c r="A347" t="s">
        <v>1532</v>
      </c>
      <c r="B347" t="s">
        <v>130</v>
      </c>
      <c r="C347">
        <v>1</v>
      </c>
      <c r="E347">
        <v>0</v>
      </c>
      <c r="F347">
        <v>0</v>
      </c>
    </row>
    <row r="348" spans="1:6" x14ac:dyDescent="0.25">
      <c r="A348" t="s">
        <v>1532</v>
      </c>
      <c r="B348" t="s">
        <v>131</v>
      </c>
      <c r="C348">
        <v>1</v>
      </c>
      <c r="E348">
        <v>0</v>
      </c>
      <c r="F348">
        <v>0</v>
      </c>
    </row>
    <row r="349" spans="1:6" x14ac:dyDescent="0.25">
      <c r="A349" t="s">
        <v>1532</v>
      </c>
      <c r="B349" t="s">
        <v>132</v>
      </c>
      <c r="C349">
        <v>1</v>
      </c>
      <c r="E349">
        <v>0</v>
      </c>
      <c r="F349">
        <v>0</v>
      </c>
    </row>
    <row r="350" spans="1:6" x14ac:dyDescent="0.25">
      <c r="A350" t="s">
        <v>1532</v>
      </c>
      <c r="B350" t="s">
        <v>133</v>
      </c>
      <c r="C350">
        <v>1</v>
      </c>
      <c r="E350">
        <v>0</v>
      </c>
      <c r="F350">
        <v>0</v>
      </c>
    </row>
    <row r="351" spans="1:6" x14ac:dyDescent="0.25">
      <c r="A351" t="s">
        <v>1532</v>
      </c>
      <c r="B351" t="s">
        <v>134</v>
      </c>
      <c r="C351">
        <v>1</v>
      </c>
      <c r="E351">
        <v>0</v>
      </c>
      <c r="F351">
        <v>0</v>
      </c>
    </row>
    <row r="352" spans="1:6" x14ac:dyDescent="0.25">
      <c r="A352" t="s">
        <v>1532</v>
      </c>
      <c r="B352" t="s">
        <v>135</v>
      </c>
      <c r="C352">
        <v>1</v>
      </c>
      <c r="E352">
        <v>0</v>
      </c>
      <c r="F352">
        <v>0</v>
      </c>
    </row>
    <row r="353" spans="1:6" x14ac:dyDescent="0.25">
      <c r="A353" t="s">
        <v>1532</v>
      </c>
      <c r="B353" t="s">
        <v>136</v>
      </c>
      <c r="C353">
        <v>1</v>
      </c>
      <c r="E353">
        <v>0</v>
      </c>
      <c r="F353">
        <v>0</v>
      </c>
    </row>
    <row r="354" spans="1:6" x14ac:dyDescent="0.25">
      <c r="A354" t="s">
        <v>1532</v>
      </c>
      <c r="B354" t="s">
        <v>137</v>
      </c>
      <c r="C354">
        <v>1</v>
      </c>
      <c r="E354">
        <v>0</v>
      </c>
      <c r="F354">
        <v>0</v>
      </c>
    </row>
    <row r="355" spans="1:6" x14ac:dyDescent="0.25">
      <c r="A355" t="s">
        <v>1532</v>
      </c>
      <c r="B355" t="s">
        <v>138</v>
      </c>
      <c r="C355">
        <v>1</v>
      </c>
      <c r="E355">
        <v>0</v>
      </c>
      <c r="F355">
        <v>0</v>
      </c>
    </row>
    <row r="356" spans="1:6" x14ac:dyDescent="0.25">
      <c r="A356" t="s">
        <v>1532</v>
      </c>
      <c r="B356" t="s">
        <v>139</v>
      </c>
      <c r="C356">
        <v>1</v>
      </c>
      <c r="E356">
        <v>0</v>
      </c>
      <c r="F356">
        <v>0</v>
      </c>
    </row>
    <row r="357" spans="1:6" x14ac:dyDescent="0.25">
      <c r="A357" t="s">
        <v>1532</v>
      </c>
      <c r="B357" t="s">
        <v>140</v>
      </c>
      <c r="D357">
        <v>1</v>
      </c>
      <c r="E357">
        <v>1</v>
      </c>
      <c r="F357">
        <v>0</v>
      </c>
    </row>
    <row r="358" spans="1:6" x14ac:dyDescent="0.25">
      <c r="A358" t="s">
        <v>1532</v>
      </c>
      <c r="B358" t="s">
        <v>141</v>
      </c>
      <c r="D358">
        <v>1</v>
      </c>
      <c r="E358">
        <v>1</v>
      </c>
      <c r="F358">
        <v>1</v>
      </c>
    </row>
    <row r="359" spans="1:6" x14ac:dyDescent="0.25">
      <c r="A359" t="s">
        <v>1532</v>
      </c>
      <c r="B359" t="s">
        <v>142</v>
      </c>
      <c r="D359">
        <v>1</v>
      </c>
      <c r="E359">
        <v>0</v>
      </c>
      <c r="F359">
        <v>0</v>
      </c>
    </row>
    <row r="360" spans="1:6" x14ac:dyDescent="0.25">
      <c r="A360" t="s">
        <v>1532</v>
      </c>
      <c r="B360" t="s">
        <v>143</v>
      </c>
      <c r="D360">
        <v>1</v>
      </c>
      <c r="E360">
        <v>1</v>
      </c>
      <c r="F360">
        <v>1</v>
      </c>
    </row>
    <row r="361" spans="1:6" x14ac:dyDescent="0.25">
      <c r="A361" t="s">
        <v>1532</v>
      </c>
      <c r="B361" t="s">
        <v>144</v>
      </c>
      <c r="D361">
        <v>1</v>
      </c>
      <c r="E361">
        <v>1</v>
      </c>
      <c r="F361">
        <v>0</v>
      </c>
    </row>
    <row r="362" spans="1:6" x14ac:dyDescent="0.25">
      <c r="A362" t="s">
        <v>1532</v>
      </c>
      <c r="B362" t="s">
        <v>145</v>
      </c>
      <c r="D362">
        <v>1</v>
      </c>
      <c r="E362">
        <v>0</v>
      </c>
      <c r="F362">
        <v>0</v>
      </c>
    </row>
    <row r="363" spans="1:6" x14ac:dyDescent="0.25">
      <c r="A363" t="s">
        <v>1532</v>
      </c>
      <c r="B363" t="s">
        <v>146</v>
      </c>
      <c r="D363">
        <v>1</v>
      </c>
      <c r="E363">
        <v>0</v>
      </c>
      <c r="F363">
        <v>0</v>
      </c>
    </row>
    <row r="364" spans="1:6" x14ac:dyDescent="0.25">
      <c r="A364" t="s">
        <v>1532</v>
      </c>
      <c r="B364" t="s">
        <v>147</v>
      </c>
      <c r="D364">
        <v>1</v>
      </c>
      <c r="E364">
        <v>0</v>
      </c>
      <c r="F364">
        <v>0</v>
      </c>
    </row>
    <row r="365" spans="1:6" x14ac:dyDescent="0.25">
      <c r="A365" t="s">
        <v>1532</v>
      </c>
      <c r="B365" t="s">
        <v>148</v>
      </c>
      <c r="D365">
        <v>1</v>
      </c>
      <c r="E365">
        <v>0</v>
      </c>
      <c r="F365">
        <v>0</v>
      </c>
    </row>
    <row r="366" spans="1:6" x14ac:dyDescent="0.25">
      <c r="A366" t="s">
        <v>1532</v>
      </c>
      <c r="B366" t="s">
        <v>149</v>
      </c>
      <c r="D366">
        <v>1</v>
      </c>
      <c r="E366">
        <v>0</v>
      </c>
      <c r="F366">
        <v>0</v>
      </c>
    </row>
    <row r="367" spans="1:6" x14ac:dyDescent="0.25">
      <c r="A367" t="s">
        <v>1532</v>
      </c>
      <c r="B367" t="s">
        <v>150</v>
      </c>
      <c r="D367">
        <v>1</v>
      </c>
      <c r="E367">
        <v>0</v>
      </c>
      <c r="F367">
        <v>0</v>
      </c>
    </row>
    <row r="368" spans="1:6" x14ac:dyDescent="0.25">
      <c r="A368" t="s">
        <v>1532</v>
      </c>
      <c r="B368" t="s">
        <v>151</v>
      </c>
      <c r="D368">
        <v>1</v>
      </c>
      <c r="E368">
        <v>0</v>
      </c>
      <c r="F368">
        <v>0</v>
      </c>
    </row>
    <row r="369" spans="1:6" x14ac:dyDescent="0.25">
      <c r="A369" t="s">
        <v>1532</v>
      </c>
      <c r="B369" t="s">
        <v>152</v>
      </c>
      <c r="D369">
        <v>1</v>
      </c>
      <c r="E369">
        <v>0</v>
      </c>
      <c r="F369">
        <v>0</v>
      </c>
    </row>
    <row r="370" spans="1:6" x14ac:dyDescent="0.25">
      <c r="A370" t="s">
        <v>1532</v>
      </c>
      <c r="B370" t="s">
        <v>153</v>
      </c>
      <c r="D370">
        <v>1</v>
      </c>
      <c r="E370">
        <v>0</v>
      </c>
      <c r="F370">
        <v>0</v>
      </c>
    </row>
    <row r="371" spans="1:6" x14ac:dyDescent="0.25">
      <c r="A371" t="s">
        <v>1532</v>
      </c>
      <c r="B371" t="s">
        <v>154</v>
      </c>
      <c r="D371">
        <v>1</v>
      </c>
      <c r="E371">
        <v>0</v>
      </c>
      <c r="F371">
        <v>0</v>
      </c>
    </row>
    <row r="372" spans="1:6" x14ac:dyDescent="0.25">
      <c r="A372" t="s">
        <v>1532</v>
      </c>
      <c r="B372" t="s">
        <v>155</v>
      </c>
      <c r="D372">
        <v>1</v>
      </c>
      <c r="E372">
        <v>0</v>
      </c>
      <c r="F372">
        <v>0</v>
      </c>
    </row>
    <row r="373" spans="1:6" x14ac:dyDescent="0.25">
      <c r="A373" t="s">
        <v>1532</v>
      </c>
      <c r="B373" t="s">
        <v>156</v>
      </c>
      <c r="D373">
        <v>1</v>
      </c>
      <c r="E373">
        <v>0</v>
      </c>
      <c r="F373">
        <v>0</v>
      </c>
    </row>
    <row r="374" spans="1:6" x14ac:dyDescent="0.25">
      <c r="A374" t="s">
        <v>1532</v>
      </c>
      <c r="B374" t="s">
        <v>157</v>
      </c>
      <c r="D374">
        <v>1</v>
      </c>
      <c r="E374">
        <v>0</v>
      </c>
      <c r="F374">
        <v>0</v>
      </c>
    </row>
    <row r="375" spans="1:6" x14ac:dyDescent="0.25">
      <c r="A375" t="s">
        <v>1532</v>
      </c>
      <c r="B375" t="s">
        <v>158</v>
      </c>
      <c r="D375">
        <v>1</v>
      </c>
      <c r="E375">
        <v>0</v>
      </c>
      <c r="F375">
        <v>0</v>
      </c>
    </row>
    <row r="376" spans="1:6" x14ac:dyDescent="0.25">
      <c r="A376" t="s">
        <v>1532</v>
      </c>
      <c r="B376" t="s">
        <v>159</v>
      </c>
      <c r="D376">
        <v>1</v>
      </c>
      <c r="E376">
        <v>0</v>
      </c>
      <c r="F376">
        <v>0</v>
      </c>
    </row>
    <row r="377" spans="1:6" x14ac:dyDescent="0.25">
      <c r="A377" t="s">
        <v>1532</v>
      </c>
      <c r="B377" t="s">
        <v>160</v>
      </c>
      <c r="D377">
        <v>1</v>
      </c>
      <c r="E377">
        <v>0</v>
      </c>
      <c r="F377">
        <v>0</v>
      </c>
    </row>
    <row r="378" spans="1:6" x14ac:dyDescent="0.25">
      <c r="A378" t="s">
        <v>1532</v>
      </c>
      <c r="B378" t="s">
        <v>161</v>
      </c>
      <c r="E378">
        <v>1</v>
      </c>
      <c r="F378">
        <v>1</v>
      </c>
    </row>
    <row r="379" spans="1:6" x14ac:dyDescent="0.25">
      <c r="A379" t="s">
        <v>1532</v>
      </c>
      <c r="B379" t="s">
        <v>165</v>
      </c>
      <c r="E379">
        <v>1</v>
      </c>
      <c r="F379">
        <v>1</v>
      </c>
    </row>
    <row r="380" spans="1:6" x14ac:dyDescent="0.25">
      <c r="A380" t="s">
        <v>1532</v>
      </c>
      <c r="B380" t="s">
        <v>167</v>
      </c>
      <c r="E380">
        <v>1</v>
      </c>
      <c r="F380">
        <v>1</v>
      </c>
    </row>
    <row r="381" spans="1:6" x14ac:dyDescent="0.25">
      <c r="A381" t="s">
        <v>1532</v>
      </c>
      <c r="B381" t="s">
        <v>171</v>
      </c>
      <c r="E381">
        <v>1</v>
      </c>
      <c r="F381">
        <v>1</v>
      </c>
    </row>
    <row r="382" spans="1:6" x14ac:dyDescent="0.25">
      <c r="A382" t="s">
        <v>1532</v>
      </c>
      <c r="B382" t="s">
        <v>173</v>
      </c>
      <c r="E382">
        <v>1</v>
      </c>
      <c r="F382">
        <v>1</v>
      </c>
    </row>
    <row r="383" spans="1:6" x14ac:dyDescent="0.25">
      <c r="A383" t="s">
        <v>1532</v>
      </c>
      <c r="B383" t="s">
        <v>177</v>
      </c>
      <c r="E383">
        <v>1</v>
      </c>
      <c r="F383">
        <v>1</v>
      </c>
    </row>
    <row r="384" spans="1:6" x14ac:dyDescent="0.25">
      <c r="A384" t="s">
        <v>1532</v>
      </c>
      <c r="B384" t="s">
        <v>179</v>
      </c>
      <c r="E384">
        <v>1</v>
      </c>
      <c r="F384">
        <v>1</v>
      </c>
    </row>
    <row r="385" spans="1:6" x14ac:dyDescent="0.25">
      <c r="A385" t="s">
        <v>1532</v>
      </c>
      <c r="B385" t="s">
        <v>183</v>
      </c>
      <c r="E385">
        <v>1</v>
      </c>
      <c r="F385">
        <v>1</v>
      </c>
    </row>
    <row r="386" spans="1:6" x14ac:dyDescent="0.25">
      <c r="A386" t="s">
        <v>1532</v>
      </c>
      <c r="B386" t="s">
        <v>185</v>
      </c>
      <c r="E386">
        <v>1</v>
      </c>
      <c r="F386">
        <v>1</v>
      </c>
    </row>
    <row r="387" spans="1:6" x14ac:dyDescent="0.25">
      <c r="A387" t="s">
        <v>1532</v>
      </c>
      <c r="B387" t="s">
        <v>350</v>
      </c>
      <c r="C387">
        <v>1</v>
      </c>
      <c r="E387">
        <v>1</v>
      </c>
      <c r="F387">
        <v>0</v>
      </c>
    </row>
    <row r="388" spans="1:6" x14ac:dyDescent="0.25">
      <c r="A388" t="s">
        <v>1532</v>
      </c>
      <c r="B388" t="s">
        <v>351</v>
      </c>
      <c r="C388">
        <v>1</v>
      </c>
      <c r="E388">
        <v>0</v>
      </c>
      <c r="F388">
        <v>0</v>
      </c>
    </row>
    <row r="389" spans="1:6" x14ac:dyDescent="0.25">
      <c r="A389" t="s">
        <v>1532</v>
      </c>
      <c r="B389" t="s">
        <v>352</v>
      </c>
      <c r="C389">
        <v>1</v>
      </c>
      <c r="E389">
        <v>1</v>
      </c>
      <c r="F389">
        <v>0</v>
      </c>
    </row>
    <row r="390" spans="1:6" x14ac:dyDescent="0.25">
      <c r="A390" t="s">
        <v>1532</v>
      </c>
      <c r="B390" t="s">
        <v>353</v>
      </c>
      <c r="C390">
        <v>1</v>
      </c>
      <c r="E390">
        <v>1</v>
      </c>
      <c r="F390">
        <v>1</v>
      </c>
    </row>
    <row r="391" spans="1:6" x14ac:dyDescent="0.25">
      <c r="A391" t="s">
        <v>1532</v>
      </c>
      <c r="B391" t="s">
        <v>354</v>
      </c>
      <c r="C391">
        <v>1</v>
      </c>
      <c r="E391">
        <v>0</v>
      </c>
      <c r="F391">
        <v>0</v>
      </c>
    </row>
    <row r="392" spans="1:6" x14ac:dyDescent="0.25">
      <c r="A392" t="s">
        <v>1532</v>
      </c>
      <c r="B392" t="s">
        <v>355</v>
      </c>
      <c r="C392">
        <v>1</v>
      </c>
      <c r="E392">
        <v>1</v>
      </c>
      <c r="F392">
        <v>1</v>
      </c>
    </row>
    <row r="393" spans="1:6" x14ac:dyDescent="0.25">
      <c r="A393" t="s">
        <v>1532</v>
      </c>
      <c r="B393" t="s">
        <v>356</v>
      </c>
      <c r="C393">
        <v>1</v>
      </c>
      <c r="E393">
        <v>1</v>
      </c>
      <c r="F393">
        <v>0</v>
      </c>
    </row>
    <row r="394" spans="1:6" x14ac:dyDescent="0.25">
      <c r="A394" t="s">
        <v>1532</v>
      </c>
      <c r="B394" t="s">
        <v>357</v>
      </c>
      <c r="C394">
        <v>1</v>
      </c>
      <c r="E394">
        <v>0</v>
      </c>
      <c r="F394">
        <v>0</v>
      </c>
    </row>
    <row r="395" spans="1:6" x14ac:dyDescent="0.25">
      <c r="A395" t="s">
        <v>1532</v>
      </c>
      <c r="B395" t="s">
        <v>358</v>
      </c>
      <c r="C395">
        <v>1</v>
      </c>
      <c r="E395">
        <v>1</v>
      </c>
      <c r="F395">
        <v>0</v>
      </c>
    </row>
    <row r="396" spans="1:6" x14ac:dyDescent="0.25">
      <c r="A396" t="s">
        <v>1532</v>
      </c>
      <c r="B396" t="s">
        <v>359</v>
      </c>
      <c r="C396">
        <v>1</v>
      </c>
      <c r="E396">
        <v>1</v>
      </c>
      <c r="F396">
        <v>1</v>
      </c>
    </row>
    <row r="397" spans="1:6" x14ac:dyDescent="0.25">
      <c r="A397" t="s">
        <v>1532</v>
      </c>
      <c r="B397" t="s">
        <v>360</v>
      </c>
      <c r="C397">
        <v>1</v>
      </c>
      <c r="E397">
        <v>0</v>
      </c>
      <c r="F397">
        <v>0</v>
      </c>
    </row>
    <row r="398" spans="1:6" x14ac:dyDescent="0.25">
      <c r="A398" t="s">
        <v>1532</v>
      </c>
      <c r="B398" t="s">
        <v>361</v>
      </c>
      <c r="C398">
        <v>1</v>
      </c>
      <c r="E398">
        <v>1</v>
      </c>
      <c r="F398">
        <v>1</v>
      </c>
    </row>
    <row r="399" spans="1:6" x14ac:dyDescent="0.25">
      <c r="A399" t="s">
        <v>1532</v>
      </c>
      <c r="B399" t="s">
        <v>362</v>
      </c>
      <c r="C399">
        <v>1</v>
      </c>
      <c r="E399">
        <v>1</v>
      </c>
      <c r="F399">
        <v>0</v>
      </c>
    </row>
    <row r="400" spans="1:6" x14ac:dyDescent="0.25">
      <c r="A400" t="s">
        <v>1532</v>
      </c>
      <c r="B400" t="s">
        <v>363</v>
      </c>
      <c r="C400">
        <v>1</v>
      </c>
      <c r="E400">
        <v>0</v>
      </c>
      <c r="F400">
        <v>0</v>
      </c>
    </row>
    <row r="401" spans="1:6" x14ac:dyDescent="0.25">
      <c r="A401" t="s">
        <v>1532</v>
      </c>
      <c r="B401" t="s">
        <v>364</v>
      </c>
      <c r="C401">
        <v>1</v>
      </c>
      <c r="E401">
        <v>1</v>
      </c>
      <c r="F401">
        <v>0</v>
      </c>
    </row>
    <row r="402" spans="1:6" x14ac:dyDescent="0.25">
      <c r="A402" t="s">
        <v>1532</v>
      </c>
      <c r="B402" t="s">
        <v>365</v>
      </c>
      <c r="C402">
        <v>1</v>
      </c>
      <c r="E402">
        <v>1</v>
      </c>
      <c r="F402">
        <v>1</v>
      </c>
    </row>
    <row r="403" spans="1:6" x14ac:dyDescent="0.25">
      <c r="A403" t="s">
        <v>1532</v>
      </c>
      <c r="B403" t="s">
        <v>366</v>
      </c>
      <c r="C403">
        <v>1</v>
      </c>
      <c r="E403">
        <v>0</v>
      </c>
      <c r="F403">
        <v>0</v>
      </c>
    </row>
    <row r="404" spans="1:6" x14ac:dyDescent="0.25">
      <c r="A404" t="s">
        <v>1532</v>
      </c>
      <c r="B404" t="s">
        <v>367</v>
      </c>
      <c r="C404">
        <v>1</v>
      </c>
      <c r="E404">
        <v>1</v>
      </c>
      <c r="F404">
        <v>1</v>
      </c>
    </row>
    <row r="405" spans="1:6" x14ac:dyDescent="0.25">
      <c r="A405" t="s">
        <v>1532</v>
      </c>
      <c r="B405" t="s">
        <v>368</v>
      </c>
      <c r="C405">
        <v>1</v>
      </c>
      <c r="E405">
        <v>1</v>
      </c>
      <c r="F405">
        <v>0</v>
      </c>
    </row>
    <row r="406" spans="1:6" x14ac:dyDescent="0.25">
      <c r="A406" t="s">
        <v>1532</v>
      </c>
      <c r="B406" t="s">
        <v>369</v>
      </c>
      <c r="C406">
        <v>1</v>
      </c>
      <c r="E406">
        <v>0</v>
      </c>
      <c r="F406">
        <v>0</v>
      </c>
    </row>
    <row r="407" spans="1:6" x14ac:dyDescent="0.25">
      <c r="A407" t="s">
        <v>1532</v>
      </c>
      <c r="B407" t="s">
        <v>370</v>
      </c>
      <c r="C407">
        <v>1</v>
      </c>
      <c r="E407">
        <v>0</v>
      </c>
      <c r="F407">
        <v>0</v>
      </c>
    </row>
    <row r="408" spans="1:6" x14ac:dyDescent="0.25">
      <c r="A408" t="s">
        <v>1532</v>
      </c>
      <c r="B408" t="s">
        <v>371</v>
      </c>
      <c r="C408">
        <v>1</v>
      </c>
      <c r="E408">
        <v>0</v>
      </c>
      <c r="F408">
        <v>0</v>
      </c>
    </row>
    <row r="409" spans="1:6" x14ac:dyDescent="0.25">
      <c r="A409" t="s">
        <v>1532</v>
      </c>
      <c r="B409" t="s">
        <v>372</v>
      </c>
      <c r="C409">
        <v>1</v>
      </c>
      <c r="E409">
        <v>0</v>
      </c>
      <c r="F409">
        <v>0</v>
      </c>
    </row>
    <row r="410" spans="1:6" x14ac:dyDescent="0.25">
      <c r="A410" t="s">
        <v>1532</v>
      </c>
      <c r="B410" t="s">
        <v>373</v>
      </c>
      <c r="C410">
        <v>1</v>
      </c>
      <c r="E410">
        <v>0</v>
      </c>
      <c r="F410">
        <v>0</v>
      </c>
    </row>
    <row r="411" spans="1:6" x14ac:dyDescent="0.25">
      <c r="A411" t="s">
        <v>1532</v>
      </c>
      <c r="B411" t="s">
        <v>374</v>
      </c>
      <c r="C411">
        <v>1</v>
      </c>
      <c r="E411">
        <v>0</v>
      </c>
      <c r="F411">
        <v>0</v>
      </c>
    </row>
    <row r="412" spans="1:6" x14ac:dyDescent="0.25">
      <c r="A412" t="s">
        <v>1532</v>
      </c>
      <c r="B412" t="s">
        <v>375</v>
      </c>
      <c r="C412">
        <v>1</v>
      </c>
      <c r="E412">
        <v>0</v>
      </c>
      <c r="F412">
        <v>0</v>
      </c>
    </row>
    <row r="413" spans="1:6" x14ac:dyDescent="0.25">
      <c r="A413" t="s">
        <v>1532</v>
      </c>
      <c r="B413" t="s">
        <v>376</v>
      </c>
      <c r="C413">
        <v>1</v>
      </c>
      <c r="E413">
        <v>0</v>
      </c>
      <c r="F413">
        <v>0</v>
      </c>
    </row>
    <row r="414" spans="1:6" x14ac:dyDescent="0.25">
      <c r="A414" t="s">
        <v>1532</v>
      </c>
      <c r="B414" t="s">
        <v>1007</v>
      </c>
      <c r="C414">
        <v>1</v>
      </c>
      <c r="E414">
        <v>0</v>
      </c>
      <c r="F414">
        <v>0</v>
      </c>
    </row>
    <row r="415" spans="1:6" x14ac:dyDescent="0.25">
      <c r="A415" t="s">
        <v>1532</v>
      </c>
      <c r="B415" t="s">
        <v>1008</v>
      </c>
      <c r="C415">
        <v>1</v>
      </c>
      <c r="E415">
        <v>0</v>
      </c>
      <c r="F415">
        <v>0</v>
      </c>
    </row>
    <row r="416" spans="1:6" x14ac:dyDescent="0.25">
      <c r="A416" t="s">
        <v>1532</v>
      </c>
      <c r="B416" t="s">
        <v>1009</v>
      </c>
      <c r="C416">
        <v>1</v>
      </c>
      <c r="E416">
        <v>0</v>
      </c>
      <c r="F416">
        <v>0</v>
      </c>
    </row>
    <row r="417" spans="1:6" x14ac:dyDescent="0.25">
      <c r="A417" t="s">
        <v>1532</v>
      </c>
      <c r="B417" t="s">
        <v>1010</v>
      </c>
      <c r="C417">
        <v>1</v>
      </c>
      <c r="E417">
        <v>0</v>
      </c>
      <c r="F417">
        <v>0</v>
      </c>
    </row>
    <row r="418" spans="1:6" x14ac:dyDescent="0.25">
      <c r="A418" t="s">
        <v>1532</v>
      </c>
      <c r="B418" t="s">
        <v>1011</v>
      </c>
      <c r="C418">
        <v>1</v>
      </c>
      <c r="E418">
        <v>0</v>
      </c>
      <c r="F418">
        <v>0</v>
      </c>
    </row>
    <row r="419" spans="1:6" x14ac:dyDescent="0.25">
      <c r="A419" t="s">
        <v>1532</v>
      </c>
      <c r="B419" t="s">
        <v>1012</v>
      </c>
      <c r="C419">
        <v>1</v>
      </c>
      <c r="E419">
        <v>0</v>
      </c>
      <c r="F419">
        <v>0</v>
      </c>
    </row>
    <row r="420" spans="1:6" x14ac:dyDescent="0.25">
      <c r="A420" t="s">
        <v>1532</v>
      </c>
      <c r="B420" t="s">
        <v>1013</v>
      </c>
      <c r="C420">
        <v>1</v>
      </c>
      <c r="E420">
        <v>0</v>
      </c>
      <c r="F420">
        <v>0</v>
      </c>
    </row>
    <row r="421" spans="1:6" x14ac:dyDescent="0.25">
      <c r="A421" t="s">
        <v>1532</v>
      </c>
      <c r="B421" t="s">
        <v>1014</v>
      </c>
      <c r="C421">
        <v>1</v>
      </c>
      <c r="E421">
        <v>0</v>
      </c>
      <c r="F421">
        <v>0</v>
      </c>
    </row>
    <row r="422" spans="1:6" x14ac:dyDescent="0.25">
      <c r="A422" t="s">
        <v>1532</v>
      </c>
      <c r="B422" t="s">
        <v>1015</v>
      </c>
      <c r="C422">
        <v>1</v>
      </c>
      <c r="E422">
        <v>0</v>
      </c>
      <c r="F422">
        <v>0</v>
      </c>
    </row>
    <row r="423" spans="1:6" x14ac:dyDescent="0.25">
      <c r="A423" t="s">
        <v>1532</v>
      </c>
      <c r="B423" t="s">
        <v>1016</v>
      </c>
      <c r="C423">
        <v>1</v>
      </c>
      <c r="E423">
        <v>0</v>
      </c>
      <c r="F423">
        <v>0</v>
      </c>
    </row>
    <row r="424" spans="1:6" x14ac:dyDescent="0.25">
      <c r="A424" t="s">
        <v>1532</v>
      </c>
      <c r="B424" t="s">
        <v>1017</v>
      </c>
      <c r="C424">
        <v>1</v>
      </c>
      <c r="E424">
        <v>0</v>
      </c>
      <c r="F424">
        <v>0</v>
      </c>
    </row>
    <row r="425" spans="1:6" x14ac:dyDescent="0.25">
      <c r="A425" t="s">
        <v>1532</v>
      </c>
      <c r="B425" t="s">
        <v>1018</v>
      </c>
      <c r="C425">
        <v>1</v>
      </c>
      <c r="E425">
        <v>0</v>
      </c>
      <c r="F425">
        <v>0</v>
      </c>
    </row>
    <row r="426" spans="1:6" x14ac:dyDescent="0.25">
      <c r="A426" t="s">
        <v>1532</v>
      </c>
      <c r="B426" t="s">
        <v>1019</v>
      </c>
      <c r="C426">
        <v>1</v>
      </c>
      <c r="E426">
        <v>0</v>
      </c>
      <c r="F426">
        <v>0</v>
      </c>
    </row>
    <row r="427" spans="1:6" x14ac:dyDescent="0.25">
      <c r="A427" t="s">
        <v>1532</v>
      </c>
      <c r="B427" t="s">
        <v>1020</v>
      </c>
      <c r="C427">
        <v>1</v>
      </c>
      <c r="E427">
        <v>0</v>
      </c>
      <c r="F427">
        <v>0</v>
      </c>
    </row>
    <row r="428" spans="1:6" x14ac:dyDescent="0.25">
      <c r="A428" t="s">
        <v>1532</v>
      </c>
      <c r="B428" t="s">
        <v>1021</v>
      </c>
      <c r="C428">
        <v>1</v>
      </c>
      <c r="E428">
        <v>0</v>
      </c>
      <c r="F428">
        <v>0</v>
      </c>
    </row>
    <row r="429" spans="1:6" x14ac:dyDescent="0.25">
      <c r="A429" t="s">
        <v>1532</v>
      </c>
      <c r="B429" t="s">
        <v>1022</v>
      </c>
      <c r="C429">
        <v>1</v>
      </c>
      <c r="E429">
        <v>0</v>
      </c>
      <c r="F429">
        <v>0</v>
      </c>
    </row>
    <row r="430" spans="1:6" x14ac:dyDescent="0.25">
      <c r="A430" t="s">
        <v>1532</v>
      </c>
      <c r="B430" t="s">
        <v>1023</v>
      </c>
      <c r="C430">
        <v>1</v>
      </c>
      <c r="E430">
        <v>0</v>
      </c>
      <c r="F430">
        <v>0</v>
      </c>
    </row>
    <row r="431" spans="1:6" x14ac:dyDescent="0.25">
      <c r="A431" t="s">
        <v>1532</v>
      </c>
      <c r="B431" t="s">
        <v>1024</v>
      </c>
      <c r="C431">
        <v>1</v>
      </c>
      <c r="E431">
        <v>0</v>
      </c>
      <c r="F431">
        <v>0</v>
      </c>
    </row>
    <row r="432" spans="1:6" x14ac:dyDescent="0.25">
      <c r="A432" t="s">
        <v>1532</v>
      </c>
      <c r="B432" t="s">
        <v>1025</v>
      </c>
      <c r="C432">
        <v>1</v>
      </c>
      <c r="E432">
        <v>0</v>
      </c>
      <c r="F432">
        <v>0</v>
      </c>
    </row>
    <row r="433" spans="1:6" x14ac:dyDescent="0.25">
      <c r="A433" t="s">
        <v>1532</v>
      </c>
      <c r="B433" t="s">
        <v>1026</v>
      </c>
      <c r="C433">
        <v>1</v>
      </c>
      <c r="E433">
        <v>0</v>
      </c>
      <c r="F433">
        <v>0</v>
      </c>
    </row>
    <row r="434" spans="1:6" x14ac:dyDescent="0.25">
      <c r="A434" t="s">
        <v>1532</v>
      </c>
      <c r="B434" t="s">
        <v>1027</v>
      </c>
      <c r="C434">
        <v>1</v>
      </c>
      <c r="E434">
        <v>0</v>
      </c>
      <c r="F434">
        <v>0</v>
      </c>
    </row>
    <row r="435" spans="1:6" x14ac:dyDescent="0.25">
      <c r="A435" t="s">
        <v>1532</v>
      </c>
      <c r="B435" t="s">
        <v>1107</v>
      </c>
      <c r="C435">
        <v>1</v>
      </c>
      <c r="E435">
        <v>0</v>
      </c>
      <c r="F435">
        <v>0</v>
      </c>
    </row>
    <row r="436" spans="1:6" x14ac:dyDescent="0.25">
      <c r="A436" t="s">
        <v>1532</v>
      </c>
      <c r="B436" t="s">
        <v>1108</v>
      </c>
      <c r="C436">
        <v>1</v>
      </c>
      <c r="E436">
        <v>0</v>
      </c>
      <c r="F436">
        <v>0</v>
      </c>
    </row>
    <row r="437" spans="1:6" x14ac:dyDescent="0.25">
      <c r="A437" t="s">
        <v>1532</v>
      </c>
      <c r="B437" t="s">
        <v>1109</v>
      </c>
      <c r="C437">
        <v>1</v>
      </c>
      <c r="E437">
        <v>0</v>
      </c>
      <c r="F437">
        <v>0</v>
      </c>
    </row>
    <row r="438" spans="1:6" x14ac:dyDescent="0.25">
      <c r="A438" t="s">
        <v>1532</v>
      </c>
      <c r="B438" t="s">
        <v>1110</v>
      </c>
      <c r="C438">
        <v>1</v>
      </c>
      <c r="E438">
        <v>0</v>
      </c>
      <c r="F438">
        <v>0</v>
      </c>
    </row>
    <row r="439" spans="1:6" x14ac:dyDescent="0.25">
      <c r="A439" t="s">
        <v>1532</v>
      </c>
      <c r="B439" t="s">
        <v>1111</v>
      </c>
      <c r="C439">
        <v>1</v>
      </c>
      <c r="E439">
        <v>0</v>
      </c>
      <c r="F439">
        <v>0</v>
      </c>
    </row>
    <row r="440" spans="1:6" x14ac:dyDescent="0.25">
      <c r="A440" t="s">
        <v>1532</v>
      </c>
      <c r="B440" t="s">
        <v>1112</v>
      </c>
      <c r="C440">
        <v>1</v>
      </c>
      <c r="E440">
        <v>0</v>
      </c>
      <c r="F440">
        <v>0</v>
      </c>
    </row>
    <row r="441" spans="1:6" x14ac:dyDescent="0.25">
      <c r="A441" t="s">
        <v>1532</v>
      </c>
      <c r="B441" t="s">
        <v>1113</v>
      </c>
      <c r="D441">
        <v>1</v>
      </c>
      <c r="E441">
        <v>1</v>
      </c>
      <c r="F441">
        <v>0</v>
      </c>
    </row>
    <row r="442" spans="1:6" x14ac:dyDescent="0.25">
      <c r="A442" t="s">
        <v>1532</v>
      </c>
      <c r="B442" t="s">
        <v>1116</v>
      </c>
      <c r="D442">
        <v>1</v>
      </c>
      <c r="E442">
        <v>0</v>
      </c>
      <c r="F442">
        <v>0</v>
      </c>
    </row>
    <row r="443" spans="1:6" x14ac:dyDescent="0.25">
      <c r="A443" t="s">
        <v>1532</v>
      </c>
      <c r="B443" t="s">
        <v>1117</v>
      </c>
      <c r="D443">
        <v>1</v>
      </c>
      <c r="E443">
        <v>1</v>
      </c>
      <c r="F443">
        <v>0</v>
      </c>
    </row>
    <row r="444" spans="1:6" x14ac:dyDescent="0.25">
      <c r="A444" t="s">
        <v>1532</v>
      </c>
      <c r="B444" t="s">
        <v>1118</v>
      </c>
      <c r="D444">
        <v>1</v>
      </c>
      <c r="E444">
        <v>1</v>
      </c>
      <c r="F444">
        <v>1</v>
      </c>
    </row>
    <row r="445" spans="1:6" x14ac:dyDescent="0.25">
      <c r="A445" t="s">
        <v>1532</v>
      </c>
      <c r="B445" t="s">
        <v>1172</v>
      </c>
      <c r="D445">
        <v>1</v>
      </c>
      <c r="E445">
        <v>0</v>
      </c>
      <c r="F445">
        <v>0</v>
      </c>
    </row>
    <row r="446" spans="1:6" x14ac:dyDescent="0.25">
      <c r="A446" t="s">
        <v>1532</v>
      </c>
      <c r="B446" t="s">
        <v>1173</v>
      </c>
      <c r="D446">
        <v>1</v>
      </c>
      <c r="E446">
        <v>1</v>
      </c>
      <c r="F446">
        <v>1</v>
      </c>
    </row>
    <row r="447" spans="1:6" x14ac:dyDescent="0.25">
      <c r="A447" t="s">
        <v>1532</v>
      </c>
      <c r="B447" t="s">
        <v>1174</v>
      </c>
      <c r="D447">
        <v>1</v>
      </c>
      <c r="E447">
        <v>1</v>
      </c>
      <c r="F447">
        <v>0</v>
      </c>
    </row>
    <row r="448" spans="1:6" x14ac:dyDescent="0.25">
      <c r="A448" t="s">
        <v>1532</v>
      </c>
      <c r="B448" t="s">
        <v>1175</v>
      </c>
      <c r="D448">
        <v>1</v>
      </c>
      <c r="E448">
        <v>0</v>
      </c>
      <c r="F448">
        <v>0</v>
      </c>
    </row>
    <row r="449" spans="1:6" x14ac:dyDescent="0.25">
      <c r="A449" t="s">
        <v>1532</v>
      </c>
      <c r="B449" t="s">
        <v>1176</v>
      </c>
      <c r="D449">
        <v>1</v>
      </c>
      <c r="E449">
        <v>0</v>
      </c>
      <c r="F449">
        <v>0</v>
      </c>
    </row>
    <row r="450" spans="1:6" x14ac:dyDescent="0.25">
      <c r="A450" t="s">
        <v>1532</v>
      </c>
      <c r="B450" t="s">
        <v>1177</v>
      </c>
      <c r="D450">
        <v>1</v>
      </c>
      <c r="E450">
        <v>0</v>
      </c>
      <c r="F450">
        <v>0</v>
      </c>
    </row>
    <row r="451" spans="1:6" x14ac:dyDescent="0.25">
      <c r="A451" t="s">
        <v>1532</v>
      </c>
      <c r="B451" t="s">
        <v>1178</v>
      </c>
      <c r="D451">
        <v>1</v>
      </c>
      <c r="E451">
        <v>0</v>
      </c>
      <c r="F451">
        <v>0</v>
      </c>
    </row>
    <row r="452" spans="1:6" x14ac:dyDescent="0.25">
      <c r="A452" t="s">
        <v>1532</v>
      </c>
      <c r="B452" t="s">
        <v>1179</v>
      </c>
      <c r="D452">
        <v>1</v>
      </c>
      <c r="E452">
        <v>0</v>
      </c>
      <c r="F452">
        <v>0</v>
      </c>
    </row>
    <row r="453" spans="1:6" x14ac:dyDescent="0.25">
      <c r="A453" t="s">
        <v>1532</v>
      </c>
      <c r="B453" t="s">
        <v>1180</v>
      </c>
      <c r="D453">
        <v>1</v>
      </c>
      <c r="E453">
        <v>0</v>
      </c>
      <c r="F453">
        <v>0</v>
      </c>
    </row>
    <row r="454" spans="1:6" x14ac:dyDescent="0.25">
      <c r="A454" t="s">
        <v>1532</v>
      </c>
      <c r="B454" t="s">
        <v>1181</v>
      </c>
      <c r="D454">
        <v>1</v>
      </c>
      <c r="E454">
        <v>0</v>
      </c>
      <c r="F454">
        <v>0</v>
      </c>
    </row>
    <row r="455" spans="1:6" x14ac:dyDescent="0.25">
      <c r="A455" t="s">
        <v>1532</v>
      </c>
      <c r="B455" t="s">
        <v>1182</v>
      </c>
      <c r="D455">
        <v>1</v>
      </c>
      <c r="E455">
        <v>0</v>
      </c>
      <c r="F455">
        <v>0</v>
      </c>
    </row>
    <row r="456" spans="1:6" x14ac:dyDescent="0.25">
      <c r="A456" t="s">
        <v>1532</v>
      </c>
      <c r="B456" t="s">
        <v>387</v>
      </c>
      <c r="D456">
        <v>1</v>
      </c>
      <c r="E456">
        <v>0</v>
      </c>
      <c r="F456">
        <v>0</v>
      </c>
    </row>
    <row r="457" spans="1:6" x14ac:dyDescent="0.25">
      <c r="A457" t="s">
        <v>1532</v>
      </c>
      <c r="B457" t="s">
        <v>388</v>
      </c>
      <c r="D457">
        <v>1</v>
      </c>
      <c r="E457">
        <v>0</v>
      </c>
      <c r="F457">
        <v>0</v>
      </c>
    </row>
    <row r="458" spans="1:6" x14ac:dyDescent="0.25">
      <c r="A458" t="s">
        <v>1532</v>
      </c>
      <c r="B458" t="s">
        <v>389</v>
      </c>
      <c r="D458">
        <v>1</v>
      </c>
      <c r="E458">
        <v>0</v>
      </c>
      <c r="F458">
        <v>0</v>
      </c>
    </row>
    <row r="459" spans="1:6" x14ac:dyDescent="0.25">
      <c r="A459" t="s">
        <v>1532</v>
      </c>
      <c r="B459" t="s">
        <v>394</v>
      </c>
      <c r="D459">
        <v>1</v>
      </c>
      <c r="E459">
        <v>0</v>
      </c>
      <c r="F459">
        <v>0</v>
      </c>
    </row>
    <row r="460" spans="1:6" x14ac:dyDescent="0.25">
      <c r="A460" t="s">
        <v>1532</v>
      </c>
      <c r="B460" t="s">
        <v>395</v>
      </c>
      <c r="D460">
        <v>1</v>
      </c>
      <c r="E460">
        <v>0</v>
      </c>
      <c r="F460">
        <v>0</v>
      </c>
    </row>
    <row r="461" spans="1:6" x14ac:dyDescent="0.25">
      <c r="A461" t="s">
        <v>1532</v>
      </c>
      <c r="B461" t="s">
        <v>396</v>
      </c>
      <c r="D461">
        <v>1</v>
      </c>
      <c r="E461">
        <v>0</v>
      </c>
      <c r="F461">
        <v>0</v>
      </c>
    </row>
    <row r="462" spans="1:6" x14ac:dyDescent="0.25">
      <c r="A462" t="s">
        <v>1532</v>
      </c>
      <c r="B462" t="s">
        <v>397</v>
      </c>
      <c r="D462">
        <v>1</v>
      </c>
      <c r="E462">
        <v>0</v>
      </c>
      <c r="F462">
        <v>0</v>
      </c>
    </row>
    <row r="463" spans="1:6" x14ac:dyDescent="0.25">
      <c r="A463" t="s">
        <v>1532</v>
      </c>
      <c r="B463" t="s">
        <v>398</v>
      </c>
      <c r="D463">
        <v>1</v>
      </c>
      <c r="E463">
        <v>0</v>
      </c>
      <c r="F463">
        <v>0</v>
      </c>
    </row>
    <row r="464" spans="1:6" x14ac:dyDescent="0.25">
      <c r="A464" t="s">
        <v>1532</v>
      </c>
      <c r="B464" t="s">
        <v>399</v>
      </c>
      <c r="D464">
        <v>1</v>
      </c>
      <c r="E464">
        <v>0</v>
      </c>
      <c r="F464">
        <v>0</v>
      </c>
    </row>
    <row r="465" spans="1:6" x14ac:dyDescent="0.25">
      <c r="A465" t="s">
        <v>1532</v>
      </c>
      <c r="B465" t="s">
        <v>400</v>
      </c>
      <c r="D465">
        <v>1</v>
      </c>
      <c r="E465">
        <v>0</v>
      </c>
      <c r="F465">
        <v>0</v>
      </c>
    </row>
    <row r="466" spans="1:6" x14ac:dyDescent="0.25">
      <c r="A466" t="s">
        <v>1532</v>
      </c>
      <c r="B466" t="s">
        <v>401</v>
      </c>
      <c r="D466">
        <v>1</v>
      </c>
      <c r="E466">
        <v>0</v>
      </c>
      <c r="F466">
        <v>0</v>
      </c>
    </row>
    <row r="467" spans="1:6" x14ac:dyDescent="0.25">
      <c r="A467" t="s">
        <v>1532</v>
      </c>
      <c r="B467" t="s">
        <v>402</v>
      </c>
      <c r="D467">
        <v>1</v>
      </c>
      <c r="E467">
        <v>0</v>
      </c>
      <c r="F467">
        <v>0</v>
      </c>
    </row>
    <row r="468" spans="1:6" x14ac:dyDescent="0.25">
      <c r="A468" t="s">
        <v>1532</v>
      </c>
      <c r="B468" t="s">
        <v>403</v>
      </c>
      <c r="D468">
        <v>1</v>
      </c>
      <c r="E468">
        <v>0</v>
      </c>
      <c r="F468">
        <v>0</v>
      </c>
    </row>
    <row r="469" spans="1:6" x14ac:dyDescent="0.25">
      <c r="A469" t="s">
        <v>1532</v>
      </c>
      <c r="B469" t="s">
        <v>404</v>
      </c>
      <c r="D469">
        <v>1</v>
      </c>
      <c r="E469">
        <v>0</v>
      </c>
      <c r="F469">
        <v>0</v>
      </c>
    </row>
    <row r="470" spans="1:6" x14ac:dyDescent="0.25">
      <c r="A470" t="s">
        <v>1532</v>
      </c>
      <c r="B470" t="s">
        <v>405</v>
      </c>
      <c r="D470">
        <v>1</v>
      </c>
      <c r="E470">
        <v>0</v>
      </c>
      <c r="F470">
        <v>0</v>
      </c>
    </row>
    <row r="471" spans="1:6" x14ac:dyDescent="0.25">
      <c r="A471" t="s">
        <v>1532</v>
      </c>
      <c r="B471" t="s">
        <v>406</v>
      </c>
      <c r="D471">
        <v>1</v>
      </c>
      <c r="E471">
        <v>0</v>
      </c>
      <c r="F471">
        <v>0</v>
      </c>
    </row>
    <row r="472" spans="1:6" x14ac:dyDescent="0.25">
      <c r="A472" t="s">
        <v>1532</v>
      </c>
      <c r="B472" t="s">
        <v>407</v>
      </c>
      <c r="D472">
        <v>1</v>
      </c>
      <c r="E472">
        <v>0</v>
      </c>
      <c r="F472">
        <v>0</v>
      </c>
    </row>
    <row r="473" spans="1:6" x14ac:dyDescent="0.25">
      <c r="A473" t="s">
        <v>1532</v>
      </c>
      <c r="B473" t="s">
        <v>408</v>
      </c>
      <c r="D473">
        <v>1</v>
      </c>
      <c r="E473">
        <v>0</v>
      </c>
      <c r="F473">
        <v>0</v>
      </c>
    </row>
    <row r="474" spans="1:6" x14ac:dyDescent="0.25">
      <c r="A474" t="s">
        <v>1532</v>
      </c>
      <c r="B474" t="s">
        <v>409</v>
      </c>
      <c r="D474">
        <v>1</v>
      </c>
      <c r="E474">
        <v>0</v>
      </c>
      <c r="F474">
        <v>0</v>
      </c>
    </row>
    <row r="475" spans="1:6" x14ac:dyDescent="0.25">
      <c r="A475" t="s">
        <v>1532</v>
      </c>
      <c r="B475" t="s">
        <v>410</v>
      </c>
      <c r="D475">
        <v>1</v>
      </c>
      <c r="E475">
        <v>0</v>
      </c>
      <c r="F475">
        <v>0</v>
      </c>
    </row>
    <row r="476" spans="1:6" x14ac:dyDescent="0.25">
      <c r="A476" t="s">
        <v>1532</v>
      </c>
      <c r="B476" t="s">
        <v>411</v>
      </c>
      <c r="D476">
        <v>1</v>
      </c>
      <c r="E476">
        <v>0</v>
      </c>
      <c r="F476">
        <v>0</v>
      </c>
    </row>
    <row r="477" spans="1:6" x14ac:dyDescent="0.25">
      <c r="A477" t="s">
        <v>1532</v>
      </c>
      <c r="B477" t="s">
        <v>412</v>
      </c>
      <c r="D477">
        <v>1</v>
      </c>
      <c r="E477">
        <v>0</v>
      </c>
      <c r="F477">
        <v>0</v>
      </c>
    </row>
    <row r="478" spans="1:6" x14ac:dyDescent="0.25">
      <c r="A478" t="s">
        <v>1532</v>
      </c>
      <c r="B478" t="s">
        <v>420</v>
      </c>
      <c r="E478">
        <v>1</v>
      </c>
      <c r="F478">
        <v>1</v>
      </c>
    </row>
    <row r="479" spans="1:6" x14ac:dyDescent="0.25">
      <c r="A479" t="s">
        <v>1532</v>
      </c>
      <c r="B479" t="s">
        <v>422</v>
      </c>
      <c r="E479">
        <v>1</v>
      </c>
      <c r="F479">
        <v>1</v>
      </c>
    </row>
    <row r="480" spans="1:6" x14ac:dyDescent="0.25">
      <c r="A480" t="s">
        <v>1532</v>
      </c>
      <c r="B480" t="s">
        <v>428</v>
      </c>
      <c r="E480">
        <v>1</v>
      </c>
      <c r="F480">
        <v>1</v>
      </c>
    </row>
    <row r="481" spans="1:6" x14ac:dyDescent="0.25">
      <c r="A481" t="s">
        <v>1532</v>
      </c>
      <c r="B481" t="s">
        <v>430</v>
      </c>
      <c r="E481">
        <v>1</v>
      </c>
      <c r="F481">
        <v>1</v>
      </c>
    </row>
    <row r="482" spans="1:6" x14ac:dyDescent="0.25">
      <c r="A482" t="s">
        <v>1532</v>
      </c>
      <c r="B482" t="s">
        <v>434</v>
      </c>
      <c r="E482">
        <v>1</v>
      </c>
      <c r="F482">
        <v>1</v>
      </c>
    </row>
    <row r="483" spans="1:6" x14ac:dyDescent="0.25">
      <c r="A483" t="s">
        <v>1532</v>
      </c>
      <c r="B483" t="s">
        <v>436</v>
      </c>
      <c r="E483">
        <v>1</v>
      </c>
      <c r="F483">
        <v>1</v>
      </c>
    </row>
    <row r="484" spans="1:6" x14ac:dyDescent="0.25">
      <c r="A484" t="s">
        <v>1532</v>
      </c>
      <c r="B484" t="s">
        <v>440</v>
      </c>
      <c r="E484">
        <v>1</v>
      </c>
      <c r="F484">
        <v>1</v>
      </c>
    </row>
    <row r="485" spans="1:6" x14ac:dyDescent="0.25">
      <c r="A485" t="s">
        <v>1532</v>
      </c>
      <c r="B485" t="s">
        <v>442</v>
      </c>
      <c r="E485">
        <v>1</v>
      </c>
      <c r="F485">
        <v>1</v>
      </c>
    </row>
    <row r="486" spans="1:6" x14ac:dyDescent="0.25">
      <c r="A486" t="s">
        <v>1532</v>
      </c>
      <c r="B486" t="s">
        <v>446</v>
      </c>
      <c r="E486">
        <v>1</v>
      </c>
      <c r="F486">
        <v>1</v>
      </c>
    </row>
    <row r="487" spans="1:6" x14ac:dyDescent="0.25">
      <c r="A487" t="s">
        <v>1532</v>
      </c>
      <c r="B487" t="s">
        <v>448</v>
      </c>
      <c r="E487">
        <v>1</v>
      </c>
      <c r="F487">
        <v>1</v>
      </c>
    </row>
    <row r="488" spans="1:6" x14ac:dyDescent="0.25">
      <c r="A488" t="s">
        <v>1532</v>
      </c>
      <c r="B488" t="s">
        <v>452</v>
      </c>
      <c r="E488">
        <v>1</v>
      </c>
      <c r="F488">
        <v>1</v>
      </c>
    </row>
    <row r="489" spans="1:6" x14ac:dyDescent="0.25">
      <c r="A489" t="s">
        <v>1532</v>
      </c>
      <c r="B489" t="s">
        <v>454</v>
      </c>
      <c r="E489">
        <v>1</v>
      </c>
      <c r="F489">
        <v>1</v>
      </c>
    </row>
    <row r="490" spans="1:6" x14ac:dyDescent="0.25">
      <c r="A490" t="s">
        <v>1532</v>
      </c>
      <c r="B490" t="s">
        <v>461</v>
      </c>
      <c r="E490">
        <v>1</v>
      </c>
      <c r="F490">
        <v>1</v>
      </c>
    </row>
    <row r="491" spans="1:6" x14ac:dyDescent="0.25">
      <c r="A491" t="s">
        <v>1532</v>
      </c>
      <c r="B491" t="s">
        <v>463</v>
      </c>
      <c r="E491">
        <v>1</v>
      </c>
      <c r="F491">
        <v>1</v>
      </c>
    </row>
    <row r="492" spans="1:6" x14ac:dyDescent="0.25">
      <c r="A492" t="s">
        <v>1532</v>
      </c>
      <c r="B492" t="s">
        <v>467</v>
      </c>
      <c r="E492">
        <v>1</v>
      </c>
      <c r="F492">
        <v>1</v>
      </c>
    </row>
    <row r="493" spans="1:6" x14ac:dyDescent="0.25">
      <c r="A493" t="s">
        <v>1532</v>
      </c>
      <c r="B493" t="s">
        <v>469</v>
      </c>
      <c r="E493">
        <v>1</v>
      </c>
      <c r="F493">
        <v>1</v>
      </c>
    </row>
    <row r="494" spans="1:6" x14ac:dyDescent="0.25">
      <c r="A494" t="s">
        <v>1532</v>
      </c>
      <c r="B494" t="s">
        <v>737</v>
      </c>
      <c r="C494">
        <v>1</v>
      </c>
      <c r="E494">
        <v>1</v>
      </c>
      <c r="F494">
        <v>1</v>
      </c>
    </row>
    <row r="495" spans="1:6" x14ac:dyDescent="0.25">
      <c r="A495" t="s">
        <v>1532</v>
      </c>
      <c r="B495" t="s">
        <v>738</v>
      </c>
      <c r="C495">
        <v>1</v>
      </c>
      <c r="E495">
        <v>1</v>
      </c>
      <c r="F495">
        <v>0</v>
      </c>
    </row>
    <row r="496" spans="1:6" x14ac:dyDescent="0.25">
      <c r="A496" t="s">
        <v>1532</v>
      </c>
      <c r="B496" t="s">
        <v>739</v>
      </c>
      <c r="C496">
        <v>1</v>
      </c>
      <c r="E496">
        <v>0</v>
      </c>
      <c r="F496">
        <v>0</v>
      </c>
    </row>
    <row r="497" spans="1:6" x14ac:dyDescent="0.25">
      <c r="A497" t="s">
        <v>1532</v>
      </c>
      <c r="B497" t="s">
        <v>740</v>
      </c>
      <c r="C497">
        <v>1</v>
      </c>
      <c r="E497">
        <v>1</v>
      </c>
      <c r="F497">
        <v>0</v>
      </c>
    </row>
    <row r="498" spans="1:6" x14ac:dyDescent="0.25">
      <c r="A498" t="s">
        <v>1532</v>
      </c>
      <c r="B498" t="s">
        <v>741</v>
      </c>
      <c r="C498">
        <v>1</v>
      </c>
      <c r="E498">
        <v>1</v>
      </c>
      <c r="F498">
        <v>1</v>
      </c>
    </row>
    <row r="499" spans="1:6" x14ac:dyDescent="0.25">
      <c r="A499" t="s">
        <v>1532</v>
      </c>
      <c r="B499" t="s">
        <v>742</v>
      </c>
      <c r="C499">
        <v>1</v>
      </c>
      <c r="E499">
        <v>0</v>
      </c>
      <c r="F499">
        <v>0</v>
      </c>
    </row>
    <row r="500" spans="1:6" x14ac:dyDescent="0.25">
      <c r="A500" t="s">
        <v>1532</v>
      </c>
      <c r="B500" t="s">
        <v>743</v>
      </c>
      <c r="C500">
        <v>1</v>
      </c>
      <c r="E500">
        <v>1</v>
      </c>
      <c r="F500">
        <v>1</v>
      </c>
    </row>
    <row r="501" spans="1:6" x14ac:dyDescent="0.25">
      <c r="A501" t="s">
        <v>1532</v>
      </c>
      <c r="B501" t="s">
        <v>744</v>
      </c>
      <c r="C501">
        <v>1</v>
      </c>
      <c r="E501">
        <v>1</v>
      </c>
      <c r="F501">
        <v>0</v>
      </c>
    </row>
    <row r="502" spans="1:6" x14ac:dyDescent="0.25">
      <c r="A502" t="s">
        <v>1532</v>
      </c>
      <c r="B502" t="s">
        <v>745</v>
      </c>
      <c r="C502">
        <v>1</v>
      </c>
      <c r="E502">
        <v>0</v>
      </c>
      <c r="F502">
        <v>0</v>
      </c>
    </row>
    <row r="503" spans="1:6" x14ac:dyDescent="0.25">
      <c r="A503" t="s">
        <v>1532</v>
      </c>
      <c r="B503" t="s">
        <v>746</v>
      </c>
      <c r="C503">
        <v>1</v>
      </c>
      <c r="E503">
        <v>1</v>
      </c>
      <c r="F503">
        <v>0</v>
      </c>
    </row>
    <row r="504" spans="1:6" x14ac:dyDescent="0.25">
      <c r="A504" t="s">
        <v>1532</v>
      </c>
      <c r="B504" t="s">
        <v>747</v>
      </c>
      <c r="C504">
        <v>1</v>
      </c>
      <c r="E504">
        <v>1</v>
      </c>
      <c r="F504">
        <v>1</v>
      </c>
    </row>
    <row r="505" spans="1:6" x14ac:dyDescent="0.25">
      <c r="A505" t="s">
        <v>1532</v>
      </c>
      <c r="B505" t="s">
        <v>748</v>
      </c>
      <c r="C505">
        <v>1</v>
      </c>
      <c r="E505">
        <v>0</v>
      </c>
      <c r="F505">
        <v>0</v>
      </c>
    </row>
    <row r="506" spans="1:6" x14ac:dyDescent="0.25">
      <c r="A506" t="s">
        <v>1532</v>
      </c>
      <c r="B506" t="s">
        <v>749</v>
      </c>
      <c r="C506">
        <v>1</v>
      </c>
      <c r="E506">
        <v>1</v>
      </c>
      <c r="F506">
        <v>1</v>
      </c>
    </row>
    <row r="507" spans="1:6" x14ac:dyDescent="0.25">
      <c r="A507" t="s">
        <v>1532</v>
      </c>
      <c r="B507" t="s">
        <v>750</v>
      </c>
      <c r="C507">
        <v>1</v>
      </c>
      <c r="E507">
        <v>1</v>
      </c>
      <c r="F507">
        <v>0</v>
      </c>
    </row>
    <row r="508" spans="1:6" x14ac:dyDescent="0.25">
      <c r="A508" t="s">
        <v>1532</v>
      </c>
      <c r="B508" t="s">
        <v>751</v>
      </c>
      <c r="C508">
        <v>1</v>
      </c>
      <c r="E508">
        <v>0</v>
      </c>
      <c r="F508">
        <v>0</v>
      </c>
    </row>
    <row r="509" spans="1:6" x14ac:dyDescent="0.25">
      <c r="A509" t="s">
        <v>1532</v>
      </c>
      <c r="B509" t="s">
        <v>752</v>
      </c>
      <c r="C509">
        <v>1</v>
      </c>
      <c r="E509">
        <v>1</v>
      </c>
      <c r="F509">
        <v>0</v>
      </c>
    </row>
    <row r="510" spans="1:6" x14ac:dyDescent="0.25">
      <c r="A510" t="s">
        <v>1532</v>
      </c>
      <c r="B510" t="s">
        <v>1049</v>
      </c>
      <c r="C510">
        <v>1</v>
      </c>
      <c r="E510">
        <v>1</v>
      </c>
      <c r="F510">
        <v>1</v>
      </c>
    </row>
    <row r="511" spans="1:6" x14ac:dyDescent="0.25">
      <c r="A511" t="s">
        <v>1532</v>
      </c>
      <c r="B511" t="s">
        <v>1050</v>
      </c>
      <c r="C511">
        <v>1</v>
      </c>
      <c r="E511">
        <v>0</v>
      </c>
      <c r="F511">
        <v>0</v>
      </c>
    </row>
    <row r="512" spans="1:6" x14ac:dyDescent="0.25">
      <c r="A512" t="s">
        <v>1532</v>
      </c>
      <c r="B512" t="s">
        <v>1051</v>
      </c>
      <c r="C512">
        <v>1</v>
      </c>
      <c r="E512">
        <v>1</v>
      </c>
      <c r="F512">
        <v>1</v>
      </c>
    </row>
    <row r="513" spans="1:6" x14ac:dyDescent="0.25">
      <c r="A513" t="s">
        <v>1532</v>
      </c>
      <c r="B513" t="s">
        <v>1052</v>
      </c>
      <c r="C513">
        <v>1</v>
      </c>
      <c r="E513">
        <v>1</v>
      </c>
      <c r="F513">
        <v>0</v>
      </c>
    </row>
    <row r="514" spans="1:6" x14ac:dyDescent="0.25">
      <c r="A514" t="s">
        <v>1532</v>
      </c>
      <c r="B514" t="s">
        <v>1053</v>
      </c>
      <c r="C514">
        <v>1</v>
      </c>
      <c r="E514">
        <v>0</v>
      </c>
      <c r="F514">
        <v>0</v>
      </c>
    </row>
    <row r="515" spans="1:6" x14ac:dyDescent="0.25">
      <c r="A515" t="s">
        <v>1532</v>
      </c>
      <c r="B515" t="s">
        <v>1054</v>
      </c>
      <c r="C515">
        <v>1</v>
      </c>
      <c r="E515">
        <v>1</v>
      </c>
      <c r="F515">
        <v>0</v>
      </c>
    </row>
    <row r="516" spans="1:6" x14ac:dyDescent="0.25">
      <c r="A516" t="s">
        <v>1532</v>
      </c>
      <c r="B516" t="s">
        <v>1055</v>
      </c>
      <c r="C516">
        <v>1</v>
      </c>
      <c r="E516">
        <v>1</v>
      </c>
      <c r="F516">
        <v>1</v>
      </c>
    </row>
    <row r="517" spans="1:6" x14ac:dyDescent="0.25">
      <c r="A517" t="s">
        <v>1532</v>
      </c>
      <c r="B517" t="s">
        <v>1056</v>
      </c>
      <c r="C517">
        <v>1</v>
      </c>
      <c r="E517">
        <v>0</v>
      </c>
      <c r="F517">
        <v>0</v>
      </c>
    </row>
    <row r="518" spans="1:6" x14ac:dyDescent="0.25">
      <c r="A518" t="s">
        <v>1532</v>
      </c>
      <c r="B518" t="s">
        <v>1057</v>
      </c>
      <c r="C518">
        <v>1</v>
      </c>
      <c r="E518">
        <v>0</v>
      </c>
      <c r="F518">
        <v>0</v>
      </c>
    </row>
    <row r="519" spans="1:6" x14ac:dyDescent="0.25">
      <c r="A519" t="s">
        <v>1532</v>
      </c>
      <c r="B519" t="s">
        <v>1058</v>
      </c>
      <c r="C519">
        <v>1</v>
      </c>
      <c r="E519">
        <v>0</v>
      </c>
      <c r="F519">
        <v>0</v>
      </c>
    </row>
    <row r="520" spans="1:6" x14ac:dyDescent="0.25">
      <c r="A520" t="s">
        <v>1532</v>
      </c>
      <c r="B520" t="s">
        <v>1059</v>
      </c>
      <c r="C520">
        <v>1</v>
      </c>
      <c r="E520">
        <v>0</v>
      </c>
      <c r="F520">
        <v>0</v>
      </c>
    </row>
    <row r="521" spans="1:6" x14ac:dyDescent="0.25">
      <c r="A521" t="s">
        <v>1532</v>
      </c>
      <c r="B521" t="s">
        <v>1060</v>
      </c>
      <c r="C521">
        <v>1</v>
      </c>
      <c r="E521">
        <v>0</v>
      </c>
      <c r="F521">
        <v>0</v>
      </c>
    </row>
    <row r="522" spans="1:6" x14ac:dyDescent="0.25">
      <c r="A522" t="s">
        <v>1532</v>
      </c>
      <c r="B522" t="s">
        <v>1061</v>
      </c>
      <c r="C522">
        <v>1</v>
      </c>
      <c r="E522">
        <v>0</v>
      </c>
      <c r="F522">
        <v>0</v>
      </c>
    </row>
    <row r="523" spans="1:6" x14ac:dyDescent="0.25">
      <c r="A523" t="s">
        <v>1532</v>
      </c>
      <c r="B523" t="s">
        <v>1062</v>
      </c>
      <c r="C523">
        <v>1</v>
      </c>
      <c r="E523">
        <v>0</v>
      </c>
      <c r="F523">
        <v>0</v>
      </c>
    </row>
    <row r="524" spans="1:6" x14ac:dyDescent="0.25">
      <c r="A524" t="s">
        <v>1532</v>
      </c>
      <c r="B524" t="s">
        <v>1063</v>
      </c>
      <c r="C524">
        <v>1</v>
      </c>
      <c r="E524">
        <v>0</v>
      </c>
      <c r="F524">
        <v>0</v>
      </c>
    </row>
    <row r="525" spans="1:6" x14ac:dyDescent="0.25">
      <c r="A525" t="s">
        <v>1532</v>
      </c>
      <c r="B525" t="s">
        <v>1064</v>
      </c>
      <c r="C525">
        <v>1</v>
      </c>
      <c r="E525">
        <v>0</v>
      </c>
      <c r="F525">
        <v>0</v>
      </c>
    </row>
    <row r="526" spans="1:6" x14ac:dyDescent="0.25">
      <c r="A526" t="s">
        <v>1532</v>
      </c>
      <c r="B526" t="s">
        <v>1065</v>
      </c>
      <c r="C526">
        <v>1</v>
      </c>
      <c r="E526">
        <v>0</v>
      </c>
      <c r="F526">
        <v>0</v>
      </c>
    </row>
    <row r="527" spans="1:6" x14ac:dyDescent="0.25">
      <c r="A527" t="s">
        <v>1532</v>
      </c>
      <c r="B527" t="s">
        <v>1066</v>
      </c>
      <c r="C527">
        <v>1</v>
      </c>
      <c r="E527">
        <v>0</v>
      </c>
      <c r="F527">
        <v>0</v>
      </c>
    </row>
    <row r="528" spans="1:6" x14ac:dyDescent="0.25">
      <c r="A528" t="s">
        <v>1532</v>
      </c>
      <c r="B528" t="s">
        <v>1067</v>
      </c>
      <c r="C528">
        <v>1</v>
      </c>
      <c r="E528">
        <v>0</v>
      </c>
      <c r="F528">
        <v>0</v>
      </c>
    </row>
    <row r="529" spans="1:6" x14ac:dyDescent="0.25">
      <c r="A529" t="s">
        <v>1532</v>
      </c>
      <c r="B529" t="s">
        <v>1068</v>
      </c>
      <c r="C529">
        <v>1</v>
      </c>
      <c r="E529">
        <v>0</v>
      </c>
      <c r="F529">
        <v>0</v>
      </c>
    </row>
    <row r="530" spans="1:6" x14ac:dyDescent="0.25">
      <c r="A530" t="s">
        <v>1532</v>
      </c>
      <c r="B530" t="s">
        <v>1069</v>
      </c>
      <c r="C530">
        <v>1</v>
      </c>
      <c r="E530">
        <v>0</v>
      </c>
      <c r="F530">
        <v>0</v>
      </c>
    </row>
    <row r="531" spans="1:6" x14ac:dyDescent="0.25">
      <c r="A531" t="s">
        <v>1532</v>
      </c>
      <c r="B531" t="s">
        <v>1135</v>
      </c>
      <c r="C531">
        <v>1</v>
      </c>
      <c r="E531">
        <v>0</v>
      </c>
      <c r="F531">
        <v>0</v>
      </c>
    </row>
    <row r="532" spans="1:6" x14ac:dyDescent="0.25">
      <c r="A532" t="s">
        <v>1532</v>
      </c>
      <c r="B532" t="s">
        <v>1136</v>
      </c>
      <c r="C532">
        <v>1</v>
      </c>
      <c r="E532">
        <v>0</v>
      </c>
      <c r="F532">
        <v>0</v>
      </c>
    </row>
    <row r="533" spans="1:6" x14ac:dyDescent="0.25">
      <c r="A533" t="s">
        <v>1532</v>
      </c>
      <c r="B533" t="s">
        <v>1137</v>
      </c>
      <c r="C533">
        <v>1</v>
      </c>
      <c r="E533">
        <v>0</v>
      </c>
      <c r="F533">
        <v>0</v>
      </c>
    </row>
    <row r="534" spans="1:6" x14ac:dyDescent="0.25">
      <c r="A534" t="s">
        <v>1532</v>
      </c>
      <c r="B534" t="s">
        <v>1138</v>
      </c>
      <c r="C534">
        <v>1</v>
      </c>
      <c r="E534">
        <v>0</v>
      </c>
      <c r="F534">
        <v>0</v>
      </c>
    </row>
    <row r="535" spans="1:6" x14ac:dyDescent="0.25">
      <c r="A535" t="s">
        <v>1532</v>
      </c>
      <c r="B535" t="s">
        <v>1139</v>
      </c>
      <c r="C535">
        <v>1</v>
      </c>
      <c r="E535">
        <v>0</v>
      </c>
      <c r="F535">
        <v>0</v>
      </c>
    </row>
    <row r="536" spans="1:6" x14ac:dyDescent="0.25">
      <c r="A536" t="s">
        <v>1532</v>
      </c>
      <c r="B536" t="s">
        <v>1140</v>
      </c>
      <c r="C536">
        <v>1</v>
      </c>
      <c r="E536">
        <v>0</v>
      </c>
      <c r="F536">
        <v>0</v>
      </c>
    </row>
    <row r="537" spans="1:6" x14ac:dyDescent="0.25">
      <c r="A537" t="s">
        <v>1532</v>
      </c>
      <c r="B537" t="s">
        <v>1141</v>
      </c>
      <c r="C537">
        <v>1</v>
      </c>
      <c r="E537">
        <v>0</v>
      </c>
      <c r="F537">
        <v>0</v>
      </c>
    </row>
    <row r="538" spans="1:6" x14ac:dyDescent="0.25">
      <c r="A538" t="s">
        <v>1532</v>
      </c>
      <c r="B538" t="s">
        <v>1144</v>
      </c>
      <c r="C538">
        <v>1</v>
      </c>
      <c r="E538">
        <v>0</v>
      </c>
      <c r="F538">
        <v>0</v>
      </c>
    </row>
    <row r="539" spans="1:6" x14ac:dyDescent="0.25">
      <c r="A539" t="s">
        <v>1532</v>
      </c>
      <c r="B539" t="s">
        <v>1145</v>
      </c>
      <c r="C539">
        <v>1</v>
      </c>
      <c r="E539">
        <v>0</v>
      </c>
      <c r="F539">
        <v>0</v>
      </c>
    </row>
    <row r="540" spans="1:6" x14ac:dyDescent="0.25">
      <c r="A540" t="s">
        <v>1532</v>
      </c>
      <c r="B540" t="s">
        <v>1146</v>
      </c>
      <c r="C540">
        <v>1</v>
      </c>
      <c r="E540">
        <v>0</v>
      </c>
      <c r="F540">
        <v>0</v>
      </c>
    </row>
    <row r="541" spans="1:6" x14ac:dyDescent="0.25">
      <c r="A541" t="s">
        <v>1532</v>
      </c>
      <c r="B541" t="s">
        <v>1194</v>
      </c>
      <c r="C541">
        <v>1</v>
      </c>
      <c r="E541">
        <v>0</v>
      </c>
      <c r="F541">
        <v>0</v>
      </c>
    </row>
    <row r="542" spans="1:6" x14ac:dyDescent="0.25">
      <c r="A542" t="s">
        <v>1532</v>
      </c>
      <c r="B542" t="s">
        <v>1195</v>
      </c>
      <c r="C542">
        <v>1</v>
      </c>
      <c r="E542">
        <v>0</v>
      </c>
      <c r="F542">
        <v>0</v>
      </c>
    </row>
    <row r="543" spans="1:6" x14ac:dyDescent="0.25">
      <c r="A543" t="s">
        <v>1532</v>
      </c>
      <c r="B543" t="s">
        <v>1196</v>
      </c>
      <c r="C543">
        <v>1</v>
      </c>
      <c r="E543">
        <v>0</v>
      </c>
      <c r="F543">
        <v>0</v>
      </c>
    </row>
    <row r="544" spans="1:6" x14ac:dyDescent="0.25">
      <c r="A544" t="s">
        <v>1532</v>
      </c>
      <c r="B544" t="s">
        <v>1197</v>
      </c>
      <c r="C544">
        <v>1</v>
      </c>
      <c r="E544">
        <v>0</v>
      </c>
      <c r="F544">
        <v>0</v>
      </c>
    </row>
    <row r="545" spans="1:6" x14ac:dyDescent="0.25">
      <c r="A545" t="s">
        <v>1532</v>
      </c>
      <c r="B545" t="s">
        <v>1198</v>
      </c>
      <c r="C545">
        <v>1</v>
      </c>
      <c r="E545">
        <v>0</v>
      </c>
      <c r="F545">
        <v>0</v>
      </c>
    </row>
    <row r="546" spans="1:6" x14ac:dyDescent="0.25">
      <c r="A546" t="s">
        <v>1532</v>
      </c>
      <c r="B546" t="s">
        <v>1199</v>
      </c>
      <c r="C546">
        <v>1</v>
      </c>
      <c r="E546">
        <v>0</v>
      </c>
      <c r="F546">
        <v>0</v>
      </c>
    </row>
    <row r="547" spans="1:6" x14ac:dyDescent="0.25">
      <c r="A547" t="s">
        <v>1532</v>
      </c>
      <c r="B547" t="s">
        <v>1200</v>
      </c>
      <c r="C547">
        <v>1</v>
      </c>
      <c r="E547">
        <v>0</v>
      </c>
      <c r="F547">
        <v>0</v>
      </c>
    </row>
    <row r="548" spans="1:6" x14ac:dyDescent="0.25">
      <c r="A548" t="s">
        <v>1532</v>
      </c>
      <c r="B548" t="s">
        <v>1201</v>
      </c>
      <c r="C548">
        <v>1</v>
      </c>
      <c r="E548">
        <v>0</v>
      </c>
      <c r="F548">
        <v>0</v>
      </c>
    </row>
    <row r="549" spans="1:6" x14ac:dyDescent="0.25">
      <c r="A549" t="s">
        <v>1532</v>
      </c>
      <c r="B549" t="s">
        <v>1202</v>
      </c>
      <c r="C549">
        <v>1</v>
      </c>
      <c r="E549">
        <v>0</v>
      </c>
      <c r="F549">
        <v>0</v>
      </c>
    </row>
    <row r="550" spans="1:6" x14ac:dyDescent="0.25">
      <c r="A550" t="s">
        <v>1532</v>
      </c>
      <c r="B550" t="s">
        <v>1203</v>
      </c>
      <c r="C550">
        <v>1</v>
      </c>
      <c r="E550">
        <v>0</v>
      </c>
      <c r="F550">
        <v>0</v>
      </c>
    </row>
    <row r="551" spans="1:6" x14ac:dyDescent="0.25">
      <c r="A551" t="s">
        <v>1532</v>
      </c>
      <c r="B551" t="s">
        <v>1204</v>
      </c>
      <c r="C551">
        <v>1</v>
      </c>
      <c r="E551">
        <v>0</v>
      </c>
      <c r="F551">
        <v>0</v>
      </c>
    </row>
    <row r="552" spans="1:6" x14ac:dyDescent="0.25">
      <c r="A552" t="s">
        <v>1532</v>
      </c>
      <c r="B552" t="s">
        <v>763</v>
      </c>
      <c r="C552">
        <v>1</v>
      </c>
      <c r="E552">
        <v>0</v>
      </c>
      <c r="F552">
        <v>0</v>
      </c>
    </row>
    <row r="553" spans="1:6" x14ac:dyDescent="0.25">
      <c r="A553" t="s">
        <v>1532</v>
      </c>
      <c r="B553" t="s">
        <v>764</v>
      </c>
      <c r="C553">
        <v>1</v>
      </c>
      <c r="E553">
        <v>0</v>
      </c>
      <c r="F553">
        <v>0</v>
      </c>
    </row>
    <row r="554" spans="1:6" x14ac:dyDescent="0.25">
      <c r="A554" t="s">
        <v>1532</v>
      </c>
      <c r="B554" t="s">
        <v>765</v>
      </c>
      <c r="C554">
        <v>1</v>
      </c>
      <c r="E554">
        <v>0</v>
      </c>
      <c r="F554">
        <v>0</v>
      </c>
    </row>
    <row r="555" spans="1:6" x14ac:dyDescent="0.25">
      <c r="A555" t="s">
        <v>1532</v>
      </c>
      <c r="B555" t="s">
        <v>770</v>
      </c>
      <c r="C555">
        <v>1</v>
      </c>
      <c r="E555">
        <v>0</v>
      </c>
      <c r="F555">
        <v>0</v>
      </c>
    </row>
    <row r="556" spans="1:6" x14ac:dyDescent="0.25">
      <c r="A556" t="s">
        <v>1532</v>
      </c>
      <c r="B556" t="s">
        <v>771</v>
      </c>
      <c r="C556">
        <v>1</v>
      </c>
      <c r="E556">
        <v>0</v>
      </c>
      <c r="F556">
        <v>0</v>
      </c>
    </row>
    <row r="557" spans="1:6" x14ac:dyDescent="0.25">
      <c r="A557" t="s">
        <v>1532</v>
      </c>
      <c r="B557" t="s">
        <v>772</v>
      </c>
      <c r="C557">
        <v>1</v>
      </c>
      <c r="E557">
        <v>0</v>
      </c>
      <c r="F557">
        <v>0</v>
      </c>
    </row>
    <row r="558" spans="1:6" x14ac:dyDescent="0.25">
      <c r="A558" t="s">
        <v>1532</v>
      </c>
      <c r="B558" t="s">
        <v>773</v>
      </c>
      <c r="C558">
        <v>1</v>
      </c>
      <c r="E558">
        <v>0</v>
      </c>
      <c r="F558">
        <v>0</v>
      </c>
    </row>
    <row r="559" spans="1:6" x14ac:dyDescent="0.25">
      <c r="A559" t="s">
        <v>1532</v>
      </c>
      <c r="B559" t="s">
        <v>774</v>
      </c>
      <c r="C559">
        <v>1</v>
      </c>
      <c r="E559">
        <v>0</v>
      </c>
      <c r="F559">
        <v>0</v>
      </c>
    </row>
    <row r="560" spans="1:6" x14ac:dyDescent="0.25">
      <c r="A560" t="s">
        <v>1532</v>
      </c>
      <c r="B560" t="s">
        <v>775</v>
      </c>
      <c r="C560">
        <v>1</v>
      </c>
      <c r="E560">
        <v>0</v>
      </c>
      <c r="F560">
        <v>0</v>
      </c>
    </row>
    <row r="561" spans="1:6" x14ac:dyDescent="0.25">
      <c r="A561" t="s">
        <v>1532</v>
      </c>
      <c r="B561" t="s">
        <v>776</v>
      </c>
      <c r="C561">
        <v>1</v>
      </c>
      <c r="E561">
        <v>0</v>
      </c>
      <c r="F561">
        <v>0</v>
      </c>
    </row>
    <row r="562" spans="1:6" x14ac:dyDescent="0.25">
      <c r="A562" t="s">
        <v>1532</v>
      </c>
      <c r="B562" t="s">
        <v>777</v>
      </c>
      <c r="D562">
        <v>1</v>
      </c>
      <c r="E562">
        <v>0</v>
      </c>
      <c r="F562">
        <v>0</v>
      </c>
    </row>
    <row r="563" spans="1:6" x14ac:dyDescent="0.25">
      <c r="A563" t="s">
        <v>1532</v>
      </c>
      <c r="B563" t="s">
        <v>778</v>
      </c>
      <c r="D563">
        <v>1</v>
      </c>
      <c r="E563">
        <v>1</v>
      </c>
      <c r="F563">
        <v>0</v>
      </c>
    </row>
    <row r="564" spans="1:6" x14ac:dyDescent="0.25">
      <c r="A564" t="s">
        <v>1532</v>
      </c>
      <c r="B564" t="s">
        <v>779</v>
      </c>
      <c r="D564">
        <v>1</v>
      </c>
      <c r="E564">
        <v>1</v>
      </c>
      <c r="F564">
        <v>1</v>
      </c>
    </row>
    <row r="565" spans="1:6" x14ac:dyDescent="0.25">
      <c r="A565" t="s">
        <v>1532</v>
      </c>
      <c r="B565" t="s">
        <v>780</v>
      </c>
      <c r="D565">
        <v>1</v>
      </c>
      <c r="E565">
        <v>0</v>
      </c>
      <c r="F565">
        <v>0</v>
      </c>
    </row>
    <row r="566" spans="1:6" x14ac:dyDescent="0.25">
      <c r="A566" t="s">
        <v>1532</v>
      </c>
      <c r="B566" t="s">
        <v>781</v>
      </c>
      <c r="D566">
        <v>1</v>
      </c>
      <c r="E566">
        <v>1</v>
      </c>
      <c r="F566">
        <v>1</v>
      </c>
    </row>
    <row r="567" spans="1:6" x14ac:dyDescent="0.25">
      <c r="A567" t="s">
        <v>1532</v>
      </c>
      <c r="B567" t="s">
        <v>782</v>
      </c>
      <c r="D567">
        <v>1</v>
      </c>
      <c r="E567">
        <v>1</v>
      </c>
      <c r="F567">
        <v>0</v>
      </c>
    </row>
    <row r="568" spans="1:6" x14ac:dyDescent="0.25">
      <c r="A568" t="s">
        <v>1532</v>
      </c>
      <c r="B568" t="s">
        <v>783</v>
      </c>
      <c r="D568">
        <v>1</v>
      </c>
      <c r="E568">
        <v>0</v>
      </c>
      <c r="F568">
        <v>0</v>
      </c>
    </row>
    <row r="569" spans="1:6" x14ac:dyDescent="0.25">
      <c r="A569" t="s">
        <v>1532</v>
      </c>
      <c r="B569" t="s">
        <v>784</v>
      </c>
      <c r="D569">
        <v>1</v>
      </c>
      <c r="E569">
        <v>1</v>
      </c>
      <c r="F569">
        <v>0</v>
      </c>
    </row>
    <row r="570" spans="1:6" x14ac:dyDescent="0.25">
      <c r="A570" t="s">
        <v>1532</v>
      </c>
      <c r="B570" t="s">
        <v>785</v>
      </c>
      <c r="D570">
        <v>1</v>
      </c>
      <c r="E570">
        <v>1</v>
      </c>
      <c r="F570">
        <v>1</v>
      </c>
    </row>
    <row r="571" spans="1:6" x14ac:dyDescent="0.25">
      <c r="A571" t="s">
        <v>1532</v>
      </c>
      <c r="B571" t="s">
        <v>786</v>
      </c>
      <c r="D571">
        <v>1</v>
      </c>
      <c r="E571">
        <v>0</v>
      </c>
      <c r="F571">
        <v>0</v>
      </c>
    </row>
    <row r="572" spans="1:6" x14ac:dyDescent="0.25">
      <c r="A572" t="s">
        <v>1532</v>
      </c>
      <c r="B572" t="s">
        <v>787</v>
      </c>
      <c r="D572">
        <v>1</v>
      </c>
      <c r="E572">
        <v>0</v>
      </c>
      <c r="F572">
        <v>0</v>
      </c>
    </row>
    <row r="573" spans="1:6" x14ac:dyDescent="0.25">
      <c r="A573" t="s">
        <v>1532</v>
      </c>
      <c r="B573" t="s">
        <v>788</v>
      </c>
      <c r="D573">
        <v>1</v>
      </c>
      <c r="E573">
        <v>0</v>
      </c>
      <c r="F573">
        <v>0</v>
      </c>
    </row>
    <row r="574" spans="1:6" x14ac:dyDescent="0.25">
      <c r="A574" t="s">
        <v>1532</v>
      </c>
      <c r="B574" t="s">
        <v>794</v>
      </c>
      <c r="D574">
        <v>1</v>
      </c>
      <c r="E574">
        <v>0</v>
      </c>
      <c r="F574">
        <v>0</v>
      </c>
    </row>
    <row r="575" spans="1:6" x14ac:dyDescent="0.25">
      <c r="A575" t="s">
        <v>1532</v>
      </c>
      <c r="B575" t="s">
        <v>795</v>
      </c>
      <c r="D575">
        <v>1</v>
      </c>
      <c r="E575">
        <v>0</v>
      </c>
      <c r="F575">
        <v>0</v>
      </c>
    </row>
    <row r="576" spans="1:6" x14ac:dyDescent="0.25">
      <c r="A576" t="s">
        <v>1532</v>
      </c>
      <c r="B576" t="s">
        <v>796</v>
      </c>
      <c r="D576">
        <v>1</v>
      </c>
      <c r="E576">
        <v>0</v>
      </c>
      <c r="F576">
        <v>0</v>
      </c>
    </row>
    <row r="577" spans="1:6" x14ac:dyDescent="0.25">
      <c r="A577" t="s">
        <v>1532</v>
      </c>
      <c r="B577" t="s">
        <v>797</v>
      </c>
      <c r="D577">
        <v>1</v>
      </c>
      <c r="E577">
        <v>0</v>
      </c>
      <c r="F577">
        <v>0</v>
      </c>
    </row>
    <row r="578" spans="1:6" x14ac:dyDescent="0.25">
      <c r="A578" t="s">
        <v>1532</v>
      </c>
      <c r="B578" t="s">
        <v>798</v>
      </c>
      <c r="D578">
        <v>1</v>
      </c>
      <c r="E578">
        <v>0</v>
      </c>
      <c r="F578">
        <v>0</v>
      </c>
    </row>
    <row r="579" spans="1:6" x14ac:dyDescent="0.25">
      <c r="A579" t="s">
        <v>1532</v>
      </c>
      <c r="B579" t="s">
        <v>799</v>
      </c>
      <c r="D579">
        <v>1</v>
      </c>
      <c r="E579">
        <v>0</v>
      </c>
      <c r="F579">
        <v>0</v>
      </c>
    </row>
    <row r="580" spans="1:6" x14ac:dyDescent="0.25">
      <c r="A580" t="s">
        <v>1532</v>
      </c>
      <c r="B580" t="s">
        <v>800</v>
      </c>
      <c r="D580">
        <v>1</v>
      </c>
      <c r="E580">
        <v>0</v>
      </c>
      <c r="F580">
        <v>0</v>
      </c>
    </row>
    <row r="581" spans="1:6" x14ac:dyDescent="0.25">
      <c r="A581" t="s">
        <v>1532</v>
      </c>
      <c r="B581" t="s">
        <v>803</v>
      </c>
      <c r="D581">
        <v>1</v>
      </c>
      <c r="E581">
        <v>0</v>
      </c>
      <c r="F581">
        <v>0</v>
      </c>
    </row>
    <row r="582" spans="1:6" x14ac:dyDescent="0.25">
      <c r="A582" t="s">
        <v>1532</v>
      </c>
      <c r="B582" t="s">
        <v>804</v>
      </c>
      <c r="D582">
        <v>1</v>
      </c>
      <c r="E582">
        <v>0</v>
      </c>
      <c r="F582">
        <v>0</v>
      </c>
    </row>
    <row r="583" spans="1:6" x14ac:dyDescent="0.25">
      <c r="A583" t="s">
        <v>1532</v>
      </c>
      <c r="B583" t="s">
        <v>805</v>
      </c>
      <c r="D583">
        <v>1</v>
      </c>
      <c r="E583">
        <v>0</v>
      </c>
      <c r="F583">
        <v>0</v>
      </c>
    </row>
    <row r="584" spans="1:6" x14ac:dyDescent="0.25">
      <c r="A584" t="s">
        <v>1532</v>
      </c>
      <c r="B584" t="s">
        <v>806</v>
      </c>
      <c r="D584">
        <v>1</v>
      </c>
      <c r="E584">
        <v>0</v>
      </c>
      <c r="F584">
        <v>0</v>
      </c>
    </row>
    <row r="585" spans="1:6" x14ac:dyDescent="0.25">
      <c r="A585" t="s">
        <v>1532</v>
      </c>
      <c r="B585" t="s">
        <v>807</v>
      </c>
      <c r="D585">
        <v>1</v>
      </c>
      <c r="E585">
        <v>0</v>
      </c>
      <c r="F585">
        <v>0</v>
      </c>
    </row>
    <row r="586" spans="1:6" x14ac:dyDescent="0.25">
      <c r="A586" t="s">
        <v>1532</v>
      </c>
      <c r="B586" t="s">
        <v>808</v>
      </c>
      <c r="D586">
        <v>1</v>
      </c>
      <c r="E586">
        <v>0</v>
      </c>
      <c r="F586">
        <v>0</v>
      </c>
    </row>
    <row r="587" spans="1:6" x14ac:dyDescent="0.25">
      <c r="A587" t="s">
        <v>1532</v>
      </c>
      <c r="B587" t="s">
        <v>809</v>
      </c>
      <c r="D587">
        <v>1</v>
      </c>
      <c r="E587">
        <v>0</v>
      </c>
      <c r="F587">
        <v>0</v>
      </c>
    </row>
    <row r="588" spans="1:6" x14ac:dyDescent="0.25">
      <c r="A588" t="s">
        <v>1532</v>
      </c>
      <c r="B588" t="s">
        <v>810</v>
      </c>
      <c r="D588">
        <v>1</v>
      </c>
      <c r="E588">
        <v>0</v>
      </c>
      <c r="F588">
        <v>0</v>
      </c>
    </row>
    <row r="589" spans="1:6" x14ac:dyDescent="0.25">
      <c r="A589" t="s">
        <v>1532</v>
      </c>
      <c r="B589" t="s">
        <v>811</v>
      </c>
      <c r="D589">
        <v>1</v>
      </c>
      <c r="E589">
        <v>0</v>
      </c>
      <c r="F589">
        <v>0</v>
      </c>
    </row>
    <row r="590" spans="1:6" x14ac:dyDescent="0.25">
      <c r="A590" t="s">
        <v>1532</v>
      </c>
      <c r="B590" t="s">
        <v>812</v>
      </c>
      <c r="D590">
        <v>1</v>
      </c>
      <c r="E590">
        <v>0</v>
      </c>
      <c r="F590">
        <v>0</v>
      </c>
    </row>
    <row r="591" spans="1:6" x14ac:dyDescent="0.25">
      <c r="A591" t="s">
        <v>1532</v>
      </c>
      <c r="B591" t="s">
        <v>813</v>
      </c>
      <c r="D591">
        <v>1</v>
      </c>
      <c r="E591">
        <v>0</v>
      </c>
      <c r="F591">
        <v>0</v>
      </c>
    </row>
    <row r="592" spans="1:6" x14ac:dyDescent="0.25">
      <c r="A592" t="s">
        <v>1532</v>
      </c>
      <c r="B592" t="s">
        <v>814</v>
      </c>
      <c r="D592">
        <v>1</v>
      </c>
      <c r="E592">
        <v>0</v>
      </c>
      <c r="F592">
        <v>0</v>
      </c>
    </row>
    <row r="593" spans="1:6" x14ac:dyDescent="0.25">
      <c r="A593" t="s">
        <v>1532</v>
      </c>
      <c r="B593" t="s">
        <v>815</v>
      </c>
      <c r="D593">
        <v>1</v>
      </c>
      <c r="E593">
        <v>0</v>
      </c>
      <c r="F593">
        <v>0</v>
      </c>
    </row>
    <row r="594" spans="1:6" x14ac:dyDescent="0.25">
      <c r="A594" t="s">
        <v>1532</v>
      </c>
      <c r="B594" t="s">
        <v>816</v>
      </c>
      <c r="D594">
        <v>1</v>
      </c>
      <c r="E594">
        <v>0</v>
      </c>
      <c r="F594">
        <v>0</v>
      </c>
    </row>
    <row r="595" spans="1:6" x14ac:dyDescent="0.25">
      <c r="A595" t="s">
        <v>1532</v>
      </c>
      <c r="B595" t="s">
        <v>817</v>
      </c>
      <c r="D595">
        <v>1</v>
      </c>
      <c r="E595">
        <v>0</v>
      </c>
      <c r="F595">
        <v>0</v>
      </c>
    </row>
    <row r="596" spans="1:6" x14ac:dyDescent="0.25">
      <c r="A596" t="s">
        <v>1532</v>
      </c>
      <c r="B596" t="s">
        <v>818</v>
      </c>
      <c r="D596">
        <v>1</v>
      </c>
      <c r="E596">
        <v>0</v>
      </c>
      <c r="F596">
        <v>0</v>
      </c>
    </row>
    <row r="597" spans="1:6" x14ac:dyDescent="0.25">
      <c r="A597" t="s">
        <v>1532</v>
      </c>
      <c r="B597" t="s">
        <v>819</v>
      </c>
      <c r="D597">
        <v>1</v>
      </c>
      <c r="E597">
        <v>0</v>
      </c>
      <c r="F597">
        <v>0</v>
      </c>
    </row>
    <row r="598" spans="1:6" x14ac:dyDescent="0.25">
      <c r="A598" t="s">
        <v>1532</v>
      </c>
      <c r="B598" t="s">
        <v>820</v>
      </c>
      <c r="D598">
        <v>1</v>
      </c>
      <c r="E598">
        <v>0</v>
      </c>
      <c r="F598">
        <v>0</v>
      </c>
    </row>
    <row r="599" spans="1:6" x14ac:dyDescent="0.25">
      <c r="A599" t="s">
        <v>1532</v>
      </c>
      <c r="B599" t="s">
        <v>821</v>
      </c>
      <c r="D599">
        <v>1</v>
      </c>
      <c r="E599">
        <v>0</v>
      </c>
      <c r="F599">
        <v>0</v>
      </c>
    </row>
    <row r="600" spans="1:6" x14ac:dyDescent="0.25">
      <c r="A600" t="s">
        <v>1532</v>
      </c>
      <c r="B600" t="s">
        <v>822</v>
      </c>
      <c r="D600">
        <v>1</v>
      </c>
      <c r="E600">
        <v>0</v>
      </c>
      <c r="F600">
        <v>0</v>
      </c>
    </row>
    <row r="601" spans="1:6" x14ac:dyDescent="0.25">
      <c r="A601" t="s">
        <v>1532</v>
      </c>
      <c r="B601" t="s">
        <v>823</v>
      </c>
      <c r="D601">
        <v>1</v>
      </c>
      <c r="E601">
        <v>0</v>
      </c>
      <c r="F601">
        <v>0</v>
      </c>
    </row>
    <row r="602" spans="1:6" x14ac:dyDescent="0.25">
      <c r="A602" t="s">
        <v>1532</v>
      </c>
      <c r="B602" t="s">
        <v>824</v>
      </c>
      <c r="D602">
        <v>1</v>
      </c>
      <c r="E602">
        <v>0</v>
      </c>
      <c r="F602">
        <v>0</v>
      </c>
    </row>
    <row r="603" spans="1:6" x14ac:dyDescent="0.25">
      <c r="A603" t="s">
        <v>1532</v>
      </c>
      <c r="B603" t="s">
        <v>825</v>
      </c>
      <c r="D603">
        <v>1</v>
      </c>
      <c r="E603">
        <v>0</v>
      </c>
      <c r="F603">
        <v>0</v>
      </c>
    </row>
    <row r="604" spans="1:6" x14ac:dyDescent="0.25">
      <c r="A604" t="s">
        <v>1532</v>
      </c>
      <c r="B604" t="s">
        <v>826</v>
      </c>
      <c r="D604">
        <v>1</v>
      </c>
      <c r="E604">
        <v>0</v>
      </c>
      <c r="F604">
        <v>0</v>
      </c>
    </row>
    <row r="605" spans="1:6" x14ac:dyDescent="0.25">
      <c r="A605" t="s">
        <v>1532</v>
      </c>
      <c r="B605" t="s">
        <v>827</v>
      </c>
      <c r="D605">
        <v>1</v>
      </c>
      <c r="E605">
        <v>0</v>
      </c>
      <c r="F605">
        <v>0</v>
      </c>
    </row>
    <row r="606" spans="1:6" x14ac:dyDescent="0.25">
      <c r="A606" t="s">
        <v>1532</v>
      </c>
      <c r="B606" t="s">
        <v>828</v>
      </c>
      <c r="D606">
        <v>1</v>
      </c>
      <c r="E606">
        <v>0</v>
      </c>
      <c r="F606">
        <v>0</v>
      </c>
    </row>
    <row r="607" spans="1:6" x14ac:dyDescent="0.25">
      <c r="A607" t="s">
        <v>1532</v>
      </c>
      <c r="B607" t="s">
        <v>829</v>
      </c>
      <c r="D607">
        <v>1</v>
      </c>
      <c r="E607">
        <v>0</v>
      </c>
      <c r="F607">
        <v>0</v>
      </c>
    </row>
    <row r="608" spans="1:6" x14ac:dyDescent="0.25">
      <c r="A608" t="s">
        <v>1532</v>
      </c>
      <c r="B608" t="s">
        <v>830</v>
      </c>
      <c r="D608">
        <v>1</v>
      </c>
      <c r="E608">
        <v>0</v>
      </c>
      <c r="F608">
        <v>0</v>
      </c>
    </row>
    <row r="609" spans="1:6" x14ac:dyDescent="0.25">
      <c r="A609" t="s">
        <v>1532</v>
      </c>
      <c r="B609" t="s">
        <v>837</v>
      </c>
      <c r="E609">
        <v>1</v>
      </c>
      <c r="F609">
        <v>1</v>
      </c>
    </row>
    <row r="610" spans="1:6" x14ac:dyDescent="0.25">
      <c r="A610" t="s">
        <v>1532</v>
      </c>
      <c r="B610" t="s">
        <v>839</v>
      </c>
      <c r="E610">
        <v>1</v>
      </c>
      <c r="F610">
        <v>1</v>
      </c>
    </row>
    <row r="611" spans="1:6" x14ac:dyDescent="0.25">
      <c r="A611" t="s">
        <v>1532</v>
      </c>
      <c r="B611" t="s">
        <v>843</v>
      </c>
      <c r="E611">
        <v>1</v>
      </c>
      <c r="F611">
        <v>1</v>
      </c>
    </row>
    <row r="612" spans="1:6" x14ac:dyDescent="0.25">
      <c r="A612" t="s">
        <v>1532</v>
      </c>
      <c r="B612" t="s">
        <v>845</v>
      </c>
      <c r="E612">
        <v>1</v>
      </c>
      <c r="F612">
        <v>1</v>
      </c>
    </row>
    <row r="613" spans="1:6" x14ac:dyDescent="0.25">
      <c r="A613" t="s">
        <v>1532</v>
      </c>
      <c r="B613" t="s">
        <v>849</v>
      </c>
      <c r="E613">
        <v>1</v>
      </c>
      <c r="F613">
        <v>1</v>
      </c>
    </row>
    <row r="614" spans="1:6" x14ac:dyDescent="0.25">
      <c r="A614" t="s">
        <v>1532</v>
      </c>
      <c r="B614" t="s">
        <v>851</v>
      </c>
      <c r="E614">
        <v>1</v>
      </c>
      <c r="F614">
        <v>1</v>
      </c>
    </row>
    <row r="615" spans="1:6" x14ac:dyDescent="0.25">
      <c r="A615" t="s">
        <v>1532</v>
      </c>
      <c r="B615" t="s">
        <v>855</v>
      </c>
      <c r="E615">
        <v>1</v>
      </c>
      <c r="F615">
        <v>1</v>
      </c>
    </row>
    <row r="616" spans="1:6" x14ac:dyDescent="0.25">
      <c r="A616" t="s">
        <v>1532</v>
      </c>
      <c r="B616" t="s">
        <v>857</v>
      </c>
      <c r="E616">
        <v>1</v>
      </c>
      <c r="F616">
        <v>1</v>
      </c>
    </row>
    <row r="617" spans="1:6" x14ac:dyDescent="0.25">
      <c r="A617" t="s">
        <v>1532</v>
      </c>
      <c r="B617" t="s">
        <v>861</v>
      </c>
      <c r="E617">
        <v>1</v>
      </c>
      <c r="F617">
        <v>1</v>
      </c>
    </row>
    <row r="618" spans="1:6" x14ac:dyDescent="0.25">
      <c r="A618" t="s">
        <v>1532</v>
      </c>
      <c r="B618" t="s">
        <v>863</v>
      </c>
      <c r="E618">
        <v>1</v>
      </c>
      <c r="F618">
        <v>1</v>
      </c>
    </row>
    <row r="619" spans="1:6" x14ac:dyDescent="0.25">
      <c r="A619" t="s">
        <v>1532</v>
      </c>
      <c r="B619" t="s">
        <v>869</v>
      </c>
      <c r="E619">
        <v>1</v>
      </c>
      <c r="F619">
        <v>1</v>
      </c>
    </row>
    <row r="620" spans="1:6" x14ac:dyDescent="0.25">
      <c r="A620" t="s">
        <v>1532</v>
      </c>
      <c r="B620" t="s">
        <v>871</v>
      </c>
      <c r="E620">
        <v>1</v>
      </c>
      <c r="F620">
        <v>1</v>
      </c>
    </row>
    <row r="621" spans="1:6" x14ac:dyDescent="0.25">
      <c r="A621" t="s">
        <v>1532</v>
      </c>
      <c r="B621" t="s">
        <v>875</v>
      </c>
      <c r="E621">
        <v>1</v>
      </c>
      <c r="F621">
        <v>1</v>
      </c>
    </row>
    <row r="622" spans="1:6" x14ac:dyDescent="0.25">
      <c r="A622" t="s">
        <v>1532</v>
      </c>
      <c r="B622" t="s">
        <v>877</v>
      </c>
      <c r="E622">
        <v>1</v>
      </c>
      <c r="F622">
        <v>1</v>
      </c>
    </row>
    <row r="623" spans="1:6" x14ac:dyDescent="0.25">
      <c r="A623" t="s">
        <v>1532</v>
      </c>
      <c r="B623" t="s">
        <v>881</v>
      </c>
      <c r="E623">
        <v>1</v>
      </c>
      <c r="F623">
        <v>1</v>
      </c>
    </row>
    <row r="624" spans="1:6" x14ac:dyDescent="0.25">
      <c r="A624" t="s">
        <v>1532</v>
      </c>
      <c r="B624" t="s">
        <v>883</v>
      </c>
      <c r="E624">
        <v>1</v>
      </c>
      <c r="F624">
        <v>1</v>
      </c>
    </row>
    <row r="625" spans="1:6" x14ac:dyDescent="0.25">
      <c r="A625" t="s">
        <v>1532</v>
      </c>
      <c r="B625" t="s">
        <v>887</v>
      </c>
      <c r="E625">
        <v>1</v>
      </c>
      <c r="F625">
        <v>1</v>
      </c>
    </row>
    <row r="626" spans="1:6" x14ac:dyDescent="0.25">
      <c r="A626" t="s">
        <v>1532</v>
      </c>
      <c r="B626" t="s">
        <v>889</v>
      </c>
      <c r="E626">
        <v>1</v>
      </c>
      <c r="F626">
        <v>1</v>
      </c>
    </row>
    <row r="627" spans="1:6" x14ac:dyDescent="0.25">
      <c r="A627" t="s">
        <v>1532</v>
      </c>
      <c r="B627" t="s">
        <v>893</v>
      </c>
      <c r="E627">
        <v>1</v>
      </c>
      <c r="F627">
        <v>1</v>
      </c>
    </row>
    <row r="628" spans="1:6" x14ac:dyDescent="0.25">
      <c r="A628" t="s">
        <v>1532</v>
      </c>
      <c r="B628" t="s">
        <v>895</v>
      </c>
      <c r="E628">
        <v>1</v>
      </c>
      <c r="F628">
        <v>1</v>
      </c>
    </row>
    <row r="629" spans="1:6" x14ac:dyDescent="0.25">
      <c r="A629" t="s">
        <v>1531</v>
      </c>
      <c r="B629" t="s">
        <v>1224</v>
      </c>
      <c r="C629">
        <v>1</v>
      </c>
      <c r="E629">
        <v>1</v>
      </c>
      <c r="F629">
        <v>1</v>
      </c>
    </row>
    <row r="630" spans="1:6" x14ac:dyDescent="0.25">
      <c r="A630" t="s">
        <v>1531</v>
      </c>
      <c r="B630" t="s">
        <v>1225</v>
      </c>
      <c r="C630">
        <v>1</v>
      </c>
      <c r="E630">
        <v>1</v>
      </c>
      <c r="F630">
        <v>0</v>
      </c>
    </row>
    <row r="631" spans="1:6" x14ac:dyDescent="0.25">
      <c r="A631" t="s">
        <v>1531</v>
      </c>
      <c r="B631" t="s">
        <v>1226</v>
      </c>
      <c r="C631">
        <v>1</v>
      </c>
      <c r="E631">
        <v>1</v>
      </c>
      <c r="F631">
        <v>1</v>
      </c>
    </row>
    <row r="632" spans="1:6" x14ac:dyDescent="0.25">
      <c r="A632" t="s">
        <v>1531</v>
      </c>
      <c r="B632" t="s">
        <v>1227</v>
      </c>
      <c r="C632">
        <v>1</v>
      </c>
      <c r="E632">
        <v>1</v>
      </c>
      <c r="F632">
        <v>0</v>
      </c>
    </row>
    <row r="633" spans="1:6" x14ac:dyDescent="0.25">
      <c r="A633" t="s">
        <v>1531</v>
      </c>
      <c r="B633" t="s">
        <v>1228</v>
      </c>
      <c r="C633">
        <v>1</v>
      </c>
      <c r="E633">
        <v>1</v>
      </c>
      <c r="F633">
        <v>1</v>
      </c>
    </row>
    <row r="634" spans="1:6" x14ac:dyDescent="0.25">
      <c r="A634" t="s">
        <v>1531</v>
      </c>
      <c r="B634" t="s">
        <v>1229</v>
      </c>
      <c r="C634">
        <v>1</v>
      </c>
      <c r="E634">
        <v>1</v>
      </c>
      <c r="F634">
        <v>0</v>
      </c>
    </row>
    <row r="635" spans="1:6" x14ac:dyDescent="0.25">
      <c r="A635" t="s">
        <v>1531</v>
      </c>
      <c r="B635" t="s">
        <v>1230</v>
      </c>
      <c r="C635">
        <v>1</v>
      </c>
      <c r="E635">
        <v>1</v>
      </c>
      <c r="F635">
        <v>1</v>
      </c>
    </row>
    <row r="636" spans="1:6" x14ac:dyDescent="0.25">
      <c r="A636" t="s">
        <v>1531</v>
      </c>
      <c r="B636" t="s">
        <v>1231</v>
      </c>
      <c r="C636">
        <v>1</v>
      </c>
      <c r="E636">
        <v>1</v>
      </c>
      <c r="F636">
        <v>0</v>
      </c>
    </row>
    <row r="637" spans="1:6" x14ac:dyDescent="0.25">
      <c r="A637" t="s">
        <v>1531</v>
      </c>
      <c r="B637" t="s">
        <v>1232</v>
      </c>
      <c r="C637">
        <v>1</v>
      </c>
      <c r="E637">
        <v>1</v>
      </c>
      <c r="F637">
        <v>1</v>
      </c>
    </row>
    <row r="638" spans="1:6" x14ac:dyDescent="0.25">
      <c r="A638" t="s">
        <v>1531</v>
      </c>
      <c r="B638" t="s">
        <v>1233</v>
      </c>
      <c r="C638">
        <v>1</v>
      </c>
      <c r="E638">
        <v>1</v>
      </c>
      <c r="F638">
        <v>0</v>
      </c>
    </row>
    <row r="639" spans="1:6" x14ac:dyDescent="0.25">
      <c r="A639" t="s">
        <v>1531</v>
      </c>
      <c r="B639" t="s">
        <v>1234</v>
      </c>
      <c r="C639">
        <v>1</v>
      </c>
      <c r="E639">
        <v>1</v>
      </c>
      <c r="F639">
        <v>1</v>
      </c>
    </row>
    <row r="640" spans="1:6" x14ac:dyDescent="0.25">
      <c r="A640" t="s">
        <v>1531</v>
      </c>
      <c r="B640" t="s">
        <v>1235</v>
      </c>
      <c r="C640">
        <v>1</v>
      </c>
      <c r="E640">
        <v>0</v>
      </c>
      <c r="F640">
        <v>0</v>
      </c>
    </row>
    <row r="641" spans="1:6" x14ac:dyDescent="0.25">
      <c r="A641" t="s">
        <v>1531</v>
      </c>
      <c r="B641" t="s">
        <v>1236</v>
      </c>
      <c r="C641">
        <v>1</v>
      </c>
      <c r="E641">
        <v>0</v>
      </c>
      <c r="F641">
        <v>0</v>
      </c>
    </row>
    <row r="642" spans="1:6" x14ac:dyDescent="0.25">
      <c r="A642" t="s">
        <v>1531</v>
      </c>
      <c r="B642" t="s">
        <v>1237</v>
      </c>
      <c r="C642">
        <v>1</v>
      </c>
      <c r="E642">
        <v>0</v>
      </c>
      <c r="F642">
        <v>0</v>
      </c>
    </row>
    <row r="643" spans="1:6" x14ac:dyDescent="0.25">
      <c r="A643" t="s">
        <v>1531</v>
      </c>
      <c r="B643" t="s">
        <v>1238</v>
      </c>
      <c r="C643">
        <v>1</v>
      </c>
      <c r="E643">
        <v>0</v>
      </c>
      <c r="F643">
        <v>0</v>
      </c>
    </row>
    <row r="644" spans="1:6" x14ac:dyDescent="0.25">
      <c r="A644" t="s">
        <v>1531</v>
      </c>
      <c r="B644" t="s">
        <v>1239</v>
      </c>
      <c r="C644">
        <v>1</v>
      </c>
      <c r="E644">
        <v>0</v>
      </c>
      <c r="F644">
        <v>0</v>
      </c>
    </row>
    <row r="645" spans="1:6" x14ac:dyDescent="0.25">
      <c r="A645" t="s">
        <v>1531</v>
      </c>
      <c r="B645" t="s">
        <v>1240</v>
      </c>
      <c r="C645">
        <v>1</v>
      </c>
      <c r="E645">
        <v>0</v>
      </c>
      <c r="F645">
        <v>0</v>
      </c>
    </row>
    <row r="646" spans="1:6" x14ac:dyDescent="0.25">
      <c r="A646" t="s">
        <v>1531</v>
      </c>
      <c r="B646" t="s">
        <v>1241</v>
      </c>
      <c r="C646">
        <v>1</v>
      </c>
      <c r="E646">
        <v>0</v>
      </c>
      <c r="F646">
        <v>0</v>
      </c>
    </row>
    <row r="647" spans="1:6" x14ac:dyDescent="0.25">
      <c r="A647" t="s">
        <v>1531</v>
      </c>
      <c r="B647" t="s">
        <v>1242</v>
      </c>
      <c r="C647">
        <v>1</v>
      </c>
      <c r="E647">
        <v>0</v>
      </c>
      <c r="F647">
        <v>0</v>
      </c>
    </row>
    <row r="648" spans="1:6" x14ac:dyDescent="0.25">
      <c r="A648" t="s">
        <v>1531</v>
      </c>
      <c r="B648" t="s">
        <v>1243</v>
      </c>
      <c r="C648">
        <v>1</v>
      </c>
      <c r="E648">
        <v>0</v>
      </c>
      <c r="F648">
        <v>0</v>
      </c>
    </row>
    <row r="649" spans="1:6" x14ac:dyDescent="0.25">
      <c r="A649" t="s">
        <v>1531</v>
      </c>
      <c r="B649" t="s">
        <v>1244</v>
      </c>
      <c r="C649">
        <v>1</v>
      </c>
      <c r="E649">
        <v>0</v>
      </c>
      <c r="F649">
        <v>0</v>
      </c>
    </row>
    <row r="650" spans="1:6" x14ac:dyDescent="0.25">
      <c r="A650" t="s">
        <v>1531</v>
      </c>
      <c r="B650" t="s">
        <v>1245</v>
      </c>
      <c r="C650">
        <v>1</v>
      </c>
      <c r="E650">
        <v>0</v>
      </c>
      <c r="F650">
        <v>0</v>
      </c>
    </row>
    <row r="651" spans="1:6" x14ac:dyDescent="0.25">
      <c r="A651" t="s">
        <v>1531</v>
      </c>
      <c r="B651" t="s">
        <v>1246</v>
      </c>
      <c r="C651">
        <v>1</v>
      </c>
      <c r="E651">
        <v>0</v>
      </c>
      <c r="F651">
        <v>0</v>
      </c>
    </row>
    <row r="652" spans="1:6" x14ac:dyDescent="0.25">
      <c r="A652" t="s">
        <v>1531</v>
      </c>
      <c r="B652" t="s">
        <v>1247</v>
      </c>
      <c r="C652">
        <v>1</v>
      </c>
      <c r="E652">
        <v>0</v>
      </c>
      <c r="F652">
        <v>0</v>
      </c>
    </row>
    <row r="653" spans="1:6" x14ac:dyDescent="0.25">
      <c r="A653" t="s">
        <v>1531</v>
      </c>
      <c r="B653" t="s">
        <v>1248</v>
      </c>
      <c r="C653">
        <v>1</v>
      </c>
      <c r="E653">
        <v>0</v>
      </c>
      <c r="F653">
        <v>0</v>
      </c>
    </row>
    <row r="654" spans="1:6" x14ac:dyDescent="0.25">
      <c r="A654" t="s">
        <v>1531</v>
      </c>
      <c r="B654" t="s">
        <v>1249</v>
      </c>
      <c r="C654">
        <v>1</v>
      </c>
      <c r="E654">
        <v>0</v>
      </c>
      <c r="F654">
        <v>0</v>
      </c>
    </row>
    <row r="655" spans="1:6" x14ac:dyDescent="0.25">
      <c r="A655" t="s">
        <v>1531</v>
      </c>
      <c r="B655" t="s">
        <v>1250</v>
      </c>
      <c r="C655">
        <v>1</v>
      </c>
      <c r="E655">
        <v>0</v>
      </c>
      <c r="F655">
        <v>0</v>
      </c>
    </row>
    <row r="656" spans="1:6" x14ac:dyDescent="0.25">
      <c r="A656" t="s">
        <v>1531</v>
      </c>
      <c r="B656" t="s">
        <v>1251</v>
      </c>
      <c r="C656">
        <v>1</v>
      </c>
      <c r="E656">
        <v>0</v>
      </c>
      <c r="F656">
        <v>0</v>
      </c>
    </row>
    <row r="657" spans="1:6" x14ac:dyDescent="0.25">
      <c r="A657" t="s">
        <v>1531</v>
      </c>
      <c r="B657" t="s">
        <v>1252</v>
      </c>
      <c r="C657">
        <v>1</v>
      </c>
      <c r="E657">
        <v>0</v>
      </c>
      <c r="F657">
        <v>0</v>
      </c>
    </row>
    <row r="658" spans="1:6" x14ac:dyDescent="0.25">
      <c r="A658" t="s">
        <v>1531</v>
      </c>
      <c r="B658" t="s">
        <v>1253</v>
      </c>
      <c r="C658">
        <v>1</v>
      </c>
      <c r="E658">
        <v>0</v>
      </c>
      <c r="F658">
        <v>0</v>
      </c>
    </row>
    <row r="659" spans="1:6" x14ac:dyDescent="0.25">
      <c r="A659" t="s">
        <v>1531</v>
      </c>
      <c r="B659" t="s">
        <v>1254</v>
      </c>
      <c r="D659">
        <v>1</v>
      </c>
      <c r="E659">
        <v>1</v>
      </c>
      <c r="F659">
        <v>1</v>
      </c>
    </row>
    <row r="660" spans="1:6" x14ac:dyDescent="0.25">
      <c r="A660" t="s">
        <v>1531</v>
      </c>
      <c r="B660" t="s">
        <v>1255</v>
      </c>
      <c r="D660">
        <v>1</v>
      </c>
      <c r="E660">
        <v>1</v>
      </c>
      <c r="F660">
        <v>0</v>
      </c>
    </row>
    <row r="661" spans="1:6" x14ac:dyDescent="0.25">
      <c r="A661" t="s">
        <v>1531</v>
      </c>
      <c r="B661" t="s">
        <v>1256</v>
      </c>
      <c r="D661">
        <v>1</v>
      </c>
      <c r="E661">
        <v>1</v>
      </c>
      <c r="F661">
        <v>1</v>
      </c>
    </row>
    <row r="662" spans="1:6" x14ac:dyDescent="0.25">
      <c r="A662" t="s">
        <v>1531</v>
      </c>
      <c r="B662" t="s">
        <v>1257</v>
      </c>
      <c r="D662">
        <v>1</v>
      </c>
      <c r="E662">
        <v>1</v>
      </c>
      <c r="F662">
        <v>0</v>
      </c>
    </row>
    <row r="663" spans="1:6" x14ac:dyDescent="0.25">
      <c r="A663" t="s">
        <v>1531</v>
      </c>
      <c r="B663" t="s">
        <v>1258</v>
      </c>
      <c r="D663">
        <v>1</v>
      </c>
      <c r="E663">
        <v>1</v>
      </c>
      <c r="F663">
        <v>1</v>
      </c>
    </row>
    <row r="664" spans="1:6" x14ac:dyDescent="0.25">
      <c r="A664" t="s">
        <v>1531</v>
      </c>
      <c r="B664" t="s">
        <v>1259</v>
      </c>
      <c r="D664">
        <v>1</v>
      </c>
      <c r="E664">
        <v>0</v>
      </c>
      <c r="F664">
        <v>0</v>
      </c>
    </row>
    <row r="665" spans="1:6" x14ac:dyDescent="0.25">
      <c r="A665" t="s">
        <v>1531</v>
      </c>
      <c r="B665" t="s">
        <v>1260</v>
      </c>
      <c r="D665">
        <v>1</v>
      </c>
      <c r="E665">
        <v>0</v>
      </c>
      <c r="F665">
        <v>0</v>
      </c>
    </row>
    <row r="666" spans="1:6" x14ac:dyDescent="0.25">
      <c r="A666" t="s">
        <v>1531</v>
      </c>
      <c r="B666" t="s">
        <v>1261</v>
      </c>
      <c r="D666">
        <v>1</v>
      </c>
      <c r="E666">
        <v>0</v>
      </c>
      <c r="F666">
        <v>0</v>
      </c>
    </row>
    <row r="667" spans="1:6" x14ac:dyDescent="0.25">
      <c r="A667" t="s">
        <v>1531</v>
      </c>
      <c r="B667" t="s">
        <v>1262</v>
      </c>
      <c r="D667">
        <v>1</v>
      </c>
      <c r="E667">
        <v>0</v>
      </c>
      <c r="F667">
        <v>0</v>
      </c>
    </row>
    <row r="668" spans="1:6" x14ac:dyDescent="0.25">
      <c r="A668" t="s">
        <v>1531</v>
      </c>
      <c r="B668" t="s">
        <v>1263</v>
      </c>
      <c r="D668">
        <v>1</v>
      </c>
      <c r="E668">
        <v>0</v>
      </c>
      <c r="F668">
        <v>0</v>
      </c>
    </row>
    <row r="669" spans="1:6" x14ac:dyDescent="0.25">
      <c r="A669" t="s">
        <v>1531</v>
      </c>
      <c r="B669" t="s">
        <v>1264</v>
      </c>
      <c r="D669">
        <v>1</v>
      </c>
      <c r="E669">
        <v>0</v>
      </c>
      <c r="F669">
        <v>0</v>
      </c>
    </row>
    <row r="670" spans="1:6" x14ac:dyDescent="0.25">
      <c r="A670" t="s">
        <v>1531</v>
      </c>
      <c r="B670" t="s">
        <v>1265</v>
      </c>
      <c r="D670">
        <v>1</v>
      </c>
      <c r="E670">
        <v>0</v>
      </c>
      <c r="F670">
        <v>0</v>
      </c>
    </row>
    <row r="671" spans="1:6" x14ac:dyDescent="0.25">
      <c r="A671" t="s">
        <v>1531</v>
      </c>
      <c r="B671" t="s">
        <v>1266</v>
      </c>
      <c r="D671">
        <v>1</v>
      </c>
      <c r="E671">
        <v>0</v>
      </c>
      <c r="F671">
        <v>0</v>
      </c>
    </row>
    <row r="672" spans="1:6" x14ac:dyDescent="0.25">
      <c r="A672" t="s">
        <v>1531</v>
      </c>
      <c r="B672" t="s">
        <v>1267</v>
      </c>
      <c r="D672">
        <v>1</v>
      </c>
      <c r="E672">
        <v>0</v>
      </c>
      <c r="F672">
        <v>0</v>
      </c>
    </row>
    <row r="673" spans="1:6" x14ac:dyDescent="0.25">
      <c r="A673" t="s">
        <v>1531</v>
      </c>
      <c r="B673" t="s">
        <v>1268</v>
      </c>
      <c r="D673">
        <v>1</v>
      </c>
      <c r="E673">
        <v>0</v>
      </c>
      <c r="F673">
        <v>0</v>
      </c>
    </row>
    <row r="674" spans="1:6" x14ac:dyDescent="0.25">
      <c r="A674" t="s">
        <v>1531</v>
      </c>
      <c r="B674" t="s">
        <v>1269</v>
      </c>
      <c r="D674">
        <v>1</v>
      </c>
      <c r="E674">
        <v>0</v>
      </c>
      <c r="F674">
        <v>0</v>
      </c>
    </row>
    <row r="675" spans="1:6" x14ac:dyDescent="0.25">
      <c r="A675" t="s">
        <v>1531</v>
      </c>
      <c r="B675" t="s">
        <v>1270</v>
      </c>
      <c r="D675">
        <v>1</v>
      </c>
      <c r="E675">
        <v>0</v>
      </c>
      <c r="F675">
        <v>0</v>
      </c>
    </row>
    <row r="676" spans="1:6" x14ac:dyDescent="0.25">
      <c r="A676" t="s">
        <v>1531</v>
      </c>
      <c r="B676" t="s">
        <v>1271</v>
      </c>
      <c r="D676">
        <v>1</v>
      </c>
      <c r="E676">
        <v>0</v>
      </c>
      <c r="F676">
        <v>0</v>
      </c>
    </row>
    <row r="677" spans="1:6" x14ac:dyDescent="0.25">
      <c r="A677" t="s">
        <v>1531</v>
      </c>
      <c r="B677" t="s">
        <v>1272</v>
      </c>
      <c r="D677">
        <v>1</v>
      </c>
      <c r="E677">
        <v>0</v>
      </c>
      <c r="F677">
        <v>0</v>
      </c>
    </row>
    <row r="678" spans="1:6" x14ac:dyDescent="0.25">
      <c r="A678" t="s">
        <v>1531</v>
      </c>
      <c r="B678" t="s">
        <v>1273</v>
      </c>
      <c r="D678">
        <v>1</v>
      </c>
      <c r="E678">
        <v>0</v>
      </c>
      <c r="F678">
        <v>0</v>
      </c>
    </row>
    <row r="679" spans="1:6" x14ac:dyDescent="0.25">
      <c r="A679" t="s">
        <v>1531</v>
      </c>
      <c r="B679" t="s">
        <v>1274</v>
      </c>
      <c r="D679">
        <v>1</v>
      </c>
      <c r="E679">
        <v>0</v>
      </c>
      <c r="F679">
        <v>0</v>
      </c>
    </row>
    <row r="680" spans="1:6" x14ac:dyDescent="0.25">
      <c r="A680" t="s">
        <v>1531</v>
      </c>
      <c r="B680" t="s">
        <v>1276</v>
      </c>
      <c r="E680">
        <v>1</v>
      </c>
      <c r="F680">
        <v>1</v>
      </c>
    </row>
    <row r="681" spans="1:6" x14ac:dyDescent="0.25">
      <c r="A681" t="s">
        <v>1531</v>
      </c>
      <c r="B681" t="s">
        <v>1278</v>
      </c>
      <c r="E681">
        <v>1</v>
      </c>
      <c r="F681">
        <v>1</v>
      </c>
    </row>
    <row r="682" spans="1:6" x14ac:dyDescent="0.25">
      <c r="A682" t="s">
        <v>1531</v>
      </c>
      <c r="B682" t="s">
        <v>1280</v>
      </c>
      <c r="E682">
        <v>1</v>
      </c>
      <c r="F682">
        <v>1</v>
      </c>
    </row>
    <row r="683" spans="1:6" x14ac:dyDescent="0.25">
      <c r="A683" t="s">
        <v>1531</v>
      </c>
      <c r="B683" t="s">
        <v>1282</v>
      </c>
      <c r="E683">
        <v>1</v>
      </c>
      <c r="F683">
        <v>1</v>
      </c>
    </row>
    <row r="684" spans="1:6" x14ac:dyDescent="0.25">
      <c r="A684" t="s">
        <v>1531</v>
      </c>
      <c r="B684" t="s">
        <v>1284</v>
      </c>
      <c r="E684">
        <v>1</v>
      </c>
      <c r="F684">
        <v>1</v>
      </c>
    </row>
    <row r="685" spans="1:6" x14ac:dyDescent="0.25">
      <c r="A685" t="s">
        <v>1531</v>
      </c>
      <c r="B685" t="s">
        <v>1286</v>
      </c>
      <c r="E685">
        <v>1</v>
      </c>
      <c r="F685">
        <v>1</v>
      </c>
    </row>
    <row r="686" spans="1:6" x14ac:dyDescent="0.25">
      <c r="A686" t="s">
        <v>1531</v>
      </c>
      <c r="B686" t="s">
        <v>1288</v>
      </c>
      <c r="E686">
        <v>1</v>
      </c>
      <c r="F686">
        <v>1</v>
      </c>
    </row>
    <row r="687" spans="1:6" x14ac:dyDescent="0.25">
      <c r="A687" t="s">
        <v>1531</v>
      </c>
      <c r="B687" t="s">
        <v>1290</v>
      </c>
      <c r="E687">
        <v>1</v>
      </c>
      <c r="F687">
        <v>1</v>
      </c>
    </row>
    <row r="688" spans="1:6" x14ac:dyDescent="0.25">
      <c r="A688" t="s">
        <v>1531</v>
      </c>
      <c r="B688" t="s">
        <v>1292</v>
      </c>
      <c r="E688">
        <v>1</v>
      </c>
      <c r="F688">
        <v>1</v>
      </c>
    </row>
    <row r="689" spans="1:6" x14ac:dyDescent="0.25">
      <c r="A689" t="s">
        <v>1531</v>
      </c>
      <c r="B689" t="s">
        <v>1294</v>
      </c>
      <c r="E689">
        <v>1</v>
      </c>
      <c r="F689">
        <v>1</v>
      </c>
    </row>
    <row r="690" spans="1:6" x14ac:dyDescent="0.25">
      <c r="A690" t="s">
        <v>1531</v>
      </c>
      <c r="B690" t="s">
        <v>1296</v>
      </c>
      <c r="E690">
        <v>1</v>
      </c>
      <c r="F690">
        <v>1</v>
      </c>
    </row>
    <row r="691" spans="1:6" x14ac:dyDescent="0.25">
      <c r="A691" t="s">
        <v>1531</v>
      </c>
      <c r="B691" t="s">
        <v>1298</v>
      </c>
      <c r="E691">
        <v>1</v>
      </c>
      <c r="F691">
        <v>1</v>
      </c>
    </row>
    <row r="692" spans="1:6" x14ac:dyDescent="0.25">
      <c r="A692" t="s">
        <v>1531</v>
      </c>
      <c r="B692" t="s">
        <v>1300</v>
      </c>
      <c r="E692">
        <v>1</v>
      </c>
      <c r="F692">
        <v>1</v>
      </c>
    </row>
    <row r="693" spans="1:6" x14ac:dyDescent="0.25">
      <c r="A693" t="s">
        <v>1531</v>
      </c>
      <c r="B693" t="s">
        <v>1424</v>
      </c>
      <c r="C693">
        <v>1</v>
      </c>
      <c r="E693">
        <v>1</v>
      </c>
      <c r="F693">
        <v>1</v>
      </c>
    </row>
    <row r="694" spans="1:6" x14ac:dyDescent="0.25">
      <c r="A694" t="s">
        <v>1531</v>
      </c>
      <c r="B694" t="s">
        <v>1425</v>
      </c>
      <c r="C694">
        <v>1</v>
      </c>
      <c r="E694">
        <v>1</v>
      </c>
      <c r="F694">
        <v>0</v>
      </c>
    </row>
    <row r="695" spans="1:6" x14ac:dyDescent="0.25">
      <c r="A695" t="s">
        <v>1531</v>
      </c>
      <c r="B695" t="s">
        <v>1426</v>
      </c>
      <c r="C695">
        <v>1</v>
      </c>
      <c r="E695">
        <v>1</v>
      </c>
      <c r="F695">
        <v>1</v>
      </c>
    </row>
    <row r="696" spans="1:6" x14ac:dyDescent="0.25">
      <c r="A696" t="s">
        <v>1531</v>
      </c>
      <c r="B696" t="s">
        <v>1427</v>
      </c>
      <c r="C696">
        <v>1</v>
      </c>
      <c r="E696">
        <v>1</v>
      </c>
      <c r="F696">
        <v>0</v>
      </c>
    </row>
    <row r="697" spans="1:6" x14ac:dyDescent="0.25">
      <c r="A697" t="s">
        <v>1531</v>
      </c>
      <c r="B697" t="s">
        <v>1428</v>
      </c>
      <c r="C697">
        <v>1</v>
      </c>
      <c r="E697">
        <v>1</v>
      </c>
      <c r="F697">
        <v>1</v>
      </c>
    </row>
    <row r="698" spans="1:6" x14ac:dyDescent="0.25">
      <c r="A698" t="s">
        <v>1531</v>
      </c>
      <c r="B698" t="s">
        <v>1429</v>
      </c>
      <c r="C698">
        <v>1</v>
      </c>
      <c r="E698">
        <v>1</v>
      </c>
      <c r="F698">
        <v>0</v>
      </c>
    </row>
    <row r="699" spans="1:6" x14ac:dyDescent="0.25">
      <c r="A699" t="s">
        <v>1531</v>
      </c>
      <c r="B699" t="s">
        <v>1430</v>
      </c>
      <c r="C699">
        <v>1</v>
      </c>
      <c r="E699">
        <v>0</v>
      </c>
      <c r="F699">
        <v>0</v>
      </c>
    </row>
    <row r="700" spans="1:6" x14ac:dyDescent="0.25">
      <c r="A700" t="s">
        <v>1531</v>
      </c>
      <c r="B700" t="s">
        <v>1431</v>
      </c>
      <c r="C700">
        <v>1</v>
      </c>
      <c r="E700">
        <v>0</v>
      </c>
      <c r="F700">
        <v>0</v>
      </c>
    </row>
    <row r="701" spans="1:6" x14ac:dyDescent="0.25">
      <c r="A701" t="s">
        <v>1531</v>
      </c>
      <c r="B701" t="s">
        <v>1432</v>
      </c>
      <c r="C701">
        <v>1</v>
      </c>
      <c r="E701">
        <v>0</v>
      </c>
      <c r="F701">
        <v>0</v>
      </c>
    </row>
    <row r="702" spans="1:6" x14ac:dyDescent="0.25">
      <c r="A702" t="s">
        <v>1531</v>
      </c>
      <c r="B702" t="s">
        <v>1433</v>
      </c>
      <c r="C702">
        <v>1</v>
      </c>
      <c r="E702">
        <v>0</v>
      </c>
      <c r="F702">
        <v>0</v>
      </c>
    </row>
    <row r="703" spans="1:6" x14ac:dyDescent="0.25">
      <c r="A703" t="s">
        <v>1531</v>
      </c>
      <c r="B703" t="s">
        <v>1434</v>
      </c>
      <c r="C703">
        <v>1</v>
      </c>
      <c r="E703">
        <v>0</v>
      </c>
      <c r="F703">
        <v>0</v>
      </c>
    </row>
    <row r="704" spans="1:6" x14ac:dyDescent="0.25">
      <c r="A704" t="s">
        <v>1531</v>
      </c>
      <c r="B704" t="s">
        <v>1435</v>
      </c>
      <c r="C704">
        <v>1</v>
      </c>
      <c r="E704">
        <v>0</v>
      </c>
      <c r="F704">
        <v>0</v>
      </c>
    </row>
    <row r="705" spans="1:6" x14ac:dyDescent="0.25">
      <c r="A705" t="s">
        <v>1531</v>
      </c>
      <c r="B705" t="s">
        <v>1436</v>
      </c>
      <c r="C705">
        <v>1</v>
      </c>
      <c r="E705">
        <v>0</v>
      </c>
      <c r="F705">
        <v>0</v>
      </c>
    </row>
    <row r="706" spans="1:6" x14ac:dyDescent="0.25">
      <c r="A706" t="s">
        <v>1531</v>
      </c>
      <c r="B706" t="s">
        <v>1437</v>
      </c>
      <c r="C706">
        <v>1</v>
      </c>
      <c r="E706">
        <v>0</v>
      </c>
      <c r="F706">
        <v>0</v>
      </c>
    </row>
    <row r="707" spans="1:6" x14ac:dyDescent="0.25">
      <c r="A707" t="s">
        <v>1531</v>
      </c>
      <c r="B707" t="s">
        <v>1438</v>
      </c>
      <c r="C707">
        <v>1</v>
      </c>
      <c r="E707">
        <v>0</v>
      </c>
      <c r="F707">
        <v>0</v>
      </c>
    </row>
    <row r="708" spans="1:6" x14ac:dyDescent="0.25">
      <c r="A708" t="s">
        <v>1531</v>
      </c>
      <c r="B708" t="s">
        <v>1439</v>
      </c>
      <c r="D708">
        <v>1</v>
      </c>
      <c r="E708">
        <v>1</v>
      </c>
      <c r="F708">
        <v>0</v>
      </c>
    </row>
    <row r="709" spans="1:6" x14ac:dyDescent="0.25">
      <c r="A709" t="s">
        <v>1531</v>
      </c>
      <c r="B709" t="s">
        <v>1440</v>
      </c>
      <c r="D709">
        <v>1</v>
      </c>
      <c r="E709">
        <v>1</v>
      </c>
      <c r="F709">
        <v>1</v>
      </c>
    </row>
    <row r="710" spans="1:6" x14ac:dyDescent="0.25">
      <c r="A710" t="s">
        <v>1531</v>
      </c>
      <c r="B710" t="s">
        <v>1441</v>
      </c>
      <c r="D710">
        <v>1</v>
      </c>
      <c r="E710">
        <v>1</v>
      </c>
      <c r="F710">
        <v>0</v>
      </c>
    </row>
    <row r="711" spans="1:6" x14ac:dyDescent="0.25">
      <c r="A711" t="s">
        <v>1531</v>
      </c>
      <c r="B711" t="s">
        <v>1442</v>
      </c>
      <c r="D711">
        <v>1</v>
      </c>
      <c r="E711">
        <v>0</v>
      </c>
      <c r="F711">
        <v>0</v>
      </c>
    </row>
    <row r="712" spans="1:6" x14ac:dyDescent="0.25">
      <c r="A712" t="s">
        <v>1531</v>
      </c>
      <c r="B712" t="s">
        <v>1443</v>
      </c>
      <c r="D712">
        <v>1</v>
      </c>
      <c r="E712">
        <v>0</v>
      </c>
      <c r="F712">
        <v>0</v>
      </c>
    </row>
    <row r="713" spans="1:6" x14ac:dyDescent="0.25">
      <c r="A713" t="s">
        <v>1531</v>
      </c>
      <c r="B713" t="s">
        <v>1444</v>
      </c>
      <c r="D713">
        <v>1</v>
      </c>
      <c r="E713">
        <v>0</v>
      </c>
      <c r="F713">
        <v>0</v>
      </c>
    </row>
    <row r="714" spans="1:6" x14ac:dyDescent="0.25">
      <c r="A714" t="s">
        <v>1531</v>
      </c>
      <c r="B714" t="s">
        <v>1445</v>
      </c>
      <c r="D714">
        <v>1</v>
      </c>
      <c r="E714">
        <v>0</v>
      </c>
      <c r="F714">
        <v>0</v>
      </c>
    </row>
    <row r="715" spans="1:6" x14ac:dyDescent="0.25">
      <c r="A715" t="s">
        <v>1531</v>
      </c>
      <c r="B715" t="s">
        <v>1446</v>
      </c>
      <c r="D715">
        <v>1</v>
      </c>
      <c r="E715">
        <v>0</v>
      </c>
      <c r="F715">
        <v>0</v>
      </c>
    </row>
    <row r="716" spans="1:6" x14ac:dyDescent="0.25">
      <c r="A716" t="s">
        <v>1531</v>
      </c>
      <c r="B716" t="s">
        <v>1447</v>
      </c>
      <c r="D716">
        <v>1</v>
      </c>
      <c r="E716">
        <v>0</v>
      </c>
      <c r="F716">
        <v>0</v>
      </c>
    </row>
    <row r="717" spans="1:6" x14ac:dyDescent="0.25">
      <c r="A717" t="s">
        <v>1531</v>
      </c>
      <c r="B717" t="s">
        <v>1448</v>
      </c>
      <c r="D717">
        <v>1</v>
      </c>
      <c r="E717">
        <v>0</v>
      </c>
      <c r="F717">
        <v>0</v>
      </c>
    </row>
    <row r="718" spans="1:6" x14ac:dyDescent="0.25">
      <c r="A718" t="s">
        <v>1531</v>
      </c>
      <c r="B718" t="s">
        <v>1449</v>
      </c>
      <c r="D718">
        <v>1</v>
      </c>
      <c r="E718">
        <v>0</v>
      </c>
      <c r="F718">
        <v>0</v>
      </c>
    </row>
    <row r="719" spans="1:6" x14ac:dyDescent="0.25">
      <c r="A719" t="s">
        <v>1531</v>
      </c>
      <c r="B719" t="s">
        <v>1450</v>
      </c>
      <c r="E719">
        <v>1</v>
      </c>
      <c r="F719">
        <v>1</v>
      </c>
    </row>
    <row r="720" spans="1:6" x14ac:dyDescent="0.25">
      <c r="A720" t="s">
        <v>1531</v>
      </c>
      <c r="B720" t="s">
        <v>1452</v>
      </c>
      <c r="E720">
        <v>1</v>
      </c>
      <c r="F720">
        <v>1</v>
      </c>
    </row>
    <row r="721" spans="1:6" x14ac:dyDescent="0.25">
      <c r="A721" t="s">
        <v>1531</v>
      </c>
      <c r="B721" t="s">
        <v>1454</v>
      </c>
      <c r="E721">
        <v>1</v>
      </c>
      <c r="F721">
        <v>1</v>
      </c>
    </row>
    <row r="722" spans="1:6" x14ac:dyDescent="0.25">
      <c r="A722" t="s">
        <v>1531</v>
      </c>
      <c r="B722" t="s">
        <v>1456</v>
      </c>
      <c r="E722">
        <v>1</v>
      </c>
      <c r="F722">
        <v>1</v>
      </c>
    </row>
    <row r="723" spans="1:6" x14ac:dyDescent="0.25">
      <c r="A723" t="s">
        <v>1531</v>
      </c>
      <c r="B723" t="s">
        <v>1458</v>
      </c>
      <c r="E723">
        <v>1</v>
      </c>
      <c r="F723">
        <v>1</v>
      </c>
    </row>
    <row r="724" spans="1:6" x14ac:dyDescent="0.25">
      <c r="A724" t="s">
        <v>1531</v>
      </c>
      <c r="B724" t="s">
        <v>1460</v>
      </c>
      <c r="E724">
        <v>1</v>
      </c>
      <c r="F724">
        <v>1</v>
      </c>
    </row>
    <row r="725" spans="1:6" x14ac:dyDescent="0.25">
      <c r="A725" t="s">
        <v>1531</v>
      </c>
      <c r="B725" t="s">
        <v>1462</v>
      </c>
      <c r="E725">
        <v>1</v>
      </c>
      <c r="F725">
        <v>1</v>
      </c>
    </row>
    <row r="726" spans="1:6" x14ac:dyDescent="0.25">
      <c r="A726" t="s">
        <v>1532</v>
      </c>
      <c r="B726" t="s">
        <v>1303</v>
      </c>
      <c r="C726">
        <v>1</v>
      </c>
      <c r="E726">
        <v>0</v>
      </c>
      <c r="F726">
        <v>0</v>
      </c>
    </row>
    <row r="727" spans="1:6" x14ac:dyDescent="0.25">
      <c r="A727" t="s">
        <v>1532</v>
      </c>
      <c r="B727" t="s">
        <v>1304</v>
      </c>
      <c r="C727">
        <v>1</v>
      </c>
      <c r="E727">
        <v>1</v>
      </c>
      <c r="F727">
        <v>1</v>
      </c>
    </row>
    <row r="728" spans="1:6" x14ac:dyDescent="0.25">
      <c r="A728" t="s">
        <v>1532</v>
      </c>
      <c r="B728" t="s">
        <v>1305</v>
      </c>
      <c r="C728">
        <v>1</v>
      </c>
      <c r="E728">
        <v>1</v>
      </c>
      <c r="F728">
        <v>0</v>
      </c>
    </row>
    <row r="729" spans="1:6" x14ac:dyDescent="0.25">
      <c r="A729" t="s">
        <v>1532</v>
      </c>
      <c r="B729" t="s">
        <v>1306</v>
      </c>
      <c r="C729">
        <v>1</v>
      </c>
      <c r="E729">
        <v>0</v>
      </c>
      <c r="F729">
        <v>0</v>
      </c>
    </row>
    <row r="730" spans="1:6" x14ac:dyDescent="0.25">
      <c r="A730" t="s">
        <v>1532</v>
      </c>
      <c r="B730" t="s">
        <v>1307</v>
      </c>
      <c r="C730">
        <v>1</v>
      </c>
      <c r="E730">
        <v>1</v>
      </c>
      <c r="F730">
        <v>0</v>
      </c>
    </row>
    <row r="731" spans="1:6" x14ac:dyDescent="0.25">
      <c r="A731" t="s">
        <v>1532</v>
      </c>
      <c r="B731" t="s">
        <v>1308</v>
      </c>
      <c r="C731">
        <v>1</v>
      </c>
      <c r="E731">
        <v>1</v>
      </c>
      <c r="F731">
        <v>1</v>
      </c>
    </row>
    <row r="732" spans="1:6" x14ac:dyDescent="0.25">
      <c r="A732" t="s">
        <v>1532</v>
      </c>
      <c r="B732" t="s">
        <v>1309</v>
      </c>
      <c r="C732">
        <v>1</v>
      </c>
      <c r="E732">
        <v>0</v>
      </c>
      <c r="F732">
        <v>0</v>
      </c>
    </row>
    <row r="733" spans="1:6" x14ac:dyDescent="0.25">
      <c r="A733" t="s">
        <v>1532</v>
      </c>
      <c r="B733" t="s">
        <v>1310</v>
      </c>
      <c r="C733">
        <v>1</v>
      </c>
      <c r="E733">
        <v>1</v>
      </c>
      <c r="F733">
        <v>1</v>
      </c>
    </row>
    <row r="734" spans="1:6" x14ac:dyDescent="0.25">
      <c r="A734" t="s">
        <v>1532</v>
      </c>
      <c r="B734" t="s">
        <v>1311</v>
      </c>
      <c r="C734">
        <v>1</v>
      </c>
      <c r="E734">
        <v>1</v>
      </c>
      <c r="F734">
        <v>0</v>
      </c>
    </row>
    <row r="735" spans="1:6" x14ac:dyDescent="0.25">
      <c r="A735" t="s">
        <v>1532</v>
      </c>
      <c r="B735" t="s">
        <v>1312</v>
      </c>
      <c r="C735">
        <v>1</v>
      </c>
      <c r="E735">
        <v>0</v>
      </c>
      <c r="F735">
        <v>0</v>
      </c>
    </row>
    <row r="736" spans="1:6" x14ac:dyDescent="0.25">
      <c r="A736" t="s">
        <v>1532</v>
      </c>
      <c r="B736" t="s">
        <v>1313</v>
      </c>
      <c r="C736">
        <v>1</v>
      </c>
      <c r="E736">
        <v>1</v>
      </c>
      <c r="F736">
        <v>0</v>
      </c>
    </row>
    <row r="737" spans="1:6" x14ac:dyDescent="0.25">
      <c r="A737" t="s">
        <v>1532</v>
      </c>
      <c r="B737" t="s">
        <v>1314</v>
      </c>
      <c r="C737">
        <v>1</v>
      </c>
      <c r="E737">
        <v>0</v>
      </c>
      <c r="F737">
        <v>0</v>
      </c>
    </row>
    <row r="738" spans="1:6" x14ac:dyDescent="0.25">
      <c r="A738" t="s">
        <v>1532</v>
      </c>
      <c r="B738" t="s">
        <v>1315</v>
      </c>
      <c r="C738">
        <v>1</v>
      </c>
      <c r="E738">
        <v>0</v>
      </c>
      <c r="F738">
        <v>0</v>
      </c>
    </row>
    <row r="739" spans="1:6" x14ac:dyDescent="0.25">
      <c r="A739" t="s">
        <v>1532</v>
      </c>
      <c r="B739" t="s">
        <v>1316</v>
      </c>
      <c r="C739">
        <v>1</v>
      </c>
      <c r="E739">
        <v>0</v>
      </c>
      <c r="F739">
        <v>0</v>
      </c>
    </row>
    <row r="740" spans="1:6" x14ac:dyDescent="0.25">
      <c r="A740" t="s">
        <v>1532</v>
      </c>
      <c r="B740" t="s">
        <v>1317</v>
      </c>
      <c r="C740">
        <v>1</v>
      </c>
      <c r="E740">
        <v>0</v>
      </c>
      <c r="F740">
        <v>0</v>
      </c>
    </row>
    <row r="741" spans="1:6" x14ac:dyDescent="0.25">
      <c r="A741" t="s">
        <v>1532</v>
      </c>
      <c r="B741" t="s">
        <v>1318</v>
      </c>
      <c r="C741">
        <v>1</v>
      </c>
      <c r="E741">
        <v>0</v>
      </c>
      <c r="F741">
        <v>0</v>
      </c>
    </row>
    <row r="742" spans="1:6" x14ac:dyDescent="0.25">
      <c r="A742" t="s">
        <v>1532</v>
      </c>
      <c r="B742" t="s">
        <v>1319</v>
      </c>
      <c r="C742">
        <v>1</v>
      </c>
      <c r="E742">
        <v>0</v>
      </c>
      <c r="F742">
        <v>0</v>
      </c>
    </row>
    <row r="743" spans="1:6" x14ac:dyDescent="0.25">
      <c r="A743" t="s">
        <v>1532</v>
      </c>
      <c r="B743" t="s">
        <v>1320</v>
      </c>
      <c r="C743">
        <v>1</v>
      </c>
      <c r="E743">
        <v>0</v>
      </c>
      <c r="F743">
        <v>0</v>
      </c>
    </row>
    <row r="744" spans="1:6" x14ac:dyDescent="0.25">
      <c r="A744" t="s">
        <v>1532</v>
      </c>
      <c r="B744" t="s">
        <v>1321</v>
      </c>
      <c r="C744">
        <v>1</v>
      </c>
      <c r="E744">
        <v>0</v>
      </c>
      <c r="F744">
        <v>0</v>
      </c>
    </row>
    <row r="745" spans="1:6" x14ac:dyDescent="0.25">
      <c r="A745" t="s">
        <v>1532</v>
      </c>
      <c r="B745" t="s">
        <v>1322</v>
      </c>
      <c r="C745">
        <v>1</v>
      </c>
      <c r="E745">
        <v>0</v>
      </c>
      <c r="F745">
        <v>0</v>
      </c>
    </row>
    <row r="746" spans="1:6" x14ac:dyDescent="0.25">
      <c r="A746" t="s">
        <v>1532</v>
      </c>
      <c r="B746" t="s">
        <v>1323</v>
      </c>
      <c r="C746">
        <v>1</v>
      </c>
      <c r="E746">
        <v>0</v>
      </c>
      <c r="F746">
        <v>0</v>
      </c>
    </row>
    <row r="747" spans="1:6" x14ac:dyDescent="0.25">
      <c r="A747" t="s">
        <v>1532</v>
      </c>
      <c r="B747" t="s">
        <v>1324</v>
      </c>
      <c r="C747">
        <v>1</v>
      </c>
      <c r="E747">
        <v>0</v>
      </c>
      <c r="F747">
        <v>0</v>
      </c>
    </row>
    <row r="748" spans="1:6" x14ac:dyDescent="0.25">
      <c r="A748" t="s">
        <v>1532</v>
      </c>
      <c r="B748" t="s">
        <v>1325</v>
      </c>
      <c r="C748">
        <v>1</v>
      </c>
      <c r="E748">
        <v>0</v>
      </c>
      <c r="F748">
        <v>0</v>
      </c>
    </row>
    <row r="749" spans="1:6" x14ac:dyDescent="0.25">
      <c r="A749" t="s">
        <v>1532</v>
      </c>
      <c r="B749" t="s">
        <v>1326</v>
      </c>
      <c r="C749">
        <v>1</v>
      </c>
      <c r="E749">
        <v>0</v>
      </c>
      <c r="F749">
        <v>0</v>
      </c>
    </row>
    <row r="750" spans="1:6" x14ac:dyDescent="0.25">
      <c r="A750" t="s">
        <v>1532</v>
      </c>
      <c r="B750" t="s">
        <v>1327</v>
      </c>
      <c r="C750">
        <v>1</v>
      </c>
      <c r="E750">
        <v>0</v>
      </c>
      <c r="F750">
        <v>0</v>
      </c>
    </row>
    <row r="751" spans="1:6" x14ac:dyDescent="0.25">
      <c r="A751" t="s">
        <v>1532</v>
      </c>
      <c r="B751" t="s">
        <v>1328</v>
      </c>
      <c r="C751">
        <v>1</v>
      </c>
      <c r="E751">
        <v>0</v>
      </c>
      <c r="F751">
        <v>0</v>
      </c>
    </row>
    <row r="752" spans="1:6" x14ac:dyDescent="0.25">
      <c r="A752" t="s">
        <v>1532</v>
      </c>
      <c r="B752" t="s">
        <v>1329</v>
      </c>
      <c r="C752">
        <v>1</v>
      </c>
      <c r="E752">
        <v>0</v>
      </c>
      <c r="F752">
        <v>0</v>
      </c>
    </row>
    <row r="753" spans="1:6" x14ac:dyDescent="0.25">
      <c r="A753" t="s">
        <v>1532</v>
      </c>
      <c r="B753" t="s">
        <v>1330</v>
      </c>
      <c r="C753">
        <v>1</v>
      </c>
      <c r="E753">
        <v>0</v>
      </c>
      <c r="F753">
        <v>0</v>
      </c>
    </row>
    <row r="754" spans="1:6" x14ac:dyDescent="0.25">
      <c r="A754" t="s">
        <v>1532</v>
      </c>
      <c r="B754" t="s">
        <v>1331</v>
      </c>
      <c r="C754">
        <v>1</v>
      </c>
      <c r="E754">
        <v>0</v>
      </c>
      <c r="F754">
        <v>0</v>
      </c>
    </row>
    <row r="755" spans="1:6" x14ac:dyDescent="0.25">
      <c r="A755" t="s">
        <v>1532</v>
      </c>
      <c r="B755" t="s">
        <v>1332</v>
      </c>
      <c r="C755">
        <v>1</v>
      </c>
      <c r="E755">
        <v>0</v>
      </c>
      <c r="F755">
        <v>0</v>
      </c>
    </row>
    <row r="756" spans="1:6" x14ac:dyDescent="0.25">
      <c r="A756" t="s">
        <v>1532</v>
      </c>
      <c r="B756" t="s">
        <v>1333</v>
      </c>
      <c r="D756">
        <v>1</v>
      </c>
      <c r="E756">
        <v>0</v>
      </c>
      <c r="F756">
        <v>0</v>
      </c>
    </row>
    <row r="757" spans="1:6" x14ac:dyDescent="0.25">
      <c r="A757" t="s">
        <v>1532</v>
      </c>
      <c r="B757" t="s">
        <v>1334</v>
      </c>
      <c r="D757">
        <v>1</v>
      </c>
      <c r="E757">
        <v>1</v>
      </c>
      <c r="F757">
        <v>1</v>
      </c>
    </row>
    <row r="758" spans="1:6" x14ac:dyDescent="0.25">
      <c r="A758" t="s">
        <v>1532</v>
      </c>
      <c r="B758" t="s">
        <v>1335</v>
      </c>
      <c r="D758">
        <v>1</v>
      </c>
      <c r="E758">
        <v>1</v>
      </c>
      <c r="F758">
        <v>0</v>
      </c>
    </row>
    <row r="759" spans="1:6" x14ac:dyDescent="0.25">
      <c r="A759" t="s">
        <v>1532</v>
      </c>
      <c r="B759" t="s">
        <v>1336</v>
      </c>
      <c r="D759">
        <v>1</v>
      </c>
      <c r="E759">
        <v>0</v>
      </c>
      <c r="F759">
        <v>0</v>
      </c>
    </row>
    <row r="760" spans="1:6" x14ac:dyDescent="0.25">
      <c r="A760" t="s">
        <v>1532</v>
      </c>
      <c r="B760" t="s">
        <v>1337</v>
      </c>
      <c r="D760">
        <v>1</v>
      </c>
      <c r="E760">
        <v>1</v>
      </c>
      <c r="F760">
        <v>0</v>
      </c>
    </row>
    <row r="761" spans="1:6" x14ac:dyDescent="0.25">
      <c r="A761" t="s">
        <v>1532</v>
      </c>
      <c r="B761" t="s">
        <v>1338</v>
      </c>
      <c r="D761">
        <v>1</v>
      </c>
      <c r="E761">
        <v>0</v>
      </c>
      <c r="F761">
        <v>0</v>
      </c>
    </row>
    <row r="762" spans="1:6" x14ac:dyDescent="0.25">
      <c r="A762" t="s">
        <v>1532</v>
      </c>
      <c r="B762" t="s">
        <v>1339</v>
      </c>
      <c r="D762">
        <v>1</v>
      </c>
      <c r="E762">
        <v>0</v>
      </c>
      <c r="F762">
        <v>0</v>
      </c>
    </row>
    <row r="763" spans="1:6" x14ac:dyDescent="0.25">
      <c r="A763" t="s">
        <v>1532</v>
      </c>
      <c r="B763" t="s">
        <v>1340</v>
      </c>
      <c r="D763">
        <v>1</v>
      </c>
      <c r="E763">
        <v>0</v>
      </c>
      <c r="F763">
        <v>0</v>
      </c>
    </row>
    <row r="764" spans="1:6" x14ac:dyDescent="0.25">
      <c r="A764" t="s">
        <v>1532</v>
      </c>
      <c r="B764" t="s">
        <v>1341</v>
      </c>
      <c r="D764">
        <v>1</v>
      </c>
      <c r="E764">
        <v>0</v>
      </c>
      <c r="F764">
        <v>0</v>
      </c>
    </row>
    <row r="765" spans="1:6" x14ac:dyDescent="0.25">
      <c r="A765" t="s">
        <v>1532</v>
      </c>
      <c r="B765" t="s">
        <v>1342</v>
      </c>
      <c r="D765">
        <v>1</v>
      </c>
      <c r="E765">
        <v>0</v>
      </c>
      <c r="F765">
        <v>0</v>
      </c>
    </row>
    <row r="766" spans="1:6" x14ac:dyDescent="0.25">
      <c r="A766" t="s">
        <v>1532</v>
      </c>
      <c r="B766" t="s">
        <v>1343</v>
      </c>
      <c r="D766">
        <v>1</v>
      </c>
      <c r="E766">
        <v>0</v>
      </c>
      <c r="F766">
        <v>0</v>
      </c>
    </row>
    <row r="767" spans="1:6" x14ac:dyDescent="0.25">
      <c r="A767" t="s">
        <v>1532</v>
      </c>
      <c r="B767" t="s">
        <v>1344</v>
      </c>
      <c r="D767">
        <v>1</v>
      </c>
      <c r="E767">
        <v>0</v>
      </c>
      <c r="F767">
        <v>0</v>
      </c>
    </row>
    <row r="768" spans="1:6" x14ac:dyDescent="0.25">
      <c r="A768" t="s">
        <v>1532</v>
      </c>
      <c r="B768" t="s">
        <v>1345</v>
      </c>
      <c r="D768">
        <v>1</v>
      </c>
      <c r="E768">
        <v>0</v>
      </c>
      <c r="F768">
        <v>0</v>
      </c>
    </row>
    <row r="769" spans="1:6" x14ac:dyDescent="0.25">
      <c r="A769" t="s">
        <v>1532</v>
      </c>
      <c r="B769" t="s">
        <v>1346</v>
      </c>
      <c r="D769">
        <v>1</v>
      </c>
      <c r="E769">
        <v>0</v>
      </c>
      <c r="F769">
        <v>0</v>
      </c>
    </row>
    <row r="770" spans="1:6" x14ac:dyDescent="0.25">
      <c r="A770" t="s">
        <v>1532</v>
      </c>
      <c r="B770" t="s">
        <v>1347</v>
      </c>
      <c r="D770">
        <v>1</v>
      </c>
      <c r="E770">
        <v>0</v>
      </c>
      <c r="F770">
        <v>0</v>
      </c>
    </row>
    <row r="771" spans="1:6" x14ac:dyDescent="0.25">
      <c r="A771" t="s">
        <v>1532</v>
      </c>
      <c r="B771" t="s">
        <v>1348</v>
      </c>
      <c r="D771">
        <v>1</v>
      </c>
      <c r="E771">
        <v>0</v>
      </c>
      <c r="F771">
        <v>0</v>
      </c>
    </row>
    <row r="772" spans="1:6" x14ac:dyDescent="0.25">
      <c r="A772" t="s">
        <v>1532</v>
      </c>
      <c r="B772" t="s">
        <v>1349</v>
      </c>
      <c r="D772">
        <v>1</v>
      </c>
      <c r="E772">
        <v>0</v>
      </c>
      <c r="F772">
        <v>0</v>
      </c>
    </row>
    <row r="773" spans="1:6" x14ac:dyDescent="0.25">
      <c r="A773" t="s">
        <v>1532</v>
      </c>
      <c r="B773" t="s">
        <v>1350</v>
      </c>
      <c r="D773">
        <v>1</v>
      </c>
      <c r="E773">
        <v>0</v>
      </c>
      <c r="F773">
        <v>0</v>
      </c>
    </row>
    <row r="774" spans="1:6" x14ac:dyDescent="0.25">
      <c r="A774" t="s">
        <v>1532</v>
      </c>
      <c r="B774" t="s">
        <v>1351</v>
      </c>
      <c r="D774">
        <v>1</v>
      </c>
      <c r="E774">
        <v>0</v>
      </c>
      <c r="F774">
        <v>0</v>
      </c>
    </row>
    <row r="775" spans="1:6" x14ac:dyDescent="0.25">
      <c r="A775" t="s">
        <v>1532</v>
      </c>
      <c r="B775" t="s">
        <v>1352</v>
      </c>
      <c r="D775">
        <v>1</v>
      </c>
      <c r="E775">
        <v>0</v>
      </c>
      <c r="F775">
        <v>0</v>
      </c>
    </row>
    <row r="776" spans="1:6" x14ac:dyDescent="0.25">
      <c r="A776" t="s">
        <v>1532</v>
      </c>
      <c r="B776" t="s">
        <v>1353</v>
      </c>
      <c r="D776">
        <v>1</v>
      </c>
      <c r="E776">
        <v>0</v>
      </c>
      <c r="F776">
        <v>0</v>
      </c>
    </row>
    <row r="777" spans="1:6" x14ac:dyDescent="0.25">
      <c r="A777" t="s">
        <v>1532</v>
      </c>
      <c r="B777" t="s">
        <v>1356</v>
      </c>
      <c r="E777">
        <v>1</v>
      </c>
      <c r="F777">
        <v>1</v>
      </c>
    </row>
    <row r="778" spans="1:6" x14ac:dyDescent="0.25">
      <c r="A778" t="s">
        <v>1532</v>
      </c>
      <c r="B778" t="s">
        <v>1358</v>
      </c>
      <c r="E778">
        <v>1</v>
      </c>
      <c r="F778">
        <v>1</v>
      </c>
    </row>
    <row r="779" spans="1:6" x14ac:dyDescent="0.25">
      <c r="A779" t="s">
        <v>1532</v>
      </c>
      <c r="B779" t="s">
        <v>1362</v>
      </c>
      <c r="E779">
        <v>1</v>
      </c>
      <c r="F779">
        <v>1</v>
      </c>
    </row>
    <row r="780" spans="1:6" x14ac:dyDescent="0.25">
      <c r="A780" t="s">
        <v>1532</v>
      </c>
      <c r="B780" t="s">
        <v>1364</v>
      </c>
      <c r="E780">
        <v>1</v>
      </c>
      <c r="F780">
        <v>1</v>
      </c>
    </row>
    <row r="781" spans="1:6" x14ac:dyDescent="0.25">
      <c r="A781" t="s">
        <v>1532</v>
      </c>
      <c r="B781" t="s">
        <v>1368</v>
      </c>
      <c r="E781">
        <v>1</v>
      </c>
      <c r="F781">
        <v>1</v>
      </c>
    </row>
    <row r="782" spans="1:6" x14ac:dyDescent="0.25">
      <c r="A782" t="s">
        <v>1532</v>
      </c>
      <c r="B782" t="s">
        <v>1370</v>
      </c>
      <c r="E782">
        <v>1</v>
      </c>
      <c r="F782">
        <v>1</v>
      </c>
    </row>
    <row r="783" spans="1:6" x14ac:dyDescent="0.25">
      <c r="A783" t="s">
        <v>1532</v>
      </c>
      <c r="B783" t="s">
        <v>1374</v>
      </c>
      <c r="E783">
        <v>1</v>
      </c>
      <c r="F783">
        <v>1</v>
      </c>
    </row>
    <row r="784" spans="1:6" x14ac:dyDescent="0.25">
      <c r="A784" t="s">
        <v>1532</v>
      </c>
      <c r="B784" t="s">
        <v>1376</v>
      </c>
      <c r="E784">
        <v>1</v>
      </c>
      <c r="F784">
        <v>1</v>
      </c>
    </row>
    <row r="785" spans="1:6" x14ac:dyDescent="0.25">
      <c r="A785" t="s">
        <v>1532</v>
      </c>
      <c r="B785" t="s">
        <v>1380</v>
      </c>
      <c r="E785">
        <v>1</v>
      </c>
      <c r="F785">
        <v>1</v>
      </c>
    </row>
    <row r="786" spans="1:6" x14ac:dyDescent="0.25">
      <c r="A786" t="s">
        <v>1532</v>
      </c>
      <c r="B786" t="s">
        <v>1473</v>
      </c>
      <c r="C786">
        <v>1</v>
      </c>
      <c r="E786">
        <v>1</v>
      </c>
      <c r="F786">
        <v>0</v>
      </c>
    </row>
    <row r="787" spans="1:6" x14ac:dyDescent="0.25">
      <c r="A787" t="s">
        <v>1532</v>
      </c>
      <c r="B787" t="s">
        <v>1474</v>
      </c>
      <c r="C787">
        <v>1</v>
      </c>
      <c r="E787">
        <v>0</v>
      </c>
      <c r="F787">
        <v>0</v>
      </c>
    </row>
    <row r="788" spans="1:6" x14ac:dyDescent="0.25">
      <c r="A788" t="s">
        <v>1532</v>
      </c>
      <c r="B788" t="s">
        <v>1475</v>
      </c>
      <c r="C788">
        <v>1</v>
      </c>
      <c r="E788">
        <v>1</v>
      </c>
      <c r="F788">
        <v>0</v>
      </c>
    </row>
    <row r="789" spans="1:6" x14ac:dyDescent="0.25">
      <c r="A789" t="s">
        <v>1532</v>
      </c>
      <c r="B789" t="s">
        <v>1476</v>
      </c>
      <c r="C789">
        <v>1</v>
      </c>
      <c r="E789">
        <v>1</v>
      </c>
      <c r="F789">
        <v>1</v>
      </c>
    </row>
    <row r="790" spans="1:6" x14ac:dyDescent="0.25">
      <c r="A790" t="s">
        <v>1532</v>
      </c>
      <c r="B790" t="s">
        <v>1477</v>
      </c>
      <c r="C790">
        <v>1</v>
      </c>
      <c r="E790">
        <v>0</v>
      </c>
      <c r="F790">
        <v>0</v>
      </c>
    </row>
    <row r="791" spans="1:6" x14ac:dyDescent="0.25">
      <c r="A791" t="s">
        <v>1532</v>
      </c>
      <c r="B791" t="s">
        <v>1478</v>
      </c>
      <c r="C791">
        <v>1</v>
      </c>
      <c r="E791">
        <v>1</v>
      </c>
      <c r="F791">
        <v>1</v>
      </c>
    </row>
    <row r="792" spans="1:6" x14ac:dyDescent="0.25">
      <c r="A792" t="s">
        <v>1532</v>
      </c>
      <c r="B792" t="s">
        <v>1479</v>
      </c>
      <c r="C792">
        <v>1</v>
      </c>
      <c r="E792">
        <v>0</v>
      </c>
      <c r="F792">
        <v>0</v>
      </c>
    </row>
    <row r="793" spans="1:6" x14ac:dyDescent="0.25">
      <c r="A793" t="s">
        <v>1532</v>
      </c>
      <c r="B793" t="s">
        <v>1480</v>
      </c>
      <c r="C793">
        <v>1</v>
      </c>
      <c r="E793">
        <v>0</v>
      </c>
      <c r="F793">
        <v>0</v>
      </c>
    </row>
    <row r="794" spans="1:6" x14ac:dyDescent="0.25">
      <c r="A794" t="s">
        <v>1532</v>
      </c>
      <c r="B794" t="s">
        <v>1481</v>
      </c>
      <c r="C794">
        <v>1</v>
      </c>
      <c r="E794">
        <v>0</v>
      </c>
      <c r="F794">
        <v>0</v>
      </c>
    </row>
    <row r="795" spans="1:6" x14ac:dyDescent="0.25">
      <c r="A795" t="s">
        <v>1532</v>
      </c>
      <c r="B795" t="s">
        <v>1482</v>
      </c>
      <c r="C795">
        <v>1</v>
      </c>
      <c r="E795">
        <v>0</v>
      </c>
      <c r="F795">
        <v>0</v>
      </c>
    </row>
    <row r="796" spans="1:6" x14ac:dyDescent="0.25">
      <c r="A796" t="s">
        <v>1532</v>
      </c>
      <c r="B796" t="s">
        <v>1483</v>
      </c>
      <c r="C796">
        <v>1</v>
      </c>
      <c r="E796">
        <v>0</v>
      </c>
      <c r="F796">
        <v>0</v>
      </c>
    </row>
    <row r="797" spans="1:6" x14ac:dyDescent="0.25">
      <c r="A797" t="s">
        <v>1532</v>
      </c>
      <c r="B797" t="s">
        <v>1484</v>
      </c>
      <c r="C797">
        <v>1</v>
      </c>
      <c r="E797">
        <v>0</v>
      </c>
      <c r="F797">
        <v>0</v>
      </c>
    </row>
    <row r="798" spans="1:6" x14ac:dyDescent="0.25">
      <c r="A798" t="s">
        <v>1532</v>
      </c>
      <c r="B798" t="s">
        <v>1485</v>
      </c>
      <c r="C798">
        <v>1</v>
      </c>
      <c r="E798">
        <v>0</v>
      </c>
      <c r="F798">
        <v>0</v>
      </c>
    </row>
    <row r="799" spans="1:6" x14ac:dyDescent="0.25">
      <c r="A799" t="s">
        <v>1532</v>
      </c>
      <c r="B799" t="s">
        <v>1486</v>
      </c>
      <c r="C799">
        <v>1</v>
      </c>
      <c r="E799">
        <v>0</v>
      </c>
      <c r="F799">
        <v>0</v>
      </c>
    </row>
    <row r="800" spans="1:6" x14ac:dyDescent="0.25">
      <c r="A800" t="s">
        <v>1532</v>
      </c>
      <c r="B800" t="s">
        <v>1487</v>
      </c>
      <c r="C800">
        <v>1</v>
      </c>
      <c r="E800">
        <v>0</v>
      </c>
      <c r="F800">
        <v>0</v>
      </c>
    </row>
    <row r="801" spans="1:6" x14ac:dyDescent="0.25">
      <c r="A801" t="s">
        <v>1532</v>
      </c>
      <c r="B801" t="s">
        <v>1488</v>
      </c>
      <c r="D801">
        <v>1</v>
      </c>
      <c r="E801">
        <v>1</v>
      </c>
      <c r="F801">
        <v>1</v>
      </c>
    </row>
    <row r="802" spans="1:6" x14ac:dyDescent="0.25">
      <c r="A802" t="s">
        <v>1532</v>
      </c>
      <c r="B802" t="s">
        <v>1489</v>
      </c>
      <c r="D802">
        <v>1</v>
      </c>
      <c r="E802">
        <v>0</v>
      </c>
      <c r="F802">
        <v>0</v>
      </c>
    </row>
    <row r="803" spans="1:6" x14ac:dyDescent="0.25">
      <c r="A803" t="s">
        <v>1532</v>
      </c>
      <c r="B803" t="s">
        <v>1490</v>
      </c>
      <c r="D803">
        <v>1</v>
      </c>
      <c r="E803">
        <v>1</v>
      </c>
      <c r="F803">
        <v>1</v>
      </c>
    </row>
    <row r="804" spans="1:6" x14ac:dyDescent="0.25">
      <c r="A804" t="s">
        <v>1532</v>
      </c>
      <c r="B804" t="s">
        <v>1491</v>
      </c>
      <c r="D804">
        <v>1</v>
      </c>
      <c r="E804">
        <v>0</v>
      </c>
      <c r="F804">
        <v>0</v>
      </c>
    </row>
    <row r="805" spans="1:6" x14ac:dyDescent="0.25">
      <c r="A805" t="s">
        <v>1532</v>
      </c>
      <c r="B805" t="s">
        <v>1492</v>
      </c>
      <c r="D805">
        <v>1</v>
      </c>
      <c r="E805">
        <v>0</v>
      </c>
      <c r="F805">
        <v>0</v>
      </c>
    </row>
    <row r="806" spans="1:6" x14ac:dyDescent="0.25">
      <c r="A806" t="s">
        <v>1532</v>
      </c>
      <c r="B806" t="s">
        <v>1493</v>
      </c>
      <c r="D806">
        <v>1</v>
      </c>
      <c r="E806">
        <v>0</v>
      </c>
      <c r="F806">
        <v>0</v>
      </c>
    </row>
    <row r="807" spans="1:6" x14ac:dyDescent="0.25">
      <c r="A807" t="s">
        <v>1532</v>
      </c>
      <c r="B807" t="s">
        <v>1494</v>
      </c>
      <c r="D807">
        <v>1</v>
      </c>
      <c r="E807">
        <v>0</v>
      </c>
      <c r="F807">
        <v>0</v>
      </c>
    </row>
    <row r="808" spans="1:6" x14ac:dyDescent="0.25">
      <c r="A808" t="s">
        <v>1532</v>
      </c>
      <c r="B808" t="s">
        <v>1495</v>
      </c>
      <c r="D808">
        <v>1</v>
      </c>
      <c r="E808">
        <v>0</v>
      </c>
      <c r="F808">
        <v>0</v>
      </c>
    </row>
    <row r="809" spans="1:6" x14ac:dyDescent="0.25">
      <c r="A809" t="s">
        <v>1532</v>
      </c>
      <c r="B809" t="s">
        <v>1496</v>
      </c>
      <c r="D809">
        <v>1</v>
      </c>
      <c r="E809">
        <v>0</v>
      </c>
      <c r="F809">
        <v>0</v>
      </c>
    </row>
    <row r="810" spans="1:6" x14ac:dyDescent="0.25">
      <c r="A810" t="s">
        <v>1532</v>
      </c>
      <c r="B810" t="s">
        <v>1497</v>
      </c>
      <c r="D810">
        <v>1</v>
      </c>
      <c r="E810">
        <v>0</v>
      </c>
      <c r="F810">
        <v>0</v>
      </c>
    </row>
    <row r="811" spans="1:6" x14ac:dyDescent="0.25">
      <c r="A811" t="s">
        <v>1532</v>
      </c>
      <c r="B811" t="s">
        <v>1498</v>
      </c>
      <c r="D811">
        <v>1</v>
      </c>
      <c r="E811">
        <v>0</v>
      </c>
      <c r="F811">
        <v>0</v>
      </c>
    </row>
    <row r="812" spans="1:6" x14ac:dyDescent="0.25">
      <c r="A812" t="s">
        <v>1532</v>
      </c>
      <c r="B812" t="s">
        <v>1500</v>
      </c>
      <c r="E812">
        <v>1</v>
      </c>
      <c r="F812">
        <v>1</v>
      </c>
    </row>
    <row r="813" spans="1:6" x14ac:dyDescent="0.25">
      <c r="A813" t="s">
        <v>1532</v>
      </c>
      <c r="B813" t="s">
        <v>1502</v>
      </c>
      <c r="E813">
        <v>1</v>
      </c>
      <c r="F813">
        <v>1</v>
      </c>
    </row>
    <row r="814" spans="1:6" x14ac:dyDescent="0.25">
      <c r="A814" t="s">
        <v>1532</v>
      </c>
      <c r="B814" t="s">
        <v>1506</v>
      </c>
      <c r="E814">
        <v>1</v>
      </c>
      <c r="F814">
        <v>1</v>
      </c>
    </row>
    <row r="815" spans="1:6" x14ac:dyDescent="0.25">
      <c r="A815" t="s">
        <v>1532</v>
      </c>
      <c r="B815" t="s">
        <v>1508</v>
      </c>
      <c r="E815">
        <v>1</v>
      </c>
      <c r="F815">
        <v>1</v>
      </c>
    </row>
    <row r="816" spans="1:6" x14ac:dyDescent="0.25">
      <c r="A816" t="s">
        <v>1531</v>
      </c>
      <c r="B816" t="s">
        <v>69</v>
      </c>
      <c r="E816">
        <v>1</v>
      </c>
      <c r="F816">
        <v>0</v>
      </c>
    </row>
    <row r="817" spans="1:6" x14ac:dyDescent="0.25">
      <c r="A817" t="s">
        <v>1531</v>
      </c>
      <c r="B817" t="s">
        <v>71</v>
      </c>
      <c r="E817">
        <v>1</v>
      </c>
      <c r="F817">
        <v>0</v>
      </c>
    </row>
    <row r="818" spans="1:6" x14ac:dyDescent="0.25">
      <c r="A818" t="s">
        <v>1531</v>
      </c>
      <c r="B818" t="s">
        <v>73</v>
      </c>
      <c r="E818">
        <v>1</v>
      </c>
      <c r="F818">
        <v>0</v>
      </c>
    </row>
    <row r="819" spans="1:6" x14ac:dyDescent="0.25">
      <c r="A819" t="s">
        <v>1531</v>
      </c>
      <c r="B819" t="s">
        <v>75</v>
      </c>
      <c r="E819">
        <v>1</v>
      </c>
      <c r="F819">
        <v>0</v>
      </c>
    </row>
    <row r="820" spans="1:6" x14ac:dyDescent="0.25">
      <c r="A820" t="s">
        <v>1531</v>
      </c>
      <c r="B820" t="s">
        <v>77</v>
      </c>
      <c r="E820">
        <v>1</v>
      </c>
      <c r="F820">
        <v>0</v>
      </c>
    </row>
    <row r="821" spans="1:6" x14ac:dyDescent="0.25">
      <c r="A821" t="s">
        <v>1531</v>
      </c>
      <c r="B821" t="s">
        <v>79</v>
      </c>
      <c r="E821">
        <v>1</v>
      </c>
      <c r="F821">
        <v>0</v>
      </c>
    </row>
    <row r="822" spans="1:6" x14ac:dyDescent="0.25">
      <c r="A822" t="s">
        <v>1531</v>
      </c>
      <c r="B822" t="s">
        <v>81</v>
      </c>
      <c r="E822">
        <v>1</v>
      </c>
      <c r="F822">
        <v>0</v>
      </c>
    </row>
    <row r="823" spans="1:6" x14ac:dyDescent="0.25">
      <c r="A823" t="s">
        <v>1531</v>
      </c>
      <c r="B823" t="s">
        <v>83</v>
      </c>
      <c r="E823">
        <v>1</v>
      </c>
      <c r="F823">
        <v>0</v>
      </c>
    </row>
    <row r="824" spans="1:6" x14ac:dyDescent="0.25">
      <c r="A824" t="s">
        <v>1531</v>
      </c>
      <c r="B824" t="s">
        <v>86</v>
      </c>
      <c r="E824">
        <v>1</v>
      </c>
      <c r="F824">
        <v>0</v>
      </c>
    </row>
    <row r="825" spans="1:6" x14ac:dyDescent="0.25">
      <c r="A825" t="s">
        <v>1531</v>
      </c>
      <c r="B825" t="s">
        <v>88</v>
      </c>
      <c r="E825">
        <v>1</v>
      </c>
      <c r="F825">
        <v>0</v>
      </c>
    </row>
    <row r="826" spans="1:6" x14ac:dyDescent="0.25">
      <c r="A826" t="s">
        <v>1531</v>
      </c>
      <c r="B826" t="s">
        <v>90</v>
      </c>
      <c r="E826">
        <v>1</v>
      </c>
      <c r="F826">
        <v>0</v>
      </c>
    </row>
    <row r="827" spans="1:6" x14ac:dyDescent="0.25">
      <c r="A827" t="s">
        <v>1531</v>
      </c>
      <c r="B827" t="s">
        <v>92</v>
      </c>
      <c r="E827">
        <v>1</v>
      </c>
      <c r="F827">
        <v>0</v>
      </c>
    </row>
    <row r="828" spans="1:6" x14ac:dyDescent="0.25">
      <c r="A828" t="s">
        <v>1531</v>
      </c>
      <c r="B828" t="s">
        <v>94</v>
      </c>
      <c r="E828">
        <v>1</v>
      </c>
      <c r="F828">
        <v>0</v>
      </c>
    </row>
    <row r="829" spans="1:6" x14ac:dyDescent="0.25">
      <c r="A829" t="s">
        <v>1531</v>
      </c>
      <c r="B829" t="s">
        <v>295</v>
      </c>
      <c r="E829">
        <v>1</v>
      </c>
      <c r="F829">
        <v>0</v>
      </c>
    </row>
    <row r="830" spans="1:6" x14ac:dyDescent="0.25">
      <c r="A830" t="s">
        <v>1531</v>
      </c>
      <c r="B830" t="s">
        <v>297</v>
      </c>
      <c r="E830">
        <v>1</v>
      </c>
      <c r="F830">
        <v>0</v>
      </c>
    </row>
    <row r="831" spans="1:6" x14ac:dyDescent="0.25">
      <c r="A831" t="s">
        <v>1531</v>
      </c>
      <c r="B831" t="s">
        <v>299</v>
      </c>
      <c r="E831">
        <v>1</v>
      </c>
      <c r="F831">
        <v>0</v>
      </c>
    </row>
    <row r="832" spans="1:6" x14ac:dyDescent="0.25">
      <c r="A832" t="s">
        <v>1531</v>
      </c>
      <c r="B832" t="s">
        <v>301</v>
      </c>
      <c r="E832">
        <v>1</v>
      </c>
      <c r="F832">
        <v>0</v>
      </c>
    </row>
    <row r="833" spans="1:6" x14ac:dyDescent="0.25">
      <c r="A833" t="s">
        <v>1531</v>
      </c>
      <c r="B833" t="s">
        <v>303</v>
      </c>
      <c r="E833">
        <v>1</v>
      </c>
      <c r="F833">
        <v>0</v>
      </c>
    </row>
    <row r="834" spans="1:6" x14ac:dyDescent="0.25">
      <c r="A834" t="s">
        <v>1531</v>
      </c>
      <c r="B834" t="s">
        <v>306</v>
      </c>
      <c r="E834">
        <v>1</v>
      </c>
      <c r="F834">
        <v>0</v>
      </c>
    </row>
    <row r="835" spans="1:6" x14ac:dyDescent="0.25">
      <c r="A835" t="s">
        <v>1531</v>
      </c>
      <c r="B835" t="s">
        <v>308</v>
      </c>
      <c r="E835">
        <v>1</v>
      </c>
      <c r="F835">
        <v>0</v>
      </c>
    </row>
    <row r="836" spans="1:6" x14ac:dyDescent="0.25">
      <c r="A836" t="s">
        <v>1531</v>
      </c>
      <c r="B836" t="s">
        <v>310</v>
      </c>
      <c r="E836">
        <v>1</v>
      </c>
      <c r="F836">
        <v>0</v>
      </c>
    </row>
    <row r="837" spans="1:6" x14ac:dyDescent="0.25">
      <c r="A837" t="s">
        <v>1531</v>
      </c>
      <c r="B837" t="s">
        <v>312</v>
      </c>
      <c r="E837">
        <v>1</v>
      </c>
      <c r="F837">
        <v>0</v>
      </c>
    </row>
    <row r="838" spans="1:6" x14ac:dyDescent="0.25">
      <c r="A838" t="s">
        <v>1531</v>
      </c>
      <c r="B838" t="s">
        <v>314</v>
      </c>
      <c r="E838">
        <v>1</v>
      </c>
      <c r="F838">
        <v>0</v>
      </c>
    </row>
    <row r="839" spans="1:6" x14ac:dyDescent="0.25">
      <c r="A839" t="s">
        <v>1531</v>
      </c>
      <c r="B839" t="s">
        <v>316</v>
      </c>
      <c r="E839">
        <v>1</v>
      </c>
      <c r="F839">
        <v>0</v>
      </c>
    </row>
    <row r="840" spans="1:6" x14ac:dyDescent="0.25">
      <c r="A840" t="s">
        <v>1531</v>
      </c>
      <c r="B840" t="s">
        <v>318</v>
      </c>
      <c r="E840">
        <v>1</v>
      </c>
      <c r="F840">
        <v>0</v>
      </c>
    </row>
    <row r="841" spans="1:6" x14ac:dyDescent="0.25">
      <c r="A841" t="s">
        <v>1531</v>
      </c>
      <c r="B841" t="s">
        <v>320</v>
      </c>
      <c r="E841">
        <v>1</v>
      </c>
      <c r="F841">
        <v>0</v>
      </c>
    </row>
    <row r="842" spans="1:6" x14ac:dyDescent="0.25">
      <c r="A842" t="s">
        <v>1531</v>
      </c>
      <c r="B842" t="s">
        <v>322</v>
      </c>
      <c r="E842">
        <v>1</v>
      </c>
      <c r="F842">
        <v>0</v>
      </c>
    </row>
    <row r="843" spans="1:6" x14ac:dyDescent="0.25">
      <c r="A843" t="s">
        <v>1531</v>
      </c>
      <c r="B843" t="s">
        <v>324</v>
      </c>
      <c r="E843">
        <v>1</v>
      </c>
      <c r="F843">
        <v>0</v>
      </c>
    </row>
    <row r="844" spans="1:6" x14ac:dyDescent="0.25">
      <c r="A844" t="s">
        <v>1531</v>
      </c>
      <c r="B844" t="s">
        <v>326</v>
      </c>
      <c r="E844">
        <v>1</v>
      </c>
      <c r="F844">
        <v>0</v>
      </c>
    </row>
    <row r="845" spans="1:6" x14ac:dyDescent="0.25">
      <c r="A845" t="s">
        <v>1531</v>
      </c>
      <c r="B845" t="s">
        <v>328</v>
      </c>
      <c r="E845">
        <v>1</v>
      </c>
      <c r="F845">
        <v>0</v>
      </c>
    </row>
    <row r="846" spans="1:6" x14ac:dyDescent="0.25">
      <c r="A846" t="s">
        <v>1531</v>
      </c>
      <c r="B846" t="s">
        <v>330</v>
      </c>
      <c r="E846">
        <v>1</v>
      </c>
      <c r="F846">
        <v>0</v>
      </c>
    </row>
    <row r="847" spans="1:6" x14ac:dyDescent="0.25">
      <c r="A847" t="s">
        <v>1531</v>
      </c>
      <c r="B847" t="s">
        <v>332</v>
      </c>
      <c r="E847">
        <v>1</v>
      </c>
      <c r="F847">
        <v>0</v>
      </c>
    </row>
    <row r="848" spans="1:6" x14ac:dyDescent="0.25">
      <c r="A848" t="s">
        <v>1531</v>
      </c>
      <c r="B848" t="s">
        <v>334</v>
      </c>
      <c r="E848">
        <v>1</v>
      </c>
      <c r="F848">
        <v>0</v>
      </c>
    </row>
    <row r="849" spans="1:6" x14ac:dyDescent="0.25">
      <c r="A849" t="s">
        <v>1531</v>
      </c>
      <c r="B849" t="s">
        <v>336</v>
      </c>
      <c r="E849">
        <v>1</v>
      </c>
      <c r="F849">
        <v>0</v>
      </c>
    </row>
    <row r="850" spans="1:6" x14ac:dyDescent="0.25">
      <c r="A850" t="s">
        <v>1531</v>
      </c>
      <c r="B850" t="s">
        <v>338</v>
      </c>
      <c r="E850">
        <v>1</v>
      </c>
      <c r="F850">
        <v>0</v>
      </c>
    </row>
    <row r="851" spans="1:6" x14ac:dyDescent="0.25">
      <c r="A851" t="s">
        <v>1531</v>
      </c>
      <c r="B851" t="s">
        <v>340</v>
      </c>
      <c r="E851">
        <v>1</v>
      </c>
      <c r="F851">
        <v>0</v>
      </c>
    </row>
    <row r="852" spans="1:6" x14ac:dyDescent="0.25">
      <c r="A852" t="s">
        <v>1531</v>
      </c>
      <c r="B852" t="s">
        <v>646</v>
      </c>
      <c r="E852">
        <v>1</v>
      </c>
      <c r="F852">
        <v>0</v>
      </c>
    </row>
    <row r="853" spans="1:6" x14ac:dyDescent="0.25">
      <c r="A853" t="s">
        <v>1531</v>
      </c>
      <c r="B853" t="s">
        <v>649</v>
      </c>
      <c r="E853">
        <v>1</v>
      </c>
      <c r="F853">
        <v>0</v>
      </c>
    </row>
    <row r="854" spans="1:6" x14ac:dyDescent="0.25">
      <c r="A854" t="s">
        <v>1531</v>
      </c>
      <c r="B854" t="s">
        <v>651</v>
      </c>
      <c r="E854">
        <v>1</v>
      </c>
      <c r="F854">
        <v>0</v>
      </c>
    </row>
    <row r="855" spans="1:6" x14ac:dyDescent="0.25">
      <c r="A855" t="s">
        <v>1531</v>
      </c>
      <c r="B855" t="s">
        <v>653</v>
      </c>
      <c r="E855">
        <v>1</v>
      </c>
      <c r="F855">
        <v>0</v>
      </c>
    </row>
    <row r="856" spans="1:6" x14ac:dyDescent="0.25">
      <c r="A856" t="s">
        <v>1531</v>
      </c>
      <c r="B856" t="s">
        <v>655</v>
      </c>
      <c r="E856">
        <v>1</v>
      </c>
      <c r="F856">
        <v>0</v>
      </c>
    </row>
    <row r="857" spans="1:6" x14ac:dyDescent="0.25">
      <c r="A857" t="s">
        <v>1531</v>
      </c>
      <c r="B857" t="s">
        <v>657</v>
      </c>
      <c r="E857">
        <v>1</v>
      </c>
      <c r="F857">
        <v>0</v>
      </c>
    </row>
    <row r="858" spans="1:6" x14ac:dyDescent="0.25">
      <c r="A858" t="s">
        <v>1531</v>
      </c>
      <c r="B858" t="s">
        <v>659</v>
      </c>
      <c r="E858">
        <v>1</v>
      </c>
      <c r="F858">
        <v>0</v>
      </c>
    </row>
    <row r="859" spans="1:6" x14ac:dyDescent="0.25">
      <c r="A859" t="s">
        <v>1531</v>
      </c>
      <c r="B859" t="s">
        <v>661</v>
      </c>
      <c r="E859">
        <v>1</v>
      </c>
      <c r="F859">
        <v>0</v>
      </c>
    </row>
    <row r="860" spans="1:6" x14ac:dyDescent="0.25">
      <c r="A860" t="s">
        <v>1531</v>
      </c>
      <c r="B860" t="s">
        <v>663</v>
      </c>
      <c r="E860">
        <v>1</v>
      </c>
      <c r="F860">
        <v>0</v>
      </c>
    </row>
    <row r="861" spans="1:6" x14ac:dyDescent="0.25">
      <c r="A861" t="s">
        <v>1531</v>
      </c>
      <c r="B861" t="s">
        <v>665</v>
      </c>
      <c r="E861">
        <v>1</v>
      </c>
      <c r="F861">
        <v>0</v>
      </c>
    </row>
    <row r="862" spans="1:6" x14ac:dyDescent="0.25">
      <c r="A862" t="s">
        <v>1531</v>
      </c>
      <c r="B862" t="s">
        <v>667</v>
      </c>
      <c r="E862">
        <v>1</v>
      </c>
      <c r="F862">
        <v>0</v>
      </c>
    </row>
    <row r="863" spans="1:6" x14ac:dyDescent="0.25">
      <c r="A863" t="s">
        <v>1531</v>
      </c>
      <c r="B863" t="s">
        <v>669</v>
      </c>
      <c r="E863">
        <v>1</v>
      </c>
      <c r="F863">
        <v>0</v>
      </c>
    </row>
    <row r="864" spans="1:6" x14ac:dyDescent="0.25">
      <c r="A864" t="s">
        <v>1531</v>
      </c>
      <c r="B864" t="s">
        <v>671</v>
      </c>
      <c r="E864">
        <v>1</v>
      </c>
      <c r="F864">
        <v>0</v>
      </c>
    </row>
    <row r="865" spans="1:6" x14ac:dyDescent="0.25">
      <c r="A865" t="s">
        <v>1531</v>
      </c>
      <c r="B865" t="s">
        <v>673</v>
      </c>
      <c r="E865">
        <v>1</v>
      </c>
      <c r="F865">
        <v>0</v>
      </c>
    </row>
    <row r="866" spans="1:6" x14ac:dyDescent="0.25">
      <c r="A866" t="s">
        <v>1531</v>
      </c>
      <c r="B866" t="s">
        <v>675</v>
      </c>
      <c r="E866">
        <v>1</v>
      </c>
      <c r="F866">
        <v>0</v>
      </c>
    </row>
    <row r="867" spans="1:6" x14ac:dyDescent="0.25">
      <c r="A867" t="s">
        <v>1531</v>
      </c>
      <c r="B867" t="s">
        <v>677</v>
      </c>
      <c r="E867">
        <v>1</v>
      </c>
      <c r="F867">
        <v>0</v>
      </c>
    </row>
    <row r="868" spans="1:6" x14ac:dyDescent="0.25">
      <c r="A868" t="s">
        <v>1531</v>
      </c>
      <c r="B868" t="s">
        <v>679</v>
      </c>
      <c r="E868">
        <v>1</v>
      </c>
      <c r="F868">
        <v>0</v>
      </c>
    </row>
    <row r="869" spans="1:6" x14ac:dyDescent="0.25">
      <c r="A869" t="s">
        <v>1531</v>
      </c>
      <c r="B869" t="s">
        <v>682</v>
      </c>
      <c r="E869">
        <v>1</v>
      </c>
      <c r="F869">
        <v>0</v>
      </c>
    </row>
    <row r="870" spans="1:6" x14ac:dyDescent="0.25">
      <c r="A870" t="s">
        <v>1531</v>
      </c>
      <c r="B870" t="s">
        <v>684</v>
      </c>
      <c r="E870">
        <v>1</v>
      </c>
      <c r="F870">
        <v>0</v>
      </c>
    </row>
    <row r="871" spans="1:6" x14ac:dyDescent="0.25">
      <c r="A871" t="s">
        <v>1531</v>
      </c>
      <c r="B871" t="s">
        <v>686</v>
      </c>
      <c r="E871">
        <v>1</v>
      </c>
      <c r="F871">
        <v>0</v>
      </c>
    </row>
    <row r="872" spans="1:6" x14ac:dyDescent="0.25">
      <c r="A872" t="s">
        <v>1531</v>
      </c>
      <c r="B872" t="s">
        <v>688</v>
      </c>
      <c r="E872">
        <v>1</v>
      </c>
      <c r="F872">
        <v>0</v>
      </c>
    </row>
    <row r="873" spans="1:6" x14ac:dyDescent="0.25">
      <c r="A873" t="s">
        <v>1531</v>
      </c>
      <c r="B873" t="s">
        <v>690</v>
      </c>
      <c r="E873">
        <v>1</v>
      </c>
      <c r="F873">
        <v>0</v>
      </c>
    </row>
    <row r="874" spans="1:6" x14ac:dyDescent="0.25">
      <c r="A874" t="s">
        <v>1531</v>
      </c>
      <c r="B874" t="s">
        <v>692</v>
      </c>
      <c r="E874">
        <v>1</v>
      </c>
      <c r="F874">
        <v>0</v>
      </c>
    </row>
    <row r="875" spans="1:6" x14ac:dyDescent="0.25">
      <c r="A875" t="s">
        <v>1531</v>
      </c>
      <c r="B875" t="s">
        <v>694</v>
      </c>
      <c r="E875">
        <v>1</v>
      </c>
      <c r="F875">
        <v>0</v>
      </c>
    </row>
    <row r="876" spans="1:6" x14ac:dyDescent="0.25">
      <c r="A876" t="s">
        <v>1531</v>
      </c>
      <c r="B876" t="s">
        <v>696</v>
      </c>
      <c r="E876">
        <v>1</v>
      </c>
      <c r="F876">
        <v>0</v>
      </c>
    </row>
    <row r="877" spans="1:6" x14ac:dyDescent="0.25">
      <c r="A877" t="s">
        <v>1531</v>
      </c>
      <c r="B877" t="s">
        <v>698</v>
      </c>
      <c r="E877">
        <v>1</v>
      </c>
      <c r="F877">
        <v>0</v>
      </c>
    </row>
    <row r="878" spans="1:6" x14ac:dyDescent="0.25">
      <c r="A878" t="s">
        <v>1531</v>
      </c>
      <c r="B878" t="s">
        <v>700</v>
      </c>
      <c r="E878">
        <v>1</v>
      </c>
      <c r="F878">
        <v>0</v>
      </c>
    </row>
    <row r="879" spans="1:6" x14ac:dyDescent="0.25">
      <c r="A879" t="s">
        <v>1531</v>
      </c>
      <c r="B879" t="s">
        <v>702</v>
      </c>
      <c r="E879">
        <v>1</v>
      </c>
      <c r="F879">
        <v>0</v>
      </c>
    </row>
    <row r="880" spans="1:6" x14ac:dyDescent="0.25">
      <c r="A880" t="s">
        <v>1531</v>
      </c>
      <c r="B880" t="s">
        <v>704</v>
      </c>
      <c r="E880">
        <v>1</v>
      </c>
      <c r="F880">
        <v>0</v>
      </c>
    </row>
    <row r="881" spans="1:6" x14ac:dyDescent="0.25">
      <c r="A881" t="s">
        <v>1531</v>
      </c>
      <c r="B881" t="s">
        <v>706</v>
      </c>
      <c r="E881">
        <v>1</v>
      </c>
      <c r="F881">
        <v>0</v>
      </c>
    </row>
    <row r="882" spans="1:6" x14ac:dyDescent="0.25">
      <c r="A882" t="s">
        <v>1532</v>
      </c>
      <c r="B882" t="s">
        <v>162</v>
      </c>
      <c r="E882">
        <v>1</v>
      </c>
      <c r="F882">
        <v>0</v>
      </c>
    </row>
    <row r="883" spans="1:6" x14ac:dyDescent="0.25">
      <c r="A883" t="s">
        <v>1532</v>
      </c>
      <c r="B883" t="s">
        <v>164</v>
      </c>
      <c r="E883">
        <v>1</v>
      </c>
      <c r="F883">
        <v>0</v>
      </c>
    </row>
    <row r="884" spans="1:6" x14ac:dyDescent="0.25">
      <c r="A884" t="s">
        <v>1532</v>
      </c>
      <c r="B884" t="s">
        <v>168</v>
      </c>
      <c r="E884">
        <v>1</v>
      </c>
      <c r="F884">
        <v>0</v>
      </c>
    </row>
    <row r="885" spans="1:6" x14ac:dyDescent="0.25">
      <c r="A885" t="s">
        <v>1532</v>
      </c>
      <c r="B885" t="s">
        <v>170</v>
      </c>
      <c r="E885">
        <v>1</v>
      </c>
      <c r="F885">
        <v>0</v>
      </c>
    </row>
    <row r="886" spans="1:6" x14ac:dyDescent="0.25">
      <c r="A886" t="s">
        <v>1532</v>
      </c>
      <c r="B886" t="s">
        <v>174</v>
      </c>
      <c r="E886">
        <v>1</v>
      </c>
      <c r="F886">
        <v>0</v>
      </c>
    </row>
    <row r="887" spans="1:6" x14ac:dyDescent="0.25">
      <c r="A887" t="s">
        <v>1532</v>
      </c>
      <c r="B887" t="s">
        <v>176</v>
      </c>
      <c r="E887">
        <v>1</v>
      </c>
      <c r="F887">
        <v>0</v>
      </c>
    </row>
    <row r="888" spans="1:6" x14ac:dyDescent="0.25">
      <c r="A888" t="s">
        <v>1532</v>
      </c>
      <c r="B888" t="s">
        <v>180</v>
      </c>
      <c r="E888">
        <v>1</v>
      </c>
      <c r="F888">
        <v>0</v>
      </c>
    </row>
    <row r="889" spans="1:6" x14ac:dyDescent="0.25">
      <c r="A889" t="s">
        <v>1532</v>
      </c>
      <c r="B889" t="s">
        <v>182</v>
      </c>
      <c r="E889">
        <v>1</v>
      </c>
      <c r="F889">
        <v>0</v>
      </c>
    </row>
    <row r="890" spans="1:6" x14ac:dyDescent="0.25">
      <c r="A890" t="s">
        <v>1532</v>
      </c>
      <c r="B890" t="s">
        <v>186</v>
      </c>
      <c r="E890">
        <v>1</v>
      </c>
      <c r="F890">
        <v>0</v>
      </c>
    </row>
    <row r="891" spans="1:6" x14ac:dyDescent="0.25">
      <c r="A891" t="s">
        <v>1532</v>
      </c>
      <c r="B891" t="s">
        <v>419</v>
      </c>
      <c r="E891">
        <v>1</v>
      </c>
      <c r="F891">
        <v>0</v>
      </c>
    </row>
    <row r="892" spans="1:6" x14ac:dyDescent="0.25">
      <c r="A892" t="s">
        <v>1532</v>
      </c>
      <c r="B892" t="s">
        <v>423</v>
      </c>
      <c r="E892">
        <v>1</v>
      </c>
      <c r="F892">
        <v>0</v>
      </c>
    </row>
    <row r="893" spans="1:6" x14ac:dyDescent="0.25">
      <c r="A893" t="s">
        <v>1532</v>
      </c>
      <c r="B893" t="s">
        <v>427</v>
      </c>
      <c r="E893">
        <v>1</v>
      </c>
      <c r="F893">
        <v>0</v>
      </c>
    </row>
    <row r="894" spans="1:6" x14ac:dyDescent="0.25">
      <c r="A894" t="s">
        <v>1532</v>
      </c>
      <c r="B894" t="s">
        <v>431</v>
      </c>
      <c r="E894">
        <v>1</v>
      </c>
      <c r="F894">
        <v>0</v>
      </c>
    </row>
    <row r="895" spans="1:6" x14ac:dyDescent="0.25">
      <c r="A895" t="s">
        <v>1532</v>
      </c>
      <c r="B895" t="s">
        <v>433</v>
      </c>
      <c r="E895">
        <v>1</v>
      </c>
      <c r="F895">
        <v>0</v>
      </c>
    </row>
    <row r="896" spans="1:6" x14ac:dyDescent="0.25">
      <c r="A896" t="s">
        <v>1532</v>
      </c>
      <c r="B896" t="s">
        <v>437</v>
      </c>
      <c r="E896">
        <v>1</v>
      </c>
      <c r="F896">
        <v>0</v>
      </c>
    </row>
    <row r="897" spans="1:6" x14ac:dyDescent="0.25">
      <c r="A897" t="s">
        <v>1532</v>
      </c>
      <c r="B897" t="s">
        <v>439</v>
      </c>
      <c r="E897">
        <v>1</v>
      </c>
      <c r="F897">
        <v>0</v>
      </c>
    </row>
    <row r="898" spans="1:6" x14ac:dyDescent="0.25">
      <c r="A898" t="s">
        <v>1532</v>
      </c>
      <c r="B898" t="s">
        <v>443</v>
      </c>
      <c r="E898">
        <v>1</v>
      </c>
      <c r="F898">
        <v>0</v>
      </c>
    </row>
    <row r="899" spans="1:6" x14ac:dyDescent="0.25">
      <c r="A899" t="s">
        <v>1532</v>
      </c>
      <c r="B899" t="s">
        <v>445</v>
      </c>
      <c r="E899">
        <v>1</v>
      </c>
      <c r="F899">
        <v>0</v>
      </c>
    </row>
    <row r="900" spans="1:6" x14ac:dyDescent="0.25">
      <c r="A900" t="s">
        <v>1532</v>
      </c>
      <c r="B900" t="s">
        <v>449</v>
      </c>
      <c r="E900">
        <v>1</v>
      </c>
      <c r="F900">
        <v>0</v>
      </c>
    </row>
    <row r="901" spans="1:6" x14ac:dyDescent="0.25">
      <c r="A901" t="s">
        <v>1532</v>
      </c>
      <c r="B901" t="s">
        <v>451</v>
      </c>
      <c r="E901">
        <v>1</v>
      </c>
      <c r="F901">
        <v>0</v>
      </c>
    </row>
    <row r="902" spans="1:6" x14ac:dyDescent="0.25">
      <c r="A902" t="s">
        <v>1532</v>
      </c>
      <c r="B902" t="s">
        <v>455</v>
      </c>
      <c r="E902">
        <v>1</v>
      </c>
      <c r="F902">
        <v>0</v>
      </c>
    </row>
    <row r="903" spans="1:6" x14ac:dyDescent="0.25">
      <c r="A903" t="s">
        <v>1532</v>
      </c>
      <c r="B903" t="s">
        <v>459</v>
      </c>
      <c r="E903">
        <v>1</v>
      </c>
      <c r="F903">
        <v>0</v>
      </c>
    </row>
    <row r="904" spans="1:6" x14ac:dyDescent="0.25">
      <c r="A904" t="s">
        <v>1532</v>
      </c>
      <c r="B904" t="s">
        <v>464</v>
      </c>
      <c r="E904">
        <v>1</v>
      </c>
      <c r="F904">
        <v>0</v>
      </c>
    </row>
    <row r="905" spans="1:6" x14ac:dyDescent="0.25">
      <c r="A905" t="s">
        <v>1532</v>
      </c>
      <c r="B905" t="s">
        <v>466</v>
      </c>
      <c r="E905">
        <v>1</v>
      </c>
      <c r="F905">
        <v>0</v>
      </c>
    </row>
    <row r="906" spans="1:6" x14ac:dyDescent="0.25">
      <c r="A906" t="s">
        <v>1532</v>
      </c>
      <c r="B906" t="s">
        <v>831</v>
      </c>
      <c r="E906">
        <v>1</v>
      </c>
      <c r="F906">
        <v>0</v>
      </c>
    </row>
    <row r="907" spans="1:6" x14ac:dyDescent="0.25">
      <c r="A907" t="s">
        <v>1532</v>
      </c>
      <c r="B907" t="s">
        <v>835</v>
      </c>
      <c r="E907">
        <v>1</v>
      </c>
      <c r="F907">
        <v>0</v>
      </c>
    </row>
    <row r="908" spans="1:6" x14ac:dyDescent="0.25">
      <c r="A908" t="s">
        <v>1532</v>
      </c>
      <c r="B908" t="s">
        <v>840</v>
      </c>
      <c r="E908">
        <v>1</v>
      </c>
      <c r="F908">
        <v>0</v>
      </c>
    </row>
    <row r="909" spans="1:6" x14ac:dyDescent="0.25">
      <c r="A909" t="s">
        <v>1532</v>
      </c>
      <c r="B909" t="s">
        <v>842</v>
      </c>
      <c r="E909">
        <v>1</v>
      </c>
      <c r="F909">
        <v>0</v>
      </c>
    </row>
    <row r="910" spans="1:6" x14ac:dyDescent="0.25">
      <c r="A910" t="s">
        <v>1532</v>
      </c>
      <c r="B910" t="s">
        <v>846</v>
      </c>
      <c r="E910">
        <v>1</v>
      </c>
      <c r="F910">
        <v>0</v>
      </c>
    </row>
    <row r="911" spans="1:6" x14ac:dyDescent="0.25">
      <c r="A911" t="s">
        <v>1532</v>
      </c>
      <c r="B911" t="s">
        <v>848</v>
      </c>
      <c r="E911">
        <v>1</v>
      </c>
      <c r="F911">
        <v>0</v>
      </c>
    </row>
    <row r="912" spans="1:6" x14ac:dyDescent="0.25">
      <c r="A912" t="s">
        <v>1532</v>
      </c>
      <c r="B912" t="s">
        <v>852</v>
      </c>
      <c r="E912">
        <v>1</v>
      </c>
      <c r="F912">
        <v>0</v>
      </c>
    </row>
    <row r="913" spans="1:6" x14ac:dyDescent="0.25">
      <c r="A913" t="s">
        <v>1532</v>
      </c>
      <c r="B913" t="s">
        <v>854</v>
      </c>
      <c r="E913">
        <v>1</v>
      </c>
      <c r="F913">
        <v>0</v>
      </c>
    </row>
    <row r="914" spans="1:6" x14ac:dyDescent="0.25">
      <c r="A914" t="s">
        <v>1532</v>
      </c>
      <c r="B914" t="s">
        <v>858</v>
      </c>
      <c r="E914">
        <v>1</v>
      </c>
      <c r="F914">
        <v>0</v>
      </c>
    </row>
    <row r="915" spans="1:6" x14ac:dyDescent="0.25">
      <c r="A915" t="s">
        <v>1532</v>
      </c>
      <c r="B915" t="s">
        <v>860</v>
      </c>
      <c r="E915">
        <v>1</v>
      </c>
      <c r="F915">
        <v>0</v>
      </c>
    </row>
    <row r="916" spans="1:6" x14ac:dyDescent="0.25">
      <c r="A916" t="s">
        <v>1532</v>
      </c>
      <c r="B916" t="s">
        <v>864</v>
      </c>
      <c r="E916">
        <v>1</v>
      </c>
      <c r="F916">
        <v>0</v>
      </c>
    </row>
    <row r="917" spans="1:6" x14ac:dyDescent="0.25">
      <c r="A917" t="s">
        <v>1532</v>
      </c>
      <c r="B917" t="s">
        <v>867</v>
      </c>
      <c r="E917">
        <v>1</v>
      </c>
      <c r="F917">
        <v>0</v>
      </c>
    </row>
    <row r="918" spans="1:6" x14ac:dyDescent="0.25">
      <c r="A918" t="s">
        <v>1532</v>
      </c>
      <c r="B918" t="s">
        <v>872</v>
      </c>
      <c r="E918">
        <v>1</v>
      </c>
      <c r="F918">
        <v>0</v>
      </c>
    </row>
    <row r="919" spans="1:6" x14ac:dyDescent="0.25">
      <c r="A919" t="s">
        <v>1532</v>
      </c>
      <c r="B919" t="s">
        <v>874</v>
      </c>
      <c r="E919">
        <v>1</v>
      </c>
      <c r="F919">
        <v>0</v>
      </c>
    </row>
    <row r="920" spans="1:6" x14ac:dyDescent="0.25">
      <c r="A920" t="s">
        <v>1532</v>
      </c>
      <c r="B920" t="s">
        <v>878</v>
      </c>
      <c r="E920">
        <v>1</v>
      </c>
      <c r="F920">
        <v>0</v>
      </c>
    </row>
    <row r="921" spans="1:6" x14ac:dyDescent="0.25">
      <c r="A921" t="s">
        <v>1532</v>
      </c>
      <c r="B921" t="s">
        <v>880</v>
      </c>
      <c r="E921">
        <v>1</v>
      </c>
      <c r="F921">
        <v>0</v>
      </c>
    </row>
    <row r="922" spans="1:6" x14ac:dyDescent="0.25">
      <c r="A922" t="s">
        <v>1532</v>
      </c>
      <c r="B922" t="s">
        <v>884</v>
      </c>
      <c r="E922">
        <v>1</v>
      </c>
      <c r="F922">
        <v>0</v>
      </c>
    </row>
    <row r="923" spans="1:6" x14ac:dyDescent="0.25">
      <c r="A923" t="s">
        <v>1532</v>
      </c>
      <c r="B923" t="s">
        <v>886</v>
      </c>
      <c r="E923">
        <v>1</v>
      </c>
      <c r="F923">
        <v>0</v>
      </c>
    </row>
    <row r="924" spans="1:6" x14ac:dyDescent="0.25">
      <c r="A924" t="s">
        <v>1532</v>
      </c>
      <c r="B924" t="s">
        <v>890</v>
      </c>
      <c r="E924">
        <v>1</v>
      </c>
      <c r="F924">
        <v>0</v>
      </c>
    </row>
    <row r="925" spans="1:6" x14ac:dyDescent="0.25">
      <c r="A925" t="s">
        <v>1532</v>
      </c>
      <c r="B925" t="s">
        <v>892</v>
      </c>
      <c r="E925">
        <v>1</v>
      </c>
      <c r="F925">
        <v>0</v>
      </c>
    </row>
    <row r="926" spans="1:6" x14ac:dyDescent="0.25">
      <c r="A926" t="s">
        <v>1531</v>
      </c>
      <c r="B926" t="s">
        <v>1275</v>
      </c>
      <c r="E926">
        <v>1</v>
      </c>
      <c r="F926">
        <v>0</v>
      </c>
    </row>
    <row r="927" spans="1:6" x14ac:dyDescent="0.25">
      <c r="A927" t="s">
        <v>1531</v>
      </c>
      <c r="B927" t="s">
        <v>1277</v>
      </c>
      <c r="E927">
        <v>1</v>
      </c>
      <c r="F927">
        <v>0</v>
      </c>
    </row>
    <row r="928" spans="1:6" x14ac:dyDescent="0.25">
      <c r="A928" t="s">
        <v>1531</v>
      </c>
      <c r="B928" t="s">
        <v>1279</v>
      </c>
      <c r="E928">
        <v>1</v>
      </c>
      <c r="F928">
        <v>0</v>
      </c>
    </row>
    <row r="929" spans="1:6" x14ac:dyDescent="0.25">
      <c r="A929" t="s">
        <v>1531</v>
      </c>
      <c r="B929" t="s">
        <v>1281</v>
      </c>
      <c r="E929">
        <v>1</v>
      </c>
      <c r="F929">
        <v>0</v>
      </c>
    </row>
    <row r="930" spans="1:6" x14ac:dyDescent="0.25">
      <c r="A930" t="s">
        <v>1531</v>
      </c>
      <c r="B930" t="s">
        <v>1283</v>
      </c>
      <c r="E930">
        <v>1</v>
      </c>
      <c r="F930">
        <v>0</v>
      </c>
    </row>
    <row r="931" spans="1:6" x14ac:dyDescent="0.25">
      <c r="A931" t="s">
        <v>1531</v>
      </c>
      <c r="B931" t="s">
        <v>1285</v>
      </c>
      <c r="E931">
        <v>1</v>
      </c>
      <c r="F931">
        <v>0</v>
      </c>
    </row>
    <row r="932" spans="1:6" x14ac:dyDescent="0.25">
      <c r="A932" t="s">
        <v>1531</v>
      </c>
      <c r="B932" t="s">
        <v>1287</v>
      </c>
      <c r="E932">
        <v>1</v>
      </c>
      <c r="F932">
        <v>0</v>
      </c>
    </row>
    <row r="933" spans="1:6" x14ac:dyDescent="0.25">
      <c r="A933" t="s">
        <v>1531</v>
      </c>
      <c r="B933" t="s">
        <v>1289</v>
      </c>
      <c r="E933">
        <v>1</v>
      </c>
      <c r="F933">
        <v>0</v>
      </c>
    </row>
    <row r="934" spans="1:6" x14ac:dyDescent="0.25">
      <c r="A934" t="s">
        <v>1531</v>
      </c>
      <c r="B934" t="s">
        <v>1291</v>
      </c>
      <c r="E934">
        <v>1</v>
      </c>
      <c r="F934">
        <v>0</v>
      </c>
    </row>
    <row r="935" spans="1:6" x14ac:dyDescent="0.25">
      <c r="A935" t="s">
        <v>1531</v>
      </c>
      <c r="B935" t="s">
        <v>1293</v>
      </c>
      <c r="E935">
        <v>1</v>
      </c>
      <c r="F935">
        <v>0</v>
      </c>
    </row>
    <row r="936" spans="1:6" x14ac:dyDescent="0.25">
      <c r="A936" t="s">
        <v>1531</v>
      </c>
      <c r="B936" t="s">
        <v>1295</v>
      </c>
      <c r="E936">
        <v>1</v>
      </c>
      <c r="F936">
        <v>0</v>
      </c>
    </row>
    <row r="937" spans="1:6" x14ac:dyDescent="0.25">
      <c r="A937" t="s">
        <v>1531</v>
      </c>
      <c r="B937" t="s">
        <v>1297</v>
      </c>
      <c r="E937">
        <v>1</v>
      </c>
      <c r="F937">
        <v>0</v>
      </c>
    </row>
    <row r="938" spans="1:6" x14ac:dyDescent="0.25">
      <c r="A938" t="s">
        <v>1531</v>
      </c>
      <c r="B938" t="s">
        <v>1299</v>
      </c>
      <c r="E938">
        <v>1</v>
      </c>
      <c r="F938">
        <v>0</v>
      </c>
    </row>
    <row r="939" spans="1:6" x14ac:dyDescent="0.25">
      <c r="A939" t="s">
        <v>1531</v>
      </c>
      <c r="B939" t="s">
        <v>1301</v>
      </c>
      <c r="E939">
        <v>1</v>
      </c>
      <c r="F939">
        <v>0</v>
      </c>
    </row>
    <row r="940" spans="1:6" x14ac:dyDescent="0.25">
      <c r="A940" t="s">
        <v>1531</v>
      </c>
      <c r="B940" t="s">
        <v>1451</v>
      </c>
      <c r="E940">
        <v>1</v>
      </c>
      <c r="F940">
        <v>0</v>
      </c>
    </row>
    <row r="941" spans="1:6" x14ac:dyDescent="0.25">
      <c r="A941" t="s">
        <v>1531</v>
      </c>
      <c r="B941" t="s">
        <v>1453</v>
      </c>
      <c r="E941">
        <v>1</v>
      </c>
      <c r="F941">
        <v>0</v>
      </c>
    </row>
    <row r="942" spans="1:6" x14ac:dyDescent="0.25">
      <c r="A942" t="s">
        <v>1531</v>
      </c>
      <c r="B942" t="s">
        <v>1455</v>
      </c>
      <c r="E942">
        <v>1</v>
      </c>
      <c r="F942">
        <v>0</v>
      </c>
    </row>
    <row r="943" spans="1:6" x14ac:dyDescent="0.25">
      <c r="A943" t="s">
        <v>1531</v>
      </c>
      <c r="B943" t="s">
        <v>1457</v>
      </c>
      <c r="E943">
        <v>1</v>
      </c>
      <c r="F943">
        <v>0</v>
      </c>
    </row>
    <row r="944" spans="1:6" x14ac:dyDescent="0.25">
      <c r="A944" t="s">
        <v>1531</v>
      </c>
      <c r="B944" t="s">
        <v>1459</v>
      </c>
      <c r="E944">
        <v>1</v>
      </c>
      <c r="F944">
        <v>0</v>
      </c>
    </row>
    <row r="945" spans="1:6" x14ac:dyDescent="0.25">
      <c r="A945" t="s">
        <v>1531</v>
      </c>
      <c r="B945" t="s">
        <v>1461</v>
      </c>
      <c r="E945">
        <v>1</v>
      </c>
      <c r="F945">
        <v>0</v>
      </c>
    </row>
    <row r="946" spans="1:6" x14ac:dyDescent="0.25">
      <c r="A946" t="s">
        <v>1532</v>
      </c>
      <c r="B946" t="s">
        <v>1355</v>
      </c>
      <c r="E946">
        <v>1</v>
      </c>
      <c r="F946">
        <v>0</v>
      </c>
    </row>
    <row r="947" spans="1:6" x14ac:dyDescent="0.25">
      <c r="A947" t="s">
        <v>1532</v>
      </c>
      <c r="B947" t="s">
        <v>1359</v>
      </c>
      <c r="E947">
        <v>1</v>
      </c>
      <c r="F947">
        <v>0</v>
      </c>
    </row>
    <row r="948" spans="1:6" x14ac:dyDescent="0.25">
      <c r="A948" t="s">
        <v>1532</v>
      </c>
      <c r="B948" t="s">
        <v>1361</v>
      </c>
      <c r="E948">
        <v>1</v>
      </c>
      <c r="F948">
        <v>0</v>
      </c>
    </row>
    <row r="949" spans="1:6" x14ac:dyDescent="0.25">
      <c r="A949" t="s">
        <v>1532</v>
      </c>
      <c r="B949" t="s">
        <v>1365</v>
      </c>
      <c r="E949">
        <v>1</v>
      </c>
      <c r="F949">
        <v>0</v>
      </c>
    </row>
    <row r="950" spans="1:6" x14ac:dyDescent="0.25">
      <c r="A950" t="s">
        <v>1532</v>
      </c>
      <c r="B950" t="s">
        <v>1367</v>
      </c>
      <c r="E950">
        <v>1</v>
      </c>
      <c r="F950">
        <v>0</v>
      </c>
    </row>
    <row r="951" spans="1:6" x14ac:dyDescent="0.25">
      <c r="A951" t="s">
        <v>1532</v>
      </c>
      <c r="B951" t="s">
        <v>1371</v>
      </c>
      <c r="E951">
        <v>1</v>
      </c>
      <c r="F951">
        <v>0</v>
      </c>
    </row>
    <row r="952" spans="1:6" x14ac:dyDescent="0.25">
      <c r="A952" t="s">
        <v>1532</v>
      </c>
      <c r="B952" t="s">
        <v>1373</v>
      </c>
      <c r="E952">
        <v>1</v>
      </c>
      <c r="F952">
        <v>0</v>
      </c>
    </row>
    <row r="953" spans="1:6" x14ac:dyDescent="0.25">
      <c r="A953" t="s">
        <v>1532</v>
      </c>
      <c r="B953" t="s">
        <v>1377</v>
      </c>
      <c r="E953">
        <v>1</v>
      </c>
      <c r="F953">
        <v>0</v>
      </c>
    </row>
    <row r="954" spans="1:6" x14ac:dyDescent="0.25">
      <c r="A954" t="s">
        <v>1532</v>
      </c>
      <c r="B954" t="s">
        <v>1379</v>
      </c>
      <c r="E954">
        <v>1</v>
      </c>
      <c r="F954">
        <v>0</v>
      </c>
    </row>
    <row r="955" spans="1:6" x14ac:dyDescent="0.25">
      <c r="A955" t="s">
        <v>1532</v>
      </c>
      <c r="B955" t="s">
        <v>1499</v>
      </c>
      <c r="E955">
        <v>1</v>
      </c>
      <c r="F955">
        <v>0</v>
      </c>
    </row>
    <row r="956" spans="1:6" x14ac:dyDescent="0.25">
      <c r="A956" t="s">
        <v>1532</v>
      </c>
      <c r="B956" t="s">
        <v>1503</v>
      </c>
      <c r="E956">
        <v>1</v>
      </c>
      <c r="F956">
        <v>0</v>
      </c>
    </row>
    <row r="957" spans="1:6" x14ac:dyDescent="0.25">
      <c r="A957" t="s">
        <v>1532</v>
      </c>
      <c r="B957" t="s">
        <v>1505</v>
      </c>
      <c r="E957">
        <v>1</v>
      </c>
      <c r="F957">
        <v>0</v>
      </c>
    </row>
    <row r="958" spans="1:6" x14ac:dyDescent="0.25">
      <c r="A958" t="s">
        <v>1532</v>
      </c>
      <c r="B958" t="s">
        <v>1509</v>
      </c>
      <c r="E958">
        <v>1</v>
      </c>
      <c r="F958">
        <v>0</v>
      </c>
    </row>
    <row r="959" spans="1:6" x14ac:dyDescent="0.25">
      <c r="A959" t="s">
        <v>1532</v>
      </c>
      <c r="B959" t="s">
        <v>1511</v>
      </c>
      <c r="E959">
        <v>1</v>
      </c>
      <c r="F959">
        <v>0</v>
      </c>
    </row>
  </sheetData>
  <autoFilter ref="A1:F959" xr:uid="{C32806A3-03B1-41D0-A84B-D847A5E9D019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AB28-C0FC-4115-8AF2-C44CC33235EF}">
  <dimension ref="A1:D164"/>
  <sheetViews>
    <sheetView workbookViewId="0">
      <selection sqref="A1:A1048576"/>
    </sheetView>
  </sheetViews>
  <sheetFormatPr defaultRowHeight="15" x14ac:dyDescent="0.25"/>
  <cols>
    <col min="1" max="1" width="15.5703125" style="1" bestFit="1" customWidth="1"/>
    <col min="2" max="2" width="13.140625" bestFit="1" customWidth="1"/>
    <col min="3" max="3" width="23.42578125" bestFit="1" customWidth="1"/>
    <col min="4" max="4" width="12.5703125" bestFit="1" customWidth="1"/>
    <col min="7" max="7" width="14" bestFit="1" customWidth="1"/>
  </cols>
  <sheetData>
    <row r="1" spans="1:4" x14ac:dyDescent="0.25">
      <c r="A1" s="1" t="s">
        <v>1524</v>
      </c>
      <c r="B1" t="s">
        <v>0</v>
      </c>
      <c r="C1" t="s">
        <v>1555</v>
      </c>
      <c r="D1" t="s">
        <v>1535</v>
      </c>
    </row>
    <row r="2" spans="1:4" x14ac:dyDescent="0.25">
      <c r="A2" s="1">
        <v>44256</v>
      </c>
      <c r="B2" t="s">
        <v>12</v>
      </c>
      <c r="C2" t="s">
        <v>1219</v>
      </c>
      <c r="D2">
        <v>2</v>
      </c>
    </row>
    <row r="3" spans="1:4" x14ac:dyDescent="0.25">
      <c r="A3" s="1">
        <v>44257</v>
      </c>
      <c r="B3" t="s">
        <v>19</v>
      </c>
      <c r="C3" t="s">
        <v>1218</v>
      </c>
      <c r="D3">
        <v>2</v>
      </c>
    </row>
    <row r="4" spans="1:4" x14ac:dyDescent="0.25">
      <c r="A4" s="1">
        <v>44258</v>
      </c>
      <c r="B4" t="s">
        <v>22</v>
      </c>
      <c r="C4" t="s">
        <v>1219</v>
      </c>
      <c r="D4">
        <v>2</v>
      </c>
    </row>
    <row r="5" spans="1:4" x14ac:dyDescent="0.25">
      <c r="A5" s="1">
        <v>44258</v>
      </c>
      <c r="B5" t="s">
        <v>22</v>
      </c>
      <c r="C5" t="s">
        <v>1547</v>
      </c>
      <c r="D5">
        <v>2</v>
      </c>
    </row>
    <row r="6" spans="1:4" x14ac:dyDescent="0.25">
      <c r="A6" s="1">
        <v>44259</v>
      </c>
      <c r="B6" t="s">
        <v>25</v>
      </c>
      <c r="C6" t="s">
        <v>1548</v>
      </c>
      <c r="D6">
        <v>2</v>
      </c>
    </row>
    <row r="7" spans="1:4" x14ac:dyDescent="0.25">
      <c r="A7" s="1">
        <v>44260</v>
      </c>
      <c r="B7" t="s">
        <v>28</v>
      </c>
      <c r="C7" t="s">
        <v>1219</v>
      </c>
      <c r="D7">
        <v>2</v>
      </c>
    </row>
    <row r="8" spans="1:4" x14ac:dyDescent="0.25">
      <c r="A8" s="1">
        <v>44261</v>
      </c>
      <c r="B8" t="s">
        <v>31</v>
      </c>
      <c r="C8" t="s">
        <v>1219</v>
      </c>
      <c r="D8">
        <v>2</v>
      </c>
    </row>
    <row r="9" spans="1:4" x14ac:dyDescent="0.25">
      <c r="A9" s="1">
        <v>44261</v>
      </c>
      <c r="B9" t="s">
        <v>31</v>
      </c>
      <c r="C9" t="s">
        <v>1549</v>
      </c>
      <c r="D9">
        <v>2</v>
      </c>
    </row>
    <row r="10" spans="1:4" x14ac:dyDescent="0.25">
      <c r="A10" s="1">
        <v>44262</v>
      </c>
      <c r="B10" t="s">
        <v>34</v>
      </c>
      <c r="C10" t="s">
        <v>1219</v>
      </c>
      <c r="D10">
        <v>2</v>
      </c>
    </row>
    <row r="11" spans="1:4" x14ac:dyDescent="0.25">
      <c r="A11" s="1">
        <v>44263</v>
      </c>
      <c r="B11" t="s">
        <v>37</v>
      </c>
      <c r="C11" t="s">
        <v>1219</v>
      </c>
      <c r="D11">
        <v>2</v>
      </c>
    </row>
    <row r="12" spans="1:4" x14ac:dyDescent="0.25">
      <c r="A12" s="1">
        <v>44264</v>
      </c>
      <c r="B12" t="s">
        <v>40</v>
      </c>
      <c r="C12" t="s">
        <v>1218</v>
      </c>
      <c r="D12">
        <v>2</v>
      </c>
    </row>
    <row r="13" spans="1:4" x14ac:dyDescent="0.25">
      <c r="A13" s="1">
        <v>44265</v>
      </c>
      <c r="B13" t="s">
        <v>43</v>
      </c>
      <c r="C13" t="s">
        <v>1219</v>
      </c>
      <c r="D13">
        <v>2</v>
      </c>
    </row>
    <row r="14" spans="1:4" x14ac:dyDescent="0.25">
      <c r="A14" s="1">
        <v>44265</v>
      </c>
      <c r="B14" t="s">
        <v>43</v>
      </c>
      <c r="C14" t="s">
        <v>1547</v>
      </c>
      <c r="D14">
        <v>2</v>
      </c>
    </row>
    <row r="15" spans="1:4" x14ac:dyDescent="0.25">
      <c r="A15" s="1">
        <v>44266</v>
      </c>
      <c r="B15" t="s">
        <v>1104</v>
      </c>
      <c r="C15" t="s">
        <v>1550</v>
      </c>
      <c r="D15">
        <v>2</v>
      </c>
    </row>
    <row r="16" spans="1:4" x14ac:dyDescent="0.25">
      <c r="A16" s="1">
        <v>44266</v>
      </c>
      <c r="B16" t="s">
        <v>1104</v>
      </c>
      <c r="C16" t="s">
        <v>1549</v>
      </c>
      <c r="D16">
        <v>2</v>
      </c>
    </row>
    <row r="17" spans="1:4" x14ac:dyDescent="0.25">
      <c r="A17" s="1">
        <v>44267</v>
      </c>
      <c r="B17" t="s">
        <v>201</v>
      </c>
      <c r="C17" t="s">
        <v>1550</v>
      </c>
      <c r="D17">
        <v>2</v>
      </c>
    </row>
    <row r="18" spans="1:4" x14ac:dyDescent="0.25">
      <c r="A18" s="1">
        <v>44268</v>
      </c>
      <c r="B18" t="s">
        <v>208</v>
      </c>
      <c r="C18" t="s">
        <v>1550</v>
      </c>
      <c r="D18">
        <v>2</v>
      </c>
    </row>
    <row r="19" spans="1:4" x14ac:dyDescent="0.25">
      <c r="A19" s="1">
        <v>44269</v>
      </c>
      <c r="B19" t="s">
        <v>211</v>
      </c>
      <c r="C19" t="s">
        <v>1218</v>
      </c>
      <c r="D19">
        <v>2</v>
      </c>
    </row>
    <row r="20" spans="1:4" x14ac:dyDescent="0.25">
      <c r="A20" s="1">
        <v>44270</v>
      </c>
      <c r="B20" t="s">
        <v>214</v>
      </c>
      <c r="C20" t="s">
        <v>1550</v>
      </c>
      <c r="D20">
        <v>2</v>
      </c>
    </row>
    <row r="21" spans="1:4" x14ac:dyDescent="0.25">
      <c r="A21" s="1">
        <v>44270</v>
      </c>
      <c r="B21" t="s">
        <v>214</v>
      </c>
      <c r="C21" t="s">
        <v>1547</v>
      </c>
      <c r="D21">
        <v>2</v>
      </c>
    </row>
    <row r="22" spans="1:4" x14ac:dyDescent="0.25">
      <c r="A22" s="1">
        <v>44271</v>
      </c>
      <c r="B22" t="s">
        <v>217</v>
      </c>
      <c r="C22" t="s">
        <v>1548</v>
      </c>
      <c r="D22">
        <v>2</v>
      </c>
    </row>
    <row r="23" spans="1:4" x14ac:dyDescent="0.25">
      <c r="A23" s="1">
        <v>44272</v>
      </c>
      <c r="B23" t="s">
        <v>220</v>
      </c>
      <c r="C23" t="s">
        <v>1550</v>
      </c>
      <c r="D23">
        <v>2</v>
      </c>
    </row>
    <row r="24" spans="1:4" x14ac:dyDescent="0.25">
      <c r="A24" s="1">
        <v>44273</v>
      </c>
      <c r="B24" t="s">
        <v>223</v>
      </c>
      <c r="C24" t="s">
        <v>1550</v>
      </c>
      <c r="D24">
        <v>2</v>
      </c>
    </row>
    <row r="25" spans="1:4" x14ac:dyDescent="0.25">
      <c r="A25" s="1">
        <v>44273</v>
      </c>
      <c r="B25" t="s">
        <v>223</v>
      </c>
      <c r="C25" t="s">
        <v>1549</v>
      </c>
      <c r="D25">
        <v>2</v>
      </c>
    </row>
    <row r="26" spans="1:4" x14ac:dyDescent="0.25">
      <c r="A26" s="1">
        <v>44274</v>
      </c>
      <c r="B26" t="s">
        <v>226</v>
      </c>
      <c r="C26" t="s">
        <v>1550</v>
      </c>
      <c r="D26">
        <v>2</v>
      </c>
    </row>
    <row r="27" spans="1:4" x14ac:dyDescent="0.25">
      <c r="A27" s="1">
        <v>44275</v>
      </c>
      <c r="B27" t="s">
        <v>229</v>
      </c>
      <c r="C27" t="s">
        <v>1550</v>
      </c>
      <c r="D27">
        <v>2</v>
      </c>
    </row>
    <row r="28" spans="1:4" x14ac:dyDescent="0.25">
      <c r="A28" s="1">
        <v>44276</v>
      </c>
      <c r="B28" t="s">
        <v>232</v>
      </c>
      <c r="C28" t="s">
        <v>1218</v>
      </c>
      <c r="D28">
        <v>2</v>
      </c>
    </row>
    <row r="29" spans="1:4" x14ac:dyDescent="0.25">
      <c r="A29" s="1">
        <v>44277</v>
      </c>
      <c r="B29" t="s">
        <v>235</v>
      </c>
      <c r="C29" t="s">
        <v>1550</v>
      </c>
      <c r="D29">
        <v>2</v>
      </c>
    </row>
    <row r="30" spans="1:4" x14ac:dyDescent="0.25">
      <c r="A30" s="1">
        <v>44277</v>
      </c>
      <c r="B30" t="s">
        <v>235</v>
      </c>
      <c r="C30" t="s">
        <v>1547</v>
      </c>
      <c r="D30">
        <v>2</v>
      </c>
    </row>
    <row r="31" spans="1:4" x14ac:dyDescent="0.25">
      <c r="A31" s="1">
        <v>44278</v>
      </c>
      <c r="B31" t="s">
        <v>240</v>
      </c>
      <c r="C31" t="s">
        <v>1548</v>
      </c>
      <c r="D31">
        <v>2</v>
      </c>
    </row>
    <row r="32" spans="1:4" x14ac:dyDescent="0.25">
      <c r="A32" s="1">
        <v>44279</v>
      </c>
      <c r="B32" t="s">
        <v>243</v>
      </c>
      <c r="C32" t="s">
        <v>1550</v>
      </c>
      <c r="D32">
        <v>2</v>
      </c>
    </row>
    <row r="33" spans="1:4" x14ac:dyDescent="0.25">
      <c r="A33" s="1">
        <v>44280</v>
      </c>
      <c r="B33" t="s">
        <v>246</v>
      </c>
      <c r="C33" t="s">
        <v>1550</v>
      </c>
      <c r="D33">
        <v>2</v>
      </c>
    </row>
    <row r="34" spans="1:4" x14ac:dyDescent="0.25">
      <c r="A34" s="1">
        <v>44280</v>
      </c>
      <c r="B34" t="s">
        <v>246</v>
      </c>
      <c r="C34" t="s">
        <v>1549</v>
      </c>
      <c r="D34">
        <v>2</v>
      </c>
    </row>
    <row r="35" spans="1:4" x14ac:dyDescent="0.25">
      <c r="A35" s="1">
        <v>44281</v>
      </c>
      <c r="B35" t="s">
        <v>249</v>
      </c>
      <c r="C35" t="s">
        <v>1550</v>
      </c>
      <c r="D35">
        <v>2</v>
      </c>
    </row>
    <row r="36" spans="1:4" x14ac:dyDescent="0.25">
      <c r="A36" s="1">
        <v>44282</v>
      </c>
      <c r="B36" t="s">
        <v>1106</v>
      </c>
      <c r="C36" t="s">
        <v>1550</v>
      </c>
      <c r="D36">
        <v>2</v>
      </c>
    </row>
    <row r="37" spans="1:4" x14ac:dyDescent="0.25">
      <c r="A37" s="1">
        <v>44283</v>
      </c>
      <c r="B37" t="s">
        <v>255</v>
      </c>
      <c r="C37" t="s">
        <v>1218</v>
      </c>
      <c r="D37">
        <v>2</v>
      </c>
    </row>
    <row r="38" spans="1:4" x14ac:dyDescent="0.25">
      <c r="A38" s="1">
        <v>44284</v>
      </c>
      <c r="B38" t="s">
        <v>549</v>
      </c>
      <c r="C38" t="s">
        <v>1551</v>
      </c>
      <c r="D38">
        <v>2</v>
      </c>
    </row>
    <row r="39" spans="1:4" x14ac:dyDescent="0.25">
      <c r="A39" s="1">
        <v>44285</v>
      </c>
      <c r="B39" t="s">
        <v>552</v>
      </c>
      <c r="C39" t="s">
        <v>1218</v>
      </c>
      <c r="D39">
        <v>2</v>
      </c>
    </row>
    <row r="40" spans="1:4" x14ac:dyDescent="0.25">
      <c r="A40" s="1">
        <v>44286</v>
      </c>
      <c r="B40" t="s">
        <v>555</v>
      </c>
      <c r="C40" t="s">
        <v>1551</v>
      </c>
      <c r="D40">
        <v>2</v>
      </c>
    </row>
    <row r="41" spans="1:4" x14ac:dyDescent="0.25">
      <c r="A41" s="1">
        <v>44286</v>
      </c>
      <c r="B41" t="s">
        <v>555</v>
      </c>
      <c r="C41" t="s">
        <v>1547</v>
      </c>
      <c r="D41">
        <v>2</v>
      </c>
    </row>
    <row r="42" spans="1:4" x14ac:dyDescent="0.25">
      <c r="A42" s="1">
        <v>44256</v>
      </c>
      <c r="B42" t="s">
        <v>558</v>
      </c>
      <c r="C42" t="s">
        <v>1548</v>
      </c>
      <c r="D42">
        <v>2</v>
      </c>
    </row>
    <row r="43" spans="1:4" x14ac:dyDescent="0.25">
      <c r="A43" s="1">
        <v>44257</v>
      </c>
      <c r="B43" t="s">
        <v>561</v>
      </c>
      <c r="C43" t="s">
        <v>1551</v>
      </c>
      <c r="D43">
        <v>2</v>
      </c>
    </row>
    <row r="44" spans="1:4" x14ac:dyDescent="0.25">
      <c r="A44" s="1">
        <v>44258</v>
      </c>
      <c r="B44" t="s">
        <v>564</v>
      </c>
      <c r="C44" t="s">
        <v>1551</v>
      </c>
      <c r="D44">
        <v>2</v>
      </c>
    </row>
    <row r="45" spans="1:4" x14ac:dyDescent="0.25">
      <c r="A45" s="1">
        <v>44258</v>
      </c>
      <c r="B45" t="s">
        <v>564</v>
      </c>
      <c r="C45" t="s">
        <v>1549</v>
      </c>
      <c r="D45">
        <v>2</v>
      </c>
    </row>
    <row r="46" spans="1:4" x14ac:dyDescent="0.25">
      <c r="A46" s="1">
        <v>44259</v>
      </c>
      <c r="B46" t="s">
        <v>1030</v>
      </c>
      <c r="C46" t="s">
        <v>1551</v>
      </c>
      <c r="D46">
        <v>2</v>
      </c>
    </row>
    <row r="47" spans="1:4" x14ac:dyDescent="0.25">
      <c r="A47" s="1">
        <v>44260</v>
      </c>
      <c r="B47" t="s">
        <v>1033</v>
      </c>
      <c r="C47" t="s">
        <v>1551</v>
      </c>
      <c r="D47">
        <v>2</v>
      </c>
    </row>
    <row r="48" spans="1:4" x14ac:dyDescent="0.25">
      <c r="A48" s="1">
        <v>44261</v>
      </c>
      <c r="B48" t="s">
        <v>1036</v>
      </c>
      <c r="C48" t="s">
        <v>1218</v>
      </c>
      <c r="D48">
        <v>2</v>
      </c>
    </row>
    <row r="49" spans="1:4" x14ac:dyDescent="0.25">
      <c r="A49" s="1">
        <v>44262</v>
      </c>
      <c r="B49" t="s">
        <v>1039</v>
      </c>
      <c r="C49" t="s">
        <v>1551</v>
      </c>
      <c r="D49">
        <v>2</v>
      </c>
    </row>
    <row r="50" spans="1:4" x14ac:dyDescent="0.25">
      <c r="A50" s="1">
        <v>44262</v>
      </c>
      <c r="B50" t="s">
        <v>1039</v>
      </c>
      <c r="C50" t="s">
        <v>1547</v>
      </c>
      <c r="D50">
        <v>2</v>
      </c>
    </row>
    <row r="51" spans="1:4" x14ac:dyDescent="0.25">
      <c r="A51" s="1">
        <v>44263</v>
      </c>
      <c r="B51" t="s">
        <v>1042</v>
      </c>
      <c r="C51" t="s">
        <v>1548</v>
      </c>
      <c r="D51">
        <v>2</v>
      </c>
    </row>
    <row r="52" spans="1:4" x14ac:dyDescent="0.25">
      <c r="A52" s="1">
        <v>44264</v>
      </c>
      <c r="B52" t="s">
        <v>1045</v>
      </c>
      <c r="C52" t="s">
        <v>1551</v>
      </c>
      <c r="D52">
        <v>2</v>
      </c>
    </row>
    <row r="53" spans="1:4" x14ac:dyDescent="0.25">
      <c r="A53" s="1">
        <v>44265</v>
      </c>
      <c r="B53" t="s">
        <v>1048</v>
      </c>
      <c r="C53" t="s">
        <v>1551</v>
      </c>
      <c r="D53">
        <v>2</v>
      </c>
    </row>
    <row r="54" spans="1:4" x14ac:dyDescent="0.25">
      <c r="A54" s="1">
        <v>44265</v>
      </c>
      <c r="B54" t="s">
        <v>1048</v>
      </c>
      <c r="C54" t="s">
        <v>1549</v>
      </c>
      <c r="D54">
        <v>2</v>
      </c>
    </row>
    <row r="55" spans="1:4" x14ac:dyDescent="0.25">
      <c r="A55" s="1">
        <v>44266</v>
      </c>
      <c r="B55" t="s">
        <v>1123</v>
      </c>
      <c r="C55" t="s">
        <v>1551</v>
      </c>
      <c r="D55">
        <v>2</v>
      </c>
    </row>
    <row r="56" spans="1:4" x14ac:dyDescent="0.25">
      <c r="A56" s="1">
        <v>44267</v>
      </c>
      <c r="B56" t="s">
        <v>1126</v>
      </c>
      <c r="C56" t="s">
        <v>1551</v>
      </c>
      <c r="D56">
        <v>2</v>
      </c>
    </row>
    <row r="57" spans="1:4" x14ac:dyDescent="0.25">
      <c r="A57" s="1">
        <v>44268</v>
      </c>
      <c r="B57" t="s">
        <v>1129</v>
      </c>
      <c r="C57" t="s">
        <v>1218</v>
      </c>
      <c r="D57">
        <v>2</v>
      </c>
    </row>
    <row r="58" spans="1:4" x14ac:dyDescent="0.25">
      <c r="A58" s="1">
        <v>44269</v>
      </c>
      <c r="B58" t="s">
        <v>1132</v>
      </c>
      <c r="C58" t="s">
        <v>1551</v>
      </c>
      <c r="D58">
        <v>2</v>
      </c>
    </row>
    <row r="59" spans="1:4" x14ac:dyDescent="0.25">
      <c r="A59" s="1">
        <v>44269</v>
      </c>
      <c r="B59" t="s">
        <v>1132</v>
      </c>
      <c r="C59" t="s">
        <v>1547</v>
      </c>
      <c r="D59">
        <v>2</v>
      </c>
    </row>
    <row r="60" spans="1:4" x14ac:dyDescent="0.25">
      <c r="A60" s="1">
        <v>44270</v>
      </c>
      <c r="B60" t="s">
        <v>577</v>
      </c>
      <c r="C60" t="s">
        <v>1548</v>
      </c>
      <c r="D60">
        <v>2</v>
      </c>
    </row>
    <row r="61" spans="1:4" x14ac:dyDescent="0.25">
      <c r="A61" s="1">
        <v>44271</v>
      </c>
      <c r="B61" t="s">
        <v>584</v>
      </c>
      <c r="C61" t="s">
        <v>1551</v>
      </c>
      <c r="D61">
        <v>2</v>
      </c>
    </row>
    <row r="62" spans="1:4" x14ac:dyDescent="0.25">
      <c r="A62" s="1">
        <v>44272</v>
      </c>
      <c r="B62" t="s">
        <v>587</v>
      </c>
      <c r="C62" t="s">
        <v>1551</v>
      </c>
      <c r="D62">
        <v>2</v>
      </c>
    </row>
    <row r="63" spans="1:4" x14ac:dyDescent="0.25">
      <c r="A63" s="1">
        <v>44272</v>
      </c>
      <c r="B63" t="s">
        <v>587</v>
      </c>
      <c r="C63" t="s">
        <v>1549</v>
      </c>
      <c r="D63">
        <v>2</v>
      </c>
    </row>
    <row r="64" spans="1:4" x14ac:dyDescent="0.25">
      <c r="A64" s="1">
        <v>44273</v>
      </c>
      <c r="B64" t="s">
        <v>590</v>
      </c>
      <c r="C64" t="s">
        <v>1551</v>
      </c>
      <c r="D64">
        <v>2</v>
      </c>
    </row>
    <row r="65" spans="1:4" x14ac:dyDescent="0.25">
      <c r="A65" s="1">
        <v>44274</v>
      </c>
      <c r="B65" t="s">
        <v>593</v>
      </c>
      <c r="C65" t="s">
        <v>1551</v>
      </c>
      <c r="D65">
        <v>2</v>
      </c>
    </row>
    <row r="66" spans="1:4" x14ac:dyDescent="0.25">
      <c r="A66" s="1">
        <v>44275</v>
      </c>
      <c r="B66" t="s">
        <v>596</v>
      </c>
      <c r="C66" t="s">
        <v>1218</v>
      </c>
      <c r="D66">
        <v>2</v>
      </c>
    </row>
    <row r="67" spans="1:4" x14ac:dyDescent="0.25">
      <c r="A67" s="1">
        <v>44276</v>
      </c>
      <c r="B67" t="s">
        <v>1225</v>
      </c>
      <c r="C67" t="s">
        <v>1219</v>
      </c>
      <c r="D67">
        <v>2</v>
      </c>
    </row>
    <row r="68" spans="1:4" x14ac:dyDescent="0.25">
      <c r="A68" s="1">
        <v>44277</v>
      </c>
      <c r="B68" t="s">
        <v>1228</v>
      </c>
      <c r="C68" t="s">
        <v>1218</v>
      </c>
      <c r="D68">
        <v>2</v>
      </c>
    </row>
    <row r="69" spans="1:4" x14ac:dyDescent="0.25">
      <c r="A69" s="1">
        <v>44278</v>
      </c>
      <c r="B69" t="s">
        <v>1231</v>
      </c>
      <c r="C69" t="s">
        <v>1219</v>
      </c>
      <c r="D69">
        <v>2</v>
      </c>
    </row>
    <row r="70" spans="1:4" x14ac:dyDescent="0.25">
      <c r="A70" s="1">
        <v>44278</v>
      </c>
      <c r="B70" t="s">
        <v>1231</v>
      </c>
      <c r="C70" t="s">
        <v>1547</v>
      </c>
      <c r="D70">
        <v>2</v>
      </c>
    </row>
    <row r="71" spans="1:4" x14ac:dyDescent="0.25">
      <c r="A71" s="1">
        <v>44279</v>
      </c>
      <c r="B71" t="s">
        <v>1234</v>
      </c>
      <c r="C71" t="s">
        <v>1548</v>
      </c>
      <c r="D71">
        <v>2</v>
      </c>
    </row>
    <row r="72" spans="1:4" x14ac:dyDescent="0.25">
      <c r="A72" s="1">
        <v>44280</v>
      </c>
      <c r="B72" t="s">
        <v>1237</v>
      </c>
      <c r="C72" t="s">
        <v>1219</v>
      </c>
      <c r="D72">
        <v>2</v>
      </c>
    </row>
    <row r="73" spans="1:4" x14ac:dyDescent="0.25">
      <c r="A73" s="1">
        <v>44281</v>
      </c>
      <c r="B73" t="s">
        <v>1240</v>
      </c>
      <c r="C73" t="s">
        <v>1219</v>
      </c>
      <c r="D73">
        <v>2</v>
      </c>
    </row>
    <row r="74" spans="1:4" x14ac:dyDescent="0.25">
      <c r="A74" s="1">
        <v>44281</v>
      </c>
      <c r="B74" t="s">
        <v>1240</v>
      </c>
      <c r="C74" t="s">
        <v>1549</v>
      </c>
      <c r="D74">
        <v>2</v>
      </c>
    </row>
    <row r="75" spans="1:4" x14ac:dyDescent="0.25">
      <c r="A75" s="1">
        <v>44282</v>
      </c>
      <c r="B75" t="s">
        <v>1243</v>
      </c>
      <c r="C75" t="s">
        <v>1219</v>
      </c>
      <c r="D75">
        <v>2</v>
      </c>
    </row>
    <row r="76" spans="1:4" x14ac:dyDescent="0.25">
      <c r="A76" s="1">
        <v>44283</v>
      </c>
      <c r="B76" t="s">
        <v>1246</v>
      </c>
      <c r="C76" t="s">
        <v>1219</v>
      </c>
      <c r="D76">
        <v>2</v>
      </c>
    </row>
    <row r="77" spans="1:4" x14ac:dyDescent="0.25">
      <c r="A77" s="1">
        <v>44284</v>
      </c>
      <c r="B77" t="s">
        <v>1249</v>
      </c>
      <c r="C77" t="s">
        <v>1218</v>
      </c>
      <c r="D77">
        <v>2</v>
      </c>
    </row>
    <row r="78" spans="1:4" x14ac:dyDescent="0.25">
      <c r="A78" s="1">
        <v>44285</v>
      </c>
      <c r="B78" t="s">
        <v>1252</v>
      </c>
      <c r="C78" t="s">
        <v>1219</v>
      </c>
      <c r="D78">
        <v>2</v>
      </c>
    </row>
    <row r="79" spans="1:4" x14ac:dyDescent="0.25">
      <c r="A79" s="1">
        <v>44285</v>
      </c>
      <c r="B79" t="s">
        <v>1252</v>
      </c>
      <c r="C79" t="s">
        <v>1547</v>
      </c>
      <c r="D79">
        <v>2</v>
      </c>
    </row>
    <row r="80" spans="1:4" x14ac:dyDescent="0.25">
      <c r="A80" s="1">
        <v>44286</v>
      </c>
      <c r="B80" t="s">
        <v>1424</v>
      </c>
      <c r="C80" t="s">
        <v>1551</v>
      </c>
      <c r="D80">
        <v>2</v>
      </c>
    </row>
    <row r="81" spans="1:4" x14ac:dyDescent="0.25">
      <c r="A81" s="1">
        <v>44286</v>
      </c>
      <c r="B81" t="s">
        <v>1424</v>
      </c>
      <c r="C81" t="s">
        <v>1547</v>
      </c>
      <c r="D81">
        <v>2</v>
      </c>
    </row>
    <row r="82" spans="1:4" x14ac:dyDescent="0.25">
      <c r="A82" s="1">
        <v>44256</v>
      </c>
      <c r="B82" t="s">
        <v>1427</v>
      </c>
      <c r="C82" t="s">
        <v>1548</v>
      </c>
      <c r="D82">
        <v>2</v>
      </c>
    </row>
    <row r="83" spans="1:4" x14ac:dyDescent="0.25">
      <c r="A83" s="1">
        <v>44265</v>
      </c>
      <c r="B83" t="s">
        <v>1430</v>
      </c>
      <c r="C83" t="s">
        <v>1551</v>
      </c>
      <c r="D83">
        <v>2</v>
      </c>
    </row>
    <row r="84" spans="1:4" x14ac:dyDescent="0.25">
      <c r="A84" s="1">
        <v>44263</v>
      </c>
      <c r="B84" t="s">
        <v>1433</v>
      </c>
      <c r="C84" t="s">
        <v>1551</v>
      </c>
      <c r="D84">
        <v>2</v>
      </c>
    </row>
    <row r="85" spans="1:4" x14ac:dyDescent="0.25">
      <c r="A85" s="1">
        <v>44263</v>
      </c>
      <c r="B85" t="s">
        <v>1433</v>
      </c>
      <c r="C85" t="s">
        <v>1549</v>
      </c>
      <c r="D85">
        <v>2</v>
      </c>
    </row>
    <row r="86" spans="1:4" x14ac:dyDescent="0.25">
      <c r="A86" s="1">
        <v>44280</v>
      </c>
      <c r="B86" t="s">
        <v>1436</v>
      </c>
      <c r="C86" t="s">
        <v>1551</v>
      </c>
      <c r="D86">
        <v>2</v>
      </c>
    </row>
    <row r="87" spans="1:4" x14ac:dyDescent="0.25">
      <c r="A87" s="1">
        <v>44287</v>
      </c>
      <c r="B87" t="s">
        <v>108</v>
      </c>
      <c r="C87" t="s">
        <v>1552</v>
      </c>
      <c r="D87">
        <v>2</v>
      </c>
    </row>
    <row r="88" spans="1:4" x14ac:dyDescent="0.25">
      <c r="A88" s="1">
        <v>44287</v>
      </c>
      <c r="B88" t="s">
        <v>108</v>
      </c>
      <c r="C88" t="s">
        <v>1547</v>
      </c>
      <c r="D88">
        <v>2</v>
      </c>
    </row>
    <row r="89" spans="1:4" x14ac:dyDescent="0.25">
      <c r="A89" s="1">
        <v>44288</v>
      </c>
      <c r="B89" t="s">
        <v>111</v>
      </c>
      <c r="C89" t="s">
        <v>1548</v>
      </c>
      <c r="D89">
        <v>2</v>
      </c>
    </row>
    <row r="90" spans="1:4" x14ac:dyDescent="0.25">
      <c r="A90" s="1">
        <v>44289</v>
      </c>
      <c r="B90" t="s">
        <v>119</v>
      </c>
      <c r="C90" t="s">
        <v>1552</v>
      </c>
      <c r="D90">
        <v>2</v>
      </c>
    </row>
    <row r="91" spans="1:4" x14ac:dyDescent="0.25">
      <c r="A91" s="1">
        <v>44289</v>
      </c>
      <c r="B91" t="s">
        <v>119</v>
      </c>
      <c r="C91" t="s">
        <v>1549</v>
      </c>
      <c r="D91">
        <v>2</v>
      </c>
    </row>
    <row r="92" spans="1:4" x14ac:dyDescent="0.25">
      <c r="A92" s="1">
        <v>44290</v>
      </c>
      <c r="B92" t="s">
        <v>128</v>
      </c>
      <c r="C92" t="s">
        <v>1218</v>
      </c>
      <c r="D92">
        <v>2</v>
      </c>
    </row>
    <row r="93" spans="1:4" x14ac:dyDescent="0.25">
      <c r="A93" s="1">
        <v>44291</v>
      </c>
      <c r="B93" t="s">
        <v>131</v>
      </c>
      <c r="C93" t="s">
        <v>1552</v>
      </c>
      <c r="D93">
        <v>2</v>
      </c>
    </row>
    <row r="94" spans="1:4" x14ac:dyDescent="0.25">
      <c r="A94" s="1">
        <v>44291</v>
      </c>
      <c r="B94" t="s">
        <v>131</v>
      </c>
      <c r="C94" t="s">
        <v>1547</v>
      </c>
      <c r="D94">
        <v>2</v>
      </c>
    </row>
    <row r="95" spans="1:4" x14ac:dyDescent="0.25">
      <c r="A95" s="1">
        <v>44292</v>
      </c>
      <c r="B95" t="s">
        <v>134</v>
      </c>
      <c r="C95" t="s">
        <v>1548</v>
      </c>
      <c r="D95">
        <v>2</v>
      </c>
    </row>
    <row r="96" spans="1:4" x14ac:dyDescent="0.25">
      <c r="A96" s="1">
        <v>44293</v>
      </c>
      <c r="B96" t="s">
        <v>350</v>
      </c>
      <c r="C96" t="s">
        <v>1550</v>
      </c>
      <c r="D96">
        <v>2</v>
      </c>
    </row>
    <row r="97" spans="1:4" x14ac:dyDescent="0.25">
      <c r="A97" s="1">
        <v>44293</v>
      </c>
      <c r="B97" t="s">
        <v>350</v>
      </c>
      <c r="C97" t="s">
        <v>1547</v>
      </c>
      <c r="D97">
        <v>2</v>
      </c>
    </row>
    <row r="98" spans="1:4" x14ac:dyDescent="0.25">
      <c r="A98" s="1">
        <v>44294</v>
      </c>
      <c r="B98" t="s">
        <v>353</v>
      </c>
      <c r="C98" t="s">
        <v>1548</v>
      </c>
      <c r="D98">
        <v>2</v>
      </c>
    </row>
    <row r="99" spans="1:4" x14ac:dyDescent="0.25">
      <c r="A99" s="1">
        <v>44295</v>
      </c>
      <c r="B99" t="s">
        <v>356</v>
      </c>
      <c r="C99" t="s">
        <v>1550</v>
      </c>
      <c r="D99">
        <v>2</v>
      </c>
    </row>
    <row r="100" spans="1:4" x14ac:dyDescent="0.25">
      <c r="A100" s="1">
        <v>44296</v>
      </c>
      <c r="B100" t="s">
        <v>359</v>
      </c>
      <c r="C100" t="s">
        <v>1550</v>
      </c>
      <c r="D100">
        <v>2</v>
      </c>
    </row>
    <row r="101" spans="1:4" x14ac:dyDescent="0.25">
      <c r="A101" s="1">
        <v>44296</v>
      </c>
      <c r="B101" t="s">
        <v>359</v>
      </c>
      <c r="C101" t="s">
        <v>1549</v>
      </c>
      <c r="D101">
        <v>2</v>
      </c>
    </row>
    <row r="102" spans="1:4" x14ac:dyDescent="0.25">
      <c r="A102" s="1">
        <v>44297</v>
      </c>
      <c r="B102" t="s">
        <v>362</v>
      </c>
      <c r="C102" t="s">
        <v>1550</v>
      </c>
      <c r="D102">
        <v>2</v>
      </c>
    </row>
    <row r="103" spans="1:4" x14ac:dyDescent="0.25">
      <c r="A103" s="1">
        <v>44298</v>
      </c>
      <c r="B103" t="s">
        <v>365</v>
      </c>
      <c r="C103" t="s">
        <v>1550</v>
      </c>
      <c r="D103">
        <v>2</v>
      </c>
    </row>
    <row r="104" spans="1:4" x14ac:dyDescent="0.25">
      <c r="A104" s="1">
        <v>44299</v>
      </c>
      <c r="B104" t="s">
        <v>368</v>
      </c>
      <c r="C104" t="s">
        <v>1218</v>
      </c>
      <c r="D104">
        <v>2</v>
      </c>
    </row>
    <row r="105" spans="1:4" x14ac:dyDescent="0.25">
      <c r="A105" s="1">
        <v>44300</v>
      </c>
      <c r="B105" t="s">
        <v>371</v>
      </c>
      <c r="C105" t="s">
        <v>1550</v>
      </c>
      <c r="D105">
        <v>2</v>
      </c>
    </row>
    <row r="106" spans="1:4" x14ac:dyDescent="0.25">
      <c r="A106" s="1">
        <v>44300</v>
      </c>
      <c r="B106" t="s">
        <v>371</v>
      </c>
      <c r="C106" t="s">
        <v>1547</v>
      </c>
      <c r="D106">
        <v>2</v>
      </c>
    </row>
    <row r="107" spans="1:4" x14ac:dyDescent="0.25">
      <c r="A107" s="1">
        <v>44301</v>
      </c>
      <c r="B107" t="s">
        <v>374</v>
      </c>
      <c r="C107" t="s">
        <v>1548</v>
      </c>
      <c r="D107">
        <v>2</v>
      </c>
    </row>
    <row r="108" spans="1:4" x14ac:dyDescent="0.25">
      <c r="A108" s="1">
        <v>44302</v>
      </c>
      <c r="B108" t="s">
        <v>1007</v>
      </c>
      <c r="C108" t="s">
        <v>1550</v>
      </c>
      <c r="D108">
        <v>2</v>
      </c>
    </row>
    <row r="109" spans="1:4" x14ac:dyDescent="0.25">
      <c r="A109" s="1">
        <v>44303</v>
      </c>
      <c r="B109" t="s">
        <v>1010</v>
      </c>
      <c r="C109" t="s">
        <v>1550</v>
      </c>
      <c r="D109">
        <v>2</v>
      </c>
    </row>
    <row r="110" spans="1:4" x14ac:dyDescent="0.25">
      <c r="A110" s="1">
        <v>44303</v>
      </c>
      <c r="B110" t="s">
        <v>1010</v>
      </c>
      <c r="C110" t="s">
        <v>1549</v>
      </c>
      <c r="D110">
        <v>2</v>
      </c>
    </row>
    <row r="111" spans="1:4" x14ac:dyDescent="0.25">
      <c r="A111" s="1">
        <v>44304</v>
      </c>
      <c r="B111" t="s">
        <v>1013</v>
      </c>
      <c r="C111" t="s">
        <v>1550</v>
      </c>
      <c r="D111">
        <v>2</v>
      </c>
    </row>
    <row r="112" spans="1:4" x14ac:dyDescent="0.25">
      <c r="A112" s="1">
        <v>44305</v>
      </c>
      <c r="B112" t="s">
        <v>1016</v>
      </c>
      <c r="C112" t="s">
        <v>1550</v>
      </c>
      <c r="D112">
        <v>2</v>
      </c>
    </row>
    <row r="113" spans="1:4" x14ac:dyDescent="0.25">
      <c r="A113" s="1">
        <v>44306</v>
      </c>
      <c r="B113" t="s">
        <v>1019</v>
      </c>
      <c r="C113" t="s">
        <v>1218</v>
      </c>
      <c r="D113">
        <v>2</v>
      </c>
    </row>
    <row r="114" spans="1:4" x14ac:dyDescent="0.25">
      <c r="A114" s="1">
        <v>44307</v>
      </c>
      <c r="B114" t="s">
        <v>1022</v>
      </c>
      <c r="C114" t="s">
        <v>1550</v>
      </c>
      <c r="D114">
        <v>2</v>
      </c>
    </row>
    <row r="115" spans="1:4" x14ac:dyDescent="0.25">
      <c r="A115" s="1">
        <v>44307</v>
      </c>
      <c r="B115" t="s">
        <v>1022</v>
      </c>
      <c r="C115" t="s">
        <v>1547</v>
      </c>
      <c r="D115">
        <v>2</v>
      </c>
    </row>
    <row r="116" spans="1:4" x14ac:dyDescent="0.25">
      <c r="A116" s="1">
        <v>44308</v>
      </c>
      <c r="B116" t="s">
        <v>1025</v>
      </c>
      <c r="C116" t="s">
        <v>1548</v>
      </c>
      <c r="D116">
        <v>2</v>
      </c>
    </row>
    <row r="117" spans="1:4" x14ac:dyDescent="0.25">
      <c r="A117" s="1">
        <v>44309</v>
      </c>
      <c r="B117" t="s">
        <v>1107</v>
      </c>
      <c r="C117" t="s">
        <v>1550</v>
      </c>
      <c r="D117">
        <v>2</v>
      </c>
    </row>
    <row r="118" spans="1:4" x14ac:dyDescent="0.25">
      <c r="A118" s="1">
        <v>44310</v>
      </c>
      <c r="B118" t="s">
        <v>1110</v>
      </c>
      <c r="C118" t="s">
        <v>1550</v>
      </c>
      <c r="D118">
        <v>2</v>
      </c>
    </row>
    <row r="119" spans="1:4" x14ac:dyDescent="0.25">
      <c r="A119" s="1">
        <v>44310</v>
      </c>
      <c r="B119" t="s">
        <v>1110</v>
      </c>
      <c r="C119" t="s">
        <v>1549</v>
      </c>
      <c r="D119">
        <v>2</v>
      </c>
    </row>
    <row r="120" spans="1:4" x14ac:dyDescent="0.25">
      <c r="A120" s="1">
        <v>44311</v>
      </c>
      <c r="B120" t="s">
        <v>738</v>
      </c>
      <c r="C120" t="s">
        <v>1551</v>
      </c>
      <c r="D120">
        <v>2</v>
      </c>
    </row>
    <row r="121" spans="1:4" x14ac:dyDescent="0.25">
      <c r="A121" s="1">
        <v>44312</v>
      </c>
      <c r="B121" t="s">
        <v>741</v>
      </c>
      <c r="C121" t="s">
        <v>1218</v>
      </c>
      <c r="D121">
        <v>2</v>
      </c>
    </row>
    <row r="122" spans="1:4" x14ac:dyDescent="0.25">
      <c r="A122" s="1">
        <v>44313</v>
      </c>
      <c r="B122" t="s">
        <v>744</v>
      </c>
      <c r="C122" t="s">
        <v>1551</v>
      </c>
      <c r="D122">
        <v>2</v>
      </c>
    </row>
    <row r="123" spans="1:4" x14ac:dyDescent="0.25">
      <c r="A123" s="1">
        <v>44313</v>
      </c>
      <c r="B123" t="s">
        <v>744</v>
      </c>
      <c r="C123" t="s">
        <v>1547</v>
      </c>
      <c r="D123">
        <v>2</v>
      </c>
    </row>
    <row r="124" spans="1:4" x14ac:dyDescent="0.25">
      <c r="A124" s="1">
        <v>44314</v>
      </c>
      <c r="B124" t="s">
        <v>747</v>
      </c>
      <c r="C124" t="s">
        <v>1548</v>
      </c>
      <c r="D124">
        <v>2</v>
      </c>
    </row>
    <row r="125" spans="1:4" x14ac:dyDescent="0.25">
      <c r="A125" s="1">
        <v>44315</v>
      </c>
      <c r="B125" t="s">
        <v>750</v>
      </c>
      <c r="C125" t="s">
        <v>1551</v>
      </c>
      <c r="D125">
        <v>2</v>
      </c>
    </row>
    <row r="126" spans="1:4" x14ac:dyDescent="0.25">
      <c r="A126" s="1">
        <v>44316</v>
      </c>
      <c r="B126" t="s">
        <v>1049</v>
      </c>
      <c r="C126" t="s">
        <v>1551</v>
      </c>
      <c r="D126">
        <v>2</v>
      </c>
    </row>
    <row r="127" spans="1:4" x14ac:dyDescent="0.25">
      <c r="A127" s="1">
        <v>44316</v>
      </c>
      <c r="B127" t="s">
        <v>1049</v>
      </c>
      <c r="C127" t="s">
        <v>1549</v>
      </c>
      <c r="D127">
        <v>2</v>
      </c>
    </row>
    <row r="128" spans="1:4" x14ac:dyDescent="0.25">
      <c r="A128" s="1">
        <v>44287</v>
      </c>
      <c r="B128" t="s">
        <v>1052</v>
      </c>
      <c r="C128" t="s">
        <v>1551</v>
      </c>
      <c r="D128">
        <v>2</v>
      </c>
    </row>
    <row r="129" spans="1:4" x14ac:dyDescent="0.25">
      <c r="A129" s="1">
        <v>44288</v>
      </c>
      <c r="B129" t="s">
        <v>1055</v>
      </c>
      <c r="C129" t="s">
        <v>1551</v>
      </c>
      <c r="D129">
        <v>2</v>
      </c>
    </row>
    <row r="130" spans="1:4" x14ac:dyDescent="0.25">
      <c r="A130" s="1">
        <v>44289</v>
      </c>
      <c r="B130" t="s">
        <v>1058</v>
      </c>
      <c r="C130" t="s">
        <v>1218</v>
      </c>
      <c r="D130">
        <v>2</v>
      </c>
    </row>
    <row r="131" spans="1:4" x14ac:dyDescent="0.25">
      <c r="A131" s="1">
        <v>44290</v>
      </c>
      <c r="B131" t="s">
        <v>1061</v>
      </c>
      <c r="C131" t="s">
        <v>1551</v>
      </c>
      <c r="D131">
        <v>2</v>
      </c>
    </row>
    <row r="132" spans="1:4" x14ac:dyDescent="0.25">
      <c r="A132" s="1">
        <v>44290</v>
      </c>
      <c r="B132" t="s">
        <v>1061</v>
      </c>
      <c r="C132" t="s">
        <v>1547</v>
      </c>
      <c r="D132">
        <v>2</v>
      </c>
    </row>
    <row r="133" spans="1:4" x14ac:dyDescent="0.25">
      <c r="A133" s="1">
        <v>44291</v>
      </c>
      <c r="B133" t="s">
        <v>1064</v>
      </c>
      <c r="C133" t="s">
        <v>1548</v>
      </c>
      <c r="D133">
        <v>2</v>
      </c>
    </row>
    <row r="134" spans="1:4" x14ac:dyDescent="0.25">
      <c r="A134" s="1">
        <v>44292</v>
      </c>
      <c r="B134" t="s">
        <v>1067</v>
      </c>
      <c r="C134" t="s">
        <v>1551</v>
      </c>
      <c r="D134">
        <v>2</v>
      </c>
    </row>
    <row r="135" spans="1:4" x14ac:dyDescent="0.25">
      <c r="A135" s="1">
        <v>44293</v>
      </c>
      <c r="B135" t="s">
        <v>1135</v>
      </c>
      <c r="C135" t="s">
        <v>1551</v>
      </c>
      <c r="D135">
        <v>2</v>
      </c>
    </row>
    <row r="136" spans="1:4" x14ac:dyDescent="0.25">
      <c r="A136" s="1">
        <v>44293</v>
      </c>
      <c r="B136" t="s">
        <v>1135</v>
      </c>
      <c r="C136" t="s">
        <v>1549</v>
      </c>
      <c r="D136">
        <v>2</v>
      </c>
    </row>
    <row r="137" spans="1:4" x14ac:dyDescent="0.25">
      <c r="A137" s="1">
        <v>44294</v>
      </c>
      <c r="B137" t="s">
        <v>1138</v>
      </c>
      <c r="C137" t="s">
        <v>1551</v>
      </c>
      <c r="D137">
        <v>2</v>
      </c>
    </row>
    <row r="138" spans="1:4" x14ac:dyDescent="0.25">
      <c r="A138" s="1">
        <v>44295</v>
      </c>
      <c r="B138" t="s">
        <v>1141</v>
      </c>
      <c r="C138" t="s">
        <v>1551</v>
      </c>
      <c r="D138">
        <v>2</v>
      </c>
    </row>
    <row r="139" spans="1:4" x14ac:dyDescent="0.25">
      <c r="A139" s="1">
        <v>44296</v>
      </c>
      <c r="B139" t="s">
        <v>1146</v>
      </c>
      <c r="C139" t="s">
        <v>1218</v>
      </c>
      <c r="D139">
        <v>2</v>
      </c>
    </row>
    <row r="140" spans="1:4" x14ac:dyDescent="0.25">
      <c r="A140" s="1">
        <v>44297</v>
      </c>
      <c r="B140" t="s">
        <v>1196</v>
      </c>
      <c r="C140" t="s">
        <v>1551</v>
      </c>
      <c r="D140">
        <v>2</v>
      </c>
    </row>
    <row r="141" spans="1:4" x14ac:dyDescent="0.25">
      <c r="A141" s="1">
        <v>44297</v>
      </c>
      <c r="B141" t="s">
        <v>1196</v>
      </c>
      <c r="C141" t="s">
        <v>1547</v>
      </c>
      <c r="D141">
        <v>2</v>
      </c>
    </row>
    <row r="142" spans="1:4" x14ac:dyDescent="0.25">
      <c r="A142" s="1">
        <v>44298</v>
      </c>
      <c r="B142" t="s">
        <v>1199</v>
      </c>
      <c r="C142" t="s">
        <v>1548</v>
      </c>
      <c r="D142">
        <v>2</v>
      </c>
    </row>
    <row r="143" spans="1:4" x14ac:dyDescent="0.25">
      <c r="A143" s="1">
        <v>44299</v>
      </c>
      <c r="B143" t="s">
        <v>1202</v>
      </c>
      <c r="C143" t="s">
        <v>1551</v>
      </c>
      <c r="D143">
        <v>2</v>
      </c>
    </row>
    <row r="144" spans="1:4" x14ac:dyDescent="0.25">
      <c r="A144" s="1">
        <v>44300</v>
      </c>
      <c r="B144" t="s">
        <v>763</v>
      </c>
      <c r="C144" t="s">
        <v>1551</v>
      </c>
      <c r="D144">
        <v>2</v>
      </c>
    </row>
    <row r="145" spans="1:4" x14ac:dyDescent="0.25">
      <c r="A145" s="1">
        <v>44300</v>
      </c>
      <c r="B145" t="s">
        <v>763</v>
      </c>
      <c r="C145" t="s">
        <v>1549</v>
      </c>
      <c r="D145">
        <v>2</v>
      </c>
    </row>
    <row r="146" spans="1:4" x14ac:dyDescent="0.25">
      <c r="A146" s="1">
        <v>44301</v>
      </c>
      <c r="B146" t="s">
        <v>770</v>
      </c>
      <c r="C146" t="s">
        <v>1551</v>
      </c>
      <c r="D146">
        <v>2</v>
      </c>
    </row>
    <row r="147" spans="1:4" x14ac:dyDescent="0.25">
      <c r="A147" s="1">
        <v>44302</v>
      </c>
      <c r="B147" t="s">
        <v>773</v>
      </c>
      <c r="C147" t="s">
        <v>1551</v>
      </c>
      <c r="D147">
        <v>2</v>
      </c>
    </row>
    <row r="148" spans="1:4" x14ac:dyDescent="0.25">
      <c r="A148" s="1">
        <v>44303</v>
      </c>
      <c r="B148" t="s">
        <v>776</v>
      </c>
      <c r="C148" t="s">
        <v>1218</v>
      </c>
      <c r="D148">
        <v>2</v>
      </c>
    </row>
    <row r="149" spans="1:4" x14ac:dyDescent="0.25">
      <c r="A149" s="1">
        <v>44304</v>
      </c>
      <c r="B149" t="s">
        <v>1303</v>
      </c>
      <c r="C149" t="s">
        <v>1552</v>
      </c>
      <c r="D149">
        <v>2</v>
      </c>
    </row>
    <row r="150" spans="1:4" x14ac:dyDescent="0.25">
      <c r="A150" s="1">
        <v>44304</v>
      </c>
      <c r="B150" t="s">
        <v>1303</v>
      </c>
      <c r="C150" t="s">
        <v>1547</v>
      </c>
      <c r="D150">
        <v>2</v>
      </c>
    </row>
    <row r="151" spans="1:4" x14ac:dyDescent="0.25">
      <c r="A151" s="1">
        <v>44305</v>
      </c>
      <c r="B151" t="s">
        <v>1306</v>
      </c>
      <c r="C151" t="s">
        <v>1548</v>
      </c>
      <c r="D151">
        <v>2</v>
      </c>
    </row>
    <row r="152" spans="1:4" x14ac:dyDescent="0.25">
      <c r="A152" s="1">
        <v>44306</v>
      </c>
      <c r="B152" t="s">
        <v>1312</v>
      </c>
      <c r="C152" t="s">
        <v>1552</v>
      </c>
      <c r="D152">
        <v>2</v>
      </c>
    </row>
    <row r="153" spans="1:4" x14ac:dyDescent="0.25">
      <c r="A153" s="1">
        <v>44306</v>
      </c>
      <c r="B153" t="s">
        <v>1312</v>
      </c>
      <c r="C153" t="s">
        <v>1549</v>
      </c>
      <c r="D153">
        <v>2</v>
      </c>
    </row>
    <row r="154" spans="1:4" x14ac:dyDescent="0.25">
      <c r="A154" s="1">
        <v>44307</v>
      </c>
      <c r="B154" t="s">
        <v>1321</v>
      </c>
      <c r="C154" t="s">
        <v>1218</v>
      </c>
      <c r="D154">
        <v>2</v>
      </c>
    </row>
    <row r="155" spans="1:4" x14ac:dyDescent="0.25">
      <c r="A155" s="1">
        <v>44308</v>
      </c>
      <c r="B155" t="s">
        <v>1324</v>
      </c>
      <c r="C155" t="s">
        <v>1552</v>
      </c>
      <c r="D155">
        <v>2</v>
      </c>
    </row>
    <row r="156" spans="1:4" x14ac:dyDescent="0.25">
      <c r="A156" s="1">
        <v>44308</v>
      </c>
      <c r="B156" t="s">
        <v>1324</v>
      </c>
      <c r="C156" t="s">
        <v>1547</v>
      </c>
      <c r="D156">
        <v>2</v>
      </c>
    </row>
    <row r="157" spans="1:4" x14ac:dyDescent="0.25">
      <c r="A157" s="1">
        <v>44309</v>
      </c>
      <c r="B157" t="s">
        <v>1327</v>
      </c>
      <c r="C157" t="s">
        <v>1548</v>
      </c>
      <c r="D157">
        <v>2</v>
      </c>
    </row>
    <row r="158" spans="1:4" x14ac:dyDescent="0.25">
      <c r="A158" s="1">
        <v>44310</v>
      </c>
      <c r="B158" t="s">
        <v>1473</v>
      </c>
      <c r="C158" t="s">
        <v>1551</v>
      </c>
      <c r="D158">
        <v>2</v>
      </c>
    </row>
    <row r="159" spans="1:4" x14ac:dyDescent="0.25">
      <c r="A159" s="1">
        <v>44310</v>
      </c>
      <c r="B159" t="s">
        <v>1473</v>
      </c>
      <c r="C159" t="s">
        <v>1547</v>
      </c>
      <c r="D159">
        <v>2</v>
      </c>
    </row>
    <row r="160" spans="1:4" x14ac:dyDescent="0.25">
      <c r="A160" s="1">
        <v>44311</v>
      </c>
      <c r="B160" t="s">
        <v>1476</v>
      </c>
      <c r="C160" t="s">
        <v>1548</v>
      </c>
      <c r="D160">
        <v>2</v>
      </c>
    </row>
    <row r="161" spans="1:4" x14ac:dyDescent="0.25">
      <c r="A161" s="1">
        <v>44312</v>
      </c>
      <c r="B161" t="s">
        <v>1479</v>
      </c>
      <c r="C161" t="s">
        <v>1551</v>
      </c>
      <c r="D161">
        <v>2</v>
      </c>
    </row>
    <row r="162" spans="1:4" x14ac:dyDescent="0.25">
      <c r="A162" s="1">
        <v>44313</v>
      </c>
      <c r="B162" t="s">
        <v>1482</v>
      </c>
      <c r="C162" t="s">
        <v>1551</v>
      </c>
      <c r="D162">
        <v>2</v>
      </c>
    </row>
    <row r="163" spans="1:4" x14ac:dyDescent="0.25">
      <c r="A163" s="1">
        <v>44313</v>
      </c>
      <c r="B163" t="s">
        <v>1482</v>
      </c>
      <c r="C163" t="s">
        <v>1549</v>
      </c>
      <c r="D163">
        <v>2</v>
      </c>
    </row>
    <row r="164" spans="1:4" x14ac:dyDescent="0.25">
      <c r="A164" s="1">
        <v>44314</v>
      </c>
      <c r="B164" t="s">
        <v>1485</v>
      </c>
      <c r="C164" t="s">
        <v>1551</v>
      </c>
      <c r="D164">
        <v>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BF10-9B53-4F35-8C12-552E8A32D61E}">
  <dimension ref="A1:D113"/>
  <sheetViews>
    <sheetView workbookViewId="0">
      <selection activeCell="H57" sqref="H57"/>
    </sheetView>
  </sheetViews>
  <sheetFormatPr defaultRowHeight="15" x14ac:dyDescent="0.25"/>
  <cols>
    <col min="1" max="1" width="15.5703125" style="1" bestFit="1" customWidth="1"/>
    <col min="2" max="2" width="13.140625" bestFit="1" customWidth="1"/>
    <col min="3" max="3" width="23.42578125" bestFit="1" customWidth="1"/>
    <col min="4" max="4" width="12.5703125" bestFit="1" customWidth="1"/>
  </cols>
  <sheetData>
    <row r="1" spans="1:4" x14ac:dyDescent="0.25">
      <c r="A1" s="1" t="s">
        <v>1524</v>
      </c>
      <c r="B1" t="s">
        <v>0</v>
      </c>
      <c r="C1" t="s">
        <v>1555</v>
      </c>
      <c r="D1" t="s">
        <v>1535</v>
      </c>
    </row>
    <row r="2" spans="1:4" x14ac:dyDescent="0.25">
      <c r="A2" s="1">
        <v>44256</v>
      </c>
      <c r="B2" t="s">
        <v>1091</v>
      </c>
      <c r="C2" t="s">
        <v>1548</v>
      </c>
      <c r="D2">
        <v>2</v>
      </c>
    </row>
    <row r="3" spans="1:4" x14ac:dyDescent="0.25">
      <c r="A3" s="1">
        <v>44257</v>
      </c>
      <c r="B3" t="s">
        <v>51</v>
      </c>
      <c r="C3" t="s">
        <v>1219</v>
      </c>
      <c r="D3">
        <v>2</v>
      </c>
    </row>
    <row r="4" spans="1:4" x14ac:dyDescent="0.25">
      <c r="A4" s="1">
        <v>44258</v>
      </c>
      <c r="B4" t="s">
        <v>54</v>
      </c>
      <c r="C4" t="s">
        <v>1219</v>
      </c>
      <c r="D4">
        <v>2</v>
      </c>
    </row>
    <row r="5" spans="1:4" x14ac:dyDescent="0.25">
      <c r="A5" s="1">
        <v>44258</v>
      </c>
      <c r="B5" t="s">
        <v>54</v>
      </c>
      <c r="C5" t="s">
        <v>1549</v>
      </c>
      <c r="D5">
        <v>2</v>
      </c>
    </row>
    <row r="6" spans="1:4" x14ac:dyDescent="0.25">
      <c r="A6" s="1">
        <v>44259</v>
      </c>
      <c r="B6" t="s">
        <v>57</v>
      </c>
      <c r="C6" t="s">
        <v>1219</v>
      </c>
      <c r="D6">
        <v>2</v>
      </c>
    </row>
    <row r="7" spans="1:4" x14ac:dyDescent="0.25">
      <c r="A7" s="1">
        <v>44260</v>
      </c>
      <c r="B7" t="s">
        <v>60</v>
      </c>
      <c r="C7" t="s">
        <v>1219</v>
      </c>
      <c r="D7">
        <v>2</v>
      </c>
    </row>
    <row r="8" spans="1:4" x14ac:dyDescent="0.25">
      <c r="A8" s="1">
        <v>44261</v>
      </c>
      <c r="B8" t="s">
        <v>63</v>
      </c>
      <c r="C8" t="s">
        <v>1218</v>
      </c>
      <c r="D8">
        <v>2</v>
      </c>
    </row>
    <row r="9" spans="1:4" x14ac:dyDescent="0.25">
      <c r="A9" s="1">
        <v>44262</v>
      </c>
      <c r="B9" t="s">
        <v>66</v>
      </c>
      <c r="C9" t="s">
        <v>1219</v>
      </c>
      <c r="D9">
        <v>2</v>
      </c>
    </row>
    <row r="10" spans="1:4" x14ac:dyDescent="0.25">
      <c r="A10" s="1">
        <v>44262</v>
      </c>
      <c r="B10" t="s">
        <v>66</v>
      </c>
      <c r="C10" t="s">
        <v>1547</v>
      </c>
      <c r="D10">
        <v>2</v>
      </c>
    </row>
    <row r="11" spans="1:4" x14ac:dyDescent="0.25">
      <c r="A11" s="1">
        <v>44263</v>
      </c>
      <c r="B11" t="s">
        <v>258</v>
      </c>
      <c r="C11" t="s">
        <v>1550</v>
      </c>
      <c r="D11">
        <v>2</v>
      </c>
    </row>
    <row r="12" spans="1:4" x14ac:dyDescent="0.25">
      <c r="A12" s="1">
        <v>44263</v>
      </c>
      <c r="B12" t="s">
        <v>258</v>
      </c>
      <c r="C12" t="s">
        <v>1547</v>
      </c>
      <c r="D12">
        <v>2</v>
      </c>
    </row>
    <row r="13" spans="1:4" x14ac:dyDescent="0.25">
      <c r="A13" s="1">
        <v>44264</v>
      </c>
      <c r="B13" t="s">
        <v>261</v>
      </c>
      <c r="C13" t="s">
        <v>1548</v>
      </c>
      <c r="D13">
        <v>2</v>
      </c>
    </row>
    <row r="14" spans="1:4" x14ac:dyDescent="0.25">
      <c r="A14" s="1">
        <v>44265</v>
      </c>
      <c r="B14" t="s">
        <v>264</v>
      </c>
      <c r="C14" t="s">
        <v>1550</v>
      </c>
      <c r="D14">
        <v>2</v>
      </c>
    </row>
    <row r="15" spans="1:4" x14ac:dyDescent="0.25">
      <c r="A15" s="1">
        <v>44266</v>
      </c>
      <c r="B15" t="s">
        <v>267</v>
      </c>
      <c r="C15" t="s">
        <v>1550</v>
      </c>
      <c r="D15">
        <v>2</v>
      </c>
    </row>
    <row r="16" spans="1:4" x14ac:dyDescent="0.25">
      <c r="A16" s="1">
        <v>44266</v>
      </c>
      <c r="B16" t="s">
        <v>267</v>
      </c>
      <c r="C16" t="s">
        <v>1549</v>
      </c>
      <c r="D16">
        <v>2</v>
      </c>
    </row>
    <row r="17" spans="1:4" x14ac:dyDescent="0.25">
      <c r="A17" s="1">
        <v>44267</v>
      </c>
      <c r="B17" t="s">
        <v>270</v>
      </c>
      <c r="C17" t="s">
        <v>1550</v>
      </c>
      <c r="D17">
        <v>2</v>
      </c>
    </row>
    <row r="18" spans="1:4" x14ac:dyDescent="0.25">
      <c r="A18" s="1">
        <v>44268</v>
      </c>
      <c r="B18" t="s">
        <v>274</v>
      </c>
      <c r="C18" t="s">
        <v>1550</v>
      </c>
      <c r="D18">
        <v>2</v>
      </c>
    </row>
    <row r="19" spans="1:4" x14ac:dyDescent="0.25">
      <c r="A19" s="1">
        <v>44269</v>
      </c>
      <c r="B19" t="s">
        <v>277</v>
      </c>
      <c r="C19" t="s">
        <v>1218</v>
      </c>
      <c r="D19">
        <v>2</v>
      </c>
    </row>
    <row r="20" spans="1:4" x14ac:dyDescent="0.25">
      <c r="A20" s="1">
        <v>44270</v>
      </c>
      <c r="B20" t="s">
        <v>280</v>
      </c>
      <c r="C20" t="s">
        <v>1550</v>
      </c>
      <c r="D20">
        <v>2</v>
      </c>
    </row>
    <row r="21" spans="1:4" x14ac:dyDescent="0.25">
      <c r="A21" s="1">
        <v>44270</v>
      </c>
      <c r="B21" t="s">
        <v>280</v>
      </c>
      <c r="C21" t="s">
        <v>1547</v>
      </c>
      <c r="D21">
        <v>2</v>
      </c>
    </row>
    <row r="22" spans="1:4" x14ac:dyDescent="0.25">
      <c r="A22" s="1">
        <v>44271</v>
      </c>
      <c r="B22" t="s">
        <v>283</v>
      </c>
      <c r="C22" t="s">
        <v>1548</v>
      </c>
      <c r="D22">
        <v>2</v>
      </c>
    </row>
    <row r="23" spans="1:4" x14ac:dyDescent="0.25">
      <c r="A23" s="1">
        <v>44272</v>
      </c>
      <c r="B23" t="s">
        <v>286</v>
      </c>
      <c r="C23" t="s">
        <v>1550</v>
      </c>
      <c r="D23">
        <v>2</v>
      </c>
    </row>
    <row r="24" spans="1:4" x14ac:dyDescent="0.25">
      <c r="A24" s="1">
        <v>44273</v>
      </c>
      <c r="B24" t="s">
        <v>289</v>
      </c>
      <c r="C24" t="s">
        <v>1550</v>
      </c>
      <c r="D24">
        <v>2</v>
      </c>
    </row>
    <row r="25" spans="1:4" x14ac:dyDescent="0.25">
      <c r="A25" s="1">
        <v>44273</v>
      </c>
      <c r="B25" t="s">
        <v>289</v>
      </c>
      <c r="C25" t="s">
        <v>1549</v>
      </c>
      <c r="D25">
        <v>2</v>
      </c>
    </row>
    <row r="26" spans="1:4" x14ac:dyDescent="0.25">
      <c r="A26" s="1">
        <v>44274</v>
      </c>
      <c r="B26" t="s">
        <v>292</v>
      </c>
      <c r="C26" t="s">
        <v>1550</v>
      </c>
      <c r="D26">
        <v>2</v>
      </c>
    </row>
    <row r="27" spans="1:4" x14ac:dyDescent="0.25">
      <c r="A27" s="1">
        <v>44275</v>
      </c>
      <c r="B27" t="s">
        <v>599</v>
      </c>
      <c r="C27" t="s">
        <v>1551</v>
      </c>
      <c r="D27">
        <v>2</v>
      </c>
    </row>
    <row r="28" spans="1:4" x14ac:dyDescent="0.25">
      <c r="A28" s="1">
        <v>44275</v>
      </c>
      <c r="B28" t="s">
        <v>599</v>
      </c>
      <c r="C28" t="s">
        <v>1547</v>
      </c>
      <c r="D28">
        <v>2</v>
      </c>
    </row>
    <row r="29" spans="1:4" x14ac:dyDescent="0.25">
      <c r="A29" s="1">
        <v>44276</v>
      </c>
      <c r="B29" t="s">
        <v>602</v>
      </c>
      <c r="C29" t="s">
        <v>1548</v>
      </c>
      <c r="D29">
        <v>2</v>
      </c>
    </row>
    <row r="30" spans="1:4" x14ac:dyDescent="0.25">
      <c r="A30" s="1">
        <v>44277</v>
      </c>
      <c r="B30" t="s">
        <v>605</v>
      </c>
      <c r="C30" t="s">
        <v>1551</v>
      </c>
      <c r="D30">
        <v>2</v>
      </c>
    </row>
    <row r="31" spans="1:4" x14ac:dyDescent="0.25">
      <c r="A31" s="1">
        <v>44278</v>
      </c>
      <c r="B31" t="s">
        <v>608</v>
      </c>
      <c r="C31" t="s">
        <v>1551</v>
      </c>
      <c r="D31">
        <v>2</v>
      </c>
    </row>
    <row r="32" spans="1:4" x14ac:dyDescent="0.25">
      <c r="A32" s="1">
        <v>44278</v>
      </c>
      <c r="B32" t="s">
        <v>608</v>
      </c>
      <c r="C32" t="s">
        <v>1549</v>
      </c>
      <c r="D32">
        <v>2</v>
      </c>
    </row>
    <row r="33" spans="1:4" x14ac:dyDescent="0.25">
      <c r="A33" s="1">
        <v>44279</v>
      </c>
      <c r="B33" t="s">
        <v>611</v>
      </c>
      <c r="C33" t="s">
        <v>1551</v>
      </c>
      <c r="D33">
        <v>2</v>
      </c>
    </row>
    <row r="34" spans="1:4" x14ac:dyDescent="0.25">
      <c r="A34" s="1">
        <v>44280</v>
      </c>
      <c r="B34" t="s">
        <v>616</v>
      </c>
      <c r="C34" t="s">
        <v>1551</v>
      </c>
      <c r="D34">
        <v>2</v>
      </c>
    </row>
    <row r="35" spans="1:4" x14ac:dyDescent="0.25">
      <c r="A35" s="1">
        <v>44281</v>
      </c>
      <c r="B35" t="s">
        <v>619</v>
      </c>
      <c r="C35" t="s">
        <v>1218</v>
      </c>
      <c r="D35">
        <v>2</v>
      </c>
    </row>
    <row r="36" spans="1:4" x14ac:dyDescent="0.25">
      <c r="A36" s="1">
        <v>44282</v>
      </c>
      <c r="B36" t="s">
        <v>622</v>
      </c>
      <c r="C36" t="s">
        <v>1551</v>
      </c>
      <c r="D36">
        <v>2</v>
      </c>
    </row>
    <row r="37" spans="1:4" x14ac:dyDescent="0.25">
      <c r="A37" s="1">
        <v>44282</v>
      </c>
      <c r="B37" t="s">
        <v>622</v>
      </c>
      <c r="C37" t="s">
        <v>1547</v>
      </c>
      <c r="D37">
        <v>2</v>
      </c>
    </row>
    <row r="38" spans="1:4" x14ac:dyDescent="0.25">
      <c r="A38" s="1">
        <v>44283</v>
      </c>
      <c r="B38" t="s">
        <v>625</v>
      </c>
      <c r="C38" t="s">
        <v>1548</v>
      </c>
      <c r="D38">
        <v>2</v>
      </c>
    </row>
    <row r="39" spans="1:4" x14ac:dyDescent="0.25">
      <c r="A39" s="1">
        <v>44284</v>
      </c>
      <c r="B39" t="s">
        <v>1134</v>
      </c>
      <c r="C39" t="s">
        <v>1551</v>
      </c>
      <c r="D39">
        <v>2</v>
      </c>
    </row>
    <row r="40" spans="1:4" x14ac:dyDescent="0.25">
      <c r="A40" s="1">
        <v>44285</v>
      </c>
      <c r="B40" t="s">
        <v>631</v>
      </c>
      <c r="C40" t="s">
        <v>1551</v>
      </c>
      <c r="D40">
        <v>2</v>
      </c>
    </row>
    <row r="41" spans="1:4" x14ac:dyDescent="0.25">
      <c r="A41" s="1">
        <v>44285</v>
      </c>
      <c r="B41" t="s">
        <v>631</v>
      </c>
      <c r="C41" t="s">
        <v>1549</v>
      </c>
      <c r="D41">
        <v>2</v>
      </c>
    </row>
    <row r="42" spans="1:4" x14ac:dyDescent="0.25">
      <c r="A42" s="1">
        <v>44286</v>
      </c>
      <c r="B42" t="s">
        <v>634</v>
      </c>
      <c r="C42" t="s">
        <v>1551</v>
      </c>
      <c r="D42">
        <v>2</v>
      </c>
    </row>
    <row r="43" spans="1:4" x14ac:dyDescent="0.25">
      <c r="A43" s="1">
        <v>44256</v>
      </c>
      <c r="B43" t="s">
        <v>637</v>
      </c>
      <c r="C43" t="s">
        <v>1551</v>
      </c>
      <c r="D43">
        <v>2</v>
      </c>
    </row>
    <row r="44" spans="1:4" x14ac:dyDescent="0.25">
      <c r="A44" s="1">
        <v>44275</v>
      </c>
      <c r="B44" t="s">
        <v>640</v>
      </c>
      <c r="C44" t="s">
        <v>1218</v>
      </c>
      <c r="D44">
        <v>2</v>
      </c>
    </row>
    <row r="45" spans="1:4" x14ac:dyDescent="0.25">
      <c r="A45" s="1">
        <v>44258</v>
      </c>
      <c r="B45" t="s">
        <v>643</v>
      </c>
      <c r="C45" t="s">
        <v>1551</v>
      </c>
      <c r="D45">
        <v>2</v>
      </c>
    </row>
    <row r="46" spans="1:4" x14ac:dyDescent="0.25">
      <c r="A46" s="1">
        <v>44258</v>
      </c>
      <c r="B46" t="s">
        <v>643</v>
      </c>
      <c r="C46" t="s">
        <v>1547</v>
      </c>
      <c r="D46">
        <v>2</v>
      </c>
    </row>
    <row r="47" spans="1:4" x14ac:dyDescent="0.25">
      <c r="A47" s="1">
        <v>44259</v>
      </c>
      <c r="B47" t="s">
        <v>1255</v>
      </c>
      <c r="C47" t="s">
        <v>1548</v>
      </c>
      <c r="D47">
        <v>2</v>
      </c>
    </row>
    <row r="48" spans="1:4" x14ac:dyDescent="0.25">
      <c r="A48" s="1">
        <v>44260</v>
      </c>
      <c r="B48" t="s">
        <v>1258</v>
      </c>
      <c r="C48" t="s">
        <v>1219</v>
      </c>
      <c r="D48">
        <v>2</v>
      </c>
    </row>
    <row r="49" spans="1:4" x14ac:dyDescent="0.25">
      <c r="A49" s="1">
        <v>44261</v>
      </c>
      <c r="B49" t="s">
        <v>1261</v>
      </c>
      <c r="C49" t="s">
        <v>1219</v>
      </c>
      <c r="D49">
        <v>2</v>
      </c>
    </row>
    <row r="50" spans="1:4" x14ac:dyDescent="0.25">
      <c r="A50" s="1">
        <v>44261</v>
      </c>
      <c r="B50" t="s">
        <v>1261</v>
      </c>
      <c r="C50" t="s">
        <v>1549</v>
      </c>
      <c r="D50">
        <v>2</v>
      </c>
    </row>
    <row r="51" spans="1:4" x14ac:dyDescent="0.25">
      <c r="A51" s="1">
        <v>44262</v>
      </c>
      <c r="B51" t="s">
        <v>1264</v>
      </c>
      <c r="C51" t="s">
        <v>1219</v>
      </c>
      <c r="D51">
        <v>2</v>
      </c>
    </row>
    <row r="52" spans="1:4" x14ac:dyDescent="0.25">
      <c r="A52" s="1">
        <v>44280</v>
      </c>
      <c r="B52" t="s">
        <v>1267</v>
      </c>
      <c r="C52" t="s">
        <v>1219</v>
      </c>
      <c r="D52">
        <v>2</v>
      </c>
    </row>
    <row r="53" spans="1:4" x14ac:dyDescent="0.25">
      <c r="A53" s="1">
        <v>44264</v>
      </c>
      <c r="B53" t="s">
        <v>1270</v>
      </c>
      <c r="C53" t="s">
        <v>1218</v>
      </c>
      <c r="D53">
        <v>2</v>
      </c>
    </row>
    <row r="54" spans="1:4" x14ac:dyDescent="0.25">
      <c r="A54" s="1">
        <v>44265</v>
      </c>
      <c r="B54" t="s">
        <v>1273</v>
      </c>
      <c r="C54" t="s">
        <v>1219</v>
      </c>
      <c r="D54">
        <v>2</v>
      </c>
    </row>
    <row r="55" spans="1:4" x14ac:dyDescent="0.25">
      <c r="A55" s="1">
        <v>44265</v>
      </c>
      <c r="B55" t="s">
        <v>1273</v>
      </c>
      <c r="C55" t="s">
        <v>1547</v>
      </c>
      <c r="D55">
        <v>2</v>
      </c>
    </row>
    <row r="56" spans="1:4" x14ac:dyDescent="0.25">
      <c r="A56" s="1">
        <v>44283</v>
      </c>
      <c r="B56" t="s">
        <v>1439</v>
      </c>
      <c r="C56" t="s">
        <v>1551</v>
      </c>
      <c r="D56">
        <v>2</v>
      </c>
    </row>
    <row r="57" spans="1:4" x14ac:dyDescent="0.25">
      <c r="A57" s="1">
        <v>44267</v>
      </c>
      <c r="B57" t="s">
        <v>1442</v>
      </c>
      <c r="C57" t="s">
        <v>1218</v>
      </c>
      <c r="D57">
        <v>2</v>
      </c>
    </row>
    <row r="58" spans="1:4" x14ac:dyDescent="0.25">
      <c r="A58" s="1">
        <v>44285</v>
      </c>
      <c r="B58" t="s">
        <v>1445</v>
      </c>
      <c r="C58" t="s">
        <v>1551</v>
      </c>
      <c r="D58">
        <v>2</v>
      </c>
    </row>
    <row r="59" spans="1:4" x14ac:dyDescent="0.25">
      <c r="A59" s="1">
        <v>44285</v>
      </c>
      <c r="B59" t="s">
        <v>1445</v>
      </c>
      <c r="C59" t="s">
        <v>1547</v>
      </c>
      <c r="D59">
        <v>2</v>
      </c>
    </row>
    <row r="60" spans="1:4" x14ac:dyDescent="0.25">
      <c r="A60" s="1">
        <v>44269</v>
      </c>
      <c r="B60" t="s">
        <v>1448</v>
      </c>
      <c r="C60" t="s">
        <v>1548</v>
      </c>
      <c r="D60">
        <v>2</v>
      </c>
    </row>
    <row r="61" spans="1:4" x14ac:dyDescent="0.25">
      <c r="A61" s="1">
        <v>44287</v>
      </c>
      <c r="B61" t="s">
        <v>140</v>
      </c>
      <c r="C61" t="s">
        <v>1552</v>
      </c>
      <c r="D61">
        <v>2</v>
      </c>
    </row>
    <row r="62" spans="1:4" x14ac:dyDescent="0.25">
      <c r="A62" s="1">
        <v>44287</v>
      </c>
      <c r="B62" t="s">
        <v>140</v>
      </c>
      <c r="C62" t="s">
        <v>1549</v>
      </c>
      <c r="D62">
        <v>2</v>
      </c>
    </row>
    <row r="63" spans="1:4" x14ac:dyDescent="0.25">
      <c r="A63" s="1">
        <v>44288</v>
      </c>
      <c r="B63" t="s">
        <v>149</v>
      </c>
      <c r="C63" t="s">
        <v>1218</v>
      </c>
      <c r="D63">
        <v>2</v>
      </c>
    </row>
    <row r="64" spans="1:4" x14ac:dyDescent="0.25">
      <c r="A64" s="1">
        <v>44289</v>
      </c>
      <c r="B64" t="s">
        <v>152</v>
      </c>
      <c r="C64" t="s">
        <v>1552</v>
      </c>
      <c r="D64">
        <v>2</v>
      </c>
    </row>
    <row r="65" spans="1:4" x14ac:dyDescent="0.25">
      <c r="A65" s="1">
        <v>44289</v>
      </c>
      <c r="B65" t="s">
        <v>152</v>
      </c>
      <c r="C65" t="s">
        <v>1547</v>
      </c>
      <c r="D65">
        <v>2</v>
      </c>
    </row>
    <row r="66" spans="1:4" x14ac:dyDescent="0.25">
      <c r="A66" s="1">
        <v>44290</v>
      </c>
      <c r="B66" t="s">
        <v>155</v>
      </c>
      <c r="C66" t="s">
        <v>1548</v>
      </c>
      <c r="D66">
        <v>2</v>
      </c>
    </row>
    <row r="67" spans="1:4" x14ac:dyDescent="0.25">
      <c r="A67" s="1">
        <v>44291</v>
      </c>
      <c r="B67" t="s">
        <v>1113</v>
      </c>
      <c r="C67" t="s">
        <v>1550</v>
      </c>
      <c r="D67">
        <v>2</v>
      </c>
    </row>
    <row r="68" spans="1:4" x14ac:dyDescent="0.25">
      <c r="A68" s="1">
        <v>44292</v>
      </c>
      <c r="B68" t="s">
        <v>1118</v>
      </c>
      <c r="C68" t="s">
        <v>1550</v>
      </c>
      <c r="D68">
        <v>2</v>
      </c>
    </row>
    <row r="69" spans="1:4" x14ac:dyDescent="0.25">
      <c r="A69" s="1">
        <v>44293</v>
      </c>
      <c r="B69" t="s">
        <v>1174</v>
      </c>
      <c r="C69" t="s">
        <v>1218</v>
      </c>
      <c r="D69">
        <v>2</v>
      </c>
    </row>
    <row r="70" spans="1:4" x14ac:dyDescent="0.25">
      <c r="A70" s="1">
        <v>44294</v>
      </c>
      <c r="B70" t="s">
        <v>1177</v>
      </c>
      <c r="C70" t="s">
        <v>1550</v>
      </c>
      <c r="D70">
        <v>2</v>
      </c>
    </row>
    <row r="71" spans="1:4" x14ac:dyDescent="0.25">
      <c r="A71" s="1">
        <v>44294</v>
      </c>
      <c r="B71" t="s">
        <v>1177</v>
      </c>
      <c r="C71" t="s">
        <v>1547</v>
      </c>
      <c r="D71">
        <v>2</v>
      </c>
    </row>
    <row r="72" spans="1:4" x14ac:dyDescent="0.25">
      <c r="A72" s="1">
        <v>44295</v>
      </c>
      <c r="B72" t="s">
        <v>1180</v>
      </c>
      <c r="C72" t="s">
        <v>1548</v>
      </c>
      <c r="D72">
        <v>2</v>
      </c>
    </row>
    <row r="73" spans="1:4" x14ac:dyDescent="0.25">
      <c r="A73" s="1">
        <v>44296</v>
      </c>
      <c r="B73" t="s">
        <v>387</v>
      </c>
      <c r="C73" t="s">
        <v>1550</v>
      </c>
      <c r="D73">
        <v>2</v>
      </c>
    </row>
    <row r="74" spans="1:4" x14ac:dyDescent="0.25">
      <c r="A74" s="1">
        <v>44297</v>
      </c>
      <c r="B74" t="s">
        <v>394</v>
      </c>
      <c r="C74" t="s">
        <v>1550</v>
      </c>
      <c r="D74">
        <v>2</v>
      </c>
    </row>
    <row r="75" spans="1:4" x14ac:dyDescent="0.25">
      <c r="A75" s="1">
        <v>44297</v>
      </c>
      <c r="B75" t="s">
        <v>394</v>
      </c>
      <c r="C75" t="s">
        <v>1549</v>
      </c>
      <c r="D75">
        <v>2</v>
      </c>
    </row>
    <row r="76" spans="1:4" x14ac:dyDescent="0.25">
      <c r="A76" s="1">
        <v>44298</v>
      </c>
      <c r="B76" t="s">
        <v>397</v>
      </c>
      <c r="C76" t="s">
        <v>1550</v>
      </c>
      <c r="D76">
        <v>2</v>
      </c>
    </row>
    <row r="77" spans="1:4" x14ac:dyDescent="0.25">
      <c r="A77" s="1">
        <v>44299</v>
      </c>
      <c r="B77" t="s">
        <v>400</v>
      </c>
      <c r="C77" t="s">
        <v>1550</v>
      </c>
      <c r="D77">
        <v>2</v>
      </c>
    </row>
    <row r="78" spans="1:4" x14ac:dyDescent="0.25">
      <c r="A78" s="1">
        <v>44300</v>
      </c>
      <c r="B78" t="s">
        <v>403</v>
      </c>
      <c r="C78" t="s">
        <v>1218</v>
      </c>
      <c r="D78">
        <v>2</v>
      </c>
    </row>
    <row r="79" spans="1:4" x14ac:dyDescent="0.25">
      <c r="A79" s="1">
        <v>44301</v>
      </c>
      <c r="B79" t="s">
        <v>406</v>
      </c>
      <c r="C79" t="s">
        <v>1550</v>
      </c>
      <c r="D79">
        <v>2</v>
      </c>
    </row>
    <row r="80" spans="1:4" x14ac:dyDescent="0.25">
      <c r="A80" s="1">
        <v>44301</v>
      </c>
      <c r="B80" t="s">
        <v>406</v>
      </c>
      <c r="C80" t="s">
        <v>1547</v>
      </c>
      <c r="D80">
        <v>2</v>
      </c>
    </row>
    <row r="81" spans="1:4" x14ac:dyDescent="0.25">
      <c r="A81" s="1">
        <v>44302</v>
      </c>
      <c r="B81" t="s">
        <v>409</v>
      </c>
      <c r="C81" t="s">
        <v>1548</v>
      </c>
      <c r="D81">
        <v>2</v>
      </c>
    </row>
    <row r="82" spans="1:4" x14ac:dyDescent="0.25">
      <c r="A82" s="1">
        <v>44303</v>
      </c>
      <c r="B82" t="s">
        <v>412</v>
      </c>
      <c r="C82" t="s">
        <v>1550</v>
      </c>
      <c r="D82">
        <v>2</v>
      </c>
    </row>
    <row r="83" spans="1:4" x14ac:dyDescent="0.25">
      <c r="A83" s="1">
        <v>44304</v>
      </c>
      <c r="B83" t="s">
        <v>779</v>
      </c>
      <c r="C83" t="s">
        <v>1551</v>
      </c>
      <c r="D83">
        <v>2</v>
      </c>
    </row>
    <row r="84" spans="1:4" x14ac:dyDescent="0.25">
      <c r="A84" s="1">
        <v>44304</v>
      </c>
      <c r="B84" t="s">
        <v>779</v>
      </c>
      <c r="C84" t="s">
        <v>1547</v>
      </c>
      <c r="D84">
        <v>2</v>
      </c>
    </row>
    <row r="85" spans="1:4" x14ac:dyDescent="0.25">
      <c r="A85" s="1">
        <v>44305</v>
      </c>
      <c r="B85" t="s">
        <v>782</v>
      </c>
      <c r="C85" t="s">
        <v>1548</v>
      </c>
      <c r="D85">
        <v>2</v>
      </c>
    </row>
    <row r="86" spans="1:4" x14ac:dyDescent="0.25">
      <c r="A86" s="1">
        <v>44306</v>
      </c>
      <c r="B86" t="s">
        <v>785</v>
      </c>
      <c r="C86" t="s">
        <v>1551</v>
      </c>
      <c r="D86">
        <v>2</v>
      </c>
    </row>
    <row r="87" spans="1:4" x14ac:dyDescent="0.25">
      <c r="A87" s="1">
        <v>44307</v>
      </c>
      <c r="B87" t="s">
        <v>788</v>
      </c>
      <c r="C87" t="s">
        <v>1551</v>
      </c>
      <c r="D87">
        <v>2</v>
      </c>
    </row>
    <row r="88" spans="1:4" x14ac:dyDescent="0.25">
      <c r="A88" s="1">
        <v>44307</v>
      </c>
      <c r="B88" t="s">
        <v>788</v>
      </c>
      <c r="C88" t="s">
        <v>1549</v>
      </c>
      <c r="D88">
        <v>2</v>
      </c>
    </row>
    <row r="89" spans="1:4" x14ac:dyDescent="0.25">
      <c r="A89" s="1">
        <v>44308</v>
      </c>
      <c r="B89" t="s">
        <v>796</v>
      </c>
      <c r="C89" t="s">
        <v>1551</v>
      </c>
      <c r="D89">
        <v>2</v>
      </c>
    </row>
    <row r="90" spans="1:4" x14ac:dyDescent="0.25">
      <c r="A90" s="1">
        <v>44309</v>
      </c>
      <c r="B90" t="s">
        <v>799</v>
      </c>
      <c r="C90" t="s">
        <v>1551</v>
      </c>
      <c r="D90">
        <v>2</v>
      </c>
    </row>
    <row r="91" spans="1:4" x14ac:dyDescent="0.25">
      <c r="A91" s="1">
        <v>44310</v>
      </c>
      <c r="B91" t="s">
        <v>804</v>
      </c>
      <c r="C91" t="s">
        <v>1218</v>
      </c>
      <c r="D91">
        <v>2</v>
      </c>
    </row>
    <row r="92" spans="1:4" x14ac:dyDescent="0.25">
      <c r="A92" s="1">
        <v>44311</v>
      </c>
      <c r="B92" t="s">
        <v>807</v>
      </c>
      <c r="C92" t="s">
        <v>1551</v>
      </c>
      <c r="D92">
        <v>2</v>
      </c>
    </row>
    <row r="93" spans="1:4" x14ac:dyDescent="0.25">
      <c r="A93" s="1">
        <v>44311</v>
      </c>
      <c r="B93" t="s">
        <v>807</v>
      </c>
      <c r="C93" t="s">
        <v>1547</v>
      </c>
      <c r="D93">
        <v>2</v>
      </c>
    </row>
    <row r="94" spans="1:4" x14ac:dyDescent="0.25">
      <c r="A94" s="1">
        <v>44312</v>
      </c>
      <c r="B94" t="s">
        <v>810</v>
      </c>
      <c r="C94" t="s">
        <v>1548</v>
      </c>
      <c r="D94">
        <v>2</v>
      </c>
    </row>
    <row r="95" spans="1:4" x14ac:dyDescent="0.25">
      <c r="A95" s="1">
        <v>44313</v>
      </c>
      <c r="B95" t="s">
        <v>813</v>
      </c>
      <c r="C95" t="s">
        <v>1551</v>
      </c>
      <c r="D95">
        <v>2</v>
      </c>
    </row>
    <row r="96" spans="1:4" x14ac:dyDescent="0.25">
      <c r="A96" s="1">
        <v>44314</v>
      </c>
      <c r="B96" t="s">
        <v>816</v>
      </c>
      <c r="C96" t="s">
        <v>1551</v>
      </c>
      <c r="D96">
        <v>2</v>
      </c>
    </row>
    <row r="97" spans="1:4" x14ac:dyDescent="0.25">
      <c r="A97" s="1">
        <v>44314</v>
      </c>
      <c r="B97" t="s">
        <v>816</v>
      </c>
      <c r="C97" t="s">
        <v>1549</v>
      </c>
      <c r="D97">
        <v>2</v>
      </c>
    </row>
    <row r="98" spans="1:4" x14ac:dyDescent="0.25">
      <c r="A98" s="1">
        <v>44315</v>
      </c>
      <c r="B98" t="s">
        <v>819</v>
      </c>
      <c r="C98" t="s">
        <v>1551</v>
      </c>
      <c r="D98">
        <v>2</v>
      </c>
    </row>
    <row r="99" spans="1:4" x14ac:dyDescent="0.25">
      <c r="A99" s="1">
        <v>44316</v>
      </c>
      <c r="B99" t="s">
        <v>822</v>
      </c>
      <c r="C99" t="s">
        <v>1551</v>
      </c>
      <c r="D99">
        <v>2</v>
      </c>
    </row>
    <row r="100" spans="1:4" x14ac:dyDescent="0.25">
      <c r="A100" s="1">
        <v>44287</v>
      </c>
      <c r="B100" t="s">
        <v>825</v>
      </c>
      <c r="C100" t="s">
        <v>1218</v>
      </c>
      <c r="D100">
        <v>2</v>
      </c>
    </row>
    <row r="101" spans="1:4" x14ac:dyDescent="0.25">
      <c r="A101" s="1">
        <v>44288</v>
      </c>
      <c r="B101" t="s">
        <v>828</v>
      </c>
      <c r="C101" t="s">
        <v>1551</v>
      </c>
      <c r="D101">
        <v>2</v>
      </c>
    </row>
    <row r="102" spans="1:4" x14ac:dyDescent="0.25">
      <c r="A102" s="1">
        <v>44288</v>
      </c>
      <c r="B102" t="s">
        <v>828</v>
      </c>
      <c r="C102" t="s">
        <v>1547</v>
      </c>
      <c r="D102">
        <v>2</v>
      </c>
    </row>
    <row r="103" spans="1:4" x14ac:dyDescent="0.25">
      <c r="A103" s="1">
        <v>44306</v>
      </c>
      <c r="B103" t="s">
        <v>1333</v>
      </c>
      <c r="C103" t="s">
        <v>1552</v>
      </c>
      <c r="D103">
        <v>2</v>
      </c>
    </row>
    <row r="104" spans="1:4" x14ac:dyDescent="0.25">
      <c r="A104" s="1">
        <v>44306</v>
      </c>
      <c r="B104" t="s">
        <v>1333</v>
      </c>
      <c r="C104" t="s">
        <v>1549</v>
      </c>
      <c r="D104">
        <v>2</v>
      </c>
    </row>
    <row r="105" spans="1:4" x14ac:dyDescent="0.25">
      <c r="A105" s="1">
        <v>44290</v>
      </c>
      <c r="B105" t="s">
        <v>1342</v>
      </c>
      <c r="C105" t="s">
        <v>1218</v>
      </c>
      <c r="D105">
        <v>2</v>
      </c>
    </row>
    <row r="106" spans="1:4" x14ac:dyDescent="0.25">
      <c r="A106" s="1">
        <v>44311</v>
      </c>
      <c r="B106" t="s">
        <v>1345</v>
      </c>
      <c r="C106" t="s">
        <v>1552</v>
      </c>
      <c r="D106">
        <v>2</v>
      </c>
    </row>
    <row r="107" spans="1:4" x14ac:dyDescent="0.25">
      <c r="A107" s="1">
        <v>44311</v>
      </c>
      <c r="B107" t="s">
        <v>1345</v>
      </c>
      <c r="C107" t="s">
        <v>1547</v>
      </c>
      <c r="D107">
        <v>2</v>
      </c>
    </row>
    <row r="108" spans="1:4" x14ac:dyDescent="0.25">
      <c r="A108" s="1">
        <v>44292</v>
      </c>
      <c r="B108" t="s">
        <v>1348</v>
      </c>
      <c r="C108" t="s">
        <v>1548</v>
      </c>
      <c r="D108">
        <v>2</v>
      </c>
    </row>
    <row r="109" spans="1:4" x14ac:dyDescent="0.25">
      <c r="A109" s="1">
        <v>44293</v>
      </c>
      <c r="B109" t="s">
        <v>1488</v>
      </c>
      <c r="C109" t="s">
        <v>1551</v>
      </c>
      <c r="D109">
        <v>2</v>
      </c>
    </row>
    <row r="110" spans="1:4" x14ac:dyDescent="0.25">
      <c r="A110" s="1">
        <v>44316</v>
      </c>
      <c r="B110" t="s">
        <v>1491</v>
      </c>
      <c r="C110" t="s">
        <v>1218</v>
      </c>
      <c r="D110">
        <v>2</v>
      </c>
    </row>
    <row r="111" spans="1:4" x14ac:dyDescent="0.25">
      <c r="A111" s="1">
        <v>44295</v>
      </c>
      <c r="B111" t="s">
        <v>1494</v>
      </c>
      <c r="C111" t="s">
        <v>1551</v>
      </c>
      <c r="D111">
        <v>2</v>
      </c>
    </row>
    <row r="112" spans="1:4" x14ac:dyDescent="0.25">
      <c r="A112" s="1">
        <v>44295</v>
      </c>
      <c r="B112" t="s">
        <v>1494</v>
      </c>
      <c r="C112" t="s">
        <v>1547</v>
      </c>
      <c r="D112">
        <v>2</v>
      </c>
    </row>
    <row r="113" spans="1:4" x14ac:dyDescent="0.25">
      <c r="A113" s="1">
        <v>44301</v>
      </c>
      <c r="B113" t="s">
        <v>1497</v>
      </c>
      <c r="C113" t="s">
        <v>1548</v>
      </c>
      <c r="D113">
        <v>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D7C7-FFF3-44FA-A4EC-B823B6FD0BED}">
  <dimension ref="A1:D92"/>
  <sheetViews>
    <sheetView workbookViewId="0">
      <selection activeCell="O36" sqref="O36"/>
    </sheetView>
  </sheetViews>
  <sheetFormatPr defaultRowHeight="15" x14ac:dyDescent="0.25"/>
  <cols>
    <col min="1" max="1" width="15.85546875" style="3" bestFit="1" customWidth="1"/>
    <col min="2" max="2" width="13.140625" style="4" bestFit="1" customWidth="1"/>
    <col min="3" max="3" width="23.42578125" style="4" bestFit="1" customWidth="1"/>
    <col min="4" max="4" width="12.5703125" style="4" bestFit="1" customWidth="1"/>
  </cols>
  <sheetData>
    <row r="1" spans="1:4" x14ac:dyDescent="0.25">
      <c r="A1" s="3" t="s">
        <v>1524</v>
      </c>
      <c r="B1" s="4" t="s">
        <v>0</v>
      </c>
      <c r="C1" s="4" t="s">
        <v>1555</v>
      </c>
      <c r="D1" s="4" t="s">
        <v>1535</v>
      </c>
    </row>
    <row r="2" spans="1:4" x14ac:dyDescent="0.25">
      <c r="A2" s="3">
        <v>44256</v>
      </c>
      <c r="B2" s="4" t="s">
        <v>70</v>
      </c>
      <c r="C2" s="4" t="s">
        <v>1548</v>
      </c>
      <c r="D2" s="4">
        <v>2</v>
      </c>
    </row>
    <row r="3" spans="1:4" x14ac:dyDescent="0.25">
      <c r="A3" s="3">
        <v>44257</v>
      </c>
      <c r="B3" s="4" t="s">
        <v>76</v>
      </c>
      <c r="C3" s="4" t="s">
        <v>1219</v>
      </c>
      <c r="D3" s="4">
        <v>2</v>
      </c>
    </row>
    <row r="4" spans="1:4" x14ac:dyDescent="0.25">
      <c r="A4" s="3">
        <v>44258</v>
      </c>
      <c r="B4" s="4" t="s">
        <v>82</v>
      </c>
      <c r="C4" s="4" t="s">
        <v>1219</v>
      </c>
      <c r="D4" s="4">
        <v>2</v>
      </c>
    </row>
    <row r="5" spans="1:4" x14ac:dyDescent="0.25">
      <c r="A5" s="3">
        <v>44258</v>
      </c>
      <c r="B5" s="4" t="s">
        <v>82</v>
      </c>
      <c r="C5" s="4" t="s">
        <v>1549</v>
      </c>
      <c r="D5" s="4">
        <v>2</v>
      </c>
    </row>
    <row r="6" spans="1:4" x14ac:dyDescent="0.25">
      <c r="A6" s="3">
        <v>44259</v>
      </c>
      <c r="B6" s="4" t="s">
        <v>89</v>
      </c>
      <c r="C6" s="4" t="s">
        <v>1219</v>
      </c>
      <c r="D6" s="4">
        <v>2</v>
      </c>
    </row>
    <row r="7" spans="1:4" x14ac:dyDescent="0.25">
      <c r="A7" s="3">
        <v>44260</v>
      </c>
      <c r="B7" s="4" t="s">
        <v>95</v>
      </c>
      <c r="C7" s="4" t="s">
        <v>1219</v>
      </c>
      <c r="D7" s="4">
        <v>2</v>
      </c>
    </row>
    <row r="8" spans="1:4" x14ac:dyDescent="0.25">
      <c r="A8" s="3">
        <v>44261</v>
      </c>
      <c r="B8" s="4" t="s">
        <v>296</v>
      </c>
      <c r="C8" s="4" t="s">
        <v>1550</v>
      </c>
      <c r="D8" s="4">
        <v>2</v>
      </c>
    </row>
    <row r="9" spans="1:4" x14ac:dyDescent="0.25">
      <c r="A9" s="3">
        <v>44262</v>
      </c>
      <c r="B9" s="4" t="s">
        <v>302</v>
      </c>
      <c r="C9" s="4" t="s">
        <v>1218</v>
      </c>
      <c r="D9" s="4">
        <v>2</v>
      </c>
    </row>
    <row r="10" spans="1:4" x14ac:dyDescent="0.25">
      <c r="A10" s="3">
        <v>44263</v>
      </c>
      <c r="B10" s="4" t="s">
        <v>309</v>
      </c>
      <c r="C10" s="4" t="s">
        <v>1550</v>
      </c>
      <c r="D10" s="4">
        <v>2</v>
      </c>
    </row>
    <row r="11" spans="1:4" x14ac:dyDescent="0.25">
      <c r="A11" s="3">
        <v>44263</v>
      </c>
      <c r="B11" s="4" t="s">
        <v>309</v>
      </c>
      <c r="C11" s="4" t="s">
        <v>1547</v>
      </c>
      <c r="D11" s="4">
        <v>2</v>
      </c>
    </row>
    <row r="12" spans="1:4" x14ac:dyDescent="0.25">
      <c r="A12" s="3">
        <v>44264</v>
      </c>
      <c r="B12" s="4" t="s">
        <v>315</v>
      </c>
      <c r="C12" s="4" t="s">
        <v>1548</v>
      </c>
      <c r="D12" s="4">
        <v>2</v>
      </c>
    </row>
    <row r="13" spans="1:4" x14ac:dyDescent="0.25">
      <c r="A13" s="3">
        <v>44265</v>
      </c>
      <c r="B13" s="4" t="s">
        <v>321</v>
      </c>
      <c r="C13" s="4" t="s">
        <v>1550</v>
      </c>
      <c r="D13" s="4">
        <v>2</v>
      </c>
    </row>
    <row r="14" spans="1:4" x14ac:dyDescent="0.25">
      <c r="A14" s="3">
        <v>44266</v>
      </c>
      <c r="B14" s="4" t="s">
        <v>327</v>
      </c>
      <c r="C14" s="4" t="s">
        <v>1550</v>
      </c>
      <c r="D14" s="4">
        <v>2</v>
      </c>
    </row>
    <row r="15" spans="1:4" x14ac:dyDescent="0.25">
      <c r="A15" s="3">
        <v>44266</v>
      </c>
      <c r="B15" s="4" t="s">
        <v>327</v>
      </c>
      <c r="C15" s="4" t="s">
        <v>1549</v>
      </c>
      <c r="D15" s="4">
        <v>2</v>
      </c>
    </row>
    <row r="16" spans="1:4" x14ac:dyDescent="0.25">
      <c r="A16" s="3">
        <v>44267</v>
      </c>
      <c r="B16" s="4" t="s">
        <v>333</v>
      </c>
      <c r="C16" s="4" t="s">
        <v>1550</v>
      </c>
      <c r="D16" s="4">
        <v>2</v>
      </c>
    </row>
    <row r="17" spans="1:4" x14ac:dyDescent="0.25">
      <c r="A17" s="3">
        <v>44268</v>
      </c>
      <c r="B17" s="4" t="s">
        <v>339</v>
      </c>
      <c r="C17" s="4" t="s">
        <v>1550</v>
      </c>
      <c r="D17" s="4">
        <v>2</v>
      </c>
    </row>
    <row r="18" spans="1:4" x14ac:dyDescent="0.25">
      <c r="A18" s="3">
        <v>44269</v>
      </c>
      <c r="B18" s="4" t="s">
        <v>647</v>
      </c>
      <c r="C18" s="4" t="s">
        <v>1548</v>
      </c>
      <c r="D18" s="4">
        <v>2</v>
      </c>
    </row>
    <row r="19" spans="1:4" x14ac:dyDescent="0.25">
      <c r="A19" s="3">
        <v>44270</v>
      </c>
      <c r="B19" s="4" t="s">
        <v>654</v>
      </c>
      <c r="C19" s="4" t="s">
        <v>1551</v>
      </c>
      <c r="D19" s="4">
        <v>2</v>
      </c>
    </row>
    <row r="20" spans="1:4" x14ac:dyDescent="0.25">
      <c r="A20" s="3">
        <v>44271</v>
      </c>
      <c r="B20" s="4" t="s">
        <v>660</v>
      </c>
      <c r="C20" s="4" t="s">
        <v>1551</v>
      </c>
      <c r="D20" s="4">
        <v>2</v>
      </c>
    </row>
    <row r="21" spans="1:4" x14ac:dyDescent="0.25">
      <c r="A21" s="3">
        <v>44271</v>
      </c>
      <c r="B21" s="4" t="s">
        <v>660</v>
      </c>
      <c r="C21" s="4" t="s">
        <v>1549</v>
      </c>
      <c r="D21" s="4">
        <v>2</v>
      </c>
    </row>
    <row r="22" spans="1:4" x14ac:dyDescent="0.25">
      <c r="A22" s="3">
        <v>44272</v>
      </c>
      <c r="B22" s="4" t="s">
        <v>666</v>
      </c>
      <c r="C22" s="4" t="s">
        <v>1551</v>
      </c>
      <c r="D22" s="4">
        <v>2</v>
      </c>
    </row>
    <row r="23" spans="1:4" x14ac:dyDescent="0.25">
      <c r="A23" s="3">
        <v>44273</v>
      </c>
      <c r="B23" s="4" t="s">
        <v>672</v>
      </c>
      <c r="C23" s="4" t="s">
        <v>1551</v>
      </c>
      <c r="D23" s="4">
        <v>2</v>
      </c>
    </row>
    <row r="24" spans="1:4" x14ac:dyDescent="0.25">
      <c r="A24" s="3">
        <v>44274</v>
      </c>
      <c r="B24" s="4" t="s">
        <v>678</v>
      </c>
      <c r="C24" s="4" t="s">
        <v>1218</v>
      </c>
      <c r="D24" s="4">
        <v>2</v>
      </c>
    </row>
    <row r="25" spans="1:4" x14ac:dyDescent="0.25">
      <c r="A25" s="3">
        <v>44275</v>
      </c>
      <c r="B25" s="4" t="s">
        <v>685</v>
      </c>
      <c r="C25" s="4" t="s">
        <v>1551</v>
      </c>
      <c r="D25" s="4">
        <v>2</v>
      </c>
    </row>
    <row r="26" spans="1:4" x14ac:dyDescent="0.25">
      <c r="A26" s="3">
        <v>44275</v>
      </c>
      <c r="B26" s="4" t="s">
        <v>685</v>
      </c>
      <c r="C26" s="4" t="s">
        <v>1547</v>
      </c>
      <c r="D26" s="4">
        <v>2</v>
      </c>
    </row>
    <row r="27" spans="1:4" x14ac:dyDescent="0.25">
      <c r="A27" s="3">
        <v>44276</v>
      </c>
      <c r="B27" s="4" t="s">
        <v>691</v>
      </c>
      <c r="C27" s="4" t="s">
        <v>1548</v>
      </c>
      <c r="D27" s="4">
        <v>2</v>
      </c>
    </row>
    <row r="28" spans="1:4" x14ac:dyDescent="0.25">
      <c r="A28" s="3">
        <v>44277</v>
      </c>
      <c r="B28" s="4" t="s">
        <v>697</v>
      </c>
      <c r="C28" s="4" t="s">
        <v>1551</v>
      </c>
      <c r="D28" s="4">
        <v>2</v>
      </c>
    </row>
    <row r="29" spans="1:4" x14ac:dyDescent="0.25">
      <c r="A29" s="3">
        <v>44278</v>
      </c>
      <c r="B29" s="4" t="s">
        <v>703</v>
      </c>
      <c r="C29" s="4" t="s">
        <v>1551</v>
      </c>
      <c r="D29" s="4">
        <v>2</v>
      </c>
    </row>
    <row r="30" spans="1:4" x14ac:dyDescent="0.25">
      <c r="A30" s="3">
        <v>44278</v>
      </c>
      <c r="B30" s="4" t="s">
        <v>703</v>
      </c>
      <c r="C30" s="4" t="s">
        <v>1549</v>
      </c>
      <c r="D30" s="4">
        <v>2</v>
      </c>
    </row>
    <row r="31" spans="1:4" x14ac:dyDescent="0.25">
      <c r="A31" s="3">
        <v>44279</v>
      </c>
      <c r="B31" s="4" t="s">
        <v>1278</v>
      </c>
      <c r="C31" s="4" t="s">
        <v>1548</v>
      </c>
      <c r="D31" s="4">
        <v>2</v>
      </c>
    </row>
    <row r="32" spans="1:4" x14ac:dyDescent="0.25">
      <c r="A32" s="3">
        <v>44280</v>
      </c>
      <c r="B32" s="4" t="s">
        <v>1284</v>
      </c>
      <c r="C32" s="4" t="s">
        <v>1219</v>
      </c>
      <c r="D32" s="4">
        <v>2</v>
      </c>
    </row>
    <row r="33" spans="1:4" x14ac:dyDescent="0.25">
      <c r="A33" s="3">
        <v>44281</v>
      </c>
      <c r="B33" s="4" t="s">
        <v>1290</v>
      </c>
      <c r="C33" s="4" t="s">
        <v>1219</v>
      </c>
      <c r="D33" s="4">
        <v>2</v>
      </c>
    </row>
    <row r="34" spans="1:4" x14ac:dyDescent="0.25">
      <c r="A34" s="3">
        <v>44281</v>
      </c>
      <c r="B34" s="4" t="s">
        <v>1290</v>
      </c>
      <c r="C34" s="4" t="s">
        <v>1549</v>
      </c>
      <c r="D34" s="4">
        <v>2</v>
      </c>
    </row>
    <row r="35" spans="1:4" x14ac:dyDescent="0.25">
      <c r="A35" s="3">
        <v>44282</v>
      </c>
      <c r="B35" s="4" t="s">
        <v>1296</v>
      </c>
      <c r="C35" s="4" t="s">
        <v>1219</v>
      </c>
      <c r="D35" s="4">
        <v>2</v>
      </c>
    </row>
    <row r="36" spans="1:4" x14ac:dyDescent="0.25">
      <c r="A36" s="3">
        <v>44283</v>
      </c>
      <c r="B36" s="4" t="s">
        <v>1452</v>
      </c>
      <c r="C36" s="4" t="s">
        <v>1551</v>
      </c>
      <c r="D36" s="4">
        <v>2</v>
      </c>
    </row>
    <row r="37" spans="1:4" x14ac:dyDescent="0.25">
      <c r="A37" s="3">
        <v>44284</v>
      </c>
      <c r="B37" s="4" t="s">
        <v>1458</v>
      </c>
      <c r="C37" s="4" t="s">
        <v>1551</v>
      </c>
      <c r="D37" s="4">
        <v>2</v>
      </c>
    </row>
    <row r="38" spans="1:4" x14ac:dyDescent="0.25">
      <c r="A38" s="3">
        <v>44284</v>
      </c>
      <c r="B38" s="4" t="s">
        <v>1458</v>
      </c>
      <c r="C38" s="4" t="s">
        <v>1549</v>
      </c>
      <c r="D38" s="4">
        <v>2</v>
      </c>
    </row>
    <row r="39" spans="1:4" x14ac:dyDescent="0.25">
      <c r="A39" s="3">
        <v>44285</v>
      </c>
      <c r="B39" s="4" t="s">
        <v>12</v>
      </c>
      <c r="C39" s="4" t="s">
        <v>1219</v>
      </c>
      <c r="D39" s="4">
        <v>2</v>
      </c>
    </row>
    <row r="40" spans="1:4" x14ac:dyDescent="0.25">
      <c r="A40" s="3">
        <v>44286</v>
      </c>
      <c r="B40" s="4" t="s">
        <v>22</v>
      </c>
      <c r="C40" s="4" t="s">
        <v>1219</v>
      </c>
      <c r="D40" s="4">
        <v>2</v>
      </c>
    </row>
    <row r="41" spans="1:4" x14ac:dyDescent="0.25">
      <c r="A41" s="3">
        <v>44286</v>
      </c>
      <c r="B41" s="4" t="s">
        <v>22</v>
      </c>
      <c r="C41" s="4" t="s">
        <v>1547</v>
      </c>
      <c r="D41" s="4">
        <v>2</v>
      </c>
    </row>
    <row r="42" spans="1:4" x14ac:dyDescent="0.25">
      <c r="A42" s="3">
        <v>44256</v>
      </c>
      <c r="B42" s="4" t="s">
        <v>201</v>
      </c>
      <c r="C42" s="4" t="s">
        <v>1550</v>
      </c>
      <c r="D42" s="4">
        <v>2</v>
      </c>
    </row>
    <row r="43" spans="1:4" x14ac:dyDescent="0.25">
      <c r="A43" s="3">
        <v>44270</v>
      </c>
      <c r="B43" s="4" t="s">
        <v>211</v>
      </c>
      <c r="C43" s="4" t="s">
        <v>1218</v>
      </c>
      <c r="D43" s="4">
        <v>2</v>
      </c>
    </row>
    <row r="44" spans="1:4" x14ac:dyDescent="0.25">
      <c r="A44" s="3">
        <v>44258</v>
      </c>
      <c r="B44" s="4" t="s">
        <v>217</v>
      </c>
      <c r="C44" s="4" t="s">
        <v>1548</v>
      </c>
      <c r="D44" s="4">
        <v>2</v>
      </c>
    </row>
    <row r="45" spans="1:4" x14ac:dyDescent="0.25">
      <c r="A45" s="3">
        <v>44272</v>
      </c>
      <c r="B45" s="4" t="s">
        <v>552</v>
      </c>
      <c r="C45" s="4" t="s">
        <v>1218</v>
      </c>
      <c r="D45" s="4">
        <v>2</v>
      </c>
    </row>
    <row r="46" spans="1:4" x14ac:dyDescent="0.25">
      <c r="A46" s="3">
        <v>44260</v>
      </c>
      <c r="B46" s="4" t="s">
        <v>558</v>
      </c>
      <c r="C46" s="4" t="s">
        <v>1548</v>
      </c>
      <c r="D46" s="4">
        <v>2</v>
      </c>
    </row>
    <row r="47" spans="1:4" x14ac:dyDescent="0.25">
      <c r="A47" s="3">
        <v>44274</v>
      </c>
      <c r="B47" s="4" t="s">
        <v>564</v>
      </c>
      <c r="C47" s="4" t="s">
        <v>1551</v>
      </c>
      <c r="D47" s="4">
        <v>2</v>
      </c>
    </row>
    <row r="48" spans="1:4" x14ac:dyDescent="0.25">
      <c r="A48" s="3">
        <v>44274</v>
      </c>
      <c r="B48" s="4" t="s">
        <v>564</v>
      </c>
      <c r="C48" s="4" t="s">
        <v>1549</v>
      </c>
      <c r="D48" s="4">
        <v>2</v>
      </c>
    </row>
    <row r="49" spans="1:4" x14ac:dyDescent="0.25">
      <c r="A49" s="3">
        <v>44262</v>
      </c>
      <c r="B49" s="4" t="s">
        <v>1033</v>
      </c>
      <c r="C49" s="4" t="s">
        <v>1551</v>
      </c>
      <c r="D49" s="4">
        <v>2</v>
      </c>
    </row>
    <row r="50" spans="1:4" x14ac:dyDescent="0.25">
      <c r="A50" s="3">
        <v>44276</v>
      </c>
      <c r="B50" s="4" t="s">
        <v>1228</v>
      </c>
      <c r="C50" s="4" t="s">
        <v>1218</v>
      </c>
      <c r="D50" s="4">
        <v>2</v>
      </c>
    </row>
    <row r="51" spans="1:4" x14ac:dyDescent="0.25">
      <c r="A51" s="3">
        <v>44264</v>
      </c>
      <c r="B51" s="4" t="s">
        <v>1234</v>
      </c>
      <c r="C51" s="4" t="s">
        <v>1548</v>
      </c>
      <c r="D51" s="4">
        <v>2</v>
      </c>
    </row>
    <row r="52" spans="1:4" x14ac:dyDescent="0.25">
      <c r="A52" s="3">
        <v>44278</v>
      </c>
      <c r="B52" s="4" t="s">
        <v>1424</v>
      </c>
      <c r="C52" s="4" t="s">
        <v>1551</v>
      </c>
      <c r="D52" s="4">
        <v>2</v>
      </c>
    </row>
    <row r="53" spans="1:4" x14ac:dyDescent="0.25">
      <c r="A53" s="3">
        <v>44278</v>
      </c>
      <c r="B53" s="4" t="s">
        <v>1424</v>
      </c>
      <c r="C53" s="4" t="s">
        <v>1547</v>
      </c>
      <c r="D53" s="4">
        <v>2</v>
      </c>
    </row>
    <row r="54" spans="1:4" x14ac:dyDescent="0.25">
      <c r="A54" s="3">
        <v>44266</v>
      </c>
      <c r="B54" s="4" t="s">
        <v>1091</v>
      </c>
      <c r="C54" s="4" t="s">
        <v>1548</v>
      </c>
      <c r="D54" s="4">
        <v>2</v>
      </c>
    </row>
    <row r="55" spans="1:4" x14ac:dyDescent="0.25">
      <c r="A55" s="3">
        <v>44280</v>
      </c>
      <c r="B55" s="4" t="s">
        <v>261</v>
      </c>
      <c r="C55" s="4" t="s">
        <v>1548</v>
      </c>
      <c r="D55" s="4">
        <v>2</v>
      </c>
    </row>
    <row r="56" spans="1:4" x14ac:dyDescent="0.25">
      <c r="A56" s="3">
        <v>44268</v>
      </c>
      <c r="B56" s="4" t="s">
        <v>599</v>
      </c>
      <c r="C56" s="4" t="s">
        <v>1551</v>
      </c>
      <c r="D56" s="4">
        <v>2</v>
      </c>
    </row>
    <row r="57" spans="1:4" x14ac:dyDescent="0.25">
      <c r="A57" s="3">
        <v>44268</v>
      </c>
      <c r="B57" s="4" t="s">
        <v>599</v>
      </c>
      <c r="C57" s="4" t="s">
        <v>1547</v>
      </c>
      <c r="D57" s="4">
        <v>2</v>
      </c>
    </row>
    <row r="58" spans="1:4" x14ac:dyDescent="0.25">
      <c r="A58" s="3">
        <v>44282</v>
      </c>
      <c r="B58" s="4" t="s">
        <v>605</v>
      </c>
      <c r="C58" s="4" t="s">
        <v>1551</v>
      </c>
      <c r="D58" s="4">
        <v>2</v>
      </c>
    </row>
    <row r="59" spans="1:4" x14ac:dyDescent="0.25">
      <c r="A59" s="3">
        <v>44270</v>
      </c>
      <c r="B59" s="4" t="s">
        <v>1258</v>
      </c>
      <c r="C59" s="4" t="s">
        <v>1219</v>
      </c>
      <c r="D59" s="4">
        <v>2</v>
      </c>
    </row>
    <row r="60" spans="1:4" x14ac:dyDescent="0.25">
      <c r="A60" s="3">
        <v>44287</v>
      </c>
      <c r="B60" s="4" t="s">
        <v>161</v>
      </c>
      <c r="C60" s="4" t="s">
        <v>1552</v>
      </c>
      <c r="D60" s="4">
        <v>2</v>
      </c>
    </row>
    <row r="61" spans="1:4" x14ac:dyDescent="0.25">
      <c r="A61" s="3">
        <v>44287</v>
      </c>
      <c r="B61" s="4" t="s">
        <v>161</v>
      </c>
      <c r="C61" s="4" t="s">
        <v>1549</v>
      </c>
      <c r="D61" s="4">
        <v>2</v>
      </c>
    </row>
    <row r="62" spans="1:4" x14ac:dyDescent="0.25">
      <c r="A62" s="3">
        <v>44288</v>
      </c>
      <c r="B62" s="4" t="s">
        <v>436</v>
      </c>
      <c r="C62" s="4" t="s">
        <v>1550</v>
      </c>
      <c r="D62" s="4">
        <v>2</v>
      </c>
    </row>
    <row r="63" spans="1:4" x14ac:dyDescent="0.25">
      <c r="A63" s="3">
        <v>44289</v>
      </c>
      <c r="B63" s="4" t="s">
        <v>454</v>
      </c>
      <c r="C63" s="4" t="s">
        <v>1218</v>
      </c>
      <c r="D63" s="4">
        <v>2</v>
      </c>
    </row>
    <row r="64" spans="1:4" x14ac:dyDescent="0.25">
      <c r="A64" s="3">
        <v>44290</v>
      </c>
      <c r="B64" s="4" t="s">
        <v>467</v>
      </c>
      <c r="C64" s="4" t="s">
        <v>1550</v>
      </c>
      <c r="D64" s="4">
        <v>2</v>
      </c>
    </row>
    <row r="65" spans="1:4" x14ac:dyDescent="0.25">
      <c r="A65" s="3">
        <v>44290</v>
      </c>
      <c r="B65" s="4" t="s">
        <v>467</v>
      </c>
      <c r="C65" s="4" t="s">
        <v>1547</v>
      </c>
      <c r="D65" s="4">
        <v>2</v>
      </c>
    </row>
    <row r="66" spans="1:4" x14ac:dyDescent="0.25">
      <c r="A66" s="3">
        <v>44291</v>
      </c>
      <c r="B66" s="4" t="s">
        <v>837</v>
      </c>
      <c r="C66" s="4" t="s">
        <v>1548</v>
      </c>
      <c r="D66" s="4">
        <v>2</v>
      </c>
    </row>
    <row r="67" spans="1:4" x14ac:dyDescent="0.25">
      <c r="A67" s="3">
        <v>44292</v>
      </c>
      <c r="B67" s="4" t="s">
        <v>855</v>
      </c>
      <c r="C67" s="4" t="s">
        <v>1551</v>
      </c>
      <c r="D67" s="4">
        <v>2</v>
      </c>
    </row>
    <row r="68" spans="1:4" x14ac:dyDescent="0.25">
      <c r="A68" s="3">
        <v>44292</v>
      </c>
      <c r="B68" s="4" t="s">
        <v>855</v>
      </c>
      <c r="C68" s="4" t="s">
        <v>1549</v>
      </c>
      <c r="D68" s="4">
        <v>2</v>
      </c>
    </row>
    <row r="69" spans="1:4" x14ac:dyDescent="0.25">
      <c r="A69" s="3">
        <v>44293</v>
      </c>
      <c r="B69" s="4" t="s">
        <v>863</v>
      </c>
      <c r="C69" s="4" t="s">
        <v>1551</v>
      </c>
      <c r="D69" s="4">
        <v>2</v>
      </c>
    </row>
    <row r="70" spans="1:4" x14ac:dyDescent="0.25">
      <c r="A70" s="3">
        <v>44294</v>
      </c>
      <c r="B70" s="4" t="s">
        <v>875</v>
      </c>
      <c r="C70" s="4" t="s">
        <v>1551</v>
      </c>
      <c r="D70" s="4">
        <v>2</v>
      </c>
    </row>
    <row r="71" spans="1:4" x14ac:dyDescent="0.25">
      <c r="A71" s="3">
        <v>44295</v>
      </c>
      <c r="B71" s="4" t="s">
        <v>893</v>
      </c>
      <c r="C71" s="4" t="s">
        <v>1551</v>
      </c>
      <c r="D71" s="4">
        <v>2</v>
      </c>
    </row>
    <row r="72" spans="1:4" x14ac:dyDescent="0.25">
      <c r="A72" s="3">
        <v>44295</v>
      </c>
      <c r="B72" s="4" t="s">
        <v>893</v>
      </c>
      <c r="C72" s="4" t="s">
        <v>1547</v>
      </c>
      <c r="D72" s="4">
        <v>2</v>
      </c>
    </row>
    <row r="73" spans="1:4" x14ac:dyDescent="0.25">
      <c r="A73" s="3">
        <v>44296</v>
      </c>
      <c r="B73" s="4" t="s">
        <v>1356</v>
      </c>
      <c r="C73" s="4" t="s">
        <v>1552</v>
      </c>
      <c r="D73" s="4">
        <v>2</v>
      </c>
    </row>
    <row r="74" spans="1:4" x14ac:dyDescent="0.25">
      <c r="A74" s="3">
        <v>44296</v>
      </c>
      <c r="B74" s="4" t="s">
        <v>1356</v>
      </c>
      <c r="C74" s="4" t="s">
        <v>1549</v>
      </c>
      <c r="D74" s="4">
        <v>2</v>
      </c>
    </row>
    <row r="75" spans="1:4" x14ac:dyDescent="0.25">
      <c r="A75" s="3">
        <v>44297</v>
      </c>
      <c r="B75" s="4" t="s">
        <v>111</v>
      </c>
      <c r="C75" s="4" t="s">
        <v>1548</v>
      </c>
      <c r="D75" s="4">
        <v>2</v>
      </c>
    </row>
    <row r="76" spans="1:4" x14ac:dyDescent="0.25">
      <c r="A76" s="3">
        <v>44298</v>
      </c>
      <c r="B76" s="4" t="s">
        <v>119</v>
      </c>
      <c r="C76" s="4" t="s">
        <v>1552</v>
      </c>
      <c r="D76" s="4">
        <v>2</v>
      </c>
    </row>
    <row r="77" spans="1:4" x14ac:dyDescent="0.25">
      <c r="A77" s="3">
        <v>44298</v>
      </c>
      <c r="B77" s="4" t="s">
        <v>119</v>
      </c>
      <c r="C77" s="4" t="s">
        <v>1549</v>
      </c>
      <c r="D77" s="4">
        <v>2</v>
      </c>
    </row>
    <row r="78" spans="1:4" x14ac:dyDescent="0.25">
      <c r="A78" s="3">
        <v>44299</v>
      </c>
      <c r="B78" s="4" t="s">
        <v>353</v>
      </c>
      <c r="C78" s="4" t="s">
        <v>1548</v>
      </c>
      <c r="D78" s="4">
        <v>2</v>
      </c>
    </row>
    <row r="79" spans="1:4" x14ac:dyDescent="0.25">
      <c r="A79" s="3">
        <v>44300</v>
      </c>
      <c r="B79" s="4" t="s">
        <v>359</v>
      </c>
      <c r="C79" s="4" t="s">
        <v>1550</v>
      </c>
      <c r="D79" s="4">
        <v>2</v>
      </c>
    </row>
    <row r="80" spans="1:4" x14ac:dyDescent="0.25">
      <c r="A80" s="3">
        <v>44300</v>
      </c>
      <c r="B80" s="4" t="s">
        <v>359</v>
      </c>
      <c r="C80" s="4" t="s">
        <v>1549</v>
      </c>
      <c r="D80" s="4">
        <v>2</v>
      </c>
    </row>
    <row r="81" spans="1:4" x14ac:dyDescent="0.25">
      <c r="A81" s="3">
        <v>44301</v>
      </c>
      <c r="B81" s="4" t="s">
        <v>365</v>
      </c>
      <c r="C81" s="4" t="s">
        <v>1550</v>
      </c>
      <c r="D81" s="4">
        <v>2</v>
      </c>
    </row>
    <row r="82" spans="1:4" x14ac:dyDescent="0.25">
      <c r="A82" s="3">
        <v>44302</v>
      </c>
      <c r="B82" s="4" t="s">
        <v>741</v>
      </c>
      <c r="C82" s="4" t="s">
        <v>1218</v>
      </c>
      <c r="D82" s="4">
        <v>2</v>
      </c>
    </row>
    <row r="83" spans="1:4" x14ac:dyDescent="0.25">
      <c r="A83" s="3">
        <v>44303</v>
      </c>
      <c r="B83" s="4" t="s">
        <v>747</v>
      </c>
      <c r="C83" s="4" t="s">
        <v>1548</v>
      </c>
      <c r="D83" s="4">
        <v>2</v>
      </c>
    </row>
    <row r="84" spans="1:4" x14ac:dyDescent="0.25">
      <c r="A84" s="3">
        <v>44304</v>
      </c>
      <c r="B84" s="4" t="s">
        <v>1049</v>
      </c>
      <c r="C84" s="4" t="s">
        <v>1551</v>
      </c>
      <c r="D84" s="4">
        <v>2</v>
      </c>
    </row>
    <row r="85" spans="1:4" x14ac:dyDescent="0.25">
      <c r="A85" s="3">
        <v>44304</v>
      </c>
      <c r="B85" s="4" t="s">
        <v>1049</v>
      </c>
      <c r="C85" s="4" t="s">
        <v>1549</v>
      </c>
      <c r="D85" s="4">
        <v>2</v>
      </c>
    </row>
    <row r="86" spans="1:4" x14ac:dyDescent="0.25">
      <c r="A86" s="3">
        <v>44305</v>
      </c>
      <c r="B86" s="4" t="s">
        <v>1055</v>
      </c>
      <c r="C86" s="4" t="s">
        <v>1551</v>
      </c>
      <c r="D86" s="4">
        <v>2</v>
      </c>
    </row>
    <row r="87" spans="1:4" x14ac:dyDescent="0.25">
      <c r="A87" s="3">
        <v>44306</v>
      </c>
      <c r="B87" s="4" t="s">
        <v>1476</v>
      </c>
      <c r="C87" s="4" t="s">
        <v>1548</v>
      </c>
      <c r="D87" s="4">
        <v>2</v>
      </c>
    </row>
    <row r="88" spans="1:4" x14ac:dyDescent="0.25">
      <c r="A88" s="3">
        <v>44307</v>
      </c>
      <c r="B88" s="4" t="s">
        <v>1118</v>
      </c>
      <c r="C88" s="4" t="s">
        <v>1550</v>
      </c>
      <c r="D88" s="4">
        <v>2</v>
      </c>
    </row>
    <row r="89" spans="1:4" x14ac:dyDescent="0.25">
      <c r="A89" s="3">
        <v>44308</v>
      </c>
      <c r="B89" s="4" t="s">
        <v>779</v>
      </c>
      <c r="C89" s="4" t="s">
        <v>1551</v>
      </c>
      <c r="D89" s="4">
        <v>2</v>
      </c>
    </row>
    <row r="90" spans="1:4" x14ac:dyDescent="0.25">
      <c r="A90" s="3">
        <v>44308</v>
      </c>
      <c r="B90" s="4" t="s">
        <v>779</v>
      </c>
      <c r="C90" s="4" t="s">
        <v>1547</v>
      </c>
      <c r="D90" s="4">
        <v>2</v>
      </c>
    </row>
    <row r="91" spans="1:4" x14ac:dyDescent="0.25">
      <c r="A91" s="3">
        <v>44309</v>
      </c>
      <c r="B91" s="4" t="s">
        <v>785</v>
      </c>
      <c r="C91" s="4" t="s">
        <v>1551</v>
      </c>
      <c r="D91" s="4">
        <v>2</v>
      </c>
    </row>
    <row r="92" spans="1:4" x14ac:dyDescent="0.25">
      <c r="A92" s="3">
        <v>44310</v>
      </c>
      <c r="B92" s="4" t="s">
        <v>1488</v>
      </c>
      <c r="C92" s="4" t="s">
        <v>1551</v>
      </c>
      <c r="D92" s="4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A465BF-6019-49EA-8B2F-62E4DAEC2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SOCIOS</vt:lpstr>
      <vt:lpstr>CATALOGO_PACOTES</vt:lpstr>
      <vt:lpstr>RECOMENDACOES</vt:lpstr>
      <vt:lpstr>ENTRADAS_CANAIS</vt:lpstr>
      <vt:lpstr>VENDAS_SAC</vt:lpstr>
      <vt:lpstr>VENDAS_LOJAS</vt:lpstr>
      <vt:lpstr>VENDAS_OUTBOUND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Pinho Martins</dc:creator>
  <cp:lastModifiedBy>Cledenir Souza</cp:lastModifiedBy>
  <dcterms:created xsi:type="dcterms:W3CDTF">2015-06-05T18:17:20Z</dcterms:created>
  <dcterms:modified xsi:type="dcterms:W3CDTF">2025-10-27T09:04:15Z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80d606-3385-4829-a27a-d391e7785643_Enabled">
    <vt:lpwstr>true</vt:lpwstr>
  </property>
  <property fmtid="{D5CDD505-2E9C-101B-9397-08002B2CF9AE}" pid="3" name="MSIP_Label_1680d606-3385-4829-a27a-d391e7785643_SetDate">
    <vt:lpwstr>2022-03-15T23:58:10Z</vt:lpwstr>
  </property>
  <property fmtid="{D5CDD505-2E9C-101B-9397-08002B2CF9AE}" pid="4" name="MSIP_Label_1680d606-3385-4829-a27a-d391e7785643_Method">
    <vt:lpwstr>Standard</vt:lpwstr>
  </property>
  <property fmtid="{D5CDD505-2E9C-101B-9397-08002B2CF9AE}" pid="5" name="MSIP_Label_1680d606-3385-4829-a27a-d391e7785643_Name">
    <vt:lpwstr>1680d606-3385-4829-a27a-d391e7785643</vt:lpwstr>
  </property>
  <property fmtid="{D5CDD505-2E9C-101B-9397-08002B2CF9AE}" pid="6" name="MSIP_Label_1680d606-3385-4829-a27a-d391e7785643_SiteId">
    <vt:lpwstr>b6f420c1-da14-4124-b666-fadafb6ebc04</vt:lpwstr>
  </property>
  <property fmtid="{D5CDD505-2E9C-101B-9397-08002B2CF9AE}" pid="7" name="MSIP_Label_1680d606-3385-4829-a27a-d391e7785643_ActionId">
    <vt:lpwstr>6d15f41f-813b-46d0-8cb1-1bd90d65608c</vt:lpwstr>
  </property>
  <property fmtid="{D5CDD505-2E9C-101B-9397-08002B2CF9AE}" pid="8" name="MSIP_Label_1680d606-3385-4829-a27a-d391e7785643_ContentBits">
    <vt:lpwstr>0</vt:lpwstr>
  </property>
</Properties>
</file>